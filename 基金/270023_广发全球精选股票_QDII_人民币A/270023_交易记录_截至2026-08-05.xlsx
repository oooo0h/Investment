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4e13306e1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记录" sheetId="1" r:id="Rb8f531060f02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¥&quot;#,##0.00;[Red](&quot;¥&quot;#,##0.00);-"/>
    <x:numFmt numFmtId="201" formatCode="yyyy-mm-dd hh:mm:ss"/>
  </x:numFmts>
  <x:fonts count="12">
    <x:font>
      <x:sz val="11"/>
      <x:name val="Carlito"/>
    </x:font>
    <x:font>
      <x:b/>
      <x:sz val="16"/>
      <x:color rgb="FFFFFFFF"/>
      <x:name val="Carlito"/>
    </x:font>
    <x:font>
      <x:sz val="11"/>
      <x:color rgb="FF101828"/>
      <x:name val="Carlito"/>
    </x:font>
    <x:font>
      <x:b/>
      <x:sz val="11"/>
      <x:color rgb="FF17324D"/>
      <x:name val="Carlito"/>
    </x:font>
    <x:font>
      <x:b/>
      <x:sz val="11"/>
      <x:color rgb="FF101828"/>
      <x:name val="Carlito"/>
    </x:font>
    <x:font>
      <x:b/>
      <x:sz val="11"/>
      <x:color rgb="FFFFFFFF"/>
      <x:name val="Carlito"/>
    </x:font>
    <x:font>
      <x:b/>
      <x:sz val="16"/>
      <x:color rgb="FFFFFFFF"/>
      <x:name val="Microsoft YaHei"/>
    </x:font>
    <x:font>
      <x:b/>
      <x:sz val="11"/>
      <x:color rgb="FF17324D"/>
      <x:name val="Microsoft YaHei"/>
    </x:font>
    <x:font>
      <x:sz val="11"/>
      <x:color rgb="FF101828"/>
      <x:name val="Microsoft YaHei"/>
    </x:font>
    <x:font>
      <x:sz val="11"/>
      <x:name val="Microsoft YaHei"/>
    </x:font>
    <x:font>
      <x:b/>
      <x:sz val="11"/>
      <x:color rgb="FF101828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F2F4F7"/>
      </x:patternFill>
    </x:fill>
    <x:fill>
      <x:patternFill patternType="solid">
        <x:fgColor rgb="FF2563EB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2563EB"/>
      </x:left>
      <x:top style="thin">
        <x:color rgb="FF2563EB"/>
      </x:top>
      <x:bottom style="thin">
        <x:color rgb="FF2563EB"/>
      </x:bottom>
    </x:border>
    <x:border>
      <x:top style="thin">
        <x:color rgb="FF2563EB"/>
      </x:top>
      <x:bottom style="thin">
        <x:color rgb="FF2563EB"/>
      </x:bottom>
    </x:border>
    <x:border>
      <x:right style="thin">
        <x:color rgb="FF2563EB"/>
      </x:right>
      <x:top style="thin">
        <x:color rgb="FF2563EB"/>
      </x:top>
      <x:bottom style="thin">
        <x:color rgb="FF2563EB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7" xfId="0" applyNumberFormat="1" applyFont="1" applyFill="1" applyBorder="1"/>
    <x:xf numFmtId="0" fontId="2" fillId="4" borderId="7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200" fontId="4" fillId="4" borderId="7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vertical="center"/>
    </x:xf>
    <x:xf numFmtId="0" fontId="8" fillId="3" borderId="3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7" fillId="4" borderId="7" xfId="0" applyNumberFormat="1" applyFont="1" applyFill="1" applyBorder="1" applyAlignment="1">
      <x:alignment vertical="center"/>
    </x:xf>
    <x:xf numFmtId="0" fontId="10" fillId="4" borderId="7" xfId="0" applyNumberFormat="1" applyFont="1" applyFill="1" applyBorder="1" applyAlignment="1">
      <x:alignment vertical="center"/>
    </x:xf>
    <x:xf numFmtId="200" fontId="10" fillId="4" borderId="7" xfId="0" applyNumberFormat="1" applyFont="1" applyFill="1" applyBorder="1" applyAlignment="1">
      <x:alignment vertical="center"/>
    </x:xf>
    <x:xf numFmtId="0" fontId="11" fillId="5" borderId="8" xfId="0" applyNumberFormat="1" applyFont="1" applyFill="1" applyBorder="1" applyAlignment="1">
      <x:alignment vertical="center"/>
    </x:xf>
    <x:xf numFmtId="0" fontId="11" fillId="5" borderId="9" xfId="0" applyNumberFormat="1" applyFont="1" applyFill="1" applyBorder="1" applyAlignment="1">
      <x:alignment vertical="center"/>
    </x:xf>
    <x:xf numFmtId="0" fontId="11" fillId="5" borderId="1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/>
    </x:xf>
    <x:xf numFmtId="201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157F3B"/>
      </x:font>
      <x:fill>
        <x:patternFill patternType="solid">
          <x:bgColor rgb="FFE8F5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9A6700"/>
      </x:font>
      <x:fill>
        <x:patternFill patternType="solid">
          <x:bgColor rgb="FFFFF4D6"/>
        </x:patternFill>
      </x:fill>
    </x:dxf>
    <x:dxf>
      <x:font>
        <x:b/>
        <x:color rgb="FF157F3B"/>
      </x:font>
      <x:fill>
        <x:patternFill patternType="solid">
          <x:bgColor rgb="FFE8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670755990436c" /><Relationship Type="http://schemas.openxmlformats.org/officeDocument/2006/relationships/theme" Target="/xl/theme/theme1.xml" Id="Re89b2f4082954501" /><Relationship Type="http://schemas.openxmlformats.org/officeDocument/2006/relationships/sharedStrings" Target="/xl/sharedStrings.xml" Id="R2eec994e2a674f85" /><Relationship Type="http://schemas.openxmlformats.org/officeDocument/2006/relationships/worksheet" Target="/xl/worksheets/sheet1.xml" Id="Rb8f531060f024a9f" /></Relationships>
</file>

<file path=xl/tables/table1.xml><?xml version="1.0" encoding="utf-8"?>
<x:table xmlns:x="http://schemas.openxmlformats.org/spreadsheetml/2006/main" id="1" name="TransactionRecordsTable" displayName="TransactionRecordsTable" ref="A7:F138" headerRowCount="1" totalsRowCount="0" totalsRowShown="0">
  <x:autoFilter ref="A7:F138"/>
  <x:tableColumns count="6">
    <x:tableColumn id="1" name="序号"/>
    <x:tableColumn id="2" name="交易时间"/>
    <x:tableColumn id="3" name="交易类型"/>
    <x:tableColumn id="4" name="金额（元）"/>
    <x:tableColumn id="5" name="状态"/>
    <x:tableColumn id="6" name="计入有效金额（元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1dc9bf03b94e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" hidden="0" customWidth="1"/>
    <x:col min="3" max="3" width="13" hidden="0" customWidth="1"/>
    <x:col min="4" max="4" width="16" hidden="0" customWidth="1"/>
    <x:col min="5" max="5" width="14" hidden="0" customWidth="1"/>
    <x:col min="6" max="6" width="28" hidden="0" customWidth="1"/>
  </x:cols>
  <x:sheetData>
    <x:row r="1" ht="32" customHeight="1">
      <x:c r="A1" s="42" t="str">
        <x:v>广发全球精选股票(QDII)A（270023）交易记录</x:v>
      </x:c>
      <x:c r="B1" s="42"/>
      <x:c r="C1" s="42"/>
      <x:c r="D1" s="42"/>
      <x:c r="E1" s="42"/>
      <x:c r="F1" s="42"/>
    </x:row>
    <x:row r="2">
      <x:c r="A2" s="43" t="str">
        <x:v>基金名称</x:v>
      </x:c>
      <x:c r="B2" s="44" t="str">
        <x:v>广发全球精选股票(QDII)A</x:v>
      </x:c>
      <x:c r="C2" s="45" t="str">
        <x:v>基金代码</x:v>
      </x:c>
      <x:c r="D2" s="44" t="str">
        <x:v>270023</x:v>
      </x:c>
      <x:c r="E2" s="45" t="str">
        <x:v>数据范围</x:v>
      </x:c>
      <x:c r="F2" s="46" t="str">
        <x:v>2025-12-18 至 2026-08-05</x:v>
      </x:c>
    </x:row>
    <x:row r="3">
      <x:c r="A3" s="47" t="str">
        <x:v>数据来源</x:v>
      </x:c>
      <x:c r="B3" s="48" t="str">
        <x:v>270023_交易记录截图_第1张.jpg、270023_交易记录截图_第2张.jpg</x:v>
      </x:c>
      <x:c r="C3" s="48"/>
      <x:c r="D3" s="48"/>
      <x:c r="E3" s="48"/>
      <x:c r="F3" s="49"/>
    </x:row>
    <x:row r="4">
      <x:c r="A4" s="50"/>
      <x:c r="B4" s="50"/>
      <x:c r="C4" s="50"/>
      <x:c r="D4" s="50"/>
      <x:c r="E4" s="50"/>
      <x:c r="F4" s="50"/>
    </x:row>
    <x:row r="5">
      <x:c r="A5" s="51" t="str">
        <x:v>全部记录</x:v>
      </x:c>
      <x:c r="B5" s="52" t="n">
        <x:f>COUNTA(B8:B138)</x:f>
        <x:v>131</x:v>
      </x:c>
      <x:c r="C5" s="52" t="str">
        <x:v>有效记录</x:v>
      </x:c>
      <x:c r="D5" s="52" t="n">
        <x:f>COUNTIF(E8:E138,"有效")</x:f>
        <x:v>128</x:v>
      </x:c>
      <x:c r="E5" s="52" t="str">
        <x:v>未计入记录</x:v>
      </x:c>
      <x:c r="F5" s="52" t="n">
        <x:f>COUNTIF(E8:E138,"&lt;&gt;有效")</x:f>
        <x:v>3</x:v>
      </x:c>
    </x:row>
    <x:row r="6">
      <x:c r="A6" s="51" t="str">
        <x:v>有效投入</x:v>
      </x:c>
      <x:c r="B6" s="53" t="n">
        <x:f>SUM(F8:F138)</x:f>
        <x:v>129570</x:v>
      </x:c>
      <x:c r="C6" s="53" t="str">
        <x:v>未计入金额</x:v>
      </x:c>
      <x:c r="D6" s="53" t="n">
        <x:f>SUMIF(E8:E138,"&lt;&gt;有效",D8:D138)</x:f>
        <x:v>115000</x:v>
      </x:c>
      <x:c r="E6" s="52" t="str">
        <x:v>核对状态</x:v>
      </x:c>
      <x:c r="F6" s="52" t="str">
        <x:f>IF(AND(B5=D5+F5,ABS(B6-SUMIF(E8:E138,"有效",D8:D138))&lt;0.01),"OK","检查")</x:f>
        <x:v>OK</x:v>
      </x:c>
    </x:row>
    <x:row r="7" ht="22" customHeight="1">
      <x:c r="A7" s="54" t="str">
        <x:v>序号</x:v>
      </x:c>
      <x:c r="B7" s="55" t="str">
        <x:v>交易时间</x:v>
      </x:c>
      <x:c r="C7" s="55" t="str">
        <x:v>交易类型</x:v>
      </x:c>
      <x:c r="D7" s="55" t="str">
        <x:v>金额（元）</x:v>
      </x:c>
      <x:c r="E7" s="55" t="str">
        <x:v>状态</x:v>
      </x:c>
      <x:c r="F7" s="56" t="str">
        <x:v>计入有效金额（元）</x:v>
      </x:c>
    </x:row>
    <x:row r="8" ht="22" customHeight="1">
      <x:c r="A8" s="57" t="n">
        <x:v>1</x:v>
      </x:c>
      <x:c r="B8" s="58" t="n">
        <x:v>46239.62751157407</x:v>
      </x:c>
      <x:c r="C8" s="57" t="str">
        <x:v>买入</x:v>
      </x:c>
      <x:c r="D8" s="59" t="n">
        <x:v>10000</x:v>
      </x:c>
      <x:c r="E8" s="57" t="str">
        <x:v>已撤单</x:v>
      </x:c>
      <x:c r="F8" s="59" t="n">
        <x:f>IF(E8="有效",D8,0)</x:f>
        <x:v>0</x:v>
      </x:c>
    </x:row>
    <x:row r="9" ht="22" customHeight="1">
      <x:c r="A9" s="57" t="n">
        <x:v>2</x:v>
      </x:c>
      <x:c r="B9" s="58" t="n">
        <x:v>46239.496932870374</x:v>
      </x:c>
      <x:c r="C9" s="57" t="str">
        <x:v>定投</x:v>
      </x:c>
      <x:c r="D9" s="59" t="n">
        <x:v>200</x:v>
      </x:c>
      <x:c r="E9" s="57" t="str">
        <x:v>有效</x:v>
      </x:c>
      <x:c r="F9" s="59" t="n">
        <x:f>IF(E9="有效",D9,0)</x:f>
        <x:v>200</x:v>
      </x:c>
    </x:row>
    <x:row r="10" ht="22" customHeight="1">
      <x:c r="A10" s="57" t="n">
        <x:v>3</x:v>
      </x:c>
      <x:c r="B10" s="58" t="n">
        <x:v>46238.49836805555</x:v>
      </x:c>
      <x:c r="C10" s="57" t="str">
        <x:v>定投</x:v>
      </x:c>
      <x:c r="D10" s="59" t="n">
        <x:v>200</x:v>
      </x:c>
      <x:c r="E10" s="57" t="str">
        <x:v>有效</x:v>
      </x:c>
      <x:c r="F10" s="59" t="n">
        <x:f>IF(E10="有效",D10,0)</x:f>
        <x:v>200</x:v>
      </x:c>
    </x:row>
    <x:row r="11" ht="22" customHeight="1">
      <x:c r="A11" s="57" t="n">
        <x:v>4</x:v>
      </x:c>
      <x:c r="B11" s="58" t="n">
        <x:v>46237.51082175926</x:v>
      </x:c>
      <x:c r="C11" s="57" t="str">
        <x:v>定投</x:v>
      </x:c>
      <x:c r="D11" s="59" t="n">
        <x:v>200</x:v>
      </x:c>
      <x:c r="E11" s="57" t="str">
        <x:v>有效</x:v>
      </x:c>
      <x:c r="F11" s="59" t="n">
        <x:f>IF(E11="有效",D11,0)</x:f>
        <x:v>200</x:v>
      </x:c>
    </x:row>
    <x:row r="12" ht="22" customHeight="1">
      <x:c r="A12" s="57" t="n">
        <x:v>5</x:v>
      </x:c>
      <x:c r="B12" s="58" t="n">
        <x:v>46234.50048611111</x:v>
      </x:c>
      <x:c r="C12" s="57" t="str">
        <x:v>定投</x:v>
      </x:c>
      <x:c r="D12" s="59" t="n">
        <x:v>10</x:v>
      </x:c>
      <x:c r="E12" s="57" t="str">
        <x:v>有效</x:v>
      </x:c>
      <x:c r="F12" s="59" t="n">
        <x:f>IF(E12="有效",D12,0)</x:f>
        <x:v>10</x:v>
      </x:c>
    </x:row>
    <x:row r="13" ht="22" customHeight="1">
      <x:c r="A13" s="57" t="n">
        <x:v>6</x:v>
      </x:c>
      <x:c r="B13" s="58" t="n">
        <x:v>46233.49083333334</x:v>
      </x:c>
      <x:c r="C13" s="57" t="str">
        <x:v>定投</x:v>
      </x:c>
      <x:c r="D13" s="59" t="n">
        <x:v>200</x:v>
      </x:c>
      <x:c r="E13" s="57" t="str">
        <x:v>有效</x:v>
      </x:c>
      <x:c r="F13" s="59" t="n">
        <x:f>IF(E13="有效",D13,0)</x:f>
        <x:v>200</x:v>
      </x:c>
    </x:row>
    <x:row r="14" ht="22" customHeight="1">
      <x:c r="A14" s="57" t="n">
        <x:v>7</x:v>
      </x:c>
      <x:c r="B14" s="58" t="n">
        <x:v>46232.48908564815</x:v>
      </x:c>
      <x:c r="C14" s="57" t="str">
        <x:v>定投</x:v>
      </x:c>
      <x:c r="D14" s="59" t="n">
        <x:v>200</x:v>
      </x:c>
      <x:c r="E14" s="57" t="str">
        <x:v>有效</x:v>
      </x:c>
      <x:c r="F14" s="59" t="n">
        <x:f>IF(E14="有效",D14,0)</x:f>
        <x:v>200</x:v>
      </x:c>
    </x:row>
    <x:row r="15" ht="22" customHeight="1">
      <x:c r="A15" s="57" t="n">
        <x:v>8</x:v>
      </x:c>
      <x:c r="B15" s="58" t="n">
        <x:v>46231.490949074076</x:v>
      </x:c>
      <x:c r="C15" s="57" t="str">
        <x:v>定投</x:v>
      </x:c>
      <x:c r="D15" s="59" t="n">
        <x:v>200</x:v>
      </x:c>
      <x:c r="E15" s="57" t="str">
        <x:v>有效</x:v>
      </x:c>
      <x:c r="F15" s="59" t="n">
        <x:f>IF(E15="有效",D15,0)</x:f>
        <x:v>200</x:v>
      </x:c>
    </x:row>
    <x:row r="16" ht="22" customHeight="1">
      <x:c r="A16" s="57" t="n">
        <x:v>9</x:v>
      </x:c>
      <x:c r="B16" s="58" t="n">
        <x:v>46230.50034722222</x:v>
      </x:c>
      <x:c r="C16" s="57" t="str">
        <x:v>定投</x:v>
      </x:c>
      <x:c r="D16" s="59" t="n">
        <x:v>200</x:v>
      </x:c>
      <x:c r="E16" s="57" t="str">
        <x:v>有效</x:v>
      </x:c>
      <x:c r="F16" s="59" t="n">
        <x:f>IF(E16="有效",D16,0)</x:f>
        <x:v>200</x:v>
      </x:c>
    </x:row>
    <x:row r="17" ht="22" customHeight="1">
      <x:c r="A17" s="57" t="n">
        <x:v>10</x:v>
      </x:c>
      <x:c r="B17" s="58" t="n">
        <x:v>46227.49304398148</x:v>
      </x:c>
      <x:c r="C17" s="57" t="str">
        <x:v>定投</x:v>
      </x:c>
      <x:c r="D17" s="59" t="n">
        <x:v>200</x:v>
      </x:c>
      <x:c r="E17" s="57" t="str">
        <x:v>有效</x:v>
      </x:c>
      <x:c r="F17" s="59" t="n">
        <x:f>IF(E17="有效",D17,0)</x:f>
        <x:v>200</x:v>
      </x:c>
    </x:row>
    <x:row r="18" ht="22" customHeight="1">
      <x:c r="A18" s="57" t="n">
        <x:v>11</x:v>
      </x:c>
      <x:c r="B18" s="58" t="n">
        <x:v>46226.498148148145</x:v>
      </x:c>
      <x:c r="C18" s="57" t="str">
        <x:v>定投</x:v>
      </x:c>
      <x:c r="D18" s="59" t="n">
        <x:v>200</x:v>
      </x:c>
      <x:c r="E18" s="57" t="str">
        <x:v>有效</x:v>
      </x:c>
      <x:c r="F18" s="59" t="n">
        <x:f>IF(E18="有效",D18,0)</x:f>
        <x:v>200</x:v>
      </x:c>
    </x:row>
    <x:row r="19" ht="22" customHeight="1">
      <x:c r="A19" s="57" t="n">
        <x:v>12</x:v>
      </x:c>
      <x:c r="B19" s="58" t="n">
        <x:v>46225.49642361111</x:v>
      </x:c>
      <x:c r="C19" s="57" t="str">
        <x:v>定投</x:v>
      </x:c>
      <x:c r="D19" s="59" t="n">
        <x:v>200</x:v>
      </x:c>
      <x:c r="E19" s="57" t="str">
        <x:v>有效</x:v>
      </x:c>
      <x:c r="F19" s="59" t="n">
        <x:f>IF(E19="有效",D19,0)</x:f>
        <x:v>200</x:v>
      </x:c>
    </x:row>
    <x:row r="20" ht="22" customHeight="1">
      <x:c r="A20" s="57" t="n">
        <x:v>13</x:v>
      </x:c>
      <x:c r="B20" s="58" t="n">
        <x:v>46224.500023148146</x:v>
      </x:c>
      <x:c r="C20" s="57" t="str">
        <x:v>定投</x:v>
      </x:c>
      <x:c r="D20" s="59" t="n">
        <x:v>200</x:v>
      </x:c>
      <x:c r="E20" s="57" t="str">
        <x:v>有效</x:v>
      </x:c>
      <x:c r="F20" s="59" t="n">
        <x:f>IF(E20="有效",D20,0)</x:f>
        <x:v>200</x:v>
      </x:c>
    </x:row>
    <x:row r="21" ht="22" customHeight="1">
      <x:c r="A21" s="57" t="n">
        <x:v>14</x:v>
      </x:c>
      <x:c r="B21" s="58" t="n">
        <x:v>46223.51069444444</x:v>
      </x:c>
      <x:c r="C21" s="57" t="str">
        <x:v>定投</x:v>
      </x:c>
      <x:c r="D21" s="59" t="n">
        <x:v>200</x:v>
      </x:c>
      <x:c r="E21" s="57" t="str">
        <x:v>有效</x:v>
      </x:c>
      <x:c r="F21" s="59" t="n">
        <x:f>IF(E21="有效",D21,0)</x:f>
        <x:v>200</x:v>
      </x:c>
    </x:row>
    <x:row r="22" ht="22" customHeight="1">
      <x:c r="A22" s="57" t="n">
        <x:v>15</x:v>
      </x:c>
      <x:c r="B22" s="58" t="n">
        <x:v>46220.50696759259</x:v>
      </x:c>
      <x:c r="C22" s="57" t="str">
        <x:v>定投</x:v>
      </x:c>
      <x:c r="D22" s="59" t="n">
        <x:v>200</x:v>
      </x:c>
      <x:c r="E22" s="57" t="str">
        <x:v>有效</x:v>
      </x:c>
      <x:c r="F22" s="59" t="n">
        <x:f>IF(E22="有效",D22,0)</x:f>
        <x:v>200</x:v>
      </x:c>
    </x:row>
    <x:row r="23" ht="22" customHeight="1">
      <x:c r="A23" s="57" t="n">
        <x:v>16</x:v>
      </x:c>
      <x:c r="B23" s="58" t="n">
        <x:v>46219.513819444444</x:v>
      </x:c>
      <x:c r="C23" s="57" t="str">
        <x:v>定投</x:v>
      </x:c>
      <x:c r="D23" s="59" t="n">
        <x:v>200</x:v>
      </x:c>
      <x:c r="E23" s="57" t="str">
        <x:v>有效</x:v>
      </x:c>
      <x:c r="F23" s="59" t="n">
        <x:f>IF(E23="有效",D23,0)</x:f>
        <x:v>200</x:v>
      </x:c>
    </x:row>
    <x:row r="24" ht="22" customHeight="1">
      <x:c r="A24" s="57" t="n">
        <x:v>17</x:v>
      </x:c>
      <x:c r="B24" s="58" t="n">
        <x:v>46218.513020833336</x:v>
      </x:c>
      <x:c r="C24" s="57" t="str">
        <x:v>定投</x:v>
      </x:c>
      <x:c r="D24" s="59" t="n">
        <x:v>200</x:v>
      </x:c>
      <x:c r="E24" s="57" t="str">
        <x:v>有效</x:v>
      </x:c>
      <x:c r="F24" s="59" t="n">
        <x:f>IF(E24="有效",D24,0)</x:f>
        <x:v>200</x:v>
      </x:c>
    </x:row>
    <x:row r="25" ht="22" customHeight="1">
      <x:c r="A25" s="57" t="n">
        <x:v>18</x:v>
      </x:c>
      <x:c r="B25" s="58" t="n">
        <x:v>46217.51583333333</x:v>
      </x:c>
      <x:c r="C25" s="57" t="str">
        <x:v>定投</x:v>
      </x:c>
      <x:c r="D25" s="59" t="n">
        <x:v>200</x:v>
      </x:c>
      <x:c r="E25" s="57" t="str">
        <x:v>有效</x:v>
      </x:c>
      <x:c r="F25" s="59" t="n">
        <x:f>IF(E25="有效",D25,0)</x:f>
        <x:v>200</x:v>
      </x:c>
    </x:row>
    <x:row r="26" ht="22" customHeight="1">
      <x:c r="A26" s="57" t="n">
        <x:v>19</x:v>
      </x:c>
      <x:c r="B26" s="58" t="n">
        <x:v>46216.52675925926</x:v>
      </x:c>
      <x:c r="C26" s="57" t="str">
        <x:v>定投</x:v>
      </x:c>
      <x:c r="D26" s="59" t="n">
        <x:v>200</x:v>
      </x:c>
      <x:c r="E26" s="57" t="str">
        <x:v>有效</x:v>
      </x:c>
      <x:c r="F26" s="59" t="n">
        <x:f>IF(E26="有效",D26,0)</x:f>
        <x:v>200</x:v>
      </x:c>
    </x:row>
    <x:row r="27" ht="22" customHeight="1">
      <x:c r="A27" s="57" t="n">
        <x:v>20</x:v>
      </x:c>
      <x:c r="B27" s="58" t="n">
        <x:v>46213.60362268519</x:v>
      </x:c>
      <x:c r="C27" s="57" t="str">
        <x:v>买入</x:v>
      </x:c>
      <x:c r="D27" s="59" t="n">
        <x:v>200</x:v>
      </x:c>
      <x:c r="E27" s="57" t="str">
        <x:v>有效</x:v>
      </x:c>
      <x:c r="F27" s="59" t="n">
        <x:f>IF(E27="有效",D27,0)</x:f>
        <x:v>200</x:v>
      </x:c>
    </x:row>
    <x:row r="28" ht="22" customHeight="1">
      <x:c r="A28" s="57" t="n">
        <x:v>21</x:v>
      </x:c>
      <x:c r="B28" s="58" t="n">
        <x:v>46212.52085648148</x:v>
      </x:c>
      <x:c r="C28" s="57" t="str">
        <x:v>定投</x:v>
      </x:c>
      <x:c r="D28" s="59" t="n">
        <x:v>200</x:v>
      </x:c>
      <x:c r="E28" s="57" t="str">
        <x:v>有效</x:v>
      </x:c>
      <x:c r="F28" s="59" t="n">
        <x:f>IF(E28="有效",D28,0)</x:f>
        <x:v>200</x:v>
      </x:c>
    </x:row>
    <x:row r="29" ht="22" customHeight="1">
      <x:c r="A29" s="57" t="n">
        <x:v>22</x:v>
      </x:c>
      <x:c r="B29" s="58" t="n">
        <x:v>46211.52211805555</x:v>
      </x:c>
      <x:c r="C29" s="57" t="str">
        <x:v>定投</x:v>
      </x:c>
      <x:c r="D29" s="59" t="n">
        <x:v>200</x:v>
      </x:c>
      <x:c r="E29" s="57" t="str">
        <x:v>有效</x:v>
      </x:c>
      <x:c r="F29" s="59" t="n">
        <x:f>IF(E29="有效",D29,0)</x:f>
        <x:v>200</x:v>
      </x:c>
    </x:row>
    <x:row r="30" ht="22" customHeight="1">
      <x:c r="A30" s="57" t="n">
        <x:v>23</x:v>
      </x:c>
      <x:c r="B30" s="58" t="n">
        <x:v>46210.5240625</x:v>
      </x:c>
      <x:c r="C30" s="57" t="str">
        <x:v>定投</x:v>
      </x:c>
      <x:c r="D30" s="59" t="n">
        <x:v>200</x:v>
      </x:c>
      <x:c r="E30" s="57" t="str">
        <x:v>有效</x:v>
      </x:c>
      <x:c r="F30" s="59" t="n">
        <x:f>IF(E30="有效",D30,0)</x:f>
        <x:v>200</x:v>
      </x:c>
    </x:row>
    <x:row r="31" ht="22" customHeight="1">
      <x:c r="A31" s="57" t="n">
        <x:v>24</x:v>
      </x:c>
      <x:c r="B31" s="58" t="n">
        <x:v>46209.56302083333</x:v>
      </x:c>
      <x:c r="C31" s="57" t="str">
        <x:v>买入</x:v>
      </x:c>
      <x:c r="D31" s="59" t="n">
        <x:v>200</x:v>
      </x:c>
      <x:c r="E31" s="57" t="str">
        <x:v>有效</x:v>
      </x:c>
      <x:c r="F31" s="59" t="n">
        <x:f>IF(E31="有效",D31,0)</x:f>
        <x:v>200</x:v>
      </x:c>
    </x:row>
    <x:row r="32" ht="22" customHeight="1">
      <x:c r="A32" s="57" t="n">
        <x:v>25</x:v>
      </x:c>
      <x:c r="B32" s="58" t="n">
        <x:v>46205.5287962963</x:v>
      </x:c>
      <x:c r="C32" s="57" t="str">
        <x:v>定投</x:v>
      </x:c>
      <x:c r="D32" s="59" t="n">
        <x:v>100</x:v>
      </x:c>
      <x:c r="E32" s="57" t="str">
        <x:v>有效</x:v>
      </x:c>
      <x:c r="F32" s="59" t="n">
        <x:f>IF(E32="有效",D32,0)</x:f>
        <x:v>100</x:v>
      </x:c>
    </x:row>
    <x:row r="33" ht="22" customHeight="1">
      <x:c r="A33" s="57" t="n">
        <x:v>26</x:v>
      </x:c>
      <x:c r="B33" s="58" t="n">
        <x:v>46204.494722222225</x:v>
      </x:c>
      <x:c r="C33" s="57" t="str">
        <x:v>定投</x:v>
      </x:c>
      <x:c r="D33" s="59" t="n">
        <x:v>100</x:v>
      </x:c>
      <x:c r="E33" s="57" t="str">
        <x:v>有效</x:v>
      </x:c>
      <x:c r="F33" s="59" t="n">
        <x:f>IF(E33="有效",D33,0)</x:f>
        <x:v>100</x:v>
      </x:c>
    </x:row>
    <x:row r="34" ht="22" customHeight="1">
      <x:c r="A34" s="57" t="n">
        <x:v>27</x:v>
      </x:c>
      <x:c r="B34" s="58" t="n">
        <x:v>46185.50320601852</x:v>
      </x:c>
      <x:c r="C34" s="57" t="str">
        <x:v>定投</x:v>
      </x:c>
      <x:c r="D34" s="59" t="n">
        <x:v>100</x:v>
      </x:c>
      <x:c r="E34" s="57" t="str">
        <x:v>有效</x:v>
      </x:c>
      <x:c r="F34" s="59" t="n">
        <x:f>IF(E34="有效",D34,0)</x:f>
        <x:v>100</x:v>
      </x:c>
    </x:row>
    <x:row r="35" ht="22" customHeight="1">
      <x:c r="A35" s="57" t="n">
        <x:v>28</x:v>
      </x:c>
      <x:c r="B35" s="58" t="n">
        <x:v>46184.51247685185</x:v>
      </x:c>
      <x:c r="C35" s="57" t="str">
        <x:v>定投</x:v>
      </x:c>
      <x:c r="D35" s="59" t="n">
        <x:v>100</x:v>
      </x:c>
      <x:c r="E35" s="57" t="str">
        <x:v>有效</x:v>
      </x:c>
      <x:c r="F35" s="59" t="n">
        <x:f>IF(E35="有效",D35,0)</x:f>
        <x:v>100</x:v>
      </x:c>
    </x:row>
    <x:row r="36" ht="22" customHeight="1">
      <x:c r="A36" s="57" t="n">
        <x:v>29</x:v>
      </x:c>
      <x:c r="B36" s="58" t="n">
        <x:v>46183.50230324074</x:v>
      </x:c>
      <x:c r="C36" s="57" t="str">
        <x:v>定投</x:v>
      </x:c>
      <x:c r="D36" s="59" t="n">
        <x:v>50</x:v>
      </x:c>
      <x:c r="E36" s="57" t="str">
        <x:v>有效</x:v>
      </x:c>
      <x:c r="F36" s="59" t="n">
        <x:f>IF(E36="有效",D36,0)</x:f>
        <x:v>50</x:v>
      </x:c>
    </x:row>
    <x:row r="37" ht="22" customHeight="1">
      <x:c r="A37" s="57" t="n">
        <x:v>30</x:v>
      </x:c>
      <x:c r="B37" s="58" t="n">
        <x:v>46182.503900462965</x:v>
      </x:c>
      <x:c r="C37" s="57" t="str">
        <x:v>定投</x:v>
      </x:c>
      <x:c r="D37" s="59" t="n">
        <x:v>50</x:v>
      </x:c>
      <x:c r="E37" s="57" t="str">
        <x:v>有效</x:v>
      </x:c>
      <x:c r="F37" s="59" t="n">
        <x:f>IF(E37="有效",D37,0)</x:f>
        <x:v>50</x:v>
      </x:c>
    </x:row>
    <x:row r="38" ht="22" customHeight="1">
      <x:c r="A38" s="57" t="n">
        <x:v>31</x:v>
      </x:c>
      <x:c r="B38" s="58" t="n">
        <x:v>46181.5153587963</x:v>
      </x:c>
      <x:c r="C38" s="57" t="str">
        <x:v>定投</x:v>
      </x:c>
      <x:c r="D38" s="59" t="n">
        <x:v>50</x:v>
      </x:c>
      <x:c r="E38" s="57" t="str">
        <x:v>有效</x:v>
      </x:c>
      <x:c r="F38" s="59" t="n">
        <x:f>IF(E38="有效",D38,0)</x:f>
        <x:v>50</x:v>
      </x:c>
    </x:row>
    <x:row r="39" ht="22" customHeight="1">
      <x:c r="A39" s="57" t="n">
        <x:v>32</x:v>
      </x:c>
      <x:c r="B39" s="58" t="n">
        <x:v>46176.39818287037</x:v>
      </x:c>
      <x:c r="C39" s="57" t="str">
        <x:v>买入</x:v>
      </x:c>
      <x:c r="D39" s="59" t="n">
        <x:v>100</x:v>
      </x:c>
      <x:c r="E39" s="57" t="str">
        <x:v>有效</x:v>
      </x:c>
      <x:c r="F39" s="59" t="n">
        <x:f>IF(E39="有效",D39,0)</x:f>
        <x:v>100</x:v>
      </x:c>
    </x:row>
    <x:row r="40" ht="22" customHeight="1">
      <x:c r="A40" s="57" t="n">
        <x:v>33</x:v>
      </x:c>
      <x:c r="B40" s="58" t="n">
        <x:v>46169.44967592593</x:v>
      </x:c>
      <x:c r="C40" s="57" t="str">
        <x:v>定投</x:v>
      </x:c>
      <x:c r="D40" s="59" t="n">
        <x:v>50</x:v>
      </x:c>
      <x:c r="E40" s="57" t="str">
        <x:v>有效</x:v>
      </x:c>
      <x:c r="F40" s="59" t="n">
        <x:f>IF(E40="有效",D40,0)</x:f>
        <x:v>50</x:v>
      </x:c>
    </x:row>
    <x:row r="41" ht="22" customHeight="1">
      <x:c r="A41" s="57" t="n">
        <x:v>34</x:v>
      </x:c>
      <x:c r="B41" s="58" t="n">
        <x:v>46168.45611111111</x:v>
      </x:c>
      <x:c r="C41" s="57" t="str">
        <x:v>定投</x:v>
      </x:c>
      <x:c r="D41" s="59" t="n">
        <x:v>50</x:v>
      </x:c>
      <x:c r="E41" s="57" t="str">
        <x:v>有效</x:v>
      </x:c>
      <x:c r="F41" s="59" t="n">
        <x:f>IF(E41="有效",D41,0)</x:f>
        <x:v>50</x:v>
      </x:c>
    </x:row>
    <x:row r="42" ht="22" customHeight="1">
      <x:c r="A42" s="57" t="n">
        <x:v>35</x:v>
      </x:c>
      <x:c r="B42" s="58" t="n">
        <x:v>46164.48480324074</x:v>
      </x:c>
      <x:c r="C42" s="57" t="str">
        <x:v>定投</x:v>
      </x:c>
      <x:c r="D42" s="59" t="n">
        <x:v>50</x:v>
      </x:c>
      <x:c r="E42" s="57" t="str">
        <x:v>有效</x:v>
      </x:c>
      <x:c r="F42" s="59" t="n">
        <x:f>IF(E42="有效",D42,0)</x:f>
        <x:v>50</x:v>
      </x:c>
    </x:row>
    <x:row r="43" ht="22" customHeight="1">
      <x:c r="A43" s="57" t="n">
        <x:v>36</x:v>
      </x:c>
      <x:c r="B43" s="58" t="n">
        <x:v>46163.48731481482</x:v>
      </x:c>
      <x:c r="C43" s="57" t="str">
        <x:v>定投</x:v>
      </x:c>
      <x:c r="D43" s="59" t="n">
        <x:v>10</x:v>
      </x:c>
      <x:c r="E43" s="57" t="str">
        <x:v>有效</x:v>
      </x:c>
      <x:c r="F43" s="59" t="n">
        <x:f>IF(E43="有效",D43,0)</x:f>
        <x:v>10</x:v>
      </x:c>
    </x:row>
    <x:row r="44" ht="22" customHeight="1">
      <x:c r="A44" s="57" t="n">
        <x:v>37</x:v>
      </x:c>
      <x:c r="B44" s="58" t="n">
        <x:v>46162.46130787037</x:v>
      </x:c>
      <x:c r="C44" s="57" t="str">
        <x:v>定投</x:v>
      </x:c>
      <x:c r="D44" s="59" t="n">
        <x:v>100</x:v>
      </x:c>
      <x:c r="E44" s="57" t="str">
        <x:v>有效</x:v>
      </x:c>
      <x:c r="F44" s="59" t="n">
        <x:f>IF(E44="有效",D44,0)</x:f>
        <x:v>100</x:v>
      </x:c>
    </x:row>
    <x:row r="45" ht="22" customHeight="1">
      <x:c r="A45" s="57" t="n">
        <x:v>38</x:v>
      </x:c>
      <x:c r="B45" s="58" t="n">
        <x:v>46161.460543981484</x:v>
      </x:c>
      <x:c r="C45" s="57" t="str">
        <x:v>定投</x:v>
      </x:c>
      <x:c r="D45" s="59" t="n">
        <x:v>100</x:v>
      </x:c>
      <x:c r="E45" s="57" t="str">
        <x:v>有效</x:v>
      </x:c>
      <x:c r="F45" s="59" t="n">
        <x:f>IF(E45="有效",D45,0)</x:f>
        <x:v>100</x:v>
      </x:c>
    </x:row>
    <x:row r="46" ht="22" customHeight="1">
      <x:c r="A46" s="57" t="n">
        <x:v>39</x:v>
      </x:c>
      <x:c r="B46" s="58" t="n">
        <x:v>46160.46896990741</x:v>
      </x:c>
      <x:c r="C46" s="57" t="str">
        <x:v>定投</x:v>
      </x:c>
      <x:c r="D46" s="59" t="n">
        <x:v>100</x:v>
      </x:c>
      <x:c r="E46" s="57" t="str">
        <x:v>有效</x:v>
      </x:c>
      <x:c r="F46" s="59" t="n">
        <x:f>IF(E46="有效",D46,0)</x:f>
        <x:v>100</x:v>
      </x:c>
    </x:row>
    <x:row r="47" ht="22" customHeight="1">
      <x:c r="A47" s="57" t="n">
        <x:v>40</x:v>
      </x:c>
      <x:c r="B47" s="58" t="n">
        <x:v>46157.461493055554</x:v>
      </x:c>
      <x:c r="C47" s="57" t="str">
        <x:v>定投</x:v>
      </x:c>
      <x:c r="D47" s="59" t="n">
        <x:v>100</x:v>
      </x:c>
      <x:c r="E47" s="57" t="str">
        <x:v>有效</x:v>
      </x:c>
      <x:c r="F47" s="59" t="n">
        <x:f>IF(E47="有效",D47,0)</x:f>
        <x:v>100</x:v>
      </x:c>
    </x:row>
    <x:row r="48" ht="22" customHeight="1">
      <x:c r="A48" s="57" t="n">
        <x:v>41</x:v>
      </x:c>
      <x:c r="B48" s="58" t="n">
        <x:v>46156.465</x:v>
      </x:c>
      <x:c r="C48" s="57" t="str">
        <x:v>定投</x:v>
      </x:c>
      <x:c r="D48" s="59" t="n">
        <x:v>100</x:v>
      </x:c>
      <x:c r="E48" s="57" t="str">
        <x:v>有效</x:v>
      </x:c>
      <x:c r="F48" s="59" t="n">
        <x:f>IF(E48="有效",D48,0)</x:f>
        <x:v>100</x:v>
      </x:c>
    </x:row>
    <x:row r="49" ht="22" customHeight="1">
      <x:c r="A49" s="57" t="n">
        <x:v>42</x:v>
      </x:c>
      <x:c r="B49" s="58" t="n">
        <x:v>46155.4659837963</x:v>
      </x:c>
      <x:c r="C49" s="57" t="str">
        <x:v>定投</x:v>
      </x:c>
      <x:c r="D49" s="59" t="n">
        <x:v>100</x:v>
      </x:c>
      <x:c r="E49" s="57" t="str">
        <x:v>有效</x:v>
      </x:c>
      <x:c r="F49" s="59" t="n">
        <x:f>IF(E49="有效",D49,0)</x:f>
        <x:v>100</x:v>
      </x:c>
    </x:row>
    <x:row r="50" ht="22" customHeight="1">
      <x:c r="A50" s="57" t="n">
        <x:v>43</x:v>
      </x:c>
      <x:c r="B50" s="58" t="n">
        <x:v>46154.467210648145</x:v>
      </x:c>
      <x:c r="C50" s="57" t="str">
        <x:v>定投</x:v>
      </x:c>
      <x:c r="D50" s="59" t="n">
        <x:v>100</x:v>
      </x:c>
      <x:c r="E50" s="57" t="str">
        <x:v>有效</x:v>
      </x:c>
      <x:c r="F50" s="59" t="n">
        <x:f>IF(E50="有效",D50,0)</x:f>
        <x:v>100</x:v>
      </x:c>
    </x:row>
    <x:row r="51" ht="22" customHeight="1">
      <x:c r="A51" s="57" t="n">
        <x:v>44</x:v>
      </x:c>
      <x:c r="B51" s="58" t="n">
        <x:v>46153.475949074076</x:v>
      </x:c>
      <x:c r="C51" s="57" t="str">
        <x:v>定投</x:v>
      </x:c>
      <x:c r="D51" s="59" t="n">
        <x:v>100</x:v>
      </x:c>
      <x:c r="E51" s="57" t="str">
        <x:v>有效</x:v>
      </x:c>
      <x:c r="F51" s="59" t="n">
        <x:f>IF(E51="有效",D51,0)</x:f>
        <x:v>100</x:v>
      </x:c>
    </x:row>
    <x:row r="52" ht="22" customHeight="1">
      <x:c r="A52" s="57" t="n">
        <x:v>45</x:v>
      </x:c>
      <x:c r="B52" s="58" t="n">
        <x:v>46150.46949074074</x:v>
      </x:c>
      <x:c r="C52" s="57" t="str">
        <x:v>定投</x:v>
      </x:c>
      <x:c r="D52" s="59" t="n">
        <x:v>100</x:v>
      </x:c>
      <x:c r="E52" s="57" t="str">
        <x:v>有效</x:v>
      </x:c>
      <x:c r="F52" s="59" t="n">
        <x:f>IF(E52="有效",D52,0)</x:f>
        <x:v>100</x:v>
      </x:c>
    </x:row>
    <x:row r="53" ht="22" customHeight="1">
      <x:c r="A53" s="57" t="n">
        <x:v>46</x:v>
      </x:c>
      <x:c r="B53" s="58" t="n">
        <x:v>46149.46502314815</x:v>
      </x:c>
      <x:c r="C53" s="57" t="str">
        <x:v>定投</x:v>
      </x:c>
      <x:c r="D53" s="59" t="n">
        <x:v>150</x:v>
      </x:c>
      <x:c r="E53" s="57" t="str">
        <x:v>有效</x:v>
      </x:c>
      <x:c r="F53" s="59" t="n">
        <x:f>IF(E53="有效",D53,0)</x:f>
        <x:v>150</x:v>
      </x:c>
    </x:row>
    <x:row r="54" ht="22" customHeight="1">
      <x:c r="A54" s="57" t="n">
        <x:v>47</x:v>
      </x:c>
      <x:c r="B54" s="58" t="n">
        <x:v>46148.49283564815</x:v>
      </x:c>
      <x:c r="C54" s="57" t="str">
        <x:v>定投</x:v>
      </x:c>
      <x:c r="D54" s="59" t="n">
        <x:v>150</x:v>
      </x:c>
      <x:c r="E54" s="57" t="str">
        <x:v>有效</x:v>
      </x:c>
      <x:c r="F54" s="59" t="n">
        <x:f>IF(E54="有效",D54,0)</x:f>
        <x:v>150</x:v>
      </x:c>
    </x:row>
    <x:row r="55" ht="22" customHeight="1">
      <x:c r="A55" s="57" t="n">
        <x:v>48</x:v>
      </x:c>
      <x:c r="B55" s="58" t="n">
        <x:v>46142.46681712963</x:v>
      </x:c>
      <x:c r="C55" s="57" t="str">
        <x:v>定投</x:v>
      </x:c>
      <x:c r="D55" s="59" t="n">
        <x:v>150</x:v>
      </x:c>
      <x:c r="E55" s="57" t="str">
        <x:v>有效</x:v>
      </x:c>
      <x:c r="F55" s="59" t="n">
        <x:f>IF(E55="有效",D55,0)</x:f>
        <x:v>150</x:v>
      </x:c>
    </x:row>
    <x:row r="56" ht="22" customHeight="1">
      <x:c r="A56" s="57" t="n">
        <x:v>49</x:v>
      </x:c>
      <x:c r="B56" s="58" t="n">
        <x:v>46141.463958333334</x:v>
      </x:c>
      <x:c r="C56" s="57" t="str">
        <x:v>定投</x:v>
      </x:c>
      <x:c r="D56" s="59" t="n">
        <x:v>150</x:v>
      </x:c>
      <x:c r="E56" s="57" t="str">
        <x:v>有效</x:v>
      </x:c>
      <x:c r="F56" s="59" t="n">
        <x:f>IF(E56="有效",D56,0)</x:f>
        <x:v>150</x:v>
      </x:c>
    </x:row>
    <x:row r="57" ht="22" customHeight="1">
      <x:c r="A57" s="57" t="n">
        <x:v>50</x:v>
      </x:c>
      <x:c r="B57" s="58" t="n">
        <x:v>46140.41836805556</x:v>
      </x:c>
      <x:c r="C57" s="57" t="str">
        <x:v>定投</x:v>
      </x:c>
      <x:c r="D57" s="59" t="n">
        <x:v>150</x:v>
      </x:c>
      <x:c r="E57" s="57" t="str">
        <x:v>有效</x:v>
      </x:c>
      <x:c r="F57" s="59" t="n">
        <x:f>IF(E57="有效",D57,0)</x:f>
        <x:v>150</x:v>
      </x:c>
    </x:row>
    <x:row r="58" ht="22" customHeight="1">
      <x:c r="A58" s="57" t="n">
        <x:v>51</x:v>
      </x:c>
      <x:c r="B58" s="58" t="n">
        <x:v>46139.42476851852</x:v>
      </x:c>
      <x:c r="C58" s="57" t="str">
        <x:v>定投</x:v>
      </x:c>
      <x:c r="D58" s="59" t="n">
        <x:v>150</x:v>
      </x:c>
      <x:c r="E58" s="57" t="str">
        <x:v>有效</x:v>
      </x:c>
      <x:c r="F58" s="59" t="n">
        <x:f>IF(E58="有效",D58,0)</x:f>
        <x:v>150</x:v>
      </x:c>
    </x:row>
    <x:row r="59" ht="22" customHeight="1">
      <x:c r="A59" s="57" t="n">
        <x:v>52</x:v>
      </x:c>
      <x:c r="B59" s="58" t="n">
        <x:v>46136.417858796296</x:v>
      </x:c>
      <x:c r="C59" s="57" t="str">
        <x:v>定投</x:v>
      </x:c>
      <x:c r="D59" s="59" t="n">
        <x:v>150</x:v>
      </x:c>
      <x:c r="E59" s="57" t="str">
        <x:v>有效</x:v>
      </x:c>
      <x:c r="F59" s="59" t="n">
        <x:f>IF(E59="有效",D59,0)</x:f>
        <x:v>150</x:v>
      </x:c>
    </x:row>
    <x:row r="60" ht="22" customHeight="1">
      <x:c r="A60" s="57" t="n">
        <x:v>53</x:v>
      </x:c>
      <x:c r="B60" s="58" t="n">
        <x:v>46135.42052083334</x:v>
      </x:c>
      <x:c r="C60" s="57" t="str">
        <x:v>定投</x:v>
      </x:c>
      <x:c r="D60" s="59" t="n">
        <x:v>150</x:v>
      </x:c>
      <x:c r="E60" s="57" t="str">
        <x:v>有效</x:v>
      </x:c>
      <x:c r="F60" s="59" t="n">
        <x:f>IF(E60="有效",D60,0)</x:f>
        <x:v>150</x:v>
      </x:c>
    </x:row>
    <x:row r="61" ht="22" customHeight="1">
      <x:c r="A61" s="57" t="n">
        <x:v>54</x:v>
      </x:c>
      <x:c r="B61" s="58" t="n">
        <x:v>46134.41773148148</x:v>
      </x:c>
      <x:c r="C61" s="57" t="str">
        <x:v>定投</x:v>
      </x:c>
      <x:c r="D61" s="59" t="n">
        <x:v>150</x:v>
      </x:c>
      <x:c r="E61" s="57" t="str">
        <x:v>有效</x:v>
      </x:c>
      <x:c r="F61" s="59" t="n">
        <x:f>IF(E61="有效",D61,0)</x:f>
        <x:v>150</x:v>
      </x:c>
    </x:row>
    <x:row r="62" ht="22" customHeight="1">
      <x:c r="A62" s="57" t="n">
        <x:v>55</x:v>
      </x:c>
      <x:c r="B62" s="58" t="n">
        <x:v>46133.41850694444</x:v>
      </x:c>
      <x:c r="C62" s="57" t="str">
        <x:v>定投</x:v>
      </x:c>
      <x:c r="D62" s="59" t="n">
        <x:v>150</x:v>
      </x:c>
      <x:c r="E62" s="57" t="str">
        <x:v>有效</x:v>
      </x:c>
      <x:c r="F62" s="59" t="n">
        <x:f>IF(E62="有效",D62,0)</x:f>
        <x:v>150</x:v>
      </x:c>
    </x:row>
    <x:row r="63" ht="22" customHeight="1">
      <x:c r="A63" s="57" t="n">
        <x:v>56</x:v>
      </x:c>
      <x:c r="B63" s="58" t="n">
        <x:v>46132.425092592595</x:v>
      </x:c>
      <x:c r="C63" s="57" t="str">
        <x:v>定投</x:v>
      </x:c>
      <x:c r="D63" s="59" t="n">
        <x:v>150</x:v>
      </x:c>
      <x:c r="E63" s="57" t="str">
        <x:v>有效</x:v>
      </x:c>
      <x:c r="F63" s="59" t="n">
        <x:f>IF(E63="有效",D63,0)</x:f>
        <x:v>150</x:v>
      </x:c>
    </x:row>
    <x:row r="64" ht="22" customHeight="1">
      <x:c r="A64" s="57" t="n">
        <x:v>57</x:v>
      </x:c>
      <x:c r="B64" s="58" t="n">
        <x:v>46129.417662037034</x:v>
      </x:c>
      <x:c r="C64" s="57" t="str">
        <x:v>定投</x:v>
      </x:c>
      <x:c r="D64" s="59" t="n">
        <x:v>150</x:v>
      </x:c>
      <x:c r="E64" s="57" t="str">
        <x:v>有效</x:v>
      </x:c>
      <x:c r="F64" s="59" t="n">
        <x:f>IF(E64="有效",D64,0)</x:f>
        <x:v>150</x:v>
      </x:c>
    </x:row>
    <x:row r="65" ht="22" customHeight="1">
      <x:c r="A65" s="57" t="n">
        <x:v>58</x:v>
      </x:c>
      <x:c r="B65" s="58" t="n">
        <x:v>46128.422939814816</x:v>
      </x:c>
      <x:c r="C65" s="57" t="str">
        <x:v>定投</x:v>
      </x:c>
      <x:c r="D65" s="59" t="n">
        <x:v>150</x:v>
      </x:c>
      <x:c r="E65" s="57" t="str">
        <x:v>有效</x:v>
      </x:c>
      <x:c r="F65" s="59" t="n">
        <x:f>IF(E65="有效",D65,0)</x:f>
        <x:v>150</x:v>
      </x:c>
    </x:row>
    <x:row r="66" ht="22" customHeight="1">
      <x:c r="A66" s="57" t="n">
        <x:v>59</x:v>
      </x:c>
      <x:c r="B66" s="58" t="n">
        <x:v>46127.42134259259</x:v>
      </x:c>
      <x:c r="C66" s="57" t="str">
        <x:v>定投</x:v>
      </x:c>
      <x:c r="D66" s="59" t="n">
        <x:v>150</x:v>
      </x:c>
      <x:c r="E66" s="57" t="str">
        <x:v>有效</x:v>
      </x:c>
      <x:c r="F66" s="59" t="n">
        <x:f>IF(E66="有效",D66,0)</x:f>
        <x:v>150</x:v>
      </x:c>
    </x:row>
    <x:row r="67" ht="22" customHeight="1">
      <x:c r="A67" s="57" t="n">
        <x:v>60</x:v>
      </x:c>
      <x:c r="B67" s="58" t="n">
        <x:v>46126.42052083334</x:v>
      </x:c>
      <x:c r="C67" s="57" t="str">
        <x:v>定投</x:v>
      </x:c>
      <x:c r="D67" s="59" t="n">
        <x:v>150</x:v>
      </x:c>
      <x:c r="E67" s="57" t="str">
        <x:v>有效</x:v>
      </x:c>
      <x:c r="F67" s="59" t="n">
        <x:f>IF(E67="有效",D67,0)</x:f>
        <x:v>150</x:v>
      </x:c>
    </x:row>
    <x:row r="68" ht="22" customHeight="1">
      <x:c r="A68" s="57" t="n">
        <x:v>61</x:v>
      </x:c>
      <x:c r="B68" s="58" t="n">
        <x:v>46125.42747685185</x:v>
      </x:c>
      <x:c r="C68" s="57" t="str">
        <x:v>定投</x:v>
      </x:c>
      <x:c r="D68" s="59" t="n">
        <x:v>150</x:v>
      </x:c>
      <x:c r="E68" s="57" t="str">
        <x:v>有效</x:v>
      </x:c>
      <x:c r="F68" s="59" t="n">
        <x:f>IF(E68="有效",D68,0)</x:f>
        <x:v>150</x:v>
      </x:c>
    </x:row>
    <x:row r="69" ht="22" customHeight="1">
      <x:c r="A69" s="57" t="n">
        <x:v>62</x:v>
      </x:c>
      <x:c r="B69" s="58" t="n">
        <x:v>46122.42151620371</x:v>
      </x:c>
      <x:c r="C69" s="57" t="str">
        <x:v>定投</x:v>
      </x:c>
      <x:c r="D69" s="59" t="n">
        <x:v>150</x:v>
      </x:c>
      <x:c r="E69" s="57" t="str">
        <x:v>有效</x:v>
      </x:c>
      <x:c r="F69" s="59" t="n">
        <x:f>IF(E69="有效",D69,0)</x:f>
        <x:v>150</x:v>
      </x:c>
    </x:row>
    <x:row r="70" ht="22" customHeight="1">
      <x:c r="A70" s="57" t="n">
        <x:v>63</x:v>
      </x:c>
      <x:c r="B70" s="58" t="n">
        <x:v>46121.42512731482</x:v>
      </x:c>
      <x:c r="C70" s="57" t="str">
        <x:v>定投</x:v>
      </x:c>
      <x:c r="D70" s="59" t="n">
        <x:v>150</x:v>
      </x:c>
      <x:c r="E70" s="57" t="str">
        <x:v>有效</x:v>
      </x:c>
      <x:c r="F70" s="59" t="n">
        <x:f>IF(E70="有效",D70,0)</x:f>
        <x:v>150</x:v>
      </x:c>
    </x:row>
    <x:row r="71" ht="22" customHeight="1">
      <x:c r="A71" s="57" t="n">
        <x:v>64</x:v>
      </x:c>
      <x:c r="B71" s="58" t="n">
        <x:v>46120.4249537037</x:v>
      </x:c>
      <x:c r="C71" s="57" t="str">
        <x:v>定投</x:v>
      </x:c>
      <x:c r="D71" s="59" t="n">
        <x:v>150</x:v>
      </x:c>
      <x:c r="E71" s="57" t="str">
        <x:v>有效</x:v>
      </x:c>
      <x:c r="F71" s="59" t="n">
        <x:f>IF(E71="有效",D71,0)</x:f>
        <x:v>150</x:v>
      </x:c>
    </x:row>
    <x:row r="72" ht="22" customHeight="1">
      <x:c r="A72" s="57" t="n">
        <x:v>65</x:v>
      </x:c>
      <x:c r="B72" s="58" t="n">
        <x:v>46119.43136574074</x:v>
      </x:c>
      <x:c r="C72" s="57" t="str">
        <x:v>定投</x:v>
      </x:c>
      <x:c r="D72" s="59" t="n">
        <x:v>150</x:v>
      </x:c>
      <x:c r="E72" s="57" t="str">
        <x:v>有效</x:v>
      </x:c>
      <x:c r="F72" s="59" t="n">
        <x:f>IF(E72="有效",D72,0)</x:f>
        <x:v>150</x:v>
      </x:c>
    </x:row>
    <x:row r="73" ht="22" customHeight="1">
      <x:c r="A73" s="57" t="n">
        <x:v>66</x:v>
      </x:c>
      <x:c r="B73" s="58" t="n">
        <x:v>46114.448530092595</x:v>
      </x:c>
      <x:c r="C73" s="57" t="str">
        <x:v>定投</x:v>
      </x:c>
      <x:c r="D73" s="59" t="n">
        <x:v>150</x:v>
      </x:c>
      <x:c r="E73" s="57" t="str">
        <x:v>有效</x:v>
      </x:c>
      <x:c r="F73" s="59" t="n">
        <x:f>IF(E73="有效",D73,0)</x:f>
        <x:v>150</x:v>
      </x:c>
    </x:row>
    <x:row r="74" ht="22" customHeight="1">
      <x:c r="A74" s="57" t="n">
        <x:v>67</x:v>
      </x:c>
      <x:c r="B74" s="58" t="n">
        <x:v>46113.44909722222</x:v>
      </x:c>
      <x:c r="C74" s="57" t="str">
        <x:v>定投</x:v>
      </x:c>
      <x:c r="D74" s="59" t="n">
        <x:v>150</x:v>
      </x:c>
      <x:c r="E74" s="57" t="str">
        <x:v>有效</x:v>
      </x:c>
      <x:c r="F74" s="59" t="n">
        <x:f>IF(E74="有效",D74,0)</x:f>
        <x:v>150</x:v>
      </x:c>
    </x:row>
    <x:row r="75" ht="22" customHeight="1">
      <x:c r="A75" s="57" t="n">
        <x:v>68</x:v>
      </x:c>
      <x:c r="B75" s="58" t="n">
        <x:v>46112.44675925926</x:v>
      </x:c>
      <x:c r="C75" s="57" t="str">
        <x:v>定投</x:v>
      </x:c>
      <x:c r="D75" s="59" t="n">
        <x:v>150</x:v>
      </x:c>
      <x:c r="E75" s="57" t="str">
        <x:v>有效</x:v>
      </x:c>
      <x:c r="F75" s="59" t="n">
        <x:f>IF(E75="有效",D75,0)</x:f>
        <x:v>150</x:v>
      </x:c>
    </x:row>
    <x:row r="76" ht="22" customHeight="1">
      <x:c r="A76" s="57" t="n">
        <x:v>69</x:v>
      </x:c>
      <x:c r="B76" s="58" t="n">
        <x:v>46111.45434027778</x:v>
      </x:c>
      <x:c r="C76" s="57" t="str">
        <x:v>定投</x:v>
      </x:c>
      <x:c r="D76" s="59" t="n">
        <x:v>150</x:v>
      </x:c>
      <x:c r="E76" s="57" t="str">
        <x:v>有效</x:v>
      </x:c>
      <x:c r="F76" s="59" t="n">
        <x:f>IF(E76="有效",D76,0)</x:f>
        <x:v>150</x:v>
      </x:c>
    </x:row>
    <x:row r="77" ht="22" customHeight="1">
      <x:c r="A77" s="57" t="n">
        <x:v>70</x:v>
      </x:c>
      <x:c r="B77" s="58" t="n">
        <x:v>46108.44732638889</x:v>
      </x:c>
      <x:c r="C77" s="57" t="str">
        <x:v>定投</x:v>
      </x:c>
      <x:c r="D77" s="59" t="n">
        <x:v>150</x:v>
      </x:c>
      <x:c r="E77" s="57" t="str">
        <x:v>有效</x:v>
      </x:c>
      <x:c r="F77" s="59" t="n">
        <x:f>IF(E77="有效",D77,0)</x:f>
        <x:v>150</x:v>
      </x:c>
    </x:row>
    <x:row r="78" ht="22" customHeight="1">
      <x:c r="A78" s="57" t="n">
        <x:v>71</x:v>
      </x:c>
      <x:c r="B78" s="58" t="n">
        <x:v>46107.4525462963</x:v>
      </x:c>
      <x:c r="C78" s="57" t="str">
        <x:v>定投</x:v>
      </x:c>
      <x:c r="D78" s="59" t="n">
        <x:v>150</x:v>
      </x:c>
      <x:c r="E78" s="57" t="str">
        <x:v>有效</x:v>
      </x:c>
      <x:c r="F78" s="59" t="n">
        <x:f>IF(E78="有效",D78,0)</x:f>
        <x:v>150</x:v>
      </x:c>
    </x:row>
    <x:row r="79" ht="22" customHeight="1">
      <x:c r="A79" s="57" t="n">
        <x:v>72</x:v>
      </x:c>
      <x:c r="B79" s="58" t="n">
        <x:v>46106.45023148148</x:v>
      </x:c>
      <x:c r="C79" s="57" t="str">
        <x:v>定投</x:v>
      </x:c>
      <x:c r="D79" s="59" t="n">
        <x:v>150</x:v>
      </x:c>
      <x:c r="E79" s="57" t="str">
        <x:v>有效</x:v>
      </x:c>
      <x:c r="F79" s="59" t="n">
        <x:f>IF(E79="有效",D79,0)</x:f>
        <x:v>150</x:v>
      </x:c>
    </x:row>
    <x:row r="80" ht="22" customHeight="1">
      <x:c r="A80" s="57" t="n">
        <x:v>73</x:v>
      </x:c>
      <x:c r="B80" s="58" t="n">
        <x:v>46105.45024305556</x:v>
      </x:c>
      <x:c r="C80" s="57" t="str">
        <x:v>定投</x:v>
      </x:c>
      <x:c r="D80" s="59" t="n">
        <x:v>150</x:v>
      </x:c>
      <x:c r="E80" s="57" t="str">
        <x:v>有效</x:v>
      </x:c>
      <x:c r="F80" s="59" t="n">
        <x:f>IF(E80="有效",D80,0)</x:f>
        <x:v>150</x:v>
      </x:c>
    </x:row>
    <x:row r="81" ht="22" customHeight="1">
      <x:c r="A81" s="57" t="n">
        <x:v>74</x:v>
      </x:c>
      <x:c r="B81" s="58" t="n">
        <x:v>46104.45856481481</x:v>
      </x:c>
      <x:c r="C81" s="57" t="str">
        <x:v>定投</x:v>
      </x:c>
      <x:c r="D81" s="59" t="n">
        <x:v>150</x:v>
      </x:c>
      <x:c r="E81" s="57" t="str">
        <x:v>有效</x:v>
      </x:c>
      <x:c r="F81" s="59" t="n">
        <x:f>IF(E81="有效",D81,0)</x:f>
        <x:v>150</x:v>
      </x:c>
    </x:row>
    <x:row r="82" ht="22" customHeight="1">
      <x:c r="A82" s="57" t="n">
        <x:v>75</x:v>
      </x:c>
      <x:c r="B82" s="58" t="n">
        <x:v>46101.45064814815</x:v>
      </x:c>
      <x:c r="C82" s="57" t="str">
        <x:v>定投</x:v>
      </x:c>
      <x:c r="D82" s="59" t="n">
        <x:v>150</x:v>
      </x:c>
      <x:c r="E82" s="57" t="str">
        <x:v>有效</x:v>
      </x:c>
      <x:c r="F82" s="59" t="n">
        <x:f>IF(E82="有效",D82,0)</x:f>
        <x:v>150</x:v>
      </x:c>
    </x:row>
    <x:row r="83" ht="22" customHeight="1">
      <x:c r="A83" s="57" t="n">
        <x:v>76</x:v>
      </x:c>
      <x:c r="B83" s="58" t="n">
        <x:v>46100.456030092595</x:v>
      </x:c>
      <x:c r="C83" s="57" t="str">
        <x:v>定投</x:v>
      </x:c>
      <x:c r="D83" s="59" t="n">
        <x:v>150</x:v>
      </x:c>
      <x:c r="E83" s="57" t="str">
        <x:v>有效</x:v>
      </x:c>
      <x:c r="F83" s="59" t="n">
        <x:f>IF(E83="有效",D83,0)</x:f>
        <x:v>150</x:v>
      </x:c>
    </x:row>
    <x:row r="84" ht="22" customHeight="1">
      <x:c r="A84" s="57" t="n">
        <x:v>77</x:v>
      </x:c>
      <x:c r="B84" s="58" t="n">
        <x:v>46099.455300925925</x:v>
      </x:c>
      <x:c r="C84" s="57" t="str">
        <x:v>定投</x:v>
      </x:c>
      <x:c r="D84" s="59" t="n">
        <x:v>150</x:v>
      </x:c>
      <x:c r="E84" s="57" t="str">
        <x:v>有效</x:v>
      </x:c>
      <x:c r="F84" s="59" t="n">
        <x:f>IF(E84="有效",D84,0)</x:f>
        <x:v>150</x:v>
      </x:c>
    </x:row>
    <x:row r="85" ht="22" customHeight="1">
      <x:c r="A85" s="57" t="n">
        <x:v>78</x:v>
      </x:c>
      <x:c r="B85" s="58" t="n">
        <x:v>46098.456342592595</x:v>
      </x:c>
      <x:c r="C85" s="57" t="str">
        <x:v>定投</x:v>
      </x:c>
      <x:c r="D85" s="59" t="n">
        <x:v>150</x:v>
      </x:c>
      <x:c r="E85" s="57" t="str">
        <x:v>有效</x:v>
      </x:c>
      <x:c r="F85" s="59" t="n">
        <x:f>IF(E85="有效",D85,0)</x:f>
        <x:v>150</x:v>
      </x:c>
    </x:row>
    <x:row r="86" ht="22" customHeight="1">
      <x:c r="A86" s="57" t="n">
        <x:v>79</x:v>
      </x:c>
      <x:c r="B86" s="58" t="n">
        <x:v>46097.46511574074</x:v>
      </x:c>
      <x:c r="C86" s="57" t="str">
        <x:v>定投</x:v>
      </x:c>
      <x:c r="D86" s="59" t="n">
        <x:v>150</x:v>
      </x:c>
      <x:c r="E86" s="57" t="str">
        <x:v>有效</x:v>
      </x:c>
      <x:c r="F86" s="59" t="n">
        <x:f>IF(E86="有效",D86,0)</x:f>
        <x:v>150</x:v>
      </x:c>
    </x:row>
    <x:row r="87" ht="22" customHeight="1">
      <x:c r="A87" s="57" t="n">
        <x:v>80</x:v>
      </x:c>
      <x:c r="B87" s="58" t="n">
        <x:v>46094.45912037037</x:v>
      </x:c>
      <x:c r="C87" s="57" t="str">
        <x:v>定投</x:v>
      </x:c>
      <x:c r="D87" s="59" t="n">
        <x:v>150</x:v>
      </x:c>
      <x:c r="E87" s="57" t="str">
        <x:v>有效</x:v>
      </x:c>
      <x:c r="F87" s="59" t="n">
        <x:f>IF(E87="有效",D87,0)</x:f>
        <x:v>150</x:v>
      </x:c>
    </x:row>
    <x:row r="88" ht="22" customHeight="1">
      <x:c r="A88" s="57" t="n">
        <x:v>81</x:v>
      </x:c>
      <x:c r="B88" s="58" t="n">
        <x:v>46093.462858796294</x:v>
      </x:c>
      <x:c r="C88" s="57" t="str">
        <x:v>定投</x:v>
      </x:c>
      <x:c r="D88" s="59" t="n">
        <x:v>150</x:v>
      </x:c>
      <x:c r="E88" s="57" t="str">
        <x:v>有效</x:v>
      </x:c>
      <x:c r="F88" s="59" t="n">
        <x:f>IF(E88="有效",D88,0)</x:f>
        <x:v>150</x:v>
      </x:c>
    </x:row>
    <x:row r="89" ht="22" customHeight="1">
      <x:c r="A89" s="57" t="n">
        <x:v>82</x:v>
      </x:c>
      <x:c r="B89" s="58" t="n">
        <x:v>46083.46616898148</x:v>
      </x:c>
      <x:c r="C89" s="57" t="str">
        <x:v>定投</x:v>
      </x:c>
      <x:c r="D89" s="59" t="n">
        <x:v>150</x:v>
      </x:c>
      <x:c r="E89" s="57" t="str">
        <x:v>有效</x:v>
      </x:c>
      <x:c r="F89" s="59" t="n">
        <x:f>IF(E89="有效",D89,0)</x:f>
        <x:v>150</x:v>
      </x:c>
    </x:row>
    <x:row r="90" ht="22" customHeight="1">
      <x:c r="A90" s="57" t="n">
        <x:v>83</x:v>
      </x:c>
      <x:c r="B90" s="58" t="n">
        <x:v>46080.45804398148</x:v>
      </x:c>
      <x:c r="C90" s="57" t="str">
        <x:v>定投</x:v>
      </x:c>
      <x:c r="D90" s="59" t="n">
        <x:v>150</x:v>
      </x:c>
      <x:c r="E90" s="57" t="str">
        <x:v>有效</x:v>
      </x:c>
      <x:c r="F90" s="59" t="n">
        <x:f>IF(E90="有效",D90,0)</x:f>
        <x:v>150</x:v>
      </x:c>
    </x:row>
    <x:row r="91" ht="22" customHeight="1">
      <x:c r="A91" s="57" t="n">
        <x:v>84</x:v>
      </x:c>
      <x:c r="B91" s="58" t="n">
        <x:v>46079.450694444444</x:v>
      </x:c>
      <x:c r="C91" s="57" t="str">
        <x:v>定投</x:v>
      </x:c>
      <x:c r="D91" s="59" t="n">
        <x:v>200</x:v>
      </x:c>
      <x:c r="E91" s="57" t="str">
        <x:v>有效</x:v>
      </x:c>
      <x:c r="F91" s="59" t="n">
        <x:f>IF(E91="有效",D91,0)</x:f>
        <x:v>200</x:v>
      </x:c>
    </x:row>
    <x:row r="92" ht="22" customHeight="1">
      <x:c r="A92" s="57" t="n">
        <x:v>85</x:v>
      </x:c>
      <x:c r="B92" s="58" t="n">
        <x:v>46078.449328703704</x:v>
      </x:c>
      <x:c r="C92" s="57" t="str">
        <x:v>定投</x:v>
      </x:c>
      <x:c r="D92" s="59" t="n">
        <x:v>200</x:v>
      </x:c>
      <x:c r="E92" s="57" t="str">
        <x:v>有效</x:v>
      </x:c>
      <x:c r="F92" s="59" t="n">
        <x:f>IF(E92="有效",D92,0)</x:f>
        <x:v>200</x:v>
      </x:c>
    </x:row>
    <x:row r="93" ht="22" customHeight="1">
      <x:c r="A93" s="57" t="n">
        <x:v>86</x:v>
      </x:c>
      <x:c r="B93" s="58" t="n">
        <x:v>46077.43953703704</x:v>
      </x:c>
      <x:c r="C93" s="57" t="str">
        <x:v>定投</x:v>
      </x:c>
      <x:c r="D93" s="59" t="n">
        <x:v>200</x:v>
      </x:c>
      <x:c r="E93" s="57" t="str">
        <x:v>有效</x:v>
      </x:c>
      <x:c r="F93" s="59" t="n">
        <x:f>IF(E93="有效",D93,0)</x:f>
        <x:v>200</x:v>
      </x:c>
    </x:row>
    <x:row r="94" ht="22" customHeight="1">
      <x:c r="A94" s="57" t="n">
        <x:v>87</x:v>
      </x:c>
      <x:c r="B94" s="58" t="n">
        <x:v>46066.4509837963</x:v>
      </x:c>
      <x:c r="C94" s="57" t="str">
        <x:v>定投</x:v>
      </x:c>
      <x:c r="D94" s="59" t="n">
        <x:v>200</x:v>
      </x:c>
      <x:c r="E94" s="57" t="str">
        <x:v>有效</x:v>
      </x:c>
      <x:c r="F94" s="59" t="n">
        <x:f>IF(E94="有效",D94,0)</x:f>
        <x:v>200</x:v>
      </x:c>
    </x:row>
    <x:row r="95" ht="22" customHeight="1">
      <x:c r="A95" s="57" t="n">
        <x:v>88</x:v>
      </x:c>
      <x:c r="B95" s="58" t="n">
        <x:v>46065.455092592594</x:v>
      </x:c>
      <x:c r="C95" s="57" t="str">
        <x:v>定投</x:v>
      </x:c>
      <x:c r="D95" s="59" t="n">
        <x:v>200</x:v>
      </x:c>
      <x:c r="E95" s="57" t="str">
        <x:v>有效</x:v>
      </x:c>
      <x:c r="F95" s="59" t="n">
        <x:f>IF(E95="有效",D95,0)</x:f>
        <x:v>200</x:v>
      </x:c>
    </x:row>
    <x:row r="96" ht="22" customHeight="1">
      <x:c r="A96" s="57" t="n">
        <x:v>89</x:v>
      </x:c>
      <x:c r="B96" s="58" t="n">
        <x:v>46064.452210648145</x:v>
      </x:c>
      <x:c r="C96" s="57" t="str">
        <x:v>定投</x:v>
      </x:c>
      <x:c r="D96" s="59" t="n">
        <x:v>200</x:v>
      </x:c>
      <x:c r="E96" s="57" t="str">
        <x:v>有效</x:v>
      </x:c>
      <x:c r="F96" s="59" t="n">
        <x:f>IF(E96="有效",D96,0)</x:f>
        <x:v>200</x:v>
      </x:c>
    </x:row>
    <x:row r="97" ht="22" customHeight="1">
      <x:c r="A97" s="57" t="n">
        <x:v>90</x:v>
      </x:c>
      <x:c r="B97" s="58" t="n">
        <x:v>46063.45512731482</x:v>
      </x:c>
      <x:c r="C97" s="57" t="str">
        <x:v>定投</x:v>
      </x:c>
      <x:c r="D97" s="59" t="n">
        <x:v>200</x:v>
      </x:c>
      <x:c r="E97" s="57" t="str">
        <x:v>有效</x:v>
      </x:c>
      <x:c r="F97" s="59" t="n">
        <x:f>IF(E97="有效",D97,0)</x:f>
        <x:v>200</x:v>
      </x:c>
    </x:row>
    <x:row r="98" ht="22" customHeight="1">
      <x:c r="A98" s="57" t="n">
        <x:v>91</x:v>
      </x:c>
      <x:c r="B98" s="58" t="n">
        <x:v>46062.46266203704</x:v>
      </x:c>
      <x:c r="C98" s="57" t="str">
        <x:v>定投</x:v>
      </x:c>
      <x:c r="D98" s="59" t="n">
        <x:v>200</x:v>
      </x:c>
      <x:c r="E98" s="57" t="str">
        <x:v>有效</x:v>
      </x:c>
      <x:c r="F98" s="59" t="n">
        <x:f>IF(E98="有效",D98,0)</x:f>
        <x:v>200</x:v>
      </x:c>
    </x:row>
    <x:row r="99" ht="22" customHeight="1">
      <x:c r="A99" s="57" t="n">
        <x:v>92</x:v>
      </x:c>
      <x:c r="B99" s="58" t="n">
        <x:v>46059.54876157407</x:v>
      </x:c>
      <x:c r="C99" s="57" t="str">
        <x:v>买入</x:v>
      </x:c>
      <x:c r="D99" s="59" t="n">
        <x:v>1000</x:v>
      </x:c>
      <x:c r="E99" s="57" t="str">
        <x:v>有效</x:v>
      </x:c>
      <x:c r="F99" s="59" t="n">
        <x:f>IF(E99="有效",D99,0)</x:f>
        <x:v>1000</x:v>
      </x:c>
    </x:row>
    <x:row r="100" ht="22" customHeight="1">
      <x:c r="A100" s="57" t="n">
        <x:v>93</x:v>
      </x:c>
      <x:c r="B100" s="58" t="n">
        <x:v>46059.45707175926</x:v>
      </x:c>
      <x:c r="C100" s="57" t="str">
        <x:v>定投</x:v>
      </x:c>
      <x:c r="D100" s="59" t="n">
        <x:v>200</x:v>
      </x:c>
      <x:c r="E100" s="57" t="str">
        <x:v>有效</x:v>
      </x:c>
      <x:c r="F100" s="59" t="n">
        <x:f>IF(E100="有效",D100,0)</x:f>
        <x:v>200</x:v>
      </x:c>
    </x:row>
    <x:row r="101" ht="22" customHeight="1">
      <x:c r="A101" s="57" t="n">
        <x:v>94</x:v>
      </x:c>
      <x:c r="B101" s="58" t="n">
        <x:v>46058.462118055555</x:v>
      </x:c>
      <x:c r="C101" s="57" t="str">
        <x:v>定投</x:v>
      </x:c>
      <x:c r="D101" s="59" t="n">
        <x:v>200</x:v>
      </x:c>
      <x:c r="E101" s="57" t="str">
        <x:v>有效</x:v>
      </x:c>
      <x:c r="F101" s="59" t="n">
        <x:f>IF(E101="有效",D101,0)</x:f>
        <x:v>200</x:v>
      </x:c>
    </x:row>
    <x:row r="102" ht="22" customHeight="1">
      <x:c r="A102" s="57" t="n">
        <x:v>95</x:v>
      </x:c>
      <x:c r="B102" s="58" t="n">
        <x:v>46057.3287037037</x:v>
      </x:c>
      <x:c r="C102" s="57" t="str">
        <x:v>买入</x:v>
      </x:c>
      <x:c r="D102" s="59" t="n">
        <x:v>300</x:v>
      </x:c>
      <x:c r="E102" s="57" t="str">
        <x:v>有效</x:v>
      </x:c>
      <x:c r="F102" s="59" t="n">
        <x:f>IF(E102="有效",D102,0)</x:f>
        <x:v>300</x:v>
      </x:c>
    </x:row>
    <x:row r="103" ht="22" customHeight="1">
      <x:c r="A103" s="57" t="n">
        <x:v>96</x:v>
      </x:c>
      <x:c r="B103" s="58" t="n">
        <x:v>46056.461064814815</x:v>
      </x:c>
      <x:c r="C103" s="57" t="str">
        <x:v>定投</x:v>
      </x:c>
      <x:c r="D103" s="59" t="n">
        <x:v>300</x:v>
      </x:c>
      <x:c r="E103" s="57" t="str">
        <x:v>有效</x:v>
      </x:c>
      <x:c r="F103" s="59" t="n">
        <x:f>IF(E103="有效",D103,0)</x:f>
        <x:v>300</x:v>
      </x:c>
    </x:row>
    <x:row r="104" ht="22" customHeight="1">
      <x:c r="A104" s="57" t="n">
        <x:v>97</x:v>
      </x:c>
      <x:c r="B104" s="58" t="n">
        <x:v>46055.45056712963</x:v>
      </x:c>
      <x:c r="C104" s="57" t="str">
        <x:v>定投</x:v>
      </x:c>
      <x:c r="D104" s="59" t="n">
        <x:v>250</x:v>
      </x:c>
      <x:c r="E104" s="57" t="str">
        <x:v>有效</x:v>
      </x:c>
      <x:c r="F104" s="59" t="n">
        <x:f>IF(E104="有效",D104,0)</x:f>
        <x:v>250</x:v>
      </x:c>
    </x:row>
    <x:row r="105" ht="22" customHeight="1">
      <x:c r="A105" s="57" t="n">
        <x:v>98</x:v>
      </x:c>
      <x:c r="B105" s="58" t="n">
        <x:v>46055.438680555555</x:v>
      </x:c>
      <x:c r="C105" s="57" t="str">
        <x:v>买入</x:v>
      </x:c>
      <x:c r="D105" s="59" t="n">
        <x:v>5000</x:v>
      </x:c>
      <x:c r="E105" s="57" t="str">
        <x:v>有效</x:v>
      </x:c>
      <x:c r="F105" s="59" t="n">
        <x:f>IF(E105="有效",D105,0)</x:f>
        <x:v>5000</x:v>
      </x:c>
    </x:row>
    <x:row r="106" ht="22" customHeight="1">
      <x:c r="A106" s="57" t="n">
        <x:v>99</x:v>
      </x:c>
      <x:c r="B106" s="58" t="n">
        <x:v>46055.41030092593</x:v>
      </x:c>
      <x:c r="C106" s="57" t="str">
        <x:v>买入</x:v>
      </x:c>
      <x:c r="D106" s="59" t="n">
        <x:v>5000</x:v>
      </x:c>
      <x:c r="E106" s="57" t="str">
        <x:v>已撤单</x:v>
      </x:c>
      <x:c r="F106" s="59" t="n">
        <x:f>IF(E106="有效",D106,0)</x:f>
        <x:v>0</x:v>
      </x:c>
    </x:row>
    <x:row r="107" ht="22" customHeight="1">
      <x:c r="A107" s="57" t="n">
        <x:v>100</x:v>
      </x:c>
      <x:c r="B107" s="58" t="n">
        <x:v>46052.44195601852</x:v>
      </x:c>
      <x:c r="C107" s="57" t="str">
        <x:v>定投</x:v>
      </x:c>
      <x:c r="D107" s="59" t="n">
        <x:v>250</x:v>
      </x:c>
      <x:c r="E107" s="57" t="str">
        <x:v>有效</x:v>
      </x:c>
      <x:c r="F107" s="59" t="n">
        <x:f>IF(E107="有效",D107,0)</x:f>
        <x:v>250</x:v>
      </x:c>
    </x:row>
    <x:row r="108" ht="22" customHeight="1">
      <x:c r="A108" s="57" t="n">
        <x:v>101</x:v>
      </x:c>
      <x:c r="B108" s="58" t="n">
        <x:v>46051.44574074074</x:v>
      </x:c>
      <x:c r="C108" s="57" t="str">
        <x:v>定投</x:v>
      </x:c>
      <x:c r="D108" s="59" t="n">
        <x:v>250</x:v>
      </x:c>
      <x:c r="E108" s="57" t="str">
        <x:v>有效</x:v>
      </x:c>
      <x:c r="F108" s="59" t="n">
        <x:f>IF(E108="有效",D108,0)</x:f>
        <x:v>250</x:v>
      </x:c>
    </x:row>
    <x:row r="109" ht="22" customHeight="1">
      <x:c r="A109" s="57" t="n">
        <x:v>102</x:v>
      </x:c>
      <x:c r="B109" s="58" t="n">
        <x:v>46050.445856481485</x:v>
      </x:c>
      <x:c r="C109" s="57" t="str">
        <x:v>定投</x:v>
      </x:c>
      <x:c r="D109" s="59" t="n">
        <x:v>250</x:v>
      </x:c>
      <x:c r="E109" s="57" t="str">
        <x:v>有效</x:v>
      </x:c>
      <x:c r="F109" s="59" t="n">
        <x:f>IF(E109="有效",D109,0)</x:f>
        <x:v>250</x:v>
      </x:c>
    </x:row>
    <x:row r="110" ht="22" customHeight="1">
      <x:c r="A110" s="57" t="n">
        <x:v>103</x:v>
      </x:c>
      <x:c r="B110" s="58" t="n">
        <x:v>46049.556226851855</x:v>
      </x:c>
      <x:c r="C110" s="57" t="str">
        <x:v>买入</x:v>
      </x:c>
      <x:c r="D110" s="59" t="n">
        <x:v>3000</x:v>
      </x:c>
      <x:c r="E110" s="57" t="str">
        <x:v>有效</x:v>
      </x:c>
      <x:c r="F110" s="59" t="n">
        <x:f>IF(E110="有效",D110,0)</x:f>
        <x:v>3000</x:v>
      </x:c>
    </x:row>
    <x:row r="111" ht="22" customHeight="1">
      <x:c r="A111" s="57" t="n">
        <x:v>104</x:v>
      </x:c>
      <x:c r="B111" s="58" t="n">
        <x:v>46049.44511574074</x:v>
      </x:c>
      <x:c r="C111" s="57" t="str">
        <x:v>定投</x:v>
      </x:c>
      <x:c r="D111" s="59" t="n">
        <x:v>250</x:v>
      </x:c>
      <x:c r="E111" s="57" t="str">
        <x:v>有效</x:v>
      </x:c>
      <x:c r="F111" s="59" t="n">
        <x:f>IF(E111="有效",D111,0)</x:f>
        <x:v>250</x:v>
      </x:c>
    </x:row>
    <x:row r="112" ht="22" customHeight="1">
      <x:c r="A112" s="57" t="n">
        <x:v>105</x:v>
      </x:c>
      <x:c r="B112" s="58" t="n">
        <x:v>46048.45195601852</x:v>
      </x:c>
      <x:c r="C112" s="57" t="str">
        <x:v>定投</x:v>
      </x:c>
      <x:c r="D112" s="59" t="n">
        <x:v>250</x:v>
      </x:c>
      <x:c r="E112" s="57" t="str">
        <x:v>有效</x:v>
      </x:c>
      <x:c r="F112" s="59" t="n">
        <x:f>IF(E112="有效",D112,0)</x:f>
        <x:v>250</x:v>
      </x:c>
    </x:row>
    <x:row r="113" ht="22" customHeight="1">
      <x:c r="A113" s="57" t="n">
        <x:v>106</x:v>
      </x:c>
      <x:c r="B113" s="58" t="n">
        <x:v>46045.52258101852</x:v>
      </x:c>
      <x:c r="C113" s="57" t="str">
        <x:v>买入</x:v>
      </x:c>
      <x:c r="D113" s="59" t="n">
        <x:v>50000</x:v>
      </x:c>
      <x:c r="E113" s="57" t="str">
        <x:v>有效</x:v>
      </x:c>
      <x:c r="F113" s="59" t="n">
        <x:f>IF(E113="有效",D113,0)</x:f>
        <x:v>50000</x:v>
      </x:c>
    </x:row>
    <x:row r="114" ht="22" customHeight="1">
      <x:c r="A114" s="57" t="n">
        <x:v>107</x:v>
      </x:c>
      <x:c r="B114" s="58" t="n">
        <x:v>46045.51634259259</x:v>
      </x:c>
      <x:c r="C114" s="57" t="str">
        <x:v>买入</x:v>
      </x:c>
      <x:c r="D114" s="59" t="n">
        <x:v>50000</x:v>
      </x:c>
      <x:c r="E114" s="57" t="str">
        <x:v>有效</x:v>
      </x:c>
      <x:c r="F114" s="59" t="n">
        <x:f>IF(E114="有效",D114,0)</x:f>
        <x:v>50000</x:v>
      </x:c>
    </x:row>
    <x:row r="115" ht="22" customHeight="1">
      <x:c r="A115" s="57" t="n">
        <x:v>108</x:v>
      </x:c>
      <x:c r="B115" s="58" t="n">
        <x:v>46045.513819444444</x:v>
      </x:c>
      <x:c r="C115" s="57" t="str">
        <x:v>买入</x:v>
      </x:c>
      <x:c r="D115" s="59" t="n">
        <x:v>100000</x:v>
      </x:c>
      <x:c r="E115" s="57" t="str">
        <x:v>交易关闭</x:v>
      </x:c>
      <x:c r="F115" s="59" t="n">
        <x:f>IF(E115="有效",D115,0)</x:f>
        <x:v>0</x:v>
      </x:c>
    </x:row>
    <x:row r="116" ht="22" customHeight="1">
      <x:c r="A116" s="57" t="n">
        <x:v>109</x:v>
      </x:c>
      <x:c r="B116" s="58" t="n">
        <x:v>46045.44804398148</x:v>
      </x:c>
      <x:c r="C116" s="57" t="str">
        <x:v>定投</x:v>
      </x:c>
      <x:c r="D116" s="59" t="n">
        <x:v>250</x:v>
      </x:c>
      <x:c r="E116" s="57" t="str">
        <x:v>有效</x:v>
      </x:c>
      <x:c r="F116" s="59" t="n">
        <x:f>IF(E116="有效",D116,0)</x:f>
        <x:v>250</x:v>
      </x:c>
    </x:row>
    <x:row r="117" ht="22" customHeight="1">
      <x:c r="A117" s="57" t="n">
        <x:v>110</x:v>
      </x:c>
      <x:c r="B117" s="58" t="n">
        <x:v>46044.40954861111</x:v>
      </x:c>
      <x:c r="C117" s="57" t="str">
        <x:v>定投</x:v>
      </x:c>
      <x:c r="D117" s="59" t="n">
        <x:v>200</x:v>
      </x:c>
      <x:c r="E117" s="57" t="str">
        <x:v>有效</x:v>
      </x:c>
      <x:c r="F117" s="59" t="n">
        <x:f>IF(E117="有效",D117,0)</x:f>
        <x:v>200</x:v>
      </x:c>
    </x:row>
    <x:row r="118" ht="22" customHeight="1">
      <x:c r="A118" s="57" t="n">
        <x:v>111</x:v>
      </x:c>
      <x:c r="B118" s="58" t="n">
        <x:v>46043.40791666666</x:v>
      </x:c>
      <x:c r="C118" s="57" t="str">
        <x:v>定投</x:v>
      </x:c>
      <x:c r="D118" s="59" t="n">
        <x:v>200</x:v>
      </x:c>
      <x:c r="E118" s="57" t="str">
        <x:v>有效</x:v>
      </x:c>
      <x:c r="F118" s="59" t="n">
        <x:f>IF(E118="有效",D118,0)</x:f>
        <x:v>200</x:v>
      </x:c>
    </x:row>
    <x:row r="119" ht="22" customHeight="1">
      <x:c r="A119" s="57" t="n">
        <x:v>112</x:v>
      </x:c>
      <x:c r="B119" s="58" t="n">
        <x:v>46042.40924768519</x:v>
      </x:c>
      <x:c r="C119" s="57" t="str">
        <x:v>定投</x:v>
      </x:c>
      <x:c r="D119" s="59" t="n">
        <x:v>200</x:v>
      </x:c>
      <x:c r="E119" s="57" t="str">
        <x:v>有效</x:v>
      </x:c>
      <x:c r="F119" s="59" t="n">
        <x:f>IF(E119="有效",D119,0)</x:f>
        <x:v>200</x:v>
      </x:c>
    </x:row>
    <x:row r="120" ht="22" customHeight="1">
      <x:c r="A120" s="57" t="n">
        <x:v>113</x:v>
      </x:c>
      <x:c r="B120" s="58" t="n">
        <x:v>46038.41211805555</x:v>
      </x:c>
      <x:c r="C120" s="57" t="str">
        <x:v>定投</x:v>
      </x:c>
      <x:c r="D120" s="59" t="n">
        <x:v>200</x:v>
      </x:c>
      <x:c r="E120" s="57" t="str">
        <x:v>有效</x:v>
      </x:c>
      <x:c r="F120" s="59" t="n">
        <x:f>IF(E120="有效",D120,0)</x:f>
        <x:v>200</x:v>
      </x:c>
    </x:row>
    <x:row r="121" ht="22" customHeight="1">
      <x:c r="A121" s="57" t="n">
        <x:v>114</x:v>
      </x:c>
      <x:c r="B121" s="58" t="n">
        <x:v>46037.414814814816</x:v>
      </x:c>
      <x:c r="C121" s="57" t="str">
        <x:v>定投</x:v>
      </x:c>
      <x:c r="D121" s="59" t="n">
        <x:v>200</x:v>
      </x:c>
      <x:c r="E121" s="57" t="str">
        <x:v>有效</x:v>
      </x:c>
      <x:c r="F121" s="59" t="n">
        <x:f>IF(E121="有效",D121,0)</x:f>
        <x:v>200</x:v>
      </x:c>
    </x:row>
    <x:row r="122" ht="22" customHeight="1">
      <x:c r="A122" s="57" t="n">
        <x:v>115</x:v>
      </x:c>
      <x:c r="B122" s="58" t="n">
        <x:v>46036.41332175926</x:v>
      </x:c>
      <x:c r="C122" s="57" t="str">
        <x:v>定投</x:v>
      </x:c>
      <x:c r="D122" s="59" t="n">
        <x:v>200</x:v>
      </x:c>
      <x:c r="E122" s="57" t="str">
        <x:v>有效</x:v>
      </x:c>
      <x:c r="F122" s="59" t="n">
        <x:f>IF(E122="有效",D122,0)</x:f>
        <x:v>200</x:v>
      </x:c>
    </x:row>
    <x:row r="123" ht="22" customHeight="1">
      <x:c r="A123" s="57" t="n">
        <x:v>116</x:v>
      </x:c>
      <x:c r="B123" s="58" t="n">
        <x:v>46035.41296296296</x:v>
      </x:c>
      <x:c r="C123" s="57" t="str">
        <x:v>定投</x:v>
      </x:c>
      <x:c r="D123" s="59" t="n">
        <x:v>200</x:v>
      </x:c>
      <x:c r="E123" s="57" t="str">
        <x:v>有效</x:v>
      </x:c>
      <x:c r="F123" s="59" t="n">
        <x:f>IF(E123="有效",D123,0)</x:f>
        <x:v>200</x:v>
      </x:c>
    </x:row>
    <x:row r="124" ht="22" customHeight="1">
      <x:c r="A124" s="57" t="n">
        <x:v>117</x:v>
      </x:c>
      <x:c r="B124" s="58" t="n">
        <x:v>46034.418969907405</x:v>
      </x:c>
      <x:c r="C124" s="57" t="str">
        <x:v>定投</x:v>
      </x:c>
      <x:c r="D124" s="59" t="n">
        <x:v>200</x:v>
      </x:c>
      <x:c r="E124" s="57" t="str">
        <x:v>有效</x:v>
      </x:c>
      <x:c r="F124" s="59" t="n">
        <x:f>IF(E124="有效",D124,0)</x:f>
        <x:v>200</x:v>
      </x:c>
    </x:row>
    <x:row r="125" ht="22" customHeight="1">
      <x:c r="A125" s="57" t="n">
        <x:v>118</x:v>
      </x:c>
      <x:c r="B125" s="58" t="n">
        <x:v>46031.41378472222</x:v>
      </x:c>
      <x:c r="C125" s="57" t="str">
        <x:v>定投</x:v>
      </x:c>
      <x:c r="D125" s="59" t="n">
        <x:v>200</x:v>
      </x:c>
      <x:c r="E125" s="57" t="str">
        <x:v>有效</x:v>
      </x:c>
      <x:c r="F125" s="59" t="n">
        <x:f>IF(E125="有效",D125,0)</x:f>
        <x:v>200</x:v>
      </x:c>
    </x:row>
    <x:row r="126" ht="22" customHeight="1">
      <x:c r="A126" s="57" t="n">
        <x:v>119</x:v>
      </x:c>
      <x:c r="B126" s="58" t="n">
        <x:v>46030.415810185186</x:v>
      </x:c>
      <x:c r="C126" s="57" t="str">
        <x:v>定投</x:v>
      </x:c>
      <x:c r="D126" s="59" t="n">
        <x:v>200</x:v>
      </x:c>
      <x:c r="E126" s="57" t="str">
        <x:v>有效</x:v>
      </x:c>
      <x:c r="F126" s="59" t="n">
        <x:f>IF(E126="有效",D126,0)</x:f>
        <x:v>200</x:v>
      </x:c>
    </x:row>
    <x:row r="127" ht="22" customHeight="1">
      <x:c r="A127" s="57" t="n">
        <x:v>120</x:v>
      </x:c>
      <x:c r="B127" s="58" t="n">
        <x:v>46029.41425925926</x:v>
      </x:c>
      <x:c r="C127" s="57" t="str">
        <x:v>定投</x:v>
      </x:c>
      <x:c r="D127" s="59" t="n">
        <x:v>200</x:v>
      </x:c>
      <x:c r="E127" s="57" t="str">
        <x:v>有效</x:v>
      </x:c>
      <x:c r="F127" s="59" t="n">
        <x:f>IF(E127="有效",D127,0)</x:f>
        <x:v>200</x:v>
      </x:c>
    </x:row>
    <x:row r="128" ht="22" customHeight="1">
      <x:c r="A128" s="57" t="n">
        <x:v>121</x:v>
      </x:c>
      <x:c r="B128" s="58" t="n">
        <x:v>46028.414560185185</x:v>
      </x:c>
      <x:c r="C128" s="57" t="str">
        <x:v>定投</x:v>
      </x:c>
      <x:c r="D128" s="59" t="n">
        <x:v>200</x:v>
      </x:c>
      <x:c r="E128" s="57" t="str">
        <x:v>有效</x:v>
      </x:c>
      <x:c r="F128" s="59" t="n">
        <x:f>IF(E128="有效",D128,0)</x:f>
        <x:v>200</x:v>
      </x:c>
    </x:row>
    <x:row r="129" ht="22" customHeight="1">
      <x:c r="A129" s="57" t="n">
        <x:v>122</x:v>
      </x:c>
      <x:c r="B129" s="58" t="n">
        <x:v>46027.43607638889</x:v>
      </x:c>
      <x:c r="C129" s="57" t="str">
        <x:v>定投</x:v>
      </x:c>
      <x:c r="D129" s="59" t="n">
        <x:v>200</x:v>
      </x:c>
      <x:c r="E129" s="57" t="str">
        <x:v>有效</x:v>
      </x:c>
      <x:c r="F129" s="59" t="n">
        <x:f>IF(E129="有效",D129,0)</x:f>
        <x:v>200</x:v>
      </x:c>
    </x:row>
    <x:row r="130" ht="22" customHeight="1">
      <x:c r="A130" s="57" t="n">
        <x:v>123</x:v>
      </x:c>
      <x:c r="B130" s="58" t="n">
        <x:v>46022.412627314814</x:v>
      </x:c>
      <x:c r="C130" s="57" t="str">
        <x:v>定投</x:v>
      </x:c>
      <x:c r="D130" s="59" t="n">
        <x:v>200</x:v>
      </x:c>
      <x:c r="E130" s="57" t="str">
        <x:v>有效</x:v>
      </x:c>
      <x:c r="F130" s="59" t="n">
        <x:f>IF(E130="有效",D130,0)</x:f>
        <x:v>200</x:v>
      </x:c>
    </x:row>
    <x:row r="131" ht="22" customHeight="1">
      <x:c r="A131" s="57" t="n">
        <x:v>124</x:v>
      </x:c>
      <x:c r="B131" s="58" t="n">
        <x:v>46021.414675925924</x:v>
      </x:c>
      <x:c r="C131" s="57" t="str">
        <x:v>定投</x:v>
      </x:c>
      <x:c r="D131" s="59" t="n">
        <x:v>200</x:v>
      </x:c>
      <x:c r="E131" s="57" t="str">
        <x:v>有效</x:v>
      </x:c>
      <x:c r="F131" s="59" t="n">
        <x:f>IF(E131="有效",D131,0)</x:f>
        <x:v>200</x:v>
      </x:c>
    </x:row>
    <x:row r="132" ht="22" customHeight="1">
      <x:c r="A132" s="57" t="n">
        <x:v>125</x:v>
      </x:c>
      <x:c r="B132" s="58" t="n">
        <x:v>46020.42135416667</x:v>
      </x:c>
      <x:c r="C132" s="57" t="str">
        <x:v>定投</x:v>
      </x:c>
      <x:c r="D132" s="59" t="n">
        <x:v>200</x:v>
      </x:c>
      <x:c r="E132" s="57" t="str">
        <x:v>有效</x:v>
      </x:c>
      <x:c r="F132" s="59" t="n">
        <x:f>IF(E132="有效",D132,0)</x:f>
        <x:v>200</x:v>
      </x:c>
    </x:row>
    <x:row r="133" ht="22" customHeight="1">
      <x:c r="A133" s="57" t="n">
        <x:v>126</x:v>
      </x:c>
      <x:c r="B133" s="58" t="n">
        <x:v>46017.41390046296</x:v>
      </x:c>
      <x:c r="C133" s="57" t="str">
        <x:v>定投</x:v>
      </x:c>
      <x:c r="D133" s="59" t="n">
        <x:v>200</x:v>
      </x:c>
      <x:c r="E133" s="57" t="str">
        <x:v>有效</x:v>
      </x:c>
      <x:c r="F133" s="59" t="n">
        <x:f>IF(E133="有效",D133,0)</x:f>
        <x:v>200</x:v>
      </x:c>
    </x:row>
    <x:row r="134" ht="22" customHeight="1">
      <x:c r="A134" s="57" t="n">
        <x:v>127</x:v>
      </x:c>
      <x:c r="B134" s="58" t="n">
        <x:v>46015.42537037037</x:v>
      </x:c>
      <x:c r="C134" s="57" t="str">
        <x:v>定投</x:v>
      </x:c>
      <x:c r="D134" s="59" t="n">
        <x:v>200</x:v>
      </x:c>
      <x:c r="E134" s="57" t="str">
        <x:v>有效</x:v>
      </x:c>
      <x:c r="F134" s="59" t="n">
        <x:f>IF(E134="有效",D134,0)</x:f>
        <x:v>200</x:v>
      </x:c>
    </x:row>
    <x:row r="135" ht="22" customHeight="1">
      <x:c r="A135" s="57" t="n">
        <x:v>128</x:v>
      </x:c>
      <x:c r="B135" s="58" t="n">
        <x:v>46014.427511574075</x:v>
      </x:c>
      <x:c r="C135" s="57" t="str">
        <x:v>定投</x:v>
      </x:c>
      <x:c r="D135" s="59" t="n">
        <x:v>200</x:v>
      </x:c>
      <x:c r="E135" s="57" t="str">
        <x:v>有效</x:v>
      </x:c>
      <x:c r="F135" s="59" t="n">
        <x:f>IF(E135="有效",D135,0)</x:f>
        <x:v>200</x:v>
      </x:c>
    </x:row>
    <x:row r="136" ht="22" customHeight="1">
      <x:c r="A136" s="57" t="n">
        <x:v>129</x:v>
      </x:c>
      <x:c r="B136" s="58" t="n">
        <x:v>46013.43247685185</x:v>
      </x:c>
      <x:c r="C136" s="57" t="str">
        <x:v>定投</x:v>
      </x:c>
      <x:c r="D136" s="59" t="n">
        <x:v>200</x:v>
      </x:c>
      <x:c r="E136" s="57" t="str">
        <x:v>有效</x:v>
      </x:c>
      <x:c r="F136" s="59" t="n">
        <x:f>IF(E136="有效",D136,0)</x:f>
        <x:v>200</x:v>
      </x:c>
    </x:row>
    <x:row r="137" ht="22" customHeight="1">
      <x:c r="A137" s="57" t="n">
        <x:v>130</x:v>
      </x:c>
      <x:c r="B137" s="58" t="n">
        <x:v>46010.42972222222</x:v>
      </x:c>
      <x:c r="C137" s="57" t="str">
        <x:v>定投</x:v>
      </x:c>
      <x:c r="D137" s="59" t="n">
        <x:v>200</x:v>
      </x:c>
      <x:c r="E137" s="57" t="str">
        <x:v>有效</x:v>
      </x:c>
      <x:c r="F137" s="59" t="n">
        <x:f>IF(E137="有效",D137,0)</x:f>
        <x:v>200</x:v>
      </x:c>
    </x:row>
    <x:row r="138" ht="22" customHeight="1">
      <x:c r="A138" s="57" t="n">
        <x:v>131</x:v>
      </x:c>
      <x:c r="B138" s="58" t="n">
        <x:v>46009.328043981484</x:v>
      </x:c>
      <x:c r="C138" s="57" t="str">
        <x:v>定投</x:v>
      </x:c>
      <x:c r="D138" s="59" t="n">
        <x:v>200</x:v>
      </x:c>
      <x:c r="E138" s="57" t="str">
        <x:v>有效</x:v>
      </x:c>
      <x:c r="F138" s="59" t="n">
        <x:f>IF(E138="有效",D138,0)</x:f>
        <x:v>200</x:v>
      </x:c>
    </x:row>
  </x:sheetData>
  <x:mergeCells>
    <x:mergeCell ref="A1:F1"/>
    <x:mergeCell ref="B3:F3"/>
  </x:mergeCells>
  <x:conditionalFormatting sqref="F6:F6">
    <x:cfRule type="containsText" dxfId="0" priority="1" operator="containsText" text="OK"/>
    <x:cfRule type="containsText" dxfId="1" priority="2" operator="containsText" text="检查"/>
  </x:conditionalFormatting>
  <x:conditionalFormatting sqref="A8:F138">
    <x:cfRule type="expression" dxfId="2" priority="3">
      <x:formula>$E8="已撤单"</x:formula>
    </x:cfRule>
    <x:cfRule type="expression" dxfId="3" priority="4">
      <x:formula>$E8="交易关闭"</x:formula>
    </x:cfRule>
  </x:conditionalFormatting>
  <x:conditionalFormatting sqref="E8:E138">
    <x:cfRule type="containsText" dxfId="4" priority="5" operator="containsText" text="有效"/>
  </x:conditionalFormatting>
  <x:pageMargins left="0.7" right="0.7" top="0.75" bottom="0.75" header="0.3" footer="0.3"/>
  <x:tableParts count="1">
    <x:tablePart xmlns:r="http://schemas.openxmlformats.org/officeDocument/2006/relationships" r:id="R0c1dc9bf03b94e3d"/>
  </x:tableParts>
</x:worksheet>
</file>
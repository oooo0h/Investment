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f26f4a82ae445b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持仓总览" sheetId="1" ns1:id="R2e444e86a4114a56"/>
    <sheet name="逐笔交易" sheetId="2" ns1:id="Rc8719166df694bfd"/>
  </sheets>
  <calcPr calcMode="auto" fullCalcOnLoad="1"/>
</workbook>
</file>

<file path=xl/sharedStrings.xml><?xml version="1.0" encoding="utf-8"?>
<x:sst xmlns:x="http://schemas.openxmlformats.org/spreadsheetml/2006/main">
  <x:si>
    <x:t xml:space="preserve">估值净值日期</x:t>
  </x:si>
  <x:si>
    <x:t xml:space="preserve">估值单位净值</x:t>
  </x:si>
  <x:si>
    <x:t xml:space="preserve">金额核对容差（元）</x:t>
  </x:si>
  <x:si>
    <x:t xml:space="preserve">录入提示</x:t>
  </x:si>
  <x:si>
    <x:t xml:space="preserve">自动取日期较新的净值；公布净值在下方更新。</x:t>
  </x:si>
  <x:si>
    <x:t xml:space="preserve">卖出分配模式</x:t>
  </x:si>
  <x:si>
    <x:t xml:space="preserve">当前持仓</x:t>
  </x:si>
  <x:si>
    <x:t xml:space="preserve">累计收支</x:t>
  </x:si>
  <x:si>
    <x:t xml:space="preserve">当前持有金额（元）</x:t>
  </x:si>
  <x:si>
    <x:t xml:space="preserve">剩余本金（元）</x:t>
  </x:si>
  <x:si>
    <x:t xml:space="preserve">累计收回金额（元）</x:t>
  </x:si>
  <x:si>
    <x:t xml:space="preserve">持有盈亏（元）</x:t>
  </x:si>
  <x:si>
    <x:t xml:space="preserve">累计提取利润（元）</x:t>
  </x:si>
  <x:si>
    <x:t xml:space="preserve">持有盈亏比例</x:t>
  </x:si>
  <x:si>
    <x:t xml:space="preserve">累计结清亏损（元）</x:t>
  </x:si>
  <x:si>
    <x:t xml:space="preserve">当前持有份额</x:t>
  </x:si>
  <x:si>
    <x:t xml:space="preserve">累计总盈亏（元）</x:t>
  </x:si>
  <x:si>
    <x:t xml:space="preserve">本金状态</x:t>
  </x:si>
  <x:si>
    <x:t xml:space="preserve">累计收益率（非年化）</x:t>
  </x:si>
  <x:si>
    <x:t xml:space="preserve">已计入笔数</x:t>
  </x:si>
  <x:si>
    <x:t xml:space="preserve">待确认／待修正</x:t>
  </x:si>
  <x:si>
    <x:t xml:space="preserve">含历史估算（笔）</x:t>
  </x:si>
  <x:si>
    <x:t xml:space="preserve">最新成交净值日</x:t>
  </x:si>
  <x:si>
    <x:t xml:space="preserve">收益恒等式核对</x:t>
  </x:si>
  <x:si>
    <x:t xml:space="preserve">填写与计算口径</x:t>
  </x:si>
  <x:si>
    <x:t xml:space="preserve">6. 利润优先：可提利润 = MAX(交易前市值 − 交易前本金 − 赎回费, 0)。到账先提利润，再收本金。</x:t>
  </x:si>
  <x:si>
    <x:t xml:space="preserve">7. 全部赎回后，未收回的本金记为结清亏损；剩余份额与本金归零，之后买入重新累计本金。</x:t>
  </x:si>
  <x:si>
    <x:t xml:space="preserve">8. 持有盈亏 = 当前市值 − 剩余本金。盈亏比例 = 持有盈亏 ÷ 剩余本金；本金为 0 时留空。</x:t>
  </x:si>
  <x:si>
    <x:t xml:space="preserve">10. 本金优先：卖出净到账先冲减剩余本金，超出本金才计为提取利润。现金分红仍按利润优先。</x:t>
  </x:si>
  <x:si>
    <x:t xml:space="preserve">11. 同花顺界面供参考，未确认其内部收益算法。逐笔右侧显示每笔成交后的整个账户状态。</x:t>
  </x:si>
  <x:si>
    <x:t xml:space="preserve">13. 切换模式重算全部卖出历史，不改变市值或累计总盈亏；只改变本金与利润的分配及持有收益率。</x:t>
  </x:si>
  <x:si>
    <x:t xml:space="preserve">公布净值日期</x:t>
  </x:si>
  <x:si>
    <x:t xml:space="preserve">公布单位净值</x:t>
  </x:si>
  <x:si>
    <x:t xml:space="preserve">交易后账户明细（公式自动计算）</x:t>
  </x:si>
  <x:si>
    <x:t xml:space="preserve">净值日期</x:t>
  </x:si>
  <x:si>
    <x:t xml:space="preserve">交易类型</x:t>
  </x:si>
  <x:si>
    <x:t xml:space="preserve">成交净值</x:t>
  </x:si>
  <x:si>
    <x:t xml:space="preserve">确认份额</x:t>
  </x:si>
  <x:si>
    <x:t xml:space="preserve">手续费（元）</x:t>
  </x:si>
  <x:si>
    <x:t xml:space="preserve">录入检查</x:t>
  </x:si>
  <x:si>
    <x:t xml:space="preserve">份额变动</x:t>
  </x:si>
  <x:si>
    <x:t xml:space="preserve">交易后份额</x:t>
  </x:si>
  <x:si>
    <x:t xml:space="preserve">交易前市值</x:t>
  </x:si>
  <x:si>
    <x:t xml:space="preserve">可提取利润</x:t>
  </x:si>
  <x:si>
    <x:t xml:space="preserve">本笔提取利润</x:t>
  </x:si>
  <x:si>
    <x:t xml:space="preserve">本笔收回本金</x:t>
  </x:si>
  <x:si>
    <x:t xml:space="preserve">清仓确认亏损</x:t>
  </x:si>
  <x:si>
    <x:t xml:space="preserve">交易后本金</x:t>
  </x:si>
  <x:si>
    <x:t xml:space="preserve">交易后市值</x:t>
  </x:si>
  <x:si>
    <x:t xml:space="preserve">交易后盈亏</x:t>
  </x:si>
  <x:si>
    <x:t xml:space="preserve">交易后收益率</x:t>
  </x:si>
  <x:si>
    <x:t xml:space="preserve">累计收回金额</x:t>
  </x:si>
  <x:si>
    <x:t xml:space="preserve">累计提取利润</x:t>
  </x:si>
  <x:si>
    <x:t xml:space="preserve">累计结清亏损</x:t>
  </x:si>
  <x:si>
    <x:t xml:space="preserve">累计总盈亏</x:t>
  </x:si>
  <x:si>
    <x:t xml:space="preserve">最近成交净值日</x:t>
  </x:si>
  <x:si>
    <x:t xml:space="preserve">计算链状态</x:t>
  </x:si>
  <x:si>
    <x:t xml:space="preserve">最近成交净值</x:t>
  </x:si>
</x:sst>
</file>

<file path=xl/styles.xml><?xml version="1.0" encoding="utf-8"?>
<x:styleSheet xmlns:x="http://schemas.openxmlformats.org/spreadsheetml/2006/main">
  <x:numFmts count="11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177" formatCode="0.0000"/>
    <x:numFmt numFmtId="178" formatCode="#,##0.00;[Red]\(#,##0.00\);&quot;—&quot;"/>
    <x:numFmt numFmtId="179" formatCode="0.0%;[Green]\(0.0%\);&quot;—&quot;"/>
    <x:numFmt numFmtId="180" formatCode="yyyy\-mm\-dd;;"/>
    <x:numFmt numFmtId="181" formatCode="0.0000;;"/>
    <x:numFmt numFmtId="182" formatCode="0.00%;[Green]\(0.00%\);&quot;—&quot;"/>
  </x:numFmts>
  <x:fonts count="27">
    <x:font>
      <x:sz val="11"/>
      <x:name val="Carlito"/>
    </x:font>
    <x:font>
      <x:sz val="10"/>
      <x:color rgb="FF223148"/>
      <x:name val="Microsoft YaHei"/>
    </x:font>
    <x:font>
      <x:b/>
      <x:sz val="16"/>
      <x:color rgb="FF223148"/>
      <x:name val="Microsoft YaHei"/>
    </x:font>
    <x:font>
      <x:b/>
      <x:sz val="10"/>
      <x:color rgb="FFFFFFFF"/>
      <x:name val="Microsoft YaHei"/>
    </x:font>
    <x:font>
      <x:sz val="10"/>
      <x:color rgb="FF1656B2"/>
      <x:name val="Microsoft YaHei"/>
    </x:font>
    <x:font>
      <x:sz val="10"/>
      <x:color rgb="FF66758A"/>
      <x:name val="Microsoft YaHei"/>
    </x:font>
    <x:font>
      <x:b/>
      <x:sz val="10"/>
      <x:color rgb="FF223148"/>
      <x:name val="Microsoft YaHei"/>
    </x:font>
    <x:font>
      <x:sz val="9"/>
      <x:color rgb="FF66758A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38">
    <x:fill>
      <x:patternFill patternType="none"/>
    </x:fill>
    <x:fill>
      <x:patternFill patternType="gray125"/>
    </x:fill>
    <x:fill>
      <x:patternFill patternType="solid">
        <x:fgColor rgb="FF223C5C"/>
      </x:patternFill>
    </x:fill>
    <x:fill>
      <x:patternFill patternType="solid">
        <x:fgColor rgb="FFFFF4D6"/>
      </x:patternFill>
    </x:fill>
    <x:fill>
      <x:patternFill patternType="solid">
        <x:fgColor rgb="FFF3F6FA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4D6"/>
      </x:patternFill>
    </x:fill>
    <x:fill>
      <x:patternFill patternType="solid">
        <x:fgColor rgb="FFF3F6FA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5" borderId="1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2" applyNumberFormat="0" applyFill="0" applyAlignment="0" applyProtection="0">
      <x:alignment vertical="center"/>
    </x:xf>
    <x:xf numFmtId="0" fontId="15" fillId="0" borderId="2" applyNumberFormat="0" applyFill="0" applyAlignment="0" applyProtection="0">
      <x:alignment vertical="center"/>
    </x:xf>
    <x:xf numFmtId="0" fontId="16" fillId="0" borderId="3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6" borderId="4" applyNumberFormat="0" applyAlignment="0" applyProtection="0">
      <x:alignment vertical="center"/>
    </x:xf>
    <x:xf numFmtId="0" fontId="18" fillId="7" borderId="5" applyNumberFormat="0" applyAlignment="0" applyProtection="0">
      <x:alignment vertical="center"/>
    </x:xf>
    <x:xf numFmtId="0" fontId="19" fillId="7" borderId="4" applyNumberFormat="0" applyAlignment="0" applyProtection="0">
      <x:alignment vertical="center"/>
    </x:xf>
    <x:xf numFmtId="0" fontId="20" fillId="8" borderId="6" applyNumberFormat="0" applyAlignment="0" applyProtection="0">
      <x:alignment vertical="center"/>
    </x:xf>
    <x:xf numFmtId="0" fontId="21" fillId="0" borderId="7" applyNumberFormat="0" applyFill="0" applyAlignment="0" applyProtection="0">
      <x:alignment vertical="center"/>
    </x:xf>
    <x:xf numFmtId="0" fontId="22" fillId="0" borderId="8" applyNumberFormat="0" applyFill="0" applyAlignment="0" applyProtection="0">
      <x:alignment vertical="center"/>
    </x:xf>
    <x:xf numFmtId="0" fontId="23" fillId="9" borderId="0" applyNumberFormat="0" applyBorder="0" applyAlignment="0" applyProtection="0">
      <x:alignment vertical="center"/>
    </x:xf>
    <x:xf numFmtId="0" fontId="24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6" fillId="12" borderId="0" applyNumberFormat="0" applyBorder="0" applyAlignment="0" applyProtection="0">
      <x:alignment vertical="center"/>
    </x:xf>
    <x:xf numFmtId="0" fontId="8" fillId="13" borderId="0" applyNumberFormat="0" applyBorder="0" applyAlignment="0" applyProtection="0">
      <x:alignment vertical="center"/>
    </x:xf>
    <x:xf numFmtId="0" fontId="8" fillId="14" borderId="0" applyNumberFormat="0" applyBorder="0" applyAlignment="0" applyProtection="0">
      <x:alignment vertical="center"/>
    </x:xf>
    <x:xf numFmtId="0" fontId="26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8" fillId="17" borderId="0" applyNumberFormat="0" applyBorder="0" applyAlignment="0" applyProtection="0">
      <x:alignment vertical="center"/>
    </x:xf>
    <x:xf numFmtId="0" fontId="8" fillId="18" borderId="0" applyNumberFormat="0" applyBorder="0" applyAlignment="0" applyProtection="0">
      <x:alignment vertical="center"/>
    </x:xf>
    <x:xf numFmtId="0" fontId="26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8" fillId="21" borderId="0" applyNumberFormat="0" applyBorder="0" applyAlignment="0" applyProtection="0">
      <x:alignment vertical="center"/>
    </x:xf>
    <x:xf numFmtId="0" fontId="8" fillId="22" borderId="0" applyNumberFormat="0" applyBorder="0" applyAlignment="0" applyProtection="0">
      <x:alignment vertical="center"/>
    </x:xf>
    <x:xf numFmtId="0" fontId="26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8" fillId="25" borderId="0" applyNumberFormat="0" applyBorder="0" applyAlignment="0" applyProtection="0">
      <x:alignment vertical="center"/>
    </x:xf>
    <x:xf numFmtId="0" fontId="8" fillId="26" borderId="0" applyNumberFormat="0" applyBorder="0" applyAlignment="0" applyProtection="0">
      <x:alignment vertical="center"/>
    </x:xf>
    <x:xf numFmtId="0" fontId="26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8" fillId="29" borderId="0" applyNumberFormat="0" applyBorder="0" applyAlignment="0" applyProtection="0">
      <x:alignment vertical="center"/>
    </x:xf>
    <x:xf numFmtId="0" fontId="8" fillId="30" borderId="0" applyNumberFormat="0" applyBorder="0" applyAlignment="0" applyProtection="0">
      <x:alignment vertical="center"/>
    </x:xf>
    <x:xf numFmtId="0" fontId="26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8" fillId="33" borderId="0" applyNumberFormat="0" applyBorder="0" applyAlignment="0" applyProtection="0">
      <x:alignment vertical="center"/>
    </x:xf>
    <x:xf numFmtId="0" fontId="8" fillId="34" borderId="0" applyNumberFormat="0" applyBorder="0" applyAlignment="0" applyProtection="0">
      <x:alignment vertical="center"/>
    </x:xf>
    <x:xf numFmtId="0" fontId="26" fillId="35" borderId="0" applyNumberFormat="0" applyBorder="0" applyAlignment="0" applyProtection="0">
      <x:alignment vertical="center"/>
    </x:xf>
    <x:xf numFmtId="0" fontId="0" fillId="0" borderId="0"/>
  </x:cellStyleXfs>
  <x:cellXfs count="50">
    <x:xf numFmtId="0" fontId="0" fillId="0" borderId="0" xfId="49"/>
    <x:xf numFmtId="0" fontId="1" fillId="0" borderId="0" xfId="49" applyNumberFormat="1" applyFont="1" applyFill="1" applyBorder="1" applyAlignment="1">
      <x:alignment vertical="center"/>
    </x:xf>
    <x:xf numFmtId="0" fontId="2" fillId="0" borderId="0" xfId="49" applyNumberFormat="1" applyFont="1" applyFill="1" applyBorder="1" applyAlignment="1">
      <x:alignment vertical="center"/>
    </x:xf>
    <x:xf numFmtId="0" fontId="3" fillId="2" borderId="0" xfId="49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176" fontId="4" fillId="3" borderId="0" xfId="49" applyNumberFormat="1" applyFont="1" applyFill="1" applyBorder="1" applyAlignment="1">
      <x:alignment vertical="center"/>
    </x:xf>
    <x:xf numFmtId="0" fontId="4" fillId="3" borderId="0" xfId="49" applyNumberFormat="1" applyFont="1" applyFill="1" applyBorder="1" applyAlignment="1">
      <x:alignment vertical="center"/>
    </x:xf>
    <x:xf numFmtId="177" fontId="4" fillId="3" borderId="0" xfId="49" applyNumberFormat="1" applyFont="1" applyFill="1" applyBorder="1" applyAlignment="1">
      <x:alignment vertical="center"/>
    </x:xf>
    <x:xf numFmtId="178" fontId="4" fillId="3" borderId="0" xfId="49" applyNumberFormat="1" applyFont="1" applyFill="1" applyBorder="1" applyAlignment="1">
      <x:alignment vertical="center"/>
    </x:xf>
    <x:xf numFmtId="0" fontId="4" fillId="3" borderId="0" xfId="49" applyNumberFormat="1" applyFont="1" applyFill="1" applyBorder="1" applyAlignment="1">
      <x:alignment vertical="center" wrapText="1"/>
    </x:xf>
    <x:xf numFmtId="0" fontId="1" fillId="4" borderId="0" xfId="49" applyNumberFormat="1" applyFont="1" applyFill="1" applyBorder="1" applyAlignment="1">
      <x:alignment vertical="center"/>
    </x:xf>
    <x:xf numFmtId="178" fontId="1" fillId="4" borderId="0" xfId="49" applyNumberFormat="1" applyFont="1" applyFill="1" applyBorder="1" applyAlignment="1">
      <x:alignment vertical="center"/>
    </x:xf>
    <x:xf numFmtId="179" fontId="1" fillId="4" borderId="0" xfId="49" applyNumberFormat="1" applyFont="1" applyFill="1" applyBorder="1" applyAlignment="1">
      <x:alignment vertical="center"/>
    </x:xf>
    <x:xf numFmtId="180" fontId="1" fillId="4" borderId="0" xfId="49" applyNumberFormat="1" applyFont="1" applyFill="1" applyBorder="1" applyAlignment="1">
      <x:alignment vertical="center"/>
    </x:xf>
    <x:xf numFmtId="181" fontId="0" fillId="0" borderId="0" xfId="0" applyNumberFormat="1" applyFont="1" applyFill="1" applyBorder="1" applyAlignment="1"/>
    <x:xf numFmtId="176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177" fontId="4" fillId="3" borderId="0" xfId="0" applyNumberFormat="1" applyFont="1" applyFill="1" applyBorder="1" applyAlignment="1">
      <x:alignment vertical="center"/>
    </x:xf>
    <x:xf numFmtId="178" fontId="4" fillId="3" borderId="0" xfId="0" applyNumberFormat="1" applyFont="1" applyFill="1" applyBorder="1" applyAlignment="1">
      <x:alignment vertical="center"/>
    </x:xf>
    <x:xf numFmtId="178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5" fillId="0" borderId="0" xfId="49" applyNumberFormat="1" applyFont="1" applyFill="1" applyBorder="1" applyAlignment="1">
      <x:alignment vertical="center"/>
    </x:xf>
    <x:xf numFmtId="176" fontId="1" fillId="4" borderId="0" xfId="0" applyNumberFormat="1" applyFont="1" applyFill="1" applyBorder="1" applyAlignment="1">
      <x:alignment vertical="center"/>
    </x:xf>
    <x:xf numFmtId="177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" fontId="4" fillId="3" borderId="0" xfId="49" applyNumberFormat="1" applyFont="1" applyFill="1" applyBorder="1" applyAlignment="1">
      <x:alignment vertical="center"/>
    </x:xf>
    <x:xf numFmtId="0" fontId="3" fillId="2" borderId="0" xfId="49" applyNumberFormat="1" applyFont="1" applyFill="1" applyBorder="1" applyAlignment="1">
      <x:alignment vertical="center"/>
    </x:xf>
    <x:xf numFmtId="178" fontId="6" fillId="4" borderId="0" xfId="49" applyNumberFormat="1" applyFont="1" applyFill="1" applyBorder="1" applyAlignment="1">
      <x:alignment vertical="center"/>
    </x:xf>
    <x:xf numFmtId="178" fontId="1" fillId="0" borderId="0" xfId="49" applyNumberFormat="1" applyFont="1" applyFill="1" applyBorder="1" applyAlignment="1">
      <x:alignment vertical="center"/>
    </x:xf>
    <x:xf numFmtId="182" fontId="6" fillId="4" borderId="0" xfId="49" applyNumberFormat="1" applyFont="1" applyFill="1" applyBorder="1" applyAlignment="1">
      <x:alignment vertical="center"/>
    </x:xf>
    <x:xf numFmtId="2" fontId="1" fillId="0" borderId="0" xfId="49" applyNumberFormat="1" applyFont="1" applyFill="1" applyBorder="1" applyAlignment="1">
      <x:alignment vertical="center"/>
    </x:xf>
    <x:xf numFmtId="182" fontId="1" fillId="0" borderId="0" xfId="49" applyNumberFormat="1" applyFont="1" applyFill="1" applyBorder="1" applyAlignment="1">
      <x:alignment vertical="center"/>
    </x:xf>
    <x:xf numFmtId="176" fontId="1" fillId="0" borderId="0" xfId="49" applyNumberFormat="1" applyFont="1" applyFill="1" applyBorder="1" applyAlignment="1">
      <x:alignment vertical="center"/>
    </x:xf>
    <x:xf numFmtId="0" fontId="7" fillId="0" borderId="0" xfId="49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176" fontId="4" fillId="36" borderId="0" xfId="0" applyNumberFormat="1" applyFont="1" applyFill="1" applyBorder="1" applyAlignment="1">
      <x:alignment vertical="center"/>
    </x:xf>
    <x:xf numFmtId="0" fontId="4" fillId="36" borderId="0" xfId="0" applyNumberFormat="1" applyFont="1" applyFill="1" applyBorder="1" applyAlignment="1">
      <x:alignment vertical="center"/>
    </x:xf>
    <x:xf numFmtId="177" fontId="4" fillId="36" borderId="0" xfId="0" applyNumberFormat="1" applyFont="1" applyFill="1" applyBorder="1" applyAlignment="1">
      <x:alignment vertical="center"/>
    </x:xf>
    <x:xf numFmtId="178" fontId="4" fillId="36" borderId="0" xfId="0" applyNumberFormat="1" applyFont="1" applyFill="1" applyBorder="1" applyAlignment="1">
      <x:alignment vertical="center"/>
    </x:xf>
    <x:xf numFmtId="0" fontId="4" fillId="36" borderId="0" xfId="0" applyNumberFormat="1" applyFont="1" applyFill="1" applyBorder="1" applyAlignment="1">
      <x:alignment vertical="center" wrapText="1"/>
    </x:xf>
    <x:xf numFmtId="178" fontId="1" fillId="36" borderId="0" xfId="0" applyNumberFormat="1" applyFont="1" applyFill="1" applyBorder="1" applyAlignment="1">
      <x:alignment vertical="center"/>
    </x:xf>
    <x:xf numFmtId="0" fontId="1" fillId="36" borderId="0" xfId="0" applyNumberFormat="1" applyFont="1" applyFill="1" applyBorder="1" applyAlignment="1">
      <x:alignment vertical="center"/>
    </x:xf>
    <x:xf numFmtId="0" fontId="1" fillId="36" borderId="0" xfId="0" applyNumberFormat="1" applyFont="1" applyFill="1" applyBorder="1" applyAlignment="1">
      <x:alignment vertical="center" wrapText="1"/>
    </x:xf>
    <x:xf numFmtId="178" fontId="1" fillId="37" borderId="0" xfId="0" applyNumberFormat="1" applyFont="1" applyFill="1" applyBorder="1" applyAlignment="1">
      <x:alignment vertical="center"/>
    </x:xf>
    <x:xf numFmtId="0" fontId="1" fillId="37" borderId="0" xfId="0" applyNumberFormat="1" applyFont="1" applyFill="1" applyBorder="1" applyAlignment="1">
      <x:alignment vertical="center"/>
    </x:xf>
    <x:xf numFmtId="0" fontId="1" fillId="37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1">
    <x:dxf>
      <x:font>
        <x:color rgb="FFC62828"/>
      </x:font>
    </x:dxf>
    <x:dxf>
      <x:font>
        <x:color rgb="FF167647"/>
      </x:font>
    </x:dxf>
    <x:dxf>
      <x:font>
        <x:b/>
        <x:color rgb="FFC62828"/>
      </x:font>
      <x:fill>
        <x:patternFill>
          <x:bgColor rgb="FFFCE4E4"/>
        </x:patternFill>
      </x:fill>
    </x:dxf>
    <x:dxf>
      <x:numFmt numFmtId="183" formatCode=";;;"/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68f2a414db4e67" /><Relationship Type="http://schemas.openxmlformats.org/officeDocument/2006/relationships/theme" Target="/xl/theme/theme1.xml" Id="Re9bf177cee344300" /><Relationship Type="http://schemas.openxmlformats.org/officeDocument/2006/relationships/sharedStrings" Target="/xl/sharedStrings.xml" Id="Rd6d6707b67cb4b22" /><Relationship Type="http://schemas.openxmlformats.org/officeDocument/2006/relationships/worksheet" Target="/xl/worksheets/sheet1.xml" Id="R2e444e86a4114a56" /><Relationship Type="http://schemas.openxmlformats.org/officeDocument/2006/relationships/worksheet" Target="/xl/worksheets/sheet2.xml" Id="Rc8719166df694bfd" /></Relationships>
</file>

<file path=xl/tables/table1.xml><?xml version="1.0" encoding="utf-8"?>
<x:table xmlns:x="http://schemas.openxmlformats.org/spreadsheetml/2006/main" id="1" name="Transactions" displayName="Transactions" ref="A6:AA506" totalsRowShown="0">
  <x:autoFilter ref="A6:AA506"/>
  <x:tableColumns count="27">
    <x:tableColumn id="1" name="净值日期"/>
    <x:tableColumn id="2" name="交易类型"/>
    <x:tableColumn id="3" name="成交净值"/>
    <x:tableColumn id="4" name="确认份额"/>
    <x:tableColumn id="5" name="确认金额（元）"/>
    <x:tableColumn id="6" name="手续费（元）"/>
    <x:tableColumn id="7" name="确认状态"/>
    <x:tableColumn id="8" name="备注"/>
    <x:tableColumn id="9" name="录入检查"/>
    <x:tableColumn id="10" name="份额变动"/>
    <x:tableColumn id="11" name="交易后份额"/>
    <x:tableColumn id="12" name="交易前市值"/>
    <x:tableColumn id="13" name="可提取利润"/>
    <x:tableColumn id="14" name="本笔提取利润"/>
    <x:tableColumn id="15" name="本笔收回本金"/>
    <x:tableColumn id="16" name="清仓确认亏损"/>
    <x:tableColumn id="17" name="交易后本金"/>
    <x:tableColumn id="18" name="交易后市值"/>
    <x:tableColumn id="19" name="交易后盈亏"/>
    <x:tableColumn id="20" name="交易后收益率"/>
    <x:tableColumn id="21" name="累计买入支出"/>
    <x:tableColumn id="22" name="累计收回金额"/>
    <x:tableColumn id="23" name="累计提取利润"/>
    <x:tableColumn id="24" name="累计结清亏损"/>
    <x:tableColumn id="25" name="累计总盈亏"/>
    <x:tableColumn id="26" name="最近成交净值日"/>
    <x:tableColumn id="27" name="计算链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d090391e9742af" /></Relationships>
</file>

<file path=xl/worksheets/sheet1.xml><?xml version="1.0" encoding="utf-8"?>
<worksheet xmlns="http://schemas.openxmlformats.org/spreadsheetml/2006/main">
  <sheetPr>
    <tabColor rgb="FF223C5C"/>
  </sheetPr>
  <sheetViews>
    <sheetView showGridLines="0" workbookViewId="0"/>
  </sheetViews>
  <sheetFormatPr defaultColWidth="9" defaultRowHeight="14.25"/>
  <cols>
    <col min="1" max="1" width="3" customWidth="1"/>
    <col min="2" max="2" width="23" customWidth="1"/>
    <col min="3" max="3" width="20" customWidth="1"/>
    <col min="4" max="4" width="3" customWidth="1"/>
    <col min="5" max="5" width="24" customWidth="1"/>
    <col min="6" max="6" width="20" customWidth="1"/>
    <col min="7" max="7" width="3" customWidth="1"/>
    <col min="8" max="8" width="20" customWidth="1"/>
  </cols>
  <sheetData>
    <row r="1" ht="23" customHeight="1">
      <c r="A1" s="1"/>
      <c r="B1" s="1"/>
      <c r="C1" s="1"/>
      <c r="D1" s="1"/>
      <c r="E1" s="1"/>
      <c r="F1" s="1"/>
      <c r="G1" s="1"/>
      <c r="H1" s="1"/>
    </row>
    <row r="2" ht="33" customHeight="1">
      <c r="A2" s="1"/>
      <c r="B2" s="2" t="inlineStr">
        <is>
          <t>广发全球精选 · 单笔交易账本</t>
        </is>
      </c>
      <c r="C2" s="1"/>
      <c r="D2" s="1"/>
      <c r="E2" s="1"/>
      <c r="F2" s="1"/>
      <c r="G2" s="1"/>
      <c r="H2" s="1"/>
    </row>
    <row r="3" ht="23" customHeight="1">
      <c r="A3" s="1"/>
      <c r="B3" s="22" t="inlineStr">
        <is>
          <t>270023 / QDII 人民币A　　更新：2026-09-28　　支持利润优先与本金优先两种记账模式</t>
        </is>
      </c>
      <c r="C3" s="22"/>
      <c r="D3" s="22"/>
      <c r="E3" s="22"/>
      <c r="F3" s="22"/>
      <c r="G3" s="22"/>
      <c r="H3" s="22"/>
    </row>
    <row r="4" ht="23" customHeight="1">
      <c r="A4" s="1"/>
      <c r="B4" s="1"/>
      <c r="C4" s="1"/>
      <c r="D4" s="1"/>
      <c r="E4" s="1"/>
      <c r="F4" s="1"/>
      <c r="G4" s="1"/>
      <c r="H4" s="1"/>
    </row>
    <row r="5" ht="23" customHeight="1">
      <c r="A5" s="1"/>
      <c r="B5" s="1" t="inlineStr">
        <is>
          <t>估值净值日期</t>
        </is>
      </c>
      <c r="C5" s="23">
        <f>IF(AND(AND(ISNUMBER(C37),C37&gt;0,C37=INT(C37),ISNUMBER(F37),F37&gt;0),OR(NOT(AND(ISNUMBER(C19),C19&gt;0,ISNUMBER('逐笔交易'!AB506),'逐笔交易'!AB506&gt;0)),C37&gt;=C19)),C37,IF(AND(ISNUMBER(C19),C19&gt;0,ISNUMBER('逐笔交易'!AB506),'逐笔交易'!AB506&gt;0),C19,""))</f>
        <v>46288</v>
      </c>
      <c r="D5" s="1"/>
      <c r="E5" s="1" t="inlineStr">
        <is>
          <t>估值单位净值</t>
        </is>
      </c>
      <c r="F5" s="24">
        <f>IF(AND(AND(ISNUMBER(C37),C37&gt;0,C37=INT(C37),ISNUMBER(F37),F37&gt;0),OR(NOT(AND(ISNUMBER(C19),C19&gt;0,ISNUMBER('逐笔交易'!AB506),'逐笔交易'!AB506&gt;0)),C37&gt;=C19)),F37,IF(AND(ISNUMBER(C19),C19&gt;0,ISNUMBER('逐笔交易'!AB506),'逐笔交易'!AB506&gt;0),'逐笔交易'!AB506,""))</f>
        <v>6.4928</v>
      </c>
      <c r="G5" s="1"/>
      <c r="H5" s="1" t="inlineStr">
        <is>
          <t>金额核对容差（元）</t>
        </is>
      </c>
    </row>
    <row r="6" ht="34" customHeight="1">
      <c r="A6" s="1"/>
      <c r="B6" s="1" t="inlineStr">
        <is>
          <t>录入提示</t>
        </is>
      </c>
      <c r="C6" s="25" t="inlineStr">
        <is>
          <t>自动取日期较新的净值；公布净值在下方更新。</t>
        </is>
      </c>
      <c r="D6" s="25"/>
      <c r="E6" s="25"/>
      <c r="F6" s="25"/>
      <c r="G6" s="1"/>
      <c r="H6" s="26">
        <v>0.1</v>
      </c>
    </row>
    <row r="7" ht="23" customHeight="1">
      <c r="A7" s="1"/>
      <c r="B7" s="1" t="inlineStr">
        <is>
          <t>卖出分配模式</t>
        </is>
      </c>
      <c r="C7" s="6" t="inlineStr">
        <is>
          <t>利润优先</t>
        </is>
      </c>
      <c r="D7" s="1"/>
      <c r="E7" s="22" t="str">
        <f>IF(COUNTIFS('逐笔交易'!B7:B506,"卖出",'逐笔交易'!I7:I506,"已计入")=0,"暂无已计入卖出，两种模式结果相同","切换模式重算卖出后的本金和利润分配")</f>
        <v>暂无已计入卖出，两种模式结果相同</v>
      </c>
      <c r="F7" s="22"/>
      <c r="G7" s="22"/>
      <c r="H7" s="22"/>
    </row>
    <row r="8" ht="38" customHeight="1">
      <c r="A8" s="1"/>
      <c r="B8" s="21" t="str">
        <f>IF('逐笔交易'!AA506="错误","存在录入问题，请先修正逐笔交易 I 列提示",IF(COUNTIFS('逐笔交易'!I7:I506,"已计入")=0,"尚未录入可计入交易",IF(NOT(ISNUMBER(C5)),"估值日期未填写或格式无效，请检查 C5",IF(OR(C5&lt;=0,C5&lt;&gt;INT(C5)),"估值日期无效，请检查 C5",IF(NOT(ISNUMBER(F5)),"估值单位净值未填写或不是数字，请检查 F5",IF(F5&lt;=0,"估值单位净值须大于 0，请检查 F5",IF(C5&lt;'逐笔交易'!Z506,"估值日期 "&amp;TEXT(C5,"yyyy-mm-dd")&amp;" 早于最近交易 "&amp;TEXT('逐笔交易'!Z506,"yyyy-mm-dd")&amp;"；请核对交易日期，或更新同日净值。",IF(H19&gt;0,"历史交易已入账；含原表估算，请核对成交单","已按录入交易更新"))))))))</f>
        <v>历史交易已入账；含原表估算，请核对成交单</v>
      </c>
      <c r="C8" s="21"/>
      <c r="D8" s="21"/>
      <c r="E8" s="21"/>
      <c r="F8" s="21"/>
      <c r="G8" s="21"/>
      <c r="H8" s="21"/>
    </row>
    <row r="9" ht="23" customHeight="1">
      <c r="A9" s="1"/>
      <c r="B9" s="1"/>
      <c r="C9" s="1"/>
      <c r="D9" s="1"/>
      <c r="E9" s="1"/>
      <c r="F9" s="1"/>
      <c r="G9" s="1"/>
      <c r="H9" s="1"/>
    </row>
    <row r="10" ht="23" customHeight="1">
      <c r="A10" s="1"/>
      <c r="B10" s="27" t="inlineStr">
        <is>
          <t>当前持仓</t>
        </is>
      </c>
      <c r="C10" s="27"/>
      <c r="D10" s="1"/>
      <c r="E10" s="27" t="inlineStr">
        <is>
          <t>累计收支</t>
        </is>
      </c>
      <c r="F10" s="27"/>
      <c r="G10" s="1"/>
      <c r="H10" s="1"/>
    </row>
    <row r="11" ht="23" customHeight="1">
      <c r="A11" s="1"/>
      <c r="B11" s="1" t="inlineStr">
        <is>
          <t>当前持有金额（元）</t>
        </is>
      </c>
      <c r="C11" s="28">
        <f>IF(AND(AND('逐笔交易'!AA506="正常",COUNTIFS('逐笔交易'!I7:I506,"已计入")&gt;0),ISNUMBER(C5),ISNUMBER(F5),F5&gt;0,C5&gt;='逐笔交易'!Z506),ROUND('逐笔交易'!K506*F5,2),"")</f>
        <v>167005.2</v>
      </c>
      <c r="D11" s="1"/>
      <c r="E11" s="1" t="inlineStr">
        <is>
          <t>累计买入支出（元）</t>
        </is>
      </c>
      <c r="F11" s="29">
        <f>IF(AND('逐笔交易'!AA506="正常",COUNTIFS('逐笔交易'!I7:I506,"已计入")&gt;0),'逐笔交易'!U506,"")</f>
        <v>129570</v>
      </c>
      <c r="G11" s="1"/>
      <c r="H11" s="1"/>
    </row>
    <row r="12" ht="23" customHeight="1">
      <c r="A12" s="1"/>
      <c r="B12" s="1" t="inlineStr">
        <is>
          <t>剩余本金（元）</t>
        </is>
      </c>
      <c r="C12" s="28">
        <f>IF(AND('逐笔交易'!AA506="正常",COUNTIFS('逐笔交易'!I7:I506,"已计入")&gt;0),'逐笔交易'!Q506,"")</f>
        <v>129570</v>
      </c>
      <c r="D12" s="1"/>
      <c r="E12" s="1" t="inlineStr">
        <is>
          <t>累计收回金额（元）</t>
        </is>
      </c>
      <c r="F12" s="29">
        <f>IF(AND('逐笔交易'!AA506="正常",COUNTIFS('逐笔交易'!I7:I506,"已计入")&gt;0),'逐笔交易'!V506,"")</f>
        <v>0</v>
      </c>
      <c r="G12" s="1"/>
      <c r="H12" s="1"/>
    </row>
    <row r="13" ht="23" customHeight="1">
      <c r="A13" s="1"/>
      <c r="B13" s="1" t="inlineStr">
        <is>
          <t>持有盈亏（元）</t>
        </is>
      </c>
      <c r="C13" s="28">
        <f>IF(ISNUMBER(C11),ROUND(C11-C12,2),"")</f>
        <v>37435.2</v>
      </c>
      <c r="D13" s="1"/>
      <c r="E13" s="1" t="inlineStr">
        <is>
          <t>累计提取利润（元）</t>
        </is>
      </c>
      <c r="F13" s="29">
        <f>IF(AND('逐笔交易'!AA506="正常",COUNTIFS('逐笔交易'!I7:I506,"已计入")&gt;0),'逐笔交易'!W506,"")</f>
        <v>0</v>
      </c>
      <c r="G13" s="1"/>
      <c r="H13" s="1"/>
    </row>
    <row r="14" ht="23" customHeight="1">
      <c r="A14" s="1"/>
      <c r="B14" s="1" t="inlineStr">
        <is>
          <t>持有盈亏比例</t>
        </is>
      </c>
      <c r="C14" s="30">
        <f>IF(AND(ISNUMBER(C13),C12&gt;0),C13/C12,"")</f>
        <v>0.28891873118777495</v>
      </c>
      <c r="D14" s="1"/>
      <c r="E14" s="1" t="inlineStr">
        <is>
          <t>累计结清亏损（元）</t>
        </is>
      </c>
      <c r="F14" s="29">
        <f>IF(AND('逐笔交易'!AA506="正常",COUNTIFS('逐笔交易'!I7:I506,"已计入")&gt;0),'逐笔交易'!X506,"")</f>
        <v>0</v>
      </c>
      <c r="G14" s="1"/>
      <c r="H14" s="1"/>
    </row>
    <row r="15" ht="23" customHeight="1">
      <c r="A15" s="1"/>
      <c r="B15" s="1" t="inlineStr">
        <is>
          <t>当前持有份额</t>
        </is>
      </c>
      <c r="C15" s="31">
        <f>IF(AND('逐笔交易'!AA506="正常",COUNTIFS('逐笔交易'!I7:I506,"已计入")&gt;0),'逐笔交易'!K506,"")</f>
        <v>25721.6</v>
      </c>
      <c r="D15" s="1"/>
      <c r="E15" s="1" t="inlineStr">
        <is>
          <t>累计总盈亏（元）</t>
        </is>
      </c>
      <c r="F15" s="29">
        <f>IF(ISNUMBER(C11),ROUND(C11+F12-F11,2),"")</f>
        <v>37435.2</v>
      </c>
      <c r="G15" s="1"/>
      <c r="H15" s="1"/>
    </row>
    <row r="16" ht="23" customHeight="1">
      <c r="A16" s="1"/>
      <c r="B16" s="1" t="inlineStr">
        <is>
          <t>本金状态</t>
        </is>
      </c>
      <c r="C16" s="1" t="str">
        <f>IF(ISNUMBER(C15),IF(C15=0,"已清仓",IF(C12=0,"本金已收回","仍有本金")),"")</f>
        <v>仍有本金</v>
      </c>
      <c r="D16" s="1"/>
      <c r="E16" s="1" t="inlineStr">
        <is>
          <t>累计收益率（非年化）</t>
        </is>
      </c>
      <c r="F16" s="32">
        <f>IF(AND(ISNUMBER(F15),F11&gt;0),F15/F11,"")</f>
        <v>0.28891873118777495</v>
      </c>
      <c r="G16" s="1"/>
      <c r="H16" s="1"/>
    </row>
    <row r="17" ht="23" customHeight="1">
      <c r="A17" s="1"/>
      <c r="B17" s="1"/>
      <c r="C17" s="1"/>
      <c r="D17" s="1"/>
      <c r="E17" s="1"/>
      <c r="F17" s="1"/>
      <c r="G17" s="1"/>
      <c r="H17" s="1"/>
    </row>
    <row r="18" ht="23" customHeight="1">
      <c r="A18" s="1"/>
      <c r="B18" s="1" t="inlineStr">
        <is>
          <t>已计入笔数</t>
        </is>
      </c>
      <c r="C18" s="1">
        <f>COUNTIFS('逐笔交易'!I7:I506,"已计入")</f>
        <v>128</v>
      </c>
      <c r="D18" s="1"/>
      <c r="E18" s="1" t="inlineStr">
        <is>
          <t>待确认／待修正</t>
        </is>
      </c>
      <c r="F18" s="1">
        <f>COUNTIFS('逐笔交易'!G7:G506,"待确认")+COUNTIFS('逐笔交易'!G7:G506,"待修正")</f>
        <v>0</v>
      </c>
      <c r="G18" s="1"/>
      <c r="H18" s="1" t="inlineStr">
        <is>
          <t>含历史估算（笔）</t>
        </is>
      </c>
    </row>
    <row r="19" ht="23" customHeight="1">
      <c r="A19" s="1"/>
      <c r="B19" s="1" t="inlineStr">
        <is>
          <t>最新成交净值日</t>
        </is>
      </c>
      <c r="C19" s="33">
        <f>IF(AND('逐笔交易'!AA506="正常",COUNTIFS('逐笔交易'!I7:I506,"已计入")&gt;0),'逐笔交易'!Z506,"")</f>
        <v>46239</v>
      </c>
      <c r="D19" s="1"/>
      <c r="E19" s="1" t="inlineStr">
        <is>
          <t>收益恒等式核对</t>
        </is>
      </c>
      <c r="F19" s="1" t="str">
        <f>IF(ISNUMBER(F15),IF(ABS(F15-(C13+F13-F14))&lt;0.02,"一致","需检查"),"")</f>
        <v>一致</v>
      </c>
      <c r="G19" s="1"/>
      <c r="H19" s="1">
        <f>COUNTIFS('逐笔交易'!G7:G506,"历史估算")</f>
        <v>128</v>
      </c>
    </row>
    <row r="20" ht="23" customHeight="1">
      <c r="A20" s="1"/>
      <c r="B20" s="1"/>
      <c r="C20" s="1"/>
      <c r="D20" s="1"/>
      <c r="E20" s="1"/>
      <c r="F20" s="1"/>
      <c r="G20" s="1"/>
      <c r="H20" s="1"/>
    </row>
    <row r="21" ht="23" customHeight="1">
      <c r="A21" s="1"/>
      <c r="B21" s="27" t="inlineStr">
        <is>
          <t>填写与计算口径</t>
        </is>
      </c>
      <c r="C21" s="27"/>
      <c r="D21" s="27"/>
      <c r="E21" s="27"/>
      <c r="F21" s="27"/>
      <c r="G21" s="27"/>
      <c r="H21" s="27"/>
    </row>
    <row r="22" ht="26" customHeight="1">
      <c r="A22" s="1"/>
      <c r="B22" s="1" t="inlineStr">
        <is>
          <t>1. 新增买卖从第 135 行起，仅手填 A:D、F 五项黄色格；按实际成交净值日期升序填写。</t>
        </is>
      </c>
      <c r="C22" s="1"/>
      <c r="D22" s="1"/>
      <c r="E22" s="1"/>
      <c r="F22" s="1"/>
      <c r="G22" s="1"/>
      <c r="H22" s="1"/>
    </row>
    <row r="23" ht="26" customHeight="1">
      <c r="A23" s="1"/>
      <c r="B23" s="1" t="inlineStr">
        <is>
          <t>2. 自动金额：买入／定投 = 份额 × 净值 + 手续费；卖出 = 份额 × 净值 − 手续费，保留到分。</t>
        </is>
      </c>
      <c r="C23" s="1"/>
      <c r="D23" s="1"/>
      <c r="E23" s="1"/>
      <c r="F23" s="1"/>
      <c r="G23" s="1"/>
      <c r="H23" s="1"/>
    </row>
    <row r="24" ht="34" customHeight="1">
      <c r="A24" s="1"/>
      <c r="B24" s="25" t="inlineStr">
        <is>
          <t>3. 历史费率按用户确认的 0.16% 估算；新增手续费填成交单实收费用，无费用也填 0。</t>
        </is>
      </c>
      <c r="C24" s="25"/>
      <c r="D24" s="25"/>
      <c r="E24" s="25"/>
      <c r="F24" s="25"/>
      <c r="G24" s="25"/>
      <c r="H24" s="25"/>
    </row>
    <row r="25" ht="34" customHeight="1">
      <c r="A25" s="1"/>
      <c r="B25" s="25" t="inlineStr">
        <is>
          <t>4. 五项录入支持买入、定投、卖出、红利再投。现金分红和转换转入需实际金额，不支持五项反推。</t>
        </is>
      </c>
      <c r="C25" s="25"/>
      <c r="D25" s="25"/>
      <c r="E25" s="25"/>
      <c r="F25" s="25"/>
      <c r="G25" s="25"/>
      <c r="H25" s="25"/>
    </row>
    <row r="26" ht="26" customHeight="1">
      <c r="A26" s="1"/>
      <c r="B26" s="1" t="inlineStr">
        <is>
          <t>5. 新增记录填完五项且通过 I 列检查即计入，状态与说明自动填写；只录真实成交，不录撤单。</t>
        </is>
      </c>
      <c r="C26" s="1"/>
      <c r="D26" s="1"/>
      <c r="E26" s="1"/>
      <c r="F26" s="1"/>
      <c r="G26" s="1"/>
      <c r="H26" s="1"/>
    </row>
    <row r="27" ht="26" customHeight="1">
      <c r="A27" s="1"/>
      <c r="B27" s="1" t="inlineStr">
        <is>
          <t>6. 利润优先：可提利润 = MAX(交易前市值 − 交易前本金 − 赎回费, 0)。到账先提利润，再收本金。</t>
        </is>
      </c>
      <c r="C27" s="1"/>
      <c r="D27" s="1"/>
      <c r="E27" s="1"/>
      <c r="F27" s="1"/>
      <c r="G27" s="1"/>
      <c r="H27" s="1"/>
    </row>
    <row r="28" ht="26" customHeight="1">
      <c r="A28" s="1"/>
      <c r="B28" s="1" t="inlineStr">
        <is>
          <t>7. 全部赎回后，未收回的本金记为结清亏损；剩余份额与本金归零，之后买入重新累计本金。</t>
        </is>
      </c>
      <c r="C28" s="1"/>
      <c r="D28" s="1"/>
      <c r="E28" s="1"/>
      <c r="F28" s="1"/>
      <c r="G28" s="1"/>
      <c r="H28" s="1"/>
    </row>
    <row r="29" ht="26" customHeight="1">
      <c r="A29" s="1"/>
      <c r="B29" s="1" t="inlineStr">
        <is>
          <t>8. 持有盈亏 = 当前市值 − 剩余本金。盈亏比例 = 持有盈亏 ÷ 剩余本金；本金为 0 时留空。</t>
        </is>
      </c>
      <c r="C29" s="1"/>
      <c r="D29" s="1"/>
      <c r="E29" s="1"/>
      <c r="F29" s="1"/>
      <c r="G29" s="1"/>
      <c r="H29" s="1"/>
    </row>
    <row r="30" ht="26" customHeight="1">
      <c r="A30" s="1"/>
      <c r="B30" s="1" t="inlineStr">
        <is>
          <t>9. 累计总盈亏 = 市值 + 累计收回 − 累计投入。累计收益率以投入合计为分母，非年化。</t>
        </is>
      </c>
      <c r="C30" s="1"/>
      <c r="D30" s="1"/>
      <c r="E30" s="1"/>
      <c r="F30" s="1"/>
      <c r="G30" s="1"/>
      <c r="H30" s="1"/>
    </row>
    <row r="31" ht="26" customHeight="1">
      <c r="A31" s="1"/>
      <c r="B31" s="1" t="inlineStr">
        <is>
          <t>10. 本金优先：卖出净到账先冲减剩余本金，超出本金才计为提取利润。现金分红仍按利润优先。</t>
        </is>
      </c>
      <c r="C31" s="1"/>
      <c r="D31" s="1"/>
      <c r="E31" s="1"/>
      <c r="F31" s="1"/>
      <c r="G31" s="1"/>
      <c r="H31" s="1"/>
    </row>
    <row r="32" ht="26" customHeight="1">
      <c r="A32" s="1"/>
      <c r="B32" s="1" t="inlineStr">
        <is>
          <t>11. 同花顺界面供参考，未确认其内部收益算法。逐笔右侧显示每笔成交后的整个账户状态。</t>
        </is>
      </c>
      <c r="C32" s="1"/>
      <c r="D32" s="1"/>
      <c r="E32" s="1"/>
      <c r="F32" s="1"/>
      <c r="G32" s="1"/>
      <c r="H32" s="1"/>
    </row>
    <row r="33" ht="26" customHeight="1">
      <c r="A33" s="1"/>
      <c r="B33" s="1" t="inlineStr">
        <is>
          <t>12. 预置 500 笔公式。历史金额保留原记录；份额、费用或日期取得成交单后可修正，不必反推金额。</t>
        </is>
      </c>
      <c r="C33" s="1"/>
      <c r="D33" s="1"/>
      <c r="E33" s="1"/>
      <c r="F33" s="1"/>
      <c r="G33" s="1"/>
      <c r="H33" s="1"/>
    </row>
    <row r="34" ht="26" customHeight="1">
      <c r="A34" s="1"/>
      <c r="B34" s="1" t="inlineStr">
        <is>
          <t>13. 切换模式重算全部卖出历史，不改变市值或累计总盈亏；只改变本金与利润的分配及持有收益率。</t>
        </is>
      </c>
      <c r="C34" s="1"/>
      <c r="D34" s="1"/>
      <c r="E34" s="1"/>
      <c r="F34" s="1"/>
      <c r="G34" s="1"/>
      <c r="H34" s="1"/>
    </row>
    <row r="35" ht="26" customHeight="1">
      <c r="A35" s="1"/>
      <c r="B35" s="1" t="inlineStr">
        <is>
          <t>14. 自动比较公布净值与末笔交易净值，取日期较新者；删除记录自动回退。同日优先取公布净值。</t>
        </is>
      </c>
      <c r="C35" s="1"/>
      <c r="D35" s="1"/>
      <c r="E35" s="1"/>
      <c r="F35" s="1"/>
      <c r="G35" s="1"/>
      <c r="H35" s="1"/>
    </row>
    <row r="36" ht="34" customHeight="1">
      <c r="A36" s="1"/>
      <c r="B36" s="25" t="inlineStr">
        <is>
          <t>历史估算：净申购金额 = 原金额 ÷ (1 + 0.16%)；费用 = 原金额 − 净申购金额；份额 = 净额 ÷ 净值。</t>
        </is>
      </c>
      <c r="C36" s="25"/>
      <c r="D36" s="25"/>
      <c r="E36" s="25"/>
      <c r="F36" s="25"/>
      <c r="G36" s="25"/>
      <c r="H36" s="25"/>
    </row>
    <row r="37" ht="23" customHeight="1">
      <c r="A37" s="1"/>
      <c r="B37" s="1" t="inlineStr">
        <is>
          <t>公布净值日期</t>
        </is>
      </c>
      <c r="C37" s="15">
        <v>46288</v>
      </c>
      <c r="D37" s="1"/>
      <c r="E37" s="1" t="inlineStr">
        <is>
          <t>公布单位净值</t>
        </is>
      </c>
      <c r="F37" s="17">
        <v>6.4928</v>
      </c>
      <c r="G37" s="1"/>
      <c r="H37" s="1"/>
    </row>
    <row r="38" ht="34" customHeight="1">
      <c r="A38" s="1"/>
      <c r="B38" s="49" t="inlineStr">
        <is>
          <t>净值核验：广发基金 https://www.gffunds.com.cn/funds/?fundcode=270023（核验 2026-09-28；净值日 2026-09-23）</t>
        </is>
      </c>
      <c r="C38" s="49"/>
      <c r="D38" s="49"/>
      <c r="E38" s="49"/>
      <c r="F38" s="49"/>
      <c r="G38" s="49"/>
      <c r="H38" s="49"/>
    </row>
    <row r="39" ht="34" customHeight="1">
      <c r="A39" s="1"/>
      <c r="B39" s="35" t="inlineStr">
        <is>
          <t>公布净值需手动更新，不自动联网。历史费用、份额及净值日均含估算，不保证与平台账户完全一致。</t>
        </is>
      </c>
      <c r="C39" s="35"/>
      <c r="D39" s="35"/>
      <c r="E39" s="35"/>
      <c r="F39" s="35"/>
      <c r="G39" s="35"/>
      <c r="H39" s="35"/>
    </row>
    <row r="40" ht="34" customHeight="1">
      <c r="B40" s="48" t="inlineStr">
        <is>
          <t>用户确认：2026-08-05 之后无新增成交。历史 128 笔有效记录已导入，3 笔撤单或关闭已排除。</t>
        </is>
      </c>
      <c r="C40" s="48"/>
      <c r="D40" s="48"/>
      <c r="E40" s="48"/>
      <c r="F40" s="48"/>
      <c r="G40" s="48"/>
      <c r="H40" s="48"/>
    </row>
    <row r="41" ht="34" customHeight="1">
      <c r="B41" s="48" t="inlineStr">
        <is>
          <t>历史净值日暂按：15:00 前取当日或下一可用净值日，15:00 起取下一可用日；最终以成交单为准。</t>
        </is>
      </c>
      <c r="C41" s="48"/>
      <c r="D41" s="48"/>
      <c r="E41" s="48"/>
      <c r="F41" s="48"/>
      <c r="G41" s="48"/>
      <c r="H41" s="48"/>
    </row>
  </sheetData>
  <mergeCells>
    <mergeCell ref="B2:H2"/>
    <mergeCell ref="B3:H3"/>
    <mergeCell ref="C6:F6"/>
    <mergeCell ref="E7:H7"/>
    <mergeCell ref="B8:H8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B38:H38"/>
    <mergeCell ref="B39:H39"/>
    <mergeCell ref="B40:H40"/>
    <mergeCell ref="B41:H41"/>
  </mergeCells>
  <conditionalFormatting sqref="C13:C14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F15:F16">
    <cfRule type="cellIs" dxfId="0" priority="3" operator="greaterThan">
      <formula>0</formula>
    </cfRule>
    <cfRule type="cellIs" dxfId="1" priority="4" operator="lessThan">
      <formula>0</formula>
    </cfRule>
  </conditionalFormatting>
  <dataValidations count="1">
    <dataValidation type="list" sqref="C7">
      <formula1>"利润优先,本金优先"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466C98"/>
  </sheetPr>
  <sheetViews>
    <sheetView showGridLines="0" workbookViewId="0">
      <pane xSplit="2" ySplit="6" topLeftCell="C7" activePane="bottomRight" state="frozen"/>
    </sheetView>
  </sheetViews>
  <sheetFormatPr defaultColWidth="9" defaultRowHeight="14.25"/>
  <cols>
    <col min="1" max="1" width="15" customWidth="1"/>
    <col min="2" max="2" width="14" customWidth="1"/>
    <col min="3" max="3" width="13" customWidth="1"/>
    <col min="4" max="4" width="14" customWidth="1"/>
    <col min="5" max="5" width="23" customWidth="1"/>
    <col min="6" max="6" width="18" customWidth="1"/>
    <col min="7" max="7" width="15" customWidth="1"/>
    <col min="8" max="8" width="39" customWidth="1"/>
    <col min="9" max="9" width="30" customWidth="1"/>
    <col min="10" max="10" width="15" customWidth="1"/>
    <col min="11" max="11" width="17" customWidth="1"/>
    <col min="12" max="19" width="19" customWidth="1"/>
    <col min="20" max="20" width="18" customWidth="1"/>
    <col min="21" max="21" width="23" customWidth="1"/>
    <col min="22" max="25" width="20" customWidth="1"/>
    <col min="26" max="26" width="19" customWidth="1"/>
    <col min="27" max="27" width="16" customWidth="1"/>
    <col min="28" max="28" width="19" customWidth="1"/>
  </cols>
  <sheetData>
    <row r="1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2" customHeight="1">
      <c r="A2" s="2" t="inlineStr">
        <is>
          <t>广发全球精选 · 逐笔交易录入</t>
        </is>
      </c>
      <c r="B2" s="1"/>
      <c r="C2" s="1"/>
      <c r="D2" s="1"/>
      <c r="E2" s="1"/>
      <c r="F2" s="1"/>
      <c r="G2" s="1"/>
      <c r="H2" s="1"/>
      <c r="I2" s="1"/>
      <c r="J2" s="1" t="inlineStr">
        <is>
          <t>交易后账户明细（公式自动计算）</t>
        </is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3" customHeight="1">
      <c r="A3" s="1" t="inlineStr">
        <is>
          <t>新增买卖仅填写黄色五项：净值日期、交易类型、成交净值、确认份额、手续费（无费用填 0）。</t>
        </is>
      </c>
      <c r="B3" s="1"/>
      <c r="C3" s="1"/>
      <c r="D3" s="1"/>
      <c r="E3" s="1"/>
      <c r="F3" s="1"/>
      <c r="G3" s="1"/>
      <c r="H3" s="1"/>
      <c r="I3" s="1"/>
      <c r="J3" s="1" t="str">
        <f>"当前模式："&amp;'持仓总览'!C7&amp;"。卖出按所选模式分配；全部赎回时确认未收回本金的亏损。"</f>
        <v>当前模式：利润优先。卖出按所选模式分配；全部赎回时确认未收回本金的亏损。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3" customHeight="1">
      <c r="A4" s="1" t="inlineStr">
        <is>
          <t>已导入 128 笔历史估算，排除 3 笔未成交；新增交易从第 135 行填写，金额及持仓自动计算。</t>
        </is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34" customHeight="1">
      <c r="A6" s="3" t="inlineStr">
        <is>
          <t>净值日期</t>
        </is>
      </c>
      <c r="B6" s="3" t="inlineStr">
        <is>
          <t>交易类型</t>
        </is>
      </c>
      <c r="C6" s="3" t="inlineStr">
        <is>
          <t>成交净值</t>
        </is>
      </c>
      <c r="D6" s="3" t="inlineStr">
        <is>
          <t>确认份额</t>
        </is>
      </c>
      <c r="E6" s="4" t="inlineStr">
        <is>
          <t>金额（新增自动计算）</t>
        </is>
      </c>
      <c r="F6" s="4" t="inlineStr">
        <is>
          <t>手续费（元）</t>
        </is>
      </c>
      <c r="G6" s="4" t="inlineStr">
        <is>
          <t>状态</t>
        </is>
      </c>
      <c r="H6" s="4" t="inlineStr">
        <is>
          <t>说明</t>
        </is>
      </c>
      <c r="I6" s="4" t="inlineStr">
        <is>
          <t>录入检查</t>
        </is>
      </c>
      <c r="J6" s="3" t="inlineStr">
        <is>
          <t>份额变动</t>
        </is>
      </c>
      <c r="K6" s="3" t="inlineStr">
        <is>
          <t>交易后份额</t>
        </is>
      </c>
      <c r="L6" s="3" t="inlineStr">
        <is>
          <t>交易前市值</t>
        </is>
      </c>
      <c r="M6" s="3" t="inlineStr">
        <is>
          <t>可提取利润</t>
        </is>
      </c>
      <c r="N6" s="3" t="inlineStr">
        <is>
          <t>本笔提取利润</t>
        </is>
      </c>
      <c r="O6" s="3" t="inlineStr">
        <is>
          <t>本笔收回本金</t>
        </is>
      </c>
      <c r="P6" s="3" t="inlineStr">
        <is>
          <t>清仓确认亏损</t>
        </is>
      </c>
      <c r="Q6" s="3" t="inlineStr">
        <is>
          <t>交易后本金</t>
        </is>
      </c>
      <c r="R6" s="3" t="inlineStr">
        <is>
          <t>交易后市值</t>
        </is>
      </c>
      <c r="S6" s="3" t="inlineStr">
        <is>
          <t>交易后盈亏</t>
        </is>
      </c>
      <c r="T6" s="3" t="inlineStr">
        <is>
          <t>交易后收益率</t>
        </is>
      </c>
      <c r="U6" s="3" t="inlineStr">
        <is>
          <t>累计买入支出</t>
        </is>
      </c>
      <c r="V6" s="3" t="inlineStr">
        <is>
          <t>累计收回金额</t>
        </is>
      </c>
      <c r="W6" s="3" t="inlineStr">
        <is>
          <t>累计提取利润</t>
        </is>
      </c>
      <c r="X6" s="3" t="inlineStr">
        <is>
          <t>累计结清亏损</t>
        </is>
      </c>
      <c r="Y6" s="3" t="inlineStr">
        <is>
          <t>累计总盈亏</t>
        </is>
      </c>
      <c r="Z6" s="3" t="inlineStr">
        <is>
          <t>最近成交净值日</t>
        </is>
      </c>
      <c r="AA6" s="3" t="inlineStr">
        <is>
          <t>计算链状态</t>
        </is>
      </c>
      <c r="AB6" t="inlineStr">
        <is>
          <t>最近成交净值</t>
        </is>
      </c>
    </row>
    <row r="7" ht="42" customHeight="1">
      <c r="A7" s="36">
        <v>46009</v>
      </c>
      <c r="B7" s="37" t="inlineStr">
        <is>
          <t>定投</t>
        </is>
      </c>
      <c r="C7" s="38">
        <v>4.5593</v>
      </c>
      <c r="D7" s="39">
        <v>43.8</v>
      </c>
      <c r="E7" s="39">
        <v>200</v>
      </c>
      <c r="F7" s="39">
        <v>0.32</v>
      </c>
      <c r="G7" s="37" t="inlineStr">
        <is>
          <t>历史估算</t>
        </is>
      </c>
      <c r="H7" s="40" t="inlineStr">
        <is>
          <t>原下单 2025-12-18 07:52:23
净值日／份额暂估，手续费按 0.16%</t>
        </is>
      </c>
      <c r="I7" s="10" t="str">
        <f>IF(COUNTA(A7:H7)=0,"",IF(OR(OR(OR(G7="撤单",G7="交易失败",G7="交易关闭"),G7="交易失败",G7="交易关闭"),G7="交易失败",G7="交易关闭"),"已排除",IF(G7="待确认","待确认",IF(NOT(OR(G7="已确认",G7="历史估算")),"请选择确认状态",IF(NOT(ISNUMBER(A7)),"缺少有效净值日期",IF(OR(A7&lt;=0,A7&lt;&gt;INT(A7)),"净值日期无效",IF(NOT(OR(OR(B7="买入",B7="定投",B7="转换转入"),B7="卖出",B7="现金分红",B7="红利再投")),"请选择交易类型",IF(NOT(ISNUMBER(C7)),"缺少成交净值",IF(C7&lt;=0,"成交净值须大于零",IF(NOT(ISNUMBER(D7)),"缺少确认份额（分红填0）",IF(NOT(ISNUMBER(E7)),"缺少确认金额（再投填0）",IF(NOT(ISNUMBER(F7)),"缺少手续费（无费用填0）",IF(OR(D7&lt;0,E7&lt;0,F7&lt;0),"份额金额费用不能为负",IF("正常"="错误","前行待修正",IF(A7&lt;0,"日期需按成交顺序递增",IF(AND(B7="现金分红",OR(D7&lt;&gt;0,E7&lt;=0,F7&lt;&gt;0)),"分红填份额0、费用0、正金额",IF(AND(B7="红利再投",OR(D7&lt;=0,E7&lt;&gt;0,F7&lt;&gt;0)),"再投填正份额、金额0、费用0",IF(AND(OR(B7="现金分红",B7="红利再投"),0&lt;=0),"分红或再投前须有持仓",IF(AND(OR(OR(B7="买入",B7="定投",B7="转换转入"),B7="卖出"),OR(D7&lt;=0,E7&lt;=0)),"买卖须填正份额、正金额",IF(AND(B7="卖出",D7&gt;0+0.000001),"卖出份额超过持仓",IF(AND(OR(B7="买入",B7="定投",B7="转换转入"),F7&gt;=E7)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7="买入",B7="定投",B7="转换转入"),ABS(E7-F7-C7*D7)&gt;'持仓总览'!$H$6),"买入金额与份额净值不符",IF(AND(B7="卖出",ABS(E7+F7-C7*D7)&gt;'持仓总览'!$H$6),"到账加费用与赎回市值不符","已计入"))))))))))))))))))))))))))</f>
        <v>已计入</v>
      </c>
      <c r="J7" s="11">
        <f t="shared" ref="J7:J70" si="0">IF(AA7="正常",IF(I7="已计入",IF(OR(OR(B7="买入",B7="定投",B7="转换转入"),B7="红利再投"),D7,IF(B7="卖出",-D7,0)),0),"")</f>
        <v>43.8</v>
      </c>
      <c r="K7" s="11">
        <f>IF(AA7="正常",ROUND(0+J7,6),"")</f>
        <v>43.8</v>
      </c>
      <c r="L7" s="11">
        <f>IF(I7="已计入",ROUND(0*C7,2),"")</f>
        <v>0</v>
      </c>
      <c r="M7" s="11">
        <f>IF(I7="已计入",IF(B7="卖出",MAX(0,L7-0-F7),IF(B7="现金分红",MAX(0,L7+E7-0),0)),"")</f>
        <v>0</v>
      </c>
      <c r="N7" s="11">
        <f>IF(I7="已计入",IF(AND(B7="卖出",'持仓总览'!$C$7="本金优先"),MAX(0,E7-0),IF(OR(B7="卖出",B7="现金分红"),MIN(E7,M7),0)),"")</f>
        <v>0</v>
      </c>
      <c r="O7" s="11">
        <f>IF(I7="已计入",IF(OR(B7="卖出",B7="现金分红"),MIN(0,MAX(0,E7-N7)),0),"")</f>
        <v>0</v>
      </c>
      <c r="P7" s="11">
        <f>IF(I7="已计入",IF(AND(B7="卖出",K7=0),MAX(0,0-O7),0),"")</f>
        <v>0</v>
      </c>
      <c r="Q7" s="11">
        <f>IF(AA7="正常",IF(I7="已计入",ROUND(0+IF(OR(B7="买入",B7="定投",B7="转换转入"),E7,0)-O7-P7,2),0),"")</f>
        <v>200</v>
      </c>
      <c r="R7" s="11">
        <f t="shared" ref="R7:R70" si="1">IF(I7="已计入",ROUND(K7*C7,2),"")</f>
        <v>199.7</v>
      </c>
      <c r="S7" s="11">
        <f t="shared" ref="S7:S70" si="2">IF(I7="已计入",ROUND(R7-Q7,2),"")</f>
        <v>-0.3</v>
      </c>
      <c r="T7" s="12">
        <f t="shared" ref="T7:T70" si="3">IF(I7="已计入",IF(Q7=0,"",S7/Q7),"")</f>
        <v>-0.0015</v>
      </c>
      <c r="U7" s="11">
        <f>IF(AA7="正常",0+IF(AND(I7="已计入",OR(B7="买入",B7="定投",B7="转换转入")),E7,0),"")</f>
        <v>200</v>
      </c>
      <c r="V7" s="11">
        <f>IF(AA7="正常",0+IF(AND(I7="已计入",OR(B7="卖出",B7="现金分红")),E7,0),"")</f>
        <v>0</v>
      </c>
      <c r="W7" s="11">
        <f>IF(AA7="正常",0+IF(I7="已计入",N7,0),"")</f>
        <v>0</v>
      </c>
      <c r="X7" s="11">
        <f>IF(AA7="正常",0+IF(I7="已计入",P7,0),"")</f>
        <v>0</v>
      </c>
      <c r="Y7" s="11">
        <f t="shared" ref="Y7:Y70" si="4">IF(I7="已计入",ROUND(R7+V7-U7,2),"")</f>
        <v>-0.3</v>
      </c>
      <c r="Z7" s="13">
        <f>IF(AA7="正常",IF(I7="已计入",A7,0),"")</f>
        <v>46009</v>
      </c>
      <c r="AA7" s="10" t="str">
        <f>IF(OR("正常"="错误",AND(I7&lt;&gt;"",I7&lt;&gt;"已排除",I7&lt;&gt;"待确认",I7&lt;&gt;"已计入")),"错误","正常")</f>
        <v>正常</v>
      </c>
      <c r="AB7" s="14">
        <f>IF(AA7="正常",IF(I7="已计入",C7,0),"")</f>
        <v>4.5593</v>
      </c>
    </row>
    <row r="8" ht="42" customHeight="1">
      <c r="A8" s="36">
        <v>46010</v>
      </c>
      <c r="B8" s="37" t="inlineStr">
        <is>
          <t>定投</t>
        </is>
      </c>
      <c r="C8" s="38">
        <v>4.6417</v>
      </c>
      <c r="D8" s="39">
        <v>43.02</v>
      </c>
      <c r="E8" s="39">
        <v>200</v>
      </c>
      <c r="F8" s="39">
        <v>0.32</v>
      </c>
      <c r="G8" s="37" t="inlineStr">
        <is>
          <t>历史估算</t>
        </is>
      </c>
      <c r="H8" s="40" t="inlineStr">
        <is>
          <t>原下单 2025-12-19 10:18:48
净值日／份额暂估，手续费按 0.16%</t>
        </is>
      </c>
      <c r="I8" s="10" t="str">
        <f>IF(COUNTA(A8:H8)=0,"",IF(OR(OR(OR(G8="撤单",G8="交易失败",G8="交易关闭"),G8="交易失败",G8="交易关闭"),G8="交易失败",G8="交易关闭"),"已排除",IF(G8="待确认","待确认",IF(NOT(OR(G8="已确认",G8="历史估算")),"请选择确认状态",IF(NOT(ISNUMBER(A8)),"缺少有效净值日期",IF(OR(A8&lt;=0,A8&lt;&gt;INT(A8)),"净值日期无效",IF(NOT(OR(OR(B8="买入",B8="定投",B8="转换转入"),B8="卖出",B8="现金分红",B8="红利再投")),"请选择交易类型",IF(NOT(ISNUMBER(C8)),"缺少成交净值",IF(C8&lt;=0,"成交净值须大于零",IF(NOT(ISNUMBER(D8)),"缺少确认份额（分红填0）",IF(NOT(ISNUMBER(E8)),"缺少确认金额（再投填0）",IF(NOT(ISNUMBER(F8)),"缺少手续费（无费用填0）",IF(OR(D8&lt;0,E8&lt;0,F8&lt;0),"份额金额费用不能为负",IF(AA7="错误","前行待修正",IF(A8&lt;Z7,"日期需按成交顺序递增",IF(AND(B8="现金分红",OR(D8&lt;&gt;0,E8&lt;=0,F8&lt;&gt;0)),"分红填份额0、费用0、正金额",IF(AND(B8="红利再投",OR(D8&lt;=0,E8&lt;&gt;0,F8&lt;&gt;0)),"再投填正份额、金额0、费用0",IF(AND(OR(B8="现金分红",B8="红利再投"),K7&lt;=0),"分红或再投前须有持仓",IF(AND(OR(OR(B8="买入",B8="定投",B8="转换转入"),B8="卖出"),OR(D8&lt;=0,E8&lt;=0)),"买卖须填正份额、正金额",IF(AND(B8="卖出",D8&gt;K7+0.000001),"卖出份额超过持仓",IF(AND(OR(B8="买入",B8="定投",B8="转换转入"),F8&gt;=E8)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8="买入",B8="定投",B8="转换转入"),ABS(E8-F8-C8*D8)&gt;'持仓总览'!$H$6),"买入金额与份额净值不符",IF(AND(B8="卖出",ABS(E8+F8-C8*D8)&gt;'持仓总览'!$H$6),"到账加费用与赎回市值不符","已计入"))))))))))))))))))))))))))</f>
        <v>已计入</v>
      </c>
      <c r="J8" s="11">
        <f t="shared" si="0">IF(AA8="正常",IF(I8="已计入",IF(OR(OR(B8="买入",B8="定投",B8="转换转入"),B8="红利再投"),D8,IF(B8="卖出",-D8,0)),0),"")</f>
        <v>43.02</v>
      </c>
      <c r="K8" s="11">
        <f t="shared" ref="K8:K71" si="5">IF(AA8="正常",ROUND(K7+J8,6),"")</f>
        <v>86.82</v>
      </c>
      <c r="L8" s="11">
        <f t="shared" ref="L8:L71" si="6">IF(I8="已计入",ROUND(K7*C8,2),"")</f>
        <v>203.31</v>
      </c>
      <c r="M8" s="11">
        <f t="shared" ref="M8:M71" si="7">IF(I8="已计入",IF(B8="卖出",MAX(0,L8-Q7-F8),IF(B8="现金分红",MAX(0,L8+E8-Q7),0)),"")</f>
        <v>0</v>
      </c>
      <c r="N8" s="11">
        <f>IF(I8="已计入",IF(AND(B8="卖出",'持仓总览'!$C$7="本金优先"),MAX(0,E8-Q7),IF(OR(B8="卖出",B8="现金分红"),MIN(E8,M8),0)),"")</f>
        <v>0</v>
      </c>
      <c r="O8" s="11">
        <f t="shared" ref="O8:O71" si="8">IF(I8="已计入",IF(OR(B8="卖出",B8="现金分红"),MIN(Q7,MAX(0,E8-N8)),0),"")</f>
        <v>0</v>
      </c>
      <c r="P8" s="11">
        <f t="shared" ref="P8:P71" si="9">IF(I8="已计入",IF(AND(B8="卖出",K8=0),MAX(0,Q7-O8),0),"")</f>
        <v>0</v>
      </c>
      <c r="Q8" s="11">
        <f t="shared" ref="Q8:Q71" si="10">IF(AA8="正常",IF(I8="已计入",ROUND(Q7+IF(OR(B8="买入",B8="定投",B8="转换转入"),E8,0)-O8-P8,2),Q7),"")</f>
        <v>400</v>
      </c>
      <c r="R8" s="11">
        <f t="shared" si="1">IF(I8="已计入",ROUND(K8*C8,2),"")</f>
        <v>402.99</v>
      </c>
      <c r="S8" s="11">
        <f t="shared" si="2">IF(I8="已计入",ROUND(R8-Q8,2),"")</f>
        <v>2.99</v>
      </c>
      <c r="T8" s="12">
        <f t="shared" si="3">IF(I8="已计入",IF(Q8=0,"",S8/Q8),"")</f>
        <v>0.007475000000000001</v>
      </c>
      <c r="U8" s="11">
        <f t="shared" ref="U8:U71" si="11">IF(AA8="正常",U7+IF(AND(I8="已计入",OR(B8="买入",B8="定投",B8="转换转入")),E8,0),"")</f>
        <v>400</v>
      </c>
      <c r="V8" s="11">
        <f t="shared" ref="V8:V71" si="12">IF(AA8="正常",V7+IF(AND(I8="已计入",OR(B8="卖出",B8="现金分红")),E8,0),"")</f>
        <v>0</v>
      </c>
      <c r="W8" s="11">
        <f t="shared" ref="W8:W71" si="13">IF(AA8="正常",W7+IF(I8="已计入",N8,0),"")</f>
        <v>0</v>
      </c>
      <c r="X8" s="11">
        <f t="shared" ref="X8:X71" si="14">IF(AA8="正常",X7+IF(I8="已计入",P8,0),"")</f>
        <v>0</v>
      </c>
      <c r="Y8" s="11">
        <f t="shared" si="4">IF(I8="已计入",ROUND(R8+V8-U8,2),"")</f>
        <v>2.99</v>
      </c>
      <c r="Z8" s="13">
        <f t="shared" ref="Z8:Z71" si="15">IF(AA8="正常",IF(I8="已计入",A8,Z7),"")</f>
        <v>46010</v>
      </c>
      <c r="AA8" s="10" t="str">
        <f t="shared" ref="AA8:AA71" si="16">IF(OR(AA7="错误",AND(I8&lt;&gt;"",I8&lt;&gt;"已排除",I8&lt;&gt;"待确认",I8&lt;&gt;"已计入")),"错误","正常")</f>
        <v>正常</v>
      </c>
      <c r="AB8" s="14">
        <f t="shared" ref="AB8:AB71" si="17">IF(AA8="正常",IF(I8="已计入",C8,AB7),"")</f>
        <v>4.6417</v>
      </c>
    </row>
    <row r="9" ht="42" customHeight="1">
      <c r="A9" s="36">
        <v>46013</v>
      </c>
      <c r="B9" s="37" t="inlineStr">
        <is>
          <t>定投</t>
        </is>
      </c>
      <c r="C9" s="38">
        <v>4.705</v>
      </c>
      <c r="D9" s="39">
        <v>42.44</v>
      </c>
      <c r="E9" s="39">
        <v>200</v>
      </c>
      <c r="F9" s="39">
        <v>0.32</v>
      </c>
      <c r="G9" s="37" t="inlineStr">
        <is>
          <t>历史估算</t>
        </is>
      </c>
      <c r="H9" s="40" t="inlineStr">
        <is>
          <t>原下单 2025-12-22 10:22:46
净值日／份额暂估，手续费按 0.16%</t>
        </is>
      </c>
      <c r="I9" s="10" t="str">
        <f>IF(COUNTA(A9:H9)=0,"",IF(OR(OR(OR(G9="撤单",G9="交易失败",G9="交易关闭"),G9="交易失败",G9="交易关闭"),G9="交易失败",G9="交易关闭"),"已排除",IF(G9="待确认","待确认",IF(NOT(OR(G9="已确认",G9="历史估算")),"请选择确认状态",IF(NOT(ISNUMBER(A9)),"缺少有效净值日期",IF(OR(A9&lt;=0,A9&lt;&gt;INT(A9)),"净值日期无效",IF(NOT(OR(OR(B9="买入",B9="定投",B9="转换转入"),B9="卖出",B9="现金分红",B9="红利再投")),"请选择交易类型",IF(NOT(ISNUMBER(C9)),"缺少成交净值",IF(C9&lt;=0,"成交净值须大于零",IF(NOT(ISNUMBER(D9)),"缺少确认份额（分红填0）",IF(NOT(ISNUMBER(E9)),"缺少确认金额（再投填0）",IF(NOT(ISNUMBER(F9)),"缺少手续费（无费用填0）",IF(OR(D9&lt;0,E9&lt;0,F9&lt;0),"份额金额费用不能为负",IF(AA8="错误","前行待修正",IF(A9&lt;Z8,"日期需按成交顺序递增",IF(AND(B9="现金分红",OR(D9&lt;&gt;0,E9&lt;=0,F9&lt;&gt;0)),"分红填份额0、费用0、正金额",IF(AND(B9="红利再投",OR(D9&lt;=0,E9&lt;&gt;0,F9&lt;&gt;0)),"再投填正份额、金额0、费用0",IF(AND(OR(B9="现金分红",B9="红利再投"),K8&lt;=0),"分红或再投前须有持仓",IF(AND(OR(OR(B9="买入",B9="定投",B9="转换转入"),B9="卖出"),OR(D9&lt;=0,E9&lt;=0)),"买卖须填正份额、正金额",IF(AND(B9="卖出",D9&gt;K8+0.000001),"卖出份额超过持仓",IF(AND(OR(B9="买入",B9="定投",B9="转换转入"),F9&gt;=E9)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9="买入",B9="定投",B9="转换转入"),ABS(E9-F9-C9*D9)&gt;'持仓总览'!$H$6),"买入金额与份额净值不符",IF(AND(B9="卖出",ABS(E9+F9-C9*D9)&gt;'持仓总览'!$H$6),"到账加费用与赎回市值不符","已计入"))))))))))))))))))))))))))</f>
        <v>已计入</v>
      </c>
      <c r="J9" s="11">
        <f t="shared" si="0">IF(AA9="正常",IF(I9="已计入",IF(OR(OR(B9="买入",B9="定投",B9="转换转入"),B9="红利再投"),D9,IF(B9="卖出",-D9,0)),0),"")</f>
        <v>42.44</v>
      </c>
      <c r="K9" s="11">
        <f t="shared" si="5">IF(AA9="正常",ROUND(K8+J9,6),"")</f>
        <v>129.26</v>
      </c>
      <c r="L9" s="11">
        <f t="shared" si="6">IF(I9="已计入",ROUND(K8*C9,2),"")</f>
        <v>408.49</v>
      </c>
      <c r="M9" s="11">
        <f t="shared" si="7">IF(I9="已计入",IF(B9="卖出",MAX(0,L9-Q8-F9),IF(B9="现金分红",MAX(0,L9+E9-Q8),0)),"")</f>
        <v>0</v>
      </c>
      <c r="N9" s="11">
        <f>IF(I9="已计入",IF(AND(B9="卖出",'持仓总览'!$C$7="本金优先"),MAX(0,E9-Q8),IF(OR(B9="卖出",B9="现金分红"),MIN(E9,M9),0)),"")</f>
        <v>0</v>
      </c>
      <c r="O9" s="11">
        <f t="shared" si="8">IF(I9="已计入",IF(OR(B9="卖出",B9="现金分红"),MIN(Q8,MAX(0,E9-N9)),0),"")</f>
        <v>0</v>
      </c>
      <c r="P9" s="11">
        <f t="shared" si="9">IF(I9="已计入",IF(AND(B9="卖出",K9=0),MAX(0,Q8-O9),0),"")</f>
        <v>0</v>
      </c>
      <c r="Q9" s="11">
        <f t="shared" si="10">IF(AA9="正常",IF(I9="已计入",ROUND(Q8+IF(OR(B9="买入",B9="定投",B9="转换转入"),E9,0)-O9-P9,2),Q8),"")</f>
        <v>600</v>
      </c>
      <c r="R9" s="11">
        <f t="shared" si="1">IF(I9="已计入",ROUND(K9*C9,2),"")</f>
        <v>608.17</v>
      </c>
      <c r="S9" s="11">
        <f t="shared" si="2">IF(I9="已计入",ROUND(R9-Q9,2),"")</f>
        <v>8.17</v>
      </c>
      <c r="T9" s="12">
        <f t="shared" si="3">IF(I9="已计入",IF(Q9=0,"",S9/Q9),"")</f>
        <v>0.013616666666666666</v>
      </c>
      <c r="U9" s="11">
        <f t="shared" si="11">IF(AA9="正常",U8+IF(AND(I9="已计入",OR(B9="买入",B9="定投",B9="转换转入")),E9,0),"")</f>
        <v>600</v>
      </c>
      <c r="V9" s="11">
        <f t="shared" si="12">IF(AA9="正常",V8+IF(AND(I9="已计入",OR(B9="卖出",B9="现金分红")),E9,0),"")</f>
        <v>0</v>
      </c>
      <c r="W9" s="11">
        <f t="shared" si="13">IF(AA9="正常",W8+IF(I9="已计入",N9,0),"")</f>
        <v>0</v>
      </c>
      <c r="X9" s="11">
        <f t="shared" si="14">IF(AA9="正常",X8+IF(I9="已计入",P9,0),"")</f>
        <v>0</v>
      </c>
      <c r="Y9" s="11">
        <f t="shared" si="4">IF(I9="已计入",ROUND(R9+V9-U9,2),"")</f>
        <v>8.17</v>
      </c>
      <c r="Z9" s="13">
        <f t="shared" si="15">IF(AA9="正常",IF(I9="已计入",A9,Z8),"")</f>
        <v>46013</v>
      </c>
      <c r="AA9" s="10" t="str">
        <f t="shared" si="16">IF(OR(AA8="错误",AND(I9&lt;&gt;"",I9&lt;&gt;"已排除",I9&lt;&gt;"待确认",I9&lt;&gt;"已计入")),"错误","正常")</f>
        <v>正常</v>
      </c>
      <c r="AB9" s="14">
        <f t="shared" si="17">IF(AA9="正常",IF(I9="已计入",C9,AB8),"")</f>
        <v>4.705</v>
      </c>
    </row>
    <row r="10" ht="42" customHeight="1">
      <c r="A10" s="36">
        <v>46014</v>
      </c>
      <c r="B10" s="37" t="inlineStr">
        <is>
          <t>定投</t>
        </is>
      </c>
      <c r="C10" s="38">
        <v>4.7213</v>
      </c>
      <c r="D10" s="39">
        <v>42.29</v>
      </c>
      <c r="E10" s="39">
        <v>200</v>
      </c>
      <c r="F10" s="39">
        <v>0.32</v>
      </c>
      <c r="G10" s="37" t="inlineStr">
        <is>
          <t>历史估算</t>
        </is>
      </c>
      <c r="H10" s="40" t="inlineStr">
        <is>
          <t>原下单 2025-12-23 10:15:37
净值日／份额暂估，手续费按 0.16%</t>
        </is>
      </c>
      <c r="I10" s="10" t="str">
        <f>IF(COUNTA(A10:H10)=0,"",IF(OR(OR(OR(G10="撤单",G10="交易失败",G10="交易关闭"),G10="交易失败",G10="交易关闭"),G10="交易失败",G10="交易关闭"),"已排除",IF(G10="待确认","待确认",IF(NOT(OR(G10="已确认",G10="历史估算")),"请选择确认状态",IF(NOT(ISNUMBER(A10)),"缺少有效净值日期",IF(OR(A10&lt;=0,A10&lt;&gt;INT(A10)),"净值日期无效",IF(NOT(OR(OR(B10="买入",B10="定投",B10="转换转入"),B10="卖出",B10="现金分红",B10="红利再投")),"请选择交易类型",IF(NOT(ISNUMBER(C10)),"缺少成交净值",IF(C10&lt;=0,"成交净值须大于零",IF(NOT(ISNUMBER(D10)),"缺少确认份额（分红填0）",IF(NOT(ISNUMBER(E10)),"缺少确认金额（再投填0）",IF(NOT(ISNUMBER(F10)),"缺少手续费（无费用填0）",IF(OR(D10&lt;0,E10&lt;0,F10&lt;0),"份额金额费用不能为负",IF(AA9="错误","前行待修正",IF(A10&lt;Z9,"日期需按成交顺序递增",IF(AND(B10="现金分红",OR(D10&lt;&gt;0,E10&lt;=0,F10&lt;&gt;0)),"分红填份额0、费用0、正金额",IF(AND(B10="红利再投",OR(D10&lt;=0,E10&lt;&gt;0,F10&lt;&gt;0)),"再投填正份额、金额0、费用0",IF(AND(OR(B10="现金分红",B10="红利再投"),K9&lt;=0),"分红或再投前须有持仓",IF(AND(OR(OR(B10="买入",B10="定投",B10="转换转入"),B10="卖出"),OR(D10&lt;=0,E10&lt;=0)),"买卖须填正份额、正金额",IF(AND(B10="卖出",D10&gt;K9+0.000001),"卖出份额超过持仓",IF(AND(OR(B10="买入",B10="定投",B10="转换转入"),F10&gt;=E10)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10="买入",B10="定投",B10="转换转入"),ABS(E10-F10-C10*D10)&gt;'持仓总览'!$H$6),"买入金额与份额净值不符",IF(AND(B10="卖出",ABS(E10+F10-C10*D10)&gt;'持仓总览'!$H$6),"到账加费用与赎回市值不符","已计入"))))))))))))))))))))))))))</f>
        <v>已计入</v>
      </c>
      <c r="J10" s="11">
        <f t="shared" si="0">IF(AA10="正常",IF(I10="已计入",IF(OR(OR(B10="买入",B10="定投",B10="转换转入"),B10="红利再投"),D10,IF(B10="卖出",-D10,0)),0),"")</f>
        <v>42.29</v>
      </c>
      <c r="K10" s="11">
        <f t="shared" si="5">IF(AA10="正常",ROUND(K9+J10,6),"")</f>
        <v>171.55</v>
      </c>
      <c r="L10" s="11">
        <f t="shared" si="6">IF(I10="已计入",ROUND(K9*C10,2),"")</f>
        <v>610.28</v>
      </c>
      <c r="M10" s="11">
        <f t="shared" si="7">IF(I10="已计入",IF(B10="卖出",MAX(0,L10-Q9-F10),IF(B10="现金分红",MAX(0,L10+E10-Q9),0)),"")</f>
        <v>0</v>
      </c>
      <c r="N10" s="11">
        <f>IF(I10="已计入",IF(AND(B10="卖出",'持仓总览'!$C$7="本金优先"),MAX(0,E10-Q9),IF(OR(B10="卖出",B10="现金分红"),MIN(E10,M10),0)),"")</f>
        <v>0</v>
      </c>
      <c r="O10" s="11">
        <f t="shared" si="8">IF(I10="已计入",IF(OR(B10="卖出",B10="现金分红"),MIN(Q9,MAX(0,E10-N10)),0),"")</f>
        <v>0</v>
      </c>
      <c r="P10" s="11">
        <f t="shared" si="9">IF(I10="已计入",IF(AND(B10="卖出",K10=0),MAX(0,Q9-O10),0),"")</f>
        <v>0</v>
      </c>
      <c r="Q10" s="11">
        <f t="shared" si="10">IF(AA10="正常",IF(I10="已计入",ROUND(Q9+IF(OR(B10="买入",B10="定投",B10="转换转入"),E10,0)-O10-P10,2),Q9),"")</f>
        <v>800</v>
      </c>
      <c r="R10" s="11">
        <f t="shared" si="1">IF(I10="已计入",ROUND(K10*C10,2),"")</f>
        <v>809.94</v>
      </c>
      <c r="S10" s="11">
        <f t="shared" si="2">IF(I10="已计入",ROUND(R10-Q10,2),"")</f>
        <v>9.94</v>
      </c>
      <c r="T10" s="12">
        <f t="shared" si="3">IF(I10="已计入",IF(Q10=0,"",S10/Q10),"")</f>
        <v>0.012424999999999999</v>
      </c>
      <c r="U10" s="11">
        <f t="shared" si="11">IF(AA10="正常",U9+IF(AND(I10="已计入",OR(B10="买入",B10="定投",B10="转换转入")),E10,0),"")</f>
        <v>800</v>
      </c>
      <c r="V10" s="11">
        <f t="shared" si="12">IF(AA10="正常",V9+IF(AND(I10="已计入",OR(B10="卖出",B10="现金分红")),E10,0),"")</f>
        <v>0</v>
      </c>
      <c r="W10" s="11">
        <f t="shared" si="13">IF(AA10="正常",W9+IF(I10="已计入",N10,0),"")</f>
        <v>0</v>
      </c>
      <c r="X10" s="11">
        <f t="shared" si="14">IF(AA10="正常",X9+IF(I10="已计入",P10,0),"")</f>
        <v>0</v>
      </c>
      <c r="Y10" s="11">
        <f t="shared" si="4">IF(I10="已计入",ROUND(R10+V10-U10,2),"")</f>
        <v>9.94</v>
      </c>
      <c r="Z10" s="13">
        <f t="shared" si="15">IF(AA10="正常",IF(I10="已计入",A10,Z9),"")</f>
        <v>46014</v>
      </c>
      <c r="AA10" s="10" t="str">
        <f t="shared" si="16">IF(OR(AA9="错误",AND(I10&lt;&gt;"",I10&lt;&gt;"已排除",I10&lt;&gt;"待确认",I10&lt;&gt;"已计入")),"错误","正常")</f>
        <v>正常</v>
      </c>
      <c r="AB10" s="14">
        <f t="shared" si="17">IF(AA10="正常",IF(I10="已计入",C10,AB9),"")</f>
        <v>4.7213</v>
      </c>
    </row>
    <row r="11" ht="42" customHeight="1">
      <c r="A11" s="36">
        <v>46015</v>
      </c>
      <c r="B11" s="37" t="inlineStr">
        <is>
          <t>定投</t>
        </is>
      </c>
      <c r="C11" s="38">
        <v>4.7416</v>
      </c>
      <c r="D11" s="39">
        <v>42.11</v>
      </c>
      <c r="E11" s="39">
        <v>200</v>
      </c>
      <c r="F11" s="39">
        <v>0.32</v>
      </c>
      <c r="G11" s="37" t="inlineStr">
        <is>
          <t>历史估算</t>
        </is>
      </c>
      <c r="H11" s="40" t="inlineStr">
        <is>
          <t>原下单 2025-12-24 10:12:32
净值日／份额暂估，手续费按 0.16%</t>
        </is>
      </c>
      <c r="I11" s="10" t="str">
        <f>IF(COUNTA(A11:H11)=0,"",IF(OR(OR(OR(G11="撤单",G11="交易失败",G11="交易关闭"),G11="交易失败",G11="交易关闭"),G11="交易失败",G11="交易关闭"),"已排除",IF(G11="待确认","待确认",IF(NOT(OR(G11="已确认",G11="历史估算")),"请选择确认状态",IF(NOT(ISNUMBER(A11)),"缺少有效净值日期",IF(OR(A11&lt;=0,A11&lt;&gt;INT(A11)),"净值日期无效",IF(NOT(OR(OR(B11="买入",B11="定投",B11="转换转入"),B11="卖出",B11="现金分红",B11="红利再投")),"请选择交易类型",IF(NOT(ISNUMBER(C11)),"缺少成交净值",IF(C11&lt;=0,"成交净值须大于零",IF(NOT(ISNUMBER(D11)),"缺少确认份额（分红填0）",IF(NOT(ISNUMBER(E11)),"缺少确认金额（再投填0）",IF(NOT(ISNUMBER(F11)),"缺少手续费（无费用填0）",IF(OR(D11&lt;0,E11&lt;0,F11&lt;0),"份额金额费用不能为负",IF(AA10="错误","前行待修正",IF(A11&lt;Z10,"日期需按成交顺序递增",IF(AND(B11="现金分红",OR(D11&lt;&gt;0,E11&lt;=0,F11&lt;&gt;0)),"分红填份额0、费用0、正金额",IF(AND(B11="红利再投",OR(D11&lt;=0,E11&lt;&gt;0,F11&lt;&gt;0)),"再投填正份额、金额0、费用0",IF(AND(OR(B11="现金分红",B11="红利再投"),K10&lt;=0),"分红或再投前须有持仓",IF(AND(OR(OR(B11="买入",B11="定投",B11="转换转入"),B11="卖出"),OR(D11&lt;=0,E11&lt;=0)),"买卖须填正份额、正金额",IF(AND(B11="卖出",D11&gt;K10+0.000001),"卖出份额超过持仓",IF(AND(OR(B11="买入",B11="定投",B11="转换转入"),F11&gt;=E11)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11="买入",B11="定投",B11="转换转入"),ABS(E11-F11-C11*D11)&gt;'持仓总览'!$H$6),"买入金额与份额净值不符",IF(AND(B11="卖出",ABS(E11+F11-C11*D11)&gt;'持仓总览'!$H$6),"到账加费用与赎回市值不符","已计入"))))))))))))))))))))))))))</f>
        <v>已计入</v>
      </c>
      <c r="J11" s="11">
        <f t="shared" si="0">IF(AA11="正常",IF(I11="已计入",IF(OR(OR(B11="买入",B11="定投",B11="转换转入"),B11="红利再投"),D11,IF(B11="卖出",-D11,0)),0),"")</f>
        <v>42.11</v>
      </c>
      <c r="K11" s="11">
        <f t="shared" si="5">IF(AA11="正常",ROUND(K10+J11,6),"")</f>
        <v>213.66</v>
      </c>
      <c r="L11" s="11">
        <f t="shared" si="6">IF(I11="已计入",ROUND(K10*C11,2),"")</f>
        <v>813.42</v>
      </c>
      <c r="M11" s="11">
        <f t="shared" si="7">IF(I11="已计入",IF(B11="卖出",MAX(0,L11-Q10-F11),IF(B11="现金分红",MAX(0,L11+E11-Q10),0)),"")</f>
        <v>0</v>
      </c>
      <c r="N11" s="11">
        <f>IF(I11="已计入",IF(AND(B11="卖出",'持仓总览'!$C$7="本金优先"),MAX(0,E11-Q10),IF(OR(B11="卖出",B11="现金分红"),MIN(E11,M11),0)),"")</f>
        <v>0</v>
      </c>
      <c r="O11" s="11">
        <f t="shared" si="8">IF(I11="已计入",IF(OR(B11="卖出",B11="现金分红"),MIN(Q10,MAX(0,E11-N11)),0),"")</f>
        <v>0</v>
      </c>
      <c r="P11" s="11">
        <f t="shared" si="9">IF(I11="已计入",IF(AND(B11="卖出",K11=0),MAX(0,Q10-O11),0),"")</f>
        <v>0</v>
      </c>
      <c r="Q11" s="11">
        <f t="shared" si="10">IF(AA11="正常",IF(I11="已计入",ROUND(Q10+IF(OR(B11="买入",B11="定投",B11="转换转入"),E11,0)-O11-P11,2),Q10),"")</f>
        <v>1000</v>
      </c>
      <c r="R11" s="11">
        <f t="shared" si="1">IF(I11="已计入",ROUND(K11*C11,2),"")</f>
        <v>1013.09</v>
      </c>
      <c r="S11" s="11">
        <f t="shared" si="2">IF(I11="已计入",ROUND(R11-Q11,2),"")</f>
        <v>13.09</v>
      </c>
      <c r="T11" s="12">
        <f t="shared" si="3">IF(I11="已计入",IF(Q11=0,"",S11/Q11),"")</f>
        <v>0.01309</v>
      </c>
      <c r="U11" s="11">
        <f t="shared" si="11">IF(AA11="正常",U10+IF(AND(I11="已计入",OR(B11="买入",B11="定投",B11="转换转入")),E11,0),"")</f>
        <v>1000</v>
      </c>
      <c r="V11" s="11">
        <f t="shared" si="12">IF(AA11="正常",V10+IF(AND(I11="已计入",OR(B11="卖出",B11="现金分红")),E11,0),"")</f>
        <v>0</v>
      </c>
      <c r="W11" s="11">
        <f t="shared" si="13">IF(AA11="正常",W10+IF(I11="已计入",N11,0),"")</f>
        <v>0</v>
      </c>
      <c r="X11" s="11">
        <f t="shared" si="14">IF(AA11="正常",X10+IF(I11="已计入",P11,0),"")</f>
        <v>0</v>
      </c>
      <c r="Y11" s="11">
        <f t="shared" si="4">IF(I11="已计入",ROUND(R11+V11-U11,2),"")</f>
        <v>13.09</v>
      </c>
      <c r="Z11" s="13">
        <f t="shared" si="15">IF(AA11="正常",IF(I11="已计入",A11,Z10),"")</f>
        <v>46015</v>
      </c>
      <c r="AA11" s="10" t="str">
        <f t="shared" si="16">IF(OR(AA10="错误",AND(I11&lt;&gt;"",I11&lt;&gt;"已排除",I11&lt;&gt;"待确认",I11&lt;&gt;"已计入")),"错误","正常")</f>
        <v>正常</v>
      </c>
      <c r="AB11" s="14">
        <f t="shared" si="17">IF(AA11="正常",IF(I11="已计入",C11,AB10),"")</f>
        <v>4.7416</v>
      </c>
    </row>
    <row r="12" ht="42" customHeight="1">
      <c r="A12" s="36">
        <v>46017</v>
      </c>
      <c r="B12" s="37" t="inlineStr">
        <is>
          <t>定投</t>
        </is>
      </c>
      <c r="C12" s="38">
        <v>4.7354</v>
      </c>
      <c r="D12" s="39">
        <v>42.17</v>
      </c>
      <c r="E12" s="39">
        <v>200</v>
      </c>
      <c r="F12" s="39">
        <v>0.32</v>
      </c>
      <c r="G12" s="37" t="inlineStr">
        <is>
          <t>历史估算</t>
        </is>
      </c>
      <c r="H12" s="40" t="inlineStr">
        <is>
          <t>原下单 2025-12-26 09:56:01
净值日／份额暂估，手续费按 0.16%</t>
        </is>
      </c>
      <c r="I12" s="10" t="str">
        <f>IF(COUNTA(A12:H12)=0,"",IF(OR(OR(OR(G12="撤单",G12="交易失败",G12="交易关闭"),G12="交易失败",G12="交易关闭"),G12="交易失败",G12="交易关闭"),"已排除",IF(G12="待确认","待确认",IF(NOT(OR(G12="已确认",G12="历史估算")),"请选择确认状态",IF(NOT(ISNUMBER(A12)),"缺少有效净值日期",IF(OR(A12&lt;=0,A12&lt;&gt;INT(A12)),"净值日期无效",IF(NOT(OR(OR(B12="买入",B12="定投",B12="转换转入"),B12="卖出",B12="现金分红",B12="红利再投")),"请选择交易类型",IF(NOT(ISNUMBER(C12)),"缺少成交净值",IF(C12&lt;=0,"成交净值须大于零",IF(NOT(ISNUMBER(D12)),"缺少确认份额（分红填0）",IF(NOT(ISNUMBER(E12)),"缺少确认金额（再投填0）",IF(NOT(ISNUMBER(F12)),"缺少手续费（无费用填0）",IF(OR(D12&lt;0,E12&lt;0,F12&lt;0),"份额金额费用不能为负",IF(AA11="错误","前行待修正",IF(A12&lt;Z11,"日期需按成交顺序递增",IF(AND(B12="现金分红",OR(D12&lt;&gt;0,E12&lt;=0,F12&lt;&gt;0)),"分红填份额0、费用0、正金额",IF(AND(B12="红利再投",OR(D12&lt;=0,E12&lt;&gt;0,F12&lt;&gt;0)),"再投填正份额、金额0、费用0",IF(AND(OR(B12="现金分红",B12="红利再投"),K11&lt;=0),"分红或再投前须有持仓",IF(AND(OR(OR(B12="买入",B12="定投",B12="转换转入"),B12="卖出"),OR(D12&lt;=0,E12&lt;=0)),"买卖须填正份额、正金额",IF(AND(B12="卖出",D12&gt;K11+0.000001),"卖出份额超过持仓",IF(AND(OR(B12="买入",B12="定投",B12="转换转入"),F12&gt;=E12)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12="买入",B12="定投",B12="转换转入"),ABS(E12-F12-C12*D12)&gt;'持仓总览'!$H$6),"买入金额与份额净值不符",IF(AND(B12="卖出",ABS(E12+F12-C12*D12)&gt;'持仓总览'!$H$6),"到账加费用与赎回市值不符","已计入"))))))))))))))))))))))))))</f>
        <v>已计入</v>
      </c>
      <c r="J12" s="11">
        <f t="shared" si="0">IF(AA12="正常",IF(I12="已计入",IF(OR(OR(B12="买入",B12="定投",B12="转换转入"),B12="红利再投"),D12,IF(B12="卖出",-D12,0)),0),"")</f>
        <v>42.17</v>
      </c>
      <c r="K12" s="11">
        <f t="shared" si="5">IF(AA12="正常",ROUND(K11+J12,6),"")</f>
        <v>255.83</v>
      </c>
      <c r="L12" s="11">
        <f t="shared" si="6">IF(I12="已计入",ROUND(K11*C12,2),"")</f>
        <v>1011.77</v>
      </c>
      <c r="M12" s="11">
        <f t="shared" si="7">IF(I12="已计入",IF(B12="卖出",MAX(0,L12-Q11-F12),IF(B12="现金分红",MAX(0,L12+E12-Q11),0)),"")</f>
        <v>0</v>
      </c>
      <c r="N12" s="11">
        <f>IF(I12="已计入",IF(AND(B12="卖出",'持仓总览'!$C$7="本金优先"),MAX(0,E12-Q11),IF(OR(B12="卖出",B12="现金分红"),MIN(E12,M12),0)),"")</f>
        <v>0</v>
      </c>
      <c r="O12" s="11">
        <f t="shared" si="8">IF(I12="已计入",IF(OR(B12="卖出",B12="现金分红"),MIN(Q11,MAX(0,E12-N12)),0),"")</f>
        <v>0</v>
      </c>
      <c r="P12" s="11">
        <f t="shared" si="9">IF(I12="已计入",IF(AND(B12="卖出",K12=0),MAX(0,Q11-O12),0),"")</f>
        <v>0</v>
      </c>
      <c r="Q12" s="11">
        <f t="shared" si="10">IF(AA12="正常",IF(I12="已计入",ROUND(Q11+IF(OR(B12="买入",B12="定投",B12="转换转入"),E12,0)-O12-P12,2),Q11),"")</f>
        <v>1200</v>
      </c>
      <c r="R12" s="11">
        <f t="shared" si="1">IF(I12="已计入",ROUND(K12*C12,2),"")</f>
        <v>1211.46</v>
      </c>
      <c r="S12" s="11">
        <f t="shared" si="2">IF(I12="已计入",ROUND(R12-Q12,2),"")</f>
        <v>11.46</v>
      </c>
      <c r="T12" s="12">
        <f t="shared" si="3">IF(I12="已计入",IF(Q12=0,"",S12/Q12),"")</f>
        <v>0.009550000000000001</v>
      </c>
      <c r="U12" s="11">
        <f t="shared" si="11">IF(AA12="正常",U11+IF(AND(I12="已计入",OR(B12="买入",B12="定投",B12="转换转入")),E12,0),"")</f>
        <v>1200</v>
      </c>
      <c r="V12" s="11">
        <f t="shared" si="12">IF(AA12="正常",V11+IF(AND(I12="已计入",OR(B12="卖出",B12="现金分红")),E12,0),"")</f>
        <v>0</v>
      </c>
      <c r="W12" s="11">
        <f t="shared" si="13">IF(AA12="正常",W11+IF(I12="已计入",N12,0),"")</f>
        <v>0</v>
      </c>
      <c r="X12" s="11">
        <f t="shared" si="14">IF(AA12="正常",X11+IF(I12="已计入",P12,0),"")</f>
        <v>0</v>
      </c>
      <c r="Y12" s="11">
        <f t="shared" si="4">IF(I12="已计入",ROUND(R12+V12-U12,2),"")</f>
        <v>11.46</v>
      </c>
      <c r="Z12" s="13">
        <f t="shared" si="15">IF(AA12="正常",IF(I12="已计入",A12,Z11),"")</f>
        <v>46017</v>
      </c>
      <c r="AA12" s="10" t="str">
        <f t="shared" si="16">IF(OR(AA11="错误",AND(I12&lt;&gt;"",I12&lt;&gt;"已排除",I12&lt;&gt;"待确认",I12&lt;&gt;"已计入")),"错误","正常")</f>
        <v>正常</v>
      </c>
      <c r="AB12" s="14">
        <f t="shared" si="17">IF(AA12="正常",IF(I12="已计入",C12,AB11),"")</f>
        <v>4.7354</v>
      </c>
    </row>
    <row r="13" ht="42" customHeight="1">
      <c r="A13" s="36">
        <v>46020</v>
      </c>
      <c r="B13" s="37" t="inlineStr">
        <is>
          <t>定投</t>
        </is>
      </c>
      <c r="C13" s="38">
        <v>4.6987</v>
      </c>
      <c r="D13" s="39">
        <v>42.5</v>
      </c>
      <c r="E13" s="39">
        <v>200</v>
      </c>
      <c r="F13" s="39">
        <v>0.32</v>
      </c>
      <c r="G13" s="37" t="inlineStr">
        <is>
          <t>历史估算</t>
        </is>
      </c>
      <c r="H13" s="40" t="inlineStr">
        <is>
          <t>原下单 2025-12-29 10:06:45
净值日／份额暂估，手续费按 0.16%</t>
        </is>
      </c>
      <c r="I13" s="10" t="str">
        <f>IF(COUNTA(A13:H13)=0,"",IF(OR(OR(OR(G13="撤单",G13="交易失败",G13="交易关闭"),G13="交易失败",G13="交易关闭"),G13="交易失败",G13="交易关闭"),"已排除",IF(G13="待确认","待确认",IF(NOT(OR(G13="已确认",G13="历史估算")),"请选择确认状态",IF(NOT(ISNUMBER(A13)),"缺少有效净值日期",IF(OR(A13&lt;=0,A13&lt;&gt;INT(A13)),"净值日期无效",IF(NOT(OR(OR(B13="买入",B13="定投",B13="转换转入"),B13="卖出",B13="现金分红",B13="红利再投")),"请选择交易类型",IF(NOT(ISNUMBER(C13)),"缺少成交净值",IF(C13&lt;=0,"成交净值须大于零",IF(NOT(ISNUMBER(D13)),"缺少确认份额（分红填0）",IF(NOT(ISNUMBER(E13)),"缺少确认金额（再投填0）",IF(NOT(ISNUMBER(F13)),"缺少手续费（无费用填0）",IF(OR(D13&lt;0,E13&lt;0,F13&lt;0),"份额金额费用不能为负",IF(AA12="错误","前行待修正",IF(A13&lt;Z12,"日期需按成交顺序递增",IF(AND(B13="现金分红",OR(D13&lt;&gt;0,E13&lt;=0,F13&lt;&gt;0)),"分红填份额0、费用0、正金额",IF(AND(B13="红利再投",OR(D13&lt;=0,E13&lt;&gt;0,F13&lt;&gt;0)),"再投填正份额、金额0、费用0",IF(AND(OR(B13="现金分红",B13="红利再投"),K12&lt;=0),"分红或再投前须有持仓",IF(AND(OR(OR(B13="买入",B13="定投",B13="转换转入"),B13="卖出"),OR(D13&lt;=0,E13&lt;=0)),"买卖须填正份额、正金额",IF(AND(B13="卖出",D13&gt;K12+0.000001),"卖出份额超过持仓",IF(AND(OR(B13="买入",B13="定投",B13="转换转入"),F13&gt;=E13)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13="买入",B13="定投",B13="转换转入"),ABS(E13-F13-C13*D13)&gt;'持仓总览'!$H$6),"买入金额与份额净值不符",IF(AND(B13="卖出",ABS(E13+F13-C13*D13)&gt;'持仓总览'!$H$6),"到账加费用与赎回市值不符","已计入"))))))))))))))))))))))))))</f>
        <v>已计入</v>
      </c>
      <c r="J13" s="11">
        <f t="shared" si="0">IF(AA13="正常",IF(I13="已计入",IF(OR(OR(B13="买入",B13="定投",B13="转换转入"),B13="红利再投"),D13,IF(B13="卖出",-D13,0)),0),"")</f>
        <v>42.5</v>
      </c>
      <c r="K13" s="11">
        <f t="shared" si="5">IF(AA13="正常",ROUND(K12+J13,6),"")</f>
        <v>298.33</v>
      </c>
      <c r="L13" s="11">
        <f t="shared" si="6">IF(I13="已计入",ROUND(K12*C13,2),"")</f>
        <v>1202.07</v>
      </c>
      <c r="M13" s="11">
        <f t="shared" si="7">IF(I13="已计入",IF(B13="卖出",MAX(0,L13-Q12-F13),IF(B13="现金分红",MAX(0,L13+E13-Q12),0)),"")</f>
        <v>0</v>
      </c>
      <c r="N13" s="11">
        <f>IF(I13="已计入",IF(AND(B13="卖出",'持仓总览'!$C$7="本金优先"),MAX(0,E13-Q12),IF(OR(B13="卖出",B13="现金分红"),MIN(E13,M13),0)),"")</f>
        <v>0</v>
      </c>
      <c r="O13" s="11">
        <f t="shared" si="8">IF(I13="已计入",IF(OR(B13="卖出",B13="现金分红"),MIN(Q12,MAX(0,E13-N13)),0),"")</f>
        <v>0</v>
      </c>
      <c r="P13" s="11">
        <f t="shared" si="9">IF(I13="已计入",IF(AND(B13="卖出",K13=0),MAX(0,Q12-O13),0),"")</f>
        <v>0</v>
      </c>
      <c r="Q13" s="11">
        <f t="shared" si="10">IF(AA13="正常",IF(I13="已计入",ROUND(Q12+IF(OR(B13="买入",B13="定投",B13="转换转入"),E13,0)-O13-P13,2),Q12),"")</f>
        <v>1400</v>
      </c>
      <c r="R13" s="11">
        <f t="shared" si="1">IF(I13="已计入",ROUND(K13*C13,2),"")</f>
        <v>1401.76</v>
      </c>
      <c r="S13" s="11">
        <f t="shared" si="2">IF(I13="已计入",ROUND(R13-Q13,2),"")</f>
        <v>1.76</v>
      </c>
      <c r="T13" s="12">
        <f t="shared" si="3">IF(I13="已计入",IF(Q13=0,"",S13/Q13),"")</f>
        <v>0.001257142857142857</v>
      </c>
      <c r="U13" s="11">
        <f t="shared" si="11">IF(AA13="正常",U12+IF(AND(I13="已计入",OR(B13="买入",B13="定投",B13="转换转入")),E13,0),"")</f>
        <v>1400</v>
      </c>
      <c r="V13" s="11">
        <f t="shared" si="12">IF(AA13="正常",V12+IF(AND(I13="已计入",OR(B13="卖出",B13="现金分红")),E13,0),"")</f>
        <v>0</v>
      </c>
      <c r="W13" s="11">
        <f t="shared" si="13">IF(AA13="正常",W12+IF(I13="已计入",N13,0),"")</f>
        <v>0</v>
      </c>
      <c r="X13" s="11">
        <f t="shared" si="14">IF(AA13="正常",X12+IF(I13="已计入",P13,0),"")</f>
        <v>0</v>
      </c>
      <c r="Y13" s="11">
        <f t="shared" si="4">IF(I13="已计入",ROUND(R13+V13-U13,2),"")</f>
        <v>1.76</v>
      </c>
      <c r="Z13" s="13">
        <f t="shared" si="15">IF(AA13="正常",IF(I13="已计入",A13,Z12),"")</f>
        <v>46020</v>
      </c>
      <c r="AA13" s="10" t="str">
        <f t="shared" si="16">IF(OR(AA12="错误",AND(I13&lt;&gt;"",I13&lt;&gt;"已排除",I13&lt;&gt;"待确认",I13&lt;&gt;"已计入")),"错误","正常")</f>
        <v>正常</v>
      </c>
      <c r="AB13" s="14">
        <f t="shared" si="17">IF(AA13="正常",IF(I13="已计入",C13,AB12),"")</f>
        <v>4.6987</v>
      </c>
    </row>
    <row r="14" ht="42" customHeight="1">
      <c r="A14" s="36">
        <v>46021</v>
      </c>
      <c r="B14" s="37" t="inlineStr">
        <is>
          <t>定投</t>
        </is>
      </c>
      <c r="C14" s="38">
        <v>4.6933</v>
      </c>
      <c r="D14" s="39">
        <v>42.55</v>
      </c>
      <c r="E14" s="39">
        <v>200</v>
      </c>
      <c r="F14" s="39">
        <v>0.32</v>
      </c>
      <c r="G14" s="37" t="inlineStr">
        <is>
          <t>历史估算</t>
        </is>
      </c>
      <c r="H14" s="40" t="inlineStr">
        <is>
          <t>原下单 2025-12-30 09:57:08
净值日／份额暂估，手续费按 0.16%</t>
        </is>
      </c>
      <c r="I14" s="10" t="str">
        <f>IF(COUNTA(A14:H14)=0,"",IF(OR(OR(OR(G14="撤单",G14="交易失败",G14="交易关闭"),G14="交易失败",G14="交易关闭"),G14="交易失败",G14="交易关闭"),"已排除",IF(G14="待确认","待确认",IF(NOT(OR(G14="已确认",G14="历史估算")),"请选择确认状态",IF(NOT(ISNUMBER(A14)),"缺少有效净值日期",IF(OR(A14&lt;=0,A14&lt;&gt;INT(A14)),"净值日期无效",IF(NOT(OR(OR(B14="买入",B14="定投",B14="转换转入"),B14="卖出",B14="现金分红",B14="红利再投")),"请选择交易类型",IF(NOT(ISNUMBER(C14)),"缺少成交净值",IF(C14&lt;=0,"成交净值须大于零",IF(NOT(ISNUMBER(D14)),"缺少确认份额（分红填0）",IF(NOT(ISNUMBER(E14)),"缺少确认金额（再投填0）",IF(NOT(ISNUMBER(F14)),"缺少手续费（无费用填0）",IF(OR(D14&lt;0,E14&lt;0,F14&lt;0),"份额金额费用不能为负",IF(AA13="错误","前行待修正",IF(A14&lt;Z13,"日期需按成交顺序递增",IF(AND(B14="现金分红",OR(D14&lt;&gt;0,E14&lt;=0,F14&lt;&gt;0)),"分红填份额0、费用0、正金额",IF(AND(B14="红利再投",OR(D14&lt;=0,E14&lt;&gt;0,F14&lt;&gt;0)),"再投填正份额、金额0、费用0",IF(AND(OR(B14="现金分红",B14="红利再投"),K13&lt;=0),"分红或再投前须有持仓",IF(AND(OR(OR(B14="买入",B14="定投",B14="转换转入"),B14="卖出"),OR(D14&lt;=0,E14&lt;=0)),"买卖须填正份额、正金额",IF(AND(B14="卖出",D14&gt;K13+0.000001),"卖出份额超过持仓",IF(AND(OR(B14="买入",B14="定投",B14="转换转入"),F14&gt;=E14)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14="买入",B14="定投",B14="转换转入"),ABS(E14-F14-C14*D14)&gt;'持仓总览'!$H$6),"买入金额与份额净值不符",IF(AND(B14="卖出",ABS(E14+F14-C14*D14)&gt;'持仓总览'!$H$6),"到账加费用与赎回市值不符","已计入"))))))))))))))))))))))))))</f>
        <v>已计入</v>
      </c>
      <c r="J14" s="11">
        <f t="shared" si="0">IF(AA14="正常",IF(I14="已计入",IF(OR(OR(B14="买入",B14="定投",B14="转换转入"),B14="红利再投"),D14,IF(B14="卖出",-D14,0)),0),"")</f>
        <v>42.55</v>
      </c>
      <c r="K14" s="11">
        <f t="shared" si="5">IF(AA14="正常",ROUND(K13+J14,6),"")</f>
        <v>340.88</v>
      </c>
      <c r="L14" s="11">
        <f t="shared" si="6">IF(I14="已计入",ROUND(K13*C14,2),"")</f>
        <v>1400.15</v>
      </c>
      <c r="M14" s="11">
        <f t="shared" si="7">IF(I14="已计入",IF(B14="卖出",MAX(0,L14-Q13-F14),IF(B14="现金分红",MAX(0,L14+E14-Q13),0)),"")</f>
        <v>0</v>
      </c>
      <c r="N14" s="11">
        <f>IF(I14="已计入",IF(AND(B14="卖出",'持仓总览'!$C$7="本金优先"),MAX(0,E14-Q13),IF(OR(B14="卖出",B14="现金分红"),MIN(E14,M14),0)),"")</f>
        <v>0</v>
      </c>
      <c r="O14" s="11">
        <f t="shared" si="8">IF(I14="已计入",IF(OR(B14="卖出",B14="现金分红"),MIN(Q13,MAX(0,E14-N14)),0),"")</f>
        <v>0</v>
      </c>
      <c r="P14" s="11">
        <f t="shared" si="9">IF(I14="已计入",IF(AND(B14="卖出",K14=0),MAX(0,Q13-O14),0),"")</f>
        <v>0</v>
      </c>
      <c r="Q14" s="11">
        <f t="shared" si="10">IF(AA14="正常",IF(I14="已计入",ROUND(Q13+IF(OR(B14="买入",B14="定投",B14="转换转入"),E14,0)-O14-P14,2),Q13),"")</f>
        <v>1600</v>
      </c>
      <c r="R14" s="11">
        <f t="shared" si="1">IF(I14="已计入",ROUND(K14*C14,2),"")</f>
        <v>1599.85</v>
      </c>
      <c r="S14" s="11">
        <f t="shared" si="2">IF(I14="已计入",ROUND(R14-Q14,2),"")</f>
        <v>-0.15</v>
      </c>
      <c r="T14" s="12">
        <f t="shared" si="3">IF(I14="已计入",IF(Q14=0,"",S14/Q14),"")</f>
        <v>-9.375e-05</v>
      </c>
      <c r="U14" s="11">
        <f t="shared" si="11">IF(AA14="正常",U13+IF(AND(I14="已计入",OR(B14="买入",B14="定投",B14="转换转入")),E14,0),"")</f>
        <v>1600</v>
      </c>
      <c r="V14" s="11">
        <f t="shared" si="12">IF(AA14="正常",V13+IF(AND(I14="已计入",OR(B14="卖出",B14="现金分红")),E14,0),"")</f>
        <v>0</v>
      </c>
      <c r="W14" s="11">
        <f t="shared" si="13">IF(AA14="正常",W13+IF(I14="已计入",N14,0),"")</f>
        <v>0</v>
      </c>
      <c r="X14" s="11">
        <f t="shared" si="14">IF(AA14="正常",X13+IF(I14="已计入",P14,0),"")</f>
        <v>0</v>
      </c>
      <c r="Y14" s="11">
        <f t="shared" si="4">IF(I14="已计入",ROUND(R14+V14-U14,2),"")</f>
        <v>-0.15</v>
      </c>
      <c r="Z14" s="13">
        <f t="shared" si="15">IF(AA14="正常",IF(I14="已计入",A14,Z13),"")</f>
        <v>46021</v>
      </c>
      <c r="AA14" s="10" t="str">
        <f t="shared" si="16">IF(OR(AA13="错误",AND(I14&lt;&gt;"",I14&lt;&gt;"已排除",I14&lt;&gt;"待确认",I14&lt;&gt;"已计入")),"错误","正常")</f>
        <v>正常</v>
      </c>
      <c r="AB14" s="14">
        <f t="shared" si="17">IF(AA14="正常",IF(I14="已计入",C14,AB13),"")</f>
        <v>4.6933</v>
      </c>
    </row>
    <row r="15" ht="42" customHeight="1">
      <c r="A15" s="36">
        <v>46022</v>
      </c>
      <c r="B15" s="37" t="inlineStr">
        <is>
          <t>定投</t>
        </is>
      </c>
      <c r="C15" s="38">
        <v>4.6521</v>
      </c>
      <c r="D15" s="39">
        <v>42.92</v>
      </c>
      <c r="E15" s="39">
        <v>200</v>
      </c>
      <c r="F15" s="39">
        <v>0.32</v>
      </c>
      <c r="G15" s="37" t="inlineStr">
        <is>
          <t>历史估算</t>
        </is>
      </c>
      <c r="H15" s="40" t="inlineStr">
        <is>
          <t>原下单 2025-12-31 09:54:11
净值日／份额暂估，手续费按 0.16%</t>
        </is>
      </c>
      <c r="I15" s="10" t="str">
        <f>IF(COUNTA(A15:H15)=0,"",IF(OR(OR(OR(G15="撤单",G15="交易失败",G15="交易关闭"),G15="交易失败",G15="交易关闭"),G15="交易失败",G15="交易关闭"),"已排除",IF(G15="待确认","待确认",IF(NOT(OR(G15="已确认",G15="历史估算")),"请选择确认状态",IF(NOT(ISNUMBER(A15)),"缺少有效净值日期",IF(OR(A15&lt;=0,A15&lt;&gt;INT(A15)),"净值日期无效",IF(NOT(OR(OR(B15="买入",B15="定投",B15="转换转入"),B15="卖出",B15="现金分红",B15="红利再投")),"请选择交易类型",IF(NOT(ISNUMBER(C15)),"缺少成交净值",IF(C15&lt;=0,"成交净值须大于零",IF(NOT(ISNUMBER(D15)),"缺少确认份额（分红填0）",IF(NOT(ISNUMBER(E15)),"缺少确认金额（再投填0）",IF(NOT(ISNUMBER(F15)),"缺少手续费（无费用填0）",IF(OR(D15&lt;0,E15&lt;0,F15&lt;0),"份额金额费用不能为负",IF(AA14="错误","前行待修正",IF(A15&lt;Z14,"日期需按成交顺序递增",IF(AND(B15="现金分红",OR(D15&lt;&gt;0,E15&lt;=0,F15&lt;&gt;0)),"分红填份额0、费用0、正金额",IF(AND(B15="红利再投",OR(D15&lt;=0,E15&lt;&gt;0,F15&lt;&gt;0)),"再投填正份额、金额0、费用0",IF(AND(OR(B15="现金分红",B15="红利再投"),K14&lt;=0),"分红或再投前须有持仓",IF(AND(OR(OR(B15="买入",B15="定投",B15="转换转入"),B15="卖出"),OR(D15&lt;=0,E15&lt;=0)),"买卖须填正份额、正金额",IF(AND(B15="卖出",D15&gt;K14+0.000001),"卖出份额超过持仓",IF(AND(OR(B15="买入",B15="定投",B15="转换转入"),F15&gt;=E15)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15="买入",B15="定投",B15="转换转入"),ABS(E15-F15-C15*D15)&gt;'持仓总览'!$H$6),"买入金额与份额净值不符",IF(AND(B15="卖出",ABS(E15+F15-C15*D15)&gt;'持仓总览'!$H$6),"到账加费用与赎回市值不符","已计入"))))))))))))))))))))))))))</f>
        <v>已计入</v>
      </c>
      <c r="J15" s="11">
        <f t="shared" si="0">IF(AA15="正常",IF(I15="已计入",IF(OR(OR(B15="买入",B15="定投",B15="转换转入"),B15="红利再投"),D15,IF(B15="卖出",-D15,0)),0),"")</f>
        <v>42.92</v>
      </c>
      <c r="K15" s="11">
        <f t="shared" si="5">IF(AA15="正常",ROUND(K14+J15,6),"")</f>
        <v>383.8</v>
      </c>
      <c r="L15" s="11">
        <f t="shared" si="6">IF(I15="已计入",ROUND(K14*C15,2),"")</f>
        <v>1585.81</v>
      </c>
      <c r="M15" s="11">
        <f t="shared" si="7">IF(I15="已计入",IF(B15="卖出",MAX(0,L15-Q14-F15),IF(B15="现金分红",MAX(0,L15+E15-Q14),0)),"")</f>
        <v>0</v>
      </c>
      <c r="N15" s="11">
        <f>IF(I15="已计入",IF(AND(B15="卖出",'持仓总览'!$C$7="本金优先"),MAX(0,E15-Q14),IF(OR(B15="卖出",B15="现金分红"),MIN(E15,M15),0)),"")</f>
        <v>0</v>
      </c>
      <c r="O15" s="11">
        <f t="shared" si="8">IF(I15="已计入",IF(OR(B15="卖出",B15="现金分红"),MIN(Q14,MAX(0,E15-N15)),0),"")</f>
        <v>0</v>
      </c>
      <c r="P15" s="11">
        <f t="shared" si="9">IF(I15="已计入",IF(AND(B15="卖出",K15=0),MAX(0,Q14-O15),0),"")</f>
        <v>0</v>
      </c>
      <c r="Q15" s="11">
        <f t="shared" si="10">IF(AA15="正常",IF(I15="已计入",ROUND(Q14+IF(OR(B15="买入",B15="定投",B15="转换转入"),E15,0)-O15-P15,2),Q14),"")</f>
        <v>1800</v>
      </c>
      <c r="R15" s="11">
        <f t="shared" si="1">IF(I15="已计入",ROUND(K15*C15,2),"")</f>
        <v>1785.48</v>
      </c>
      <c r="S15" s="11">
        <f t="shared" si="2">IF(I15="已计入",ROUND(R15-Q15,2),"")</f>
        <v>-14.52</v>
      </c>
      <c r="T15" s="12">
        <f t="shared" si="3">IF(I15="已计入",IF(Q15=0,"",S15/Q15),"")</f>
        <v>-0.008066666666666666</v>
      </c>
      <c r="U15" s="11">
        <f t="shared" si="11">IF(AA15="正常",U14+IF(AND(I15="已计入",OR(B15="买入",B15="定投",B15="转换转入")),E15,0),"")</f>
        <v>1800</v>
      </c>
      <c r="V15" s="11">
        <f t="shared" si="12">IF(AA15="正常",V14+IF(AND(I15="已计入",OR(B15="卖出",B15="现金分红")),E15,0),"")</f>
        <v>0</v>
      </c>
      <c r="W15" s="11">
        <f t="shared" si="13">IF(AA15="正常",W14+IF(I15="已计入",N15,0),"")</f>
        <v>0</v>
      </c>
      <c r="X15" s="11">
        <f t="shared" si="14">IF(AA15="正常",X14+IF(I15="已计入",P15,0),"")</f>
        <v>0</v>
      </c>
      <c r="Y15" s="11">
        <f t="shared" si="4">IF(I15="已计入",ROUND(R15+V15-U15,2),"")</f>
        <v>-14.52</v>
      </c>
      <c r="Z15" s="13">
        <f t="shared" si="15">IF(AA15="正常",IF(I15="已计入",A15,Z14),"")</f>
        <v>46022</v>
      </c>
      <c r="AA15" s="10" t="str">
        <f t="shared" si="16">IF(OR(AA14="错误",AND(I15&lt;&gt;"",I15&lt;&gt;"已排除",I15&lt;&gt;"待确认",I15&lt;&gt;"已计入")),"错误","正常")</f>
        <v>正常</v>
      </c>
      <c r="AB15" s="14">
        <f t="shared" si="17">IF(AA15="正常",IF(I15="已计入",C15,AB14),"")</f>
        <v>4.6521</v>
      </c>
    </row>
    <row r="16" ht="42" customHeight="1">
      <c r="A16" s="36">
        <v>46027</v>
      </c>
      <c r="B16" s="37" t="inlineStr">
        <is>
          <t>定投</t>
        </is>
      </c>
      <c r="C16" s="38">
        <v>4.7337</v>
      </c>
      <c r="D16" s="39">
        <v>42.18</v>
      </c>
      <c r="E16" s="39">
        <v>200</v>
      </c>
      <c r="F16" s="39">
        <v>0.32</v>
      </c>
      <c r="G16" s="37" t="inlineStr">
        <is>
          <t>历史估算</t>
        </is>
      </c>
      <c r="H16" s="40" t="inlineStr">
        <is>
          <t>原下单 2026-01-05 10:27:57
净值日／份额暂估，手续费按 0.16%</t>
        </is>
      </c>
      <c r="I16" s="10" t="str">
        <f>IF(COUNTA(A16:H16)=0,"",IF(OR(OR(OR(G16="撤单",G16="交易失败",G16="交易关闭"),G16="交易失败",G16="交易关闭"),G16="交易失败",G16="交易关闭"),"已排除",IF(G16="待确认","待确认",IF(NOT(OR(G16="已确认",G16="历史估算")),"请选择确认状态",IF(NOT(ISNUMBER(A16)),"缺少有效净值日期",IF(OR(A16&lt;=0,A16&lt;&gt;INT(A16)),"净值日期无效",IF(NOT(OR(OR(B16="买入",B16="定投",B16="转换转入"),B16="卖出",B16="现金分红",B16="红利再投")),"请选择交易类型",IF(NOT(ISNUMBER(C16)),"缺少成交净值",IF(C16&lt;=0,"成交净值须大于零",IF(NOT(ISNUMBER(D16)),"缺少确认份额（分红填0）",IF(NOT(ISNUMBER(E16)),"缺少确认金额（再投填0）",IF(NOT(ISNUMBER(F16)),"缺少手续费（无费用填0）",IF(OR(D16&lt;0,E16&lt;0,F16&lt;0),"份额金额费用不能为负",IF(AA15="错误","前行待修正",IF(A16&lt;Z15,"日期需按成交顺序递增",IF(AND(B16="现金分红",OR(D16&lt;&gt;0,E16&lt;=0,F16&lt;&gt;0)),"分红填份额0、费用0、正金额",IF(AND(B16="红利再投",OR(D16&lt;=0,E16&lt;&gt;0,F16&lt;&gt;0)),"再投填正份额、金额0、费用0",IF(AND(OR(B16="现金分红",B16="红利再投"),K15&lt;=0),"分红或再投前须有持仓",IF(AND(OR(OR(B16="买入",B16="定投",B16="转换转入"),B16="卖出"),OR(D16&lt;=0,E16&lt;=0)),"买卖须填正份额、正金额",IF(AND(B16="卖出",D16&gt;K15+0.000001),"卖出份额超过持仓",IF(AND(OR(B16="买入",B16="定投",B16="转换转入"),F16&gt;=E16)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16="买入",B16="定投",B16="转换转入"),ABS(E16-F16-C16*D16)&gt;'持仓总览'!$H$6),"买入金额与份额净值不符",IF(AND(B16="卖出",ABS(E16+F16-C16*D16)&gt;'持仓总览'!$H$6),"到账加费用与赎回市值不符","已计入"))))))))))))))))))))))))))</f>
        <v>已计入</v>
      </c>
      <c r="J16" s="11">
        <f t="shared" si="0">IF(AA16="正常",IF(I16="已计入",IF(OR(OR(B16="买入",B16="定投",B16="转换转入"),B16="红利再投"),D16,IF(B16="卖出",-D16,0)),0),"")</f>
        <v>42.18</v>
      </c>
      <c r="K16" s="11">
        <f t="shared" si="5">IF(AA16="正常",ROUND(K15+J16,6),"")</f>
        <v>425.98</v>
      </c>
      <c r="L16" s="11">
        <f t="shared" si="6">IF(I16="已计入",ROUND(K15*C16,2),"")</f>
        <v>1816.79</v>
      </c>
      <c r="M16" s="11">
        <f t="shared" si="7">IF(I16="已计入",IF(B16="卖出",MAX(0,L16-Q15-F16),IF(B16="现金分红",MAX(0,L16+E16-Q15),0)),"")</f>
        <v>0</v>
      </c>
      <c r="N16" s="11">
        <f>IF(I16="已计入",IF(AND(B16="卖出",'持仓总览'!$C$7="本金优先"),MAX(0,E16-Q15),IF(OR(B16="卖出",B16="现金分红"),MIN(E16,M16),0)),"")</f>
        <v>0</v>
      </c>
      <c r="O16" s="11">
        <f t="shared" si="8">IF(I16="已计入",IF(OR(B16="卖出",B16="现金分红"),MIN(Q15,MAX(0,E16-N16)),0),"")</f>
        <v>0</v>
      </c>
      <c r="P16" s="11">
        <f t="shared" si="9">IF(I16="已计入",IF(AND(B16="卖出",K16=0),MAX(0,Q15-O16),0),"")</f>
        <v>0</v>
      </c>
      <c r="Q16" s="11">
        <f t="shared" si="10">IF(AA16="正常",IF(I16="已计入",ROUND(Q15+IF(OR(B16="买入",B16="定投",B16="转换转入"),E16,0)-O16-P16,2),Q15),"")</f>
        <v>2000</v>
      </c>
      <c r="R16" s="11">
        <f t="shared" si="1">IF(I16="已计入",ROUND(K16*C16,2),"")</f>
        <v>2016.46</v>
      </c>
      <c r="S16" s="11">
        <f t="shared" si="2">IF(I16="已计入",ROUND(R16-Q16,2),"")</f>
        <v>16.46</v>
      </c>
      <c r="T16" s="12">
        <f t="shared" si="3">IF(I16="已计入",IF(Q16=0,"",S16/Q16),"")</f>
        <v>0.008230000000000001</v>
      </c>
      <c r="U16" s="11">
        <f t="shared" si="11">IF(AA16="正常",U15+IF(AND(I16="已计入",OR(B16="买入",B16="定投",B16="转换转入")),E16,0),"")</f>
        <v>2000</v>
      </c>
      <c r="V16" s="11">
        <f t="shared" si="12">IF(AA16="正常",V15+IF(AND(I16="已计入",OR(B16="卖出",B16="现金分红")),E16,0),"")</f>
        <v>0</v>
      </c>
      <c r="W16" s="11">
        <f t="shared" si="13">IF(AA16="正常",W15+IF(I16="已计入",N16,0),"")</f>
        <v>0</v>
      </c>
      <c r="X16" s="11">
        <f t="shared" si="14">IF(AA16="正常",X15+IF(I16="已计入",P16,0),"")</f>
        <v>0</v>
      </c>
      <c r="Y16" s="11">
        <f t="shared" si="4">IF(I16="已计入",ROUND(R16+V16-U16,2),"")</f>
        <v>16.46</v>
      </c>
      <c r="Z16" s="13">
        <f t="shared" si="15">IF(AA16="正常",IF(I16="已计入",A16,Z15),"")</f>
        <v>46027</v>
      </c>
      <c r="AA16" s="10" t="str">
        <f t="shared" si="16">IF(OR(AA15="错误",AND(I16&lt;&gt;"",I16&lt;&gt;"已排除",I16&lt;&gt;"待确认",I16&lt;&gt;"已计入")),"错误","正常")</f>
        <v>正常</v>
      </c>
      <c r="AB16" s="14">
        <f t="shared" si="17">IF(AA16="正常",IF(I16="已计入",C16,AB15),"")</f>
        <v>4.7337</v>
      </c>
    </row>
    <row r="17" ht="42" customHeight="1">
      <c r="A17" s="36">
        <v>46028</v>
      </c>
      <c r="B17" s="37" t="inlineStr">
        <is>
          <t>定投</t>
        </is>
      </c>
      <c r="C17" s="38">
        <v>4.8206</v>
      </c>
      <c r="D17" s="39">
        <v>41.42</v>
      </c>
      <c r="E17" s="39">
        <v>200</v>
      </c>
      <c r="F17" s="39">
        <v>0.32</v>
      </c>
      <c r="G17" s="37" t="inlineStr">
        <is>
          <t>历史估算</t>
        </is>
      </c>
      <c r="H17" s="40" t="inlineStr">
        <is>
          <t>原下单 2026-01-06 09:56:58
净值日／份额暂估，手续费按 0.16%</t>
        </is>
      </c>
      <c r="I17" s="10" t="str">
        <f>IF(COUNTA(A17:H17)=0,"",IF(OR(OR(OR(G17="撤单",G17="交易失败",G17="交易关闭"),G17="交易失败",G17="交易关闭"),G17="交易失败",G17="交易关闭"),"已排除",IF(G17="待确认","待确认",IF(NOT(OR(G17="已确认",G17="历史估算")),"请选择确认状态",IF(NOT(ISNUMBER(A17)),"缺少有效净值日期",IF(OR(A17&lt;=0,A17&lt;&gt;INT(A17)),"净值日期无效",IF(NOT(OR(OR(B17="买入",B17="定投",B17="转换转入"),B17="卖出",B17="现金分红",B17="红利再投")),"请选择交易类型",IF(NOT(ISNUMBER(C17)),"缺少成交净值",IF(C17&lt;=0,"成交净值须大于零",IF(NOT(ISNUMBER(D17)),"缺少确认份额（分红填0）",IF(NOT(ISNUMBER(E17)),"缺少确认金额（再投填0）",IF(NOT(ISNUMBER(F17)),"缺少手续费（无费用填0）",IF(OR(D17&lt;0,E17&lt;0,F17&lt;0),"份额金额费用不能为负",IF(AA16="错误","前行待修正",IF(A17&lt;Z16,"日期需按成交顺序递增",IF(AND(B17="现金分红",OR(D17&lt;&gt;0,E17&lt;=0,F17&lt;&gt;0)),"分红填份额0、费用0、正金额",IF(AND(B17="红利再投",OR(D17&lt;=0,E17&lt;&gt;0,F17&lt;&gt;0)),"再投填正份额、金额0、费用0",IF(AND(OR(B17="现金分红",B17="红利再投"),K16&lt;=0),"分红或再投前须有持仓",IF(AND(OR(OR(B17="买入",B17="定投",B17="转换转入"),B17="卖出"),OR(D17&lt;=0,E17&lt;=0)),"买卖须填正份额、正金额",IF(AND(B17="卖出",D17&gt;K16+0.000001),"卖出份额超过持仓",IF(AND(OR(B17="买入",B17="定投",B17="转换转入"),F17&gt;=E17)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17="买入",B17="定投",B17="转换转入"),ABS(E17-F17-C17*D17)&gt;'持仓总览'!$H$6),"买入金额与份额净值不符",IF(AND(B17="卖出",ABS(E17+F17-C17*D17)&gt;'持仓总览'!$H$6),"到账加费用与赎回市值不符","已计入"))))))))))))))))))))))))))</f>
        <v>已计入</v>
      </c>
      <c r="J17" s="11">
        <f t="shared" si="0">IF(AA17="正常",IF(I17="已计入",IF(OR(OR(B17="买入",B17="定投",B17="转换转入"),B17="红利再投"),D17,IF(B17="卖出",-D17,0)),0),"")</f>
        <v>41.42</v>
      </c>
      <c r="K17" s="11">
        <f t="shared" si="5">IF(AA17="正常",ROUND(K16+J17,6),"")</f>
        <v>467.4</v>
      </c>
      <c r="L17" s="11">
        <f t="shared" si="6">IF(I17="已计入",ROUND(K16*C17,2),"")</f>
        <v>2053.48</v>
      </c>
      <c r="M17" s="11">
        <f t="shared" si="7">IF(I17="已计入",IF(B17="卖出",MAX(0,L17-Q16-F17),IF(B17="现金分红",MAX(0,L17+E17-Q16),0)),"")</f>
        <v>0</v>
      </c>
      <c r="N17" s="11">
        <f>IF(I17="已计入",IF(AND(B17="卖出",'持仓总览'!$C$7="本金优先"),MAX(0,E17-Q16),IF(OR(B17="卖出",B17="现金分红"),MIN(E17,M17),0)),"")</f>
        <v>0</v>
      </c>
      <c r="O17" s="11">
        <f t="shared" si="8">IF(I17="已计入",IF(OR(B17="卖出",B17="现金分红"),MIN(Q16,MAX(0,E17-N17)),0),"")</f>
        <v>0</v>
      </c>
      <c r="P17" s="11">
        <f t="shared" si="9">IF(I17="已计入",IF(AND(B17="卖出",K17=0),MAX(0,Q16-O17),0),"")</f>
        <v>0</v>
      </c>
      <c r="Q17" s="11">
        <f t="shared" si="10">IF(AA17="正常",IF(I17="已计入",ROUND(Q16+IF(OR(B17="买入",B17="定投",B17="转换转入"),E17,0)-O17-P17,2),Q16),"")</f>
        <v>2200</v>
      </c>
      <c r="R17" s="11">
        <f t="shared" si="1">IF(I17="已计入",ROUND(K17*C17,2),"")</f>
        <v>2253.15</v>
      </c>
      <c r="S17" s="11">
        <f t="shared" si="2">IF(I17="已计入",ROUND(R17-Q17,2),"")</f>
        <v>53.15</v>
      </c>
      <c r="T17" s="12">
        <f t="shared" si="3">IF(I17="已计入",IF(Q17=0,"",S17/Q17),"")</f>
        <v>0.024159090909090908</v>
      </c>
      <c r="U17" s="11">
        <f t="shared" si="11">IF(AA17="正常",U16+IF(AND(I17="已计入",OR(B17="买入",B17="定投",B17="转换转入")),E17,0),"")</f>
        <v>2200</v>
      </c>
      <c r="V17" s="11">
        <f t="shared" si="12">IF(AA17="正常",V16+IF(AND(I17="已计入",OR(B17="卖出",B17="现金分红")),E17,0),"")</f>
        <v>0</v>
      </c>
      <c r="W17" s="11">
        <f t="shared" si="13">IF(AA17="正常",W16+IF(I17="已计入",N17,0),"")</f>
        <v>0</v>
      </c>
      <c r="X17" s="11">
        <f t="shared" si="14">IF(AA17="正常",X16+IF(I17="已计入",P17,0),"")</f>
        <v>0</v>
      </c>
      <c r="Y17" s="11">
        <f t="shared" si="4">IF(I17="已计入",ROUND(R17+V17-U17,2),"")</f>
        <v>53.15</v>
      </c>
      <c r="Z17" s="13">
        <f t="shared" si="15">IF(AA17="正常",IF(I17="已计入",A17,Z16),"")</f>
        <v>46028</v>
      </c>
      <c r="AA17" s="10" t="str">
        <f t="shared" si="16">IF(OR(AA16="错误",AND(I17&lt;&gt;"",I17&lt;&gt;"已排除",I17&lt;&gt;"待确认",I17&lt;&gt;"已计入")),"错误","正常")</f>
        <v>正常</v>
      </c>
      <c r="AB17" s="14">
        <f t="shared" si="17">IF(AA17="正常",IF(I17="已计入",C17,AB16),"")</f>
        <v>4.8206</v>
      </c>
    </row>
    <row r="18" ht="42" customHeight="1">
      <c r="A18" s="36">
        <v>46029</v>
      </c>
      <c r="B18" s="37" t="inlineStr">
        <is>
          <t>定投</t>
        </is>
      </c>
      <c r="C18" s="38">
        <v>4.8463</v>
      </c>
      <c r="D18" s="39">
        <v>41.2</v>
      </c>
      <c r="E18" s="39">
        <v>200</v>
      </c>
      <c r="F18" s="39">
        <v>0.32</v>
      </c>
      <c r="G18" s="37" t="inlineStr">
        <is>
          <t>历史估算</t>
        </is>
      </c>
      <c r="H18" s="40" t="inlineStr">
        <is>
          <t>原下单 2026-01-07 09:56:32
净值日／份额暂估，手续费按 0.16%</t>
        </is>
      </c>
      <c r="I18" s="10" t="str">
        <f>IF(COUNTA(A18:H18)=0,"",IF(OR(OR(OR(G18="撤单",G18="交易失败",G18="交易关闭"),G18="交易失败",G18="交易关闭"),G18="交易失败",G18="交易关闭"),"已排除",IF(G18="待确认","待确认",IF(NOT(OR(G18="已确认",G18="历史估算")),"请选择确认状态",IF(NOT(ISNUMBER(A18)),"缺少有效净值日期",IF(OR(A18&lt;=0,A18&lt;&gt;INT(A18)),"净值日期无效",IF(NOT(OR(OR(B18="买入",B18="定投",B18="转换转入"),B18="卖出",B18="现金分红",B18="红利再投")),"请选择交易类型",IF(NOT(ISNUMBER(C18)),"缺少成交净值",IF(C18&lt;=0,"成交净值须大于零",IF(NOT(ISNUMBER(D18)),"缺少确认份额（分红填0）",IF(NOT(ISNUMBER(E18)),"缺少确认金额（再投填0）",IF(NOT(ISNUMBER(F18)),"缺少手续费（无费用填0）",IF(OR(D18&lt;0,E18&lt;0,F18&lt;0),"份额金额费用不能为负",IF(AA17="错误","前行待修正",IF(A18&lt;Z17,"日期需按成交顺序递增",IF(AND(B18="现金分红",OR(D18&lt;&gt;0,E18&lt;=0,F18&lt;&gt;0)),"分红填份额0、费用0、正金额",IF(AND(B18="红利再投",OR(D18&lt;=0,E18&lt;&gt;0,F18&lt;&gt;0)),"再投填正份额、金额0、费用0",IF(AND(OR(B18="现金分红",B18="红利再投"),K17&lt;=0),"分红或再投前须有持仓",IF(AND(OR(OR(B18="买入",B18="定投",B18="转换转入"),B18="卖出"),OR(D18&lt;=0,E18&lt;=0)),"买卖须填正份额、正金额",IF(AND(B18="卖出",D18&gt;K17+0.000001),"卖出份额超过持仓",IF(AND(OR(B18="买入",B18="定投",B18="转换转入"),F18&gt;=E18)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18="买入",B18="定投",B18="转换转入"),ABS(E18-F18-C18*D18)&gt;'持仓总览'!$H$6),"买入金额与份额净值不符",IF(AND(B18="卖出",ABS(E18+F18-C18*D18)&gt;'持仓总览'!$H$6),"到账加费用与赎回市值不符","已计入"))))))))))))))))))))))))))</f>
        <v>已计入</v>
      </c>
      <c r="J18" s="11">
        <f t="shared" si="0">IF(AA18="正常",IF(I18="已计入",IF(OR(OR(B18="买入",B18="定投",B18="转换转入"),B18="红利再投"),D18,IF(B18="卖出",-D18,0)),0),"")</f>
        <v>41.2</v>
      </c>
      <c r="K18" s="11">
        <f t="shared" si="5">IF(AA18="正常",ROUND(K17+J18,6),"")</f>
        <v>508.6</v>
      </c>
      <c r="L18" s="11">
        <f t="shared" si="6">IF(I18="已计入",ROUND(K17*C18,2),"")</f>
        <v>2265.16</v>
      </c>
      <c r="M18" s="11">
        <f t="shared" si="7">IF(I18="已计入",IF(B18="卖出",MAX(0,L18-Q17-F18),IF(B18="现金分红",MAX(0,L18+E18-Q17),0)),"")</f>
        <v>0</v>
      </c>
      <c r="N18" s="11">
        <f>IF(I18="已计入",IF(AND(B18="卖出",'持仓总览'!$C$7="本金优先"),MAX(0,E18-Q17),IF(OR(B18="卖出",B18="现金分红"),MIN(E18,M18),0)),"")</f>
        <v>0</v>
      </c>
      <c r="O18" s="11">
        <f t="shared" si="8">IF(I18="已计入",IF(OR(B18="卖出",B18="现金分红"),MIN(Q17,MAX(0,E18-N18)),0),"")</f>
        <v>0</v>
      </c>
      <c r="P18" s="11">
        <f t="shared" si="9">IF(I18="已计入",IF(AND(B18="卖出",K18=0),MAX(0,Q17-O18),0),"")</f>
        <v>0</v>
      </c>
      <c r="Q18" s="11">
        <f t="shared" si="10">IF(AA18="正常",IF(I18="已计入",ROUND(Q17+IF(OR(B18="买入",B18="定投",B18="转换转入"),E18,0)-O18-P18,2),Q17),"")</f>
        <v>2400</v>
      </c>
      <c r="R18" s="11">
        <f t="shared" si="1">IF(I18="已计入",ROUND(K18*C18,2),"")</f>
        <v>2464.83</v>
      </c>
      <c r="S18" s="11">
        <f t="shared" si="2">IF(I18="已计入",ROUND(R18-Q18,2),"")</f>
        <v>64.83</v>
      </c>
      <c r="T18" s="12">
        <f t="shared" si="3">IF(I18="已计入",IF(Q18=0,"",S18/Q18),"")</f>
        <v>0.0270125</v>
      </c>
      <c r="U18" s="11">
        <f t="shared" si="11">IF(AA18="正常",U17+IF(AND(I18="已计入",OR(B18="买入",B18="定投",B18="转换转入")),E18,0),"")</f>
        <v>2400</v>
      </c>
      <c r="V18" s="11">
        <f t="shared" si="12">IF(AA18="正常",V17+IF(AND(I18="已计入",OR(B18="卖出",B18="现金分红")),E18,0),"")</f>
        <v>0</v>
      </c>
      <c r="W18" s="11">
        <f t="shared" si="13">IF(AA18="正常",W17+IF(I18="已计入",N18,0),"")</f>
        <v>0</v>
      </c>
      <c r="X18" s="11">
        <f t="shared" si="14">IF(AA18="正常",X17+IF(I18="已计入",P18,0),"")</f>
        <v>0</v>
      </c>
      <c r="Y18" s="11">
        <f t="shared" si="4">IF(I18="已计入",ROUND(R18+V18-U18,2),"")</f>
        <v>64.83</v>
      </c>
      <c r="Z18" s="13">
        <f t="shared" si="15">IF(AA18="正常",IF(I18="已计入",A18,Z17),"")</f>
        <v>46029</v>
      </c>
      <c r="AA18" s="10" t="str">
        <f t="shared" si="16">IF(OR(AA17="错误",AND(I18&lt;&gt;"",I18&lt;&gt;"已排除",I18&lt;&gt;"待确认",I18&lt;&gt;"已计入")),"错误","正常")</f>
        <v>正常</v>
      </c>
      <c r="AB18" s="14">
        <f t="shared" si="17">IF(AA18="正常",IF(I18="已计入",C18,AB17),"")</f>
        <v>4.8463</v>
      </c>
    </row>
    <row r="19" ht="42" customHeight="1">
      <c r="A19" s="36">
        <v>46030</v>
      </c>
      <c r="B19" s="37" t="inlineStr">
        <is>
          <t>定投</t>
        </is>
      </c>
      <c r="C19" s="38">
        <v>4.8025</v>
      </c>
      <c r="D19" s="39">
        <v>41.58</v>
      </c>
      <c r="E19" s="39">
        <v>200</v>
      </c>
      <c r="F19" s="39">
        <v>0.32</v>
      </c>
      <c r="G19" s="37" t="inlineStr">
        <is>
          <t>历史估算</t>
        </is>
      </c>
      <c r="H19" s="40" t="inlineStr">
        <is>
          <t>原下单 2026-01-08 09:58:46
净值日／份额暂估，手续费按 0.16%</t>
        </is>
      </c>
      <c r="I19" s="10" t="str">
        <f>IF(COUNTA(A19:H19)=0,"",IF(OR(OR(OR(G19="撤单",G19="交易失败",G19="交易关闭"),G19="交易失败",G19="交易关闭"),G19="交易失败",G19="交易关闭"),"已排除",IF(G19="待确认","待确认",IF(NOT(OR(G19="已确认",G19="历史估算")),"请选择确认状态",IF(NOT(ISNUMBER(A19)),"缺少有效净值日期",IF(OR(A19&lt;=0,A19&lt;&gt;INT(A19)),"净值日期无效",IF(NOT(OR(OR(B19="买入",B19="定投",B19="转换转入"),B19="卖出",B19="现金分红",B19="红利再投")),"请选择交易类型",IF(NOT(ISNUMBER(C19)),"缺少成交净值",IF(C19&lt;=0,"成交净值须大于零",IF(NOT(ISNUMBER(D19)),"缺少确认份额（分红填0）",IF(NOT(ISNUMBER(E19)),"缺少确认金额（再投填0）",IF(NOT(ISNUMBER(F19)),"缺少手续费（无费用填0）",IF(OR(D19&lt;0,E19&lt;0,F19&lt;0),"份额金额费用不能为负",IF(AA18="错误","前行待修正",IF(A19&lt;Z18,"日期需按成交顺序递增",IF(AND(B19="现金分红",OR(D19&lt;&gt;0,E19&lt;=0,F19&lt;&gt;0)),"分红填份额0、费用0、正金额",IF(AND(B19="红利再投",OR(D19&lt;=0,E19&lt;&gt;0,F19&lt;&gt;0)),"再投填正份额、金额0、费用0",IF(AND(OR(B19="现金分红",B19="红利再投"),K18&lt;=0),"分红或再投前须有持仓",IF(AND(OR(OR(B19="买入",B19="定投",B19="转换转入"),B19="卖出"),OR(D19&lt;=0,E19&lt;=0)),"买卖须填正份额、正金额",IF(AND(B19="卖出",D19&gt;K18+0.000001),"卖出份额超过持仓",IF(AND(OR(B19="买入",B19="定投",B19="转换转入"),F19&gt;=E19)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19="买入",B19="定投",B19="转换转入"),ABS(E19-F19-C19*D19)&gt;'持仓总览'!$H$6),"买入金额与份额净值不符",IF(AND(B19="卖出",ABS(E19+F19-C19*D19)&gt;'持仓总览'!$H$6),"到账加费用与赎回市值不符","已计入"))))))))))))))))))))))))))</f>
        <v>已计入</v>
      </c>
      <c r="J19" s="11">
        <f t="shared" si="0">IF(AA19="正常",IF(I19="已计入",IF(OR(OR(B19="买入",B19="定投",B19="转换转入"),B19="红利再投"),D19,IF(B19="卖出",-D19,0)),0),"")</f>
        <v>41.58</v>
      </c>
      <c r="K19" s="11">
        <f t="shared" si="5">IF(AA19="正常",ROUND(K18+J19,6),"")</f>
        <v>550.18</v>
      </c>
      <c r="L19" s="11">
        <f t="shared" si="6">IF(I19="已计入",ROUND(K18*C19,2),"")</f>
        <v>2442.55</v>
      </c>
      <c r="M19" s="11">
        <f t="shared" si="7">IF(I19="已计入",IF(B19="卖出",MAX(0,L19-Q18-F19),IF(B19="现金分红",MAX(0,L19+E19-Q18),0)),"")</f>
        <v>0</v>
      </c>
      <c r="N19" s="11">
        <f>IF(I19="已计入",IF(AND(B19="卖出",'持仓总览'!$C$7="本金优先"),MAX(0,E19-Q18),IF(OR(B19="卖出",B19="现金分红"),MIN(E19,M19),0)),"")</f>
        <v>0</v>
      </c>
      <c r="O19" s="11">
        <f t="shared" si="8">IF(I19="已计入",IF(OR(B19="卖出",B19="现金分红"),MIN(Q18,MAX(0,E19-N19)),0),"")</f>
        <v>0</v>
      </c>
      <c r="P19" s="11">
        <f t="shared" si="9">IF(I19="已计入",IF(AND(B19="卖出",K19=0),MAX(0,Q18-O19),0),"")</f>
        <v>0</v>
      </c>
      <c r="Q19" s="11">
        <f t="shared" si="10">IF(AA19="正常",IF(I19="已计入",ROUND(Q18+IF(OR(B19="买入",B19="定投",B19="转换转入"),E19,0)-O19-P19,2),Q18),"")</f>
        <v>2600</v>
      </c>
      <c r="R19" s="11">
        <f t="shared" si="1">IF(I19="已计入",ROUND(K19*C19,2),"")</f>
        <v>2642.24</v>
      </c>
      <c r="S19" s="11">
        <f t="shared" si="2">IF(I19="已计入",ROUND(R19-Q19,2),"")</f>
        <v>42.24</v>
      </c>
      <c r="T19" s="12">
        <f t="shared" si="3">IF(I19="已计入",IF(Q19=0,"",S19/Q19),"")</f>
        <v>0.016246153846153848</v>
      </c>
      <c r="U19" s="11">
        <f t="shared" si="11">IF(AA19="正常",U18+IF(AND(I19="已计入",OR(B19="买入",B19="定投",B19="转换转入")),E19,0),"")</f>
        <v>2600</v>
      </c>
      <c r="V19" s="11">
        <f t="shared" si="12">IF(AA19="正常",V18+IF(AND(I19="已计入",OR(B19="卖出",B19="现金分红")),E19,0),"")</f>
        <v>0</v>
      </c>
      <c r="W19" s="11">
        <f t="shared" si="13">IF(AA19="正常",W18+IF(I19="已计入",N19,0),"")</f>
        <v>0</v>
      </c>
      <c r="X19" s="11">
        <f t="shared" si="14">IF(AA19="正常",X18+IF(I19="已计入",P19,0),"")</f>
        <v>0</v>
      </c>
      <c r="Y19" s="11">
        <f t="shared" si="4">IF(I19="已计入",ROUND(R19+V19-U19,2),"")</f>
        <v>42.24</v>
      </c>
      <c r="Z19" s="13">
        <f t="shared" si="15">IF(AA19="正常",IF(I19="已计入",A19,Z18),"")</f>
        <v>46030</v>
      </c>
      <c r="AA19" s="10" t="str">
        <f t="shared" si="16">IF(OR(AA18="错误",AND(I19&lt;&gt;"",I19&lt;&gt;"已排除",I19&lt;&gt;"待确认",I19&lt;&gt;"已计入")),"错误","正常")</f>
        <v>正常</v>
      </c>
      <c r="AB19" s="14">
        <f t="shared" si="17">IF(AA19="正常",IF(I19="已计入",C19,AB18),"")</f>
        <v>4.8025</v>
      </c>
    </row>
    <row r="20" ht="42" customHeight="1">
      <c r="A20" s="36">
        <v>46031</v>
      </c>
      <c r="B20" s="37" t="inlineStr">
        <is>
          <t>定投</t>
        </is>
      </c>
      <c r="C20" s="38">
        <v>4.876</v>
      </c>
      <c r="D20" s="39">
        <v>40.95</v>
      </c>
      <c r="E20" s="39">
        <v>200</v>
      </c>
      <c r="F20" s="39">
        <v>0.32</v>
      </c>
      <c r="G20" s="37" t="inlineStr">
        <is>
          <t>历史估算</t>
        </is>
      </c>
      <c r="H20" s="40" t="inlineStr">
        <is>
          <t>原下单 2026-01-09 09:55:51
净值日／份额暂估，手续费按 0.16%</t>
        </is>
      </c>
      <c r="I20" s="10" t="str">
        <f>IF(COUNTA(A20:H20)=0,"",IF(OR(OR(OR(G20="撤单",G20="交易失败",G20="交易关闭"),G20="交易失败",G20="交易关闭"),G20="交易失败",G20="交易关闭"),"已排除",IF(G20="待确认","待确认",IF(NOT(OR(G20="已确认",G20="历史估算")),"请选择确认状态",IF(NOT(ISNUMBER(A20)),"缺少有效净值日期",IF(OR(A20&lt;=0,A20&lt;&gt;INT(A20)),"净值日期无效",IF(NOT(OR(OR(B20="买入",B20="定投",B20="转换转入"),B20="卖出",B20="现金分红",B20="红利再投")),"请选择交易类型",IF(NOT(ISNUMBER(C20)),"缺少成交净值",IF(C20&lt;=0,"成交净值须大于零",IF(NOT(ISNUMBER(D20)),"缺少确认份额（分红填0）",IF(NOT(ISNUMBER(E20)),"缺少确认金额（再投填0）",IF(NOT(ISNUMBER(F20)),"缺少手续费（无费用填0）",IF(OR(D20&lt;0,E20&lt;0,F20&lt;0),"份额金额费用不能为负",IF(AA19="错误","前行待修正",IF(A20&lt;Z19,"日期需按成交顺序递增",IF(AND(B20="现金分红",OR(D20&lt;&gt;0,E20&lt;=0,F20&lt;&gt;0)),"分红填份额0、费用0、正金额",IF(AND(B20="红利再投",OR(D20&lt;=0,E20&lt;&gt;0,F20&lt;&gt;0)),"再投填正份额、金额0、费用0",IF(AND(OR(B20="现金分红",B20="红利再投"),K19&lt;=0),"分红或再投前须有持仓",IF(AND(OR(OR(B20="买入",B20="定投",B20="转换转入"),B20="卖出"),OR(D20&lt;=0,E20&lt;=0)),"买卖须填正份额、正金额",IF(AND(B20="卖出",D20&gt;K19+0.000001),"卖出份额超过持仓",IF(AND(OR(B20="买入",B20="定投",B20="转换转入"),F20&gt;=E20)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20="买入",B20="定投",B20="转换转入"),ABS(E20-F20-C20*D20)&gt;'持仓总览'!$H$6),"买入金额与份额净值不符",IF(AND(B20="卖出",ABS(E20+F20-C20*D20)&gt;'持仓总览'!$H$6),"到账加费用与赎回市值不符","已计入"))))))))))))))))))))))))))</f>
        <v>已计入</v>
      </c>
      <c r="J20" s="11">
        <f t="shared" si="0">IF(AA20="正常",IF(I20="已计入",IF(OR(OR(B20="买入",B20="定投",B20="转换转入"),B20="红利再投"),D20,IF(B20="卖出",-D20,0)),0),"")</f>
        <v>40.95</v>
      </c>
      <c r="K20" s="11">
        <f t="shared" si="5">IF(AA20="正常",ROUND(K19+J20,6),"")</f>
        <v>591.13</v>
      </c>
      <c r="L20" s="11">
        <f t="shared" si="6">IF(I20="已计入",ROUND(K19*C20,2),"")</f>
        <v>2682.68</v>
      </c>
      <c r="M20" s="11">
        <f t="shared" si="7">IF(I20="已计入",IF(B20="卖出",MAX(0,L20-Q19-F20),IF(B20="现金分红",MAX(0,L20+E20-Q19),0)),"")</f>
        <v>0</v>
      </c>
      <c r="N20" s="11">
        <f>IF(I20="已计入",IF(AND(B20="卖出",'持仓总览'!$C$7="本金优先"),MAX(0,E20-Q19),IF(OR(B20="卖出",B20="现金分红"),MIN(E20,M20),0)),"")</f>
        <v>0</v>
      </c>
      <c r="O20" s="11">
        <f t="shared" si="8">IF(I20="已计入",IF(OR(B20="卖出",B20="现金分红"),MIN(Q19,MAX(0,E20-N20)),0),"")</f>
        <v>0</v>
      </c>
      <c r="P20" s="11">
        <f t="shared" si="9">IF(I20="已计入",IF(AND(B20="卖出",K20=0),MAX(0,Q19-O20),0),"")</f>
        <v>0</v>
      </c>
      <c r="Q20" s="11">
        <f t="shared" si="10">IF(AA20="正常",IF(I20="已计入",ROUND(Q19+IF(OR(B20="买入",B20="定投",B20="转换转入"),E20,0)-O20-P20,2),Q19),"")</f>
        <v>2800</v>
      </c>
      <c r="R20" s="11">
        <f t="shared" si="1">IF(I20="已计入",ROUND(K20*C20,2),"")</f>
        <v>2882.35</v>
      </c>
      <c r="S20" s="11">
        <f t="shared" si="2">IF(I20="已计入",ROUND(R20-Q20,2),"")</f>
        <v>82.35</v>
      </c>
      <c r="T20" s="12">
        <f t="shared" si="3">IF(I20="已计入",IF(Q20=0,"",S20/Q20),"")</f>
        <v>0.029410714285714283</v>
      </c>
      <c r="U20" s="11">
        <f t="shared" si="11">IF(AA20="正常",U19+IF(AND(I20="已计入",OR(B20="买入",B20="定投",B20="转换转入")),E20,0),"")</f>
        <v>2800</v>
      </c>
      <c r="V20" s="11">
        <f t="shared" si="12">IF(AA20="正常",V19+IF(AND(I20="已计入",OR(B20="卖出",B20="现金分红")),E20,0),"")</f>
        <v>0</v>
      </c>
      <c r="W20" s="11">
        <f t="shared" si="13">IF(AA20="正常",W19+IF(I20="已计入",N20,0),"")</f>
        <v>0</v>
      </c>
      <c r="X20" s="11">
        <f t="shared" si="14">IF(AA20="正常",X19+IF(I20="已计入",P20,0),"")</f>
        <v>0</v>
      </c>
      <c r="Y20" s="11">
        <f t="shared" si="4">IF(I20="已计入",ROUND(R20+V20-U20,2),"")</f>
        <v>82.35</v>
      </c>
      <c r="Z20" s="13">
        <f t="shared" si="15">IF(AA20="正常",IF(I20="已计入",A20,Z19),"")</f>
        <v>46031</v>
      </c>
      <c r="AA20" s="10" t="str">
        <f t="shared" si="16">IF(OR(AA19="错误",AND(I20&lt;&gt;"",I20&lt;&gt;"已排除",I20&lt;&gt;"待确认",I20&lt;&gt;"已计入")),"错误","正常")</f>
        <v>正常</v>
      </c>
      <c r="AB20" s="14">
        <f t="shared" si="17">IF(AA20="正常",IF(I20="已计入",C20,AB19),"")</f>
        <v>4.876</v>
      </c>
    </row>
    <row r="21" ht="42" customHeight="1">
      <c r="A21" s="36">
        <v>46034</v>
      </c>
      <c r="B21" s="37" t="inlineStr">
        <is>
          <t>定投</t>
        </is>
      </c>
      <c r="C21" s="38">
        <v>4.93</v>
      </c>
      <c r="D21" s="39">
        <v>40.5</v>
      </c>
      <c r="E21" s="39">
        <v>200</v>
      </c>
      <c r="F21" s="39">
        <v>0.32</v>
      </c>
      <c r="G21" s="37" t="inlineStr">
        <is>
          <t>历史估算</t>
        </is>
      </c>
      <c r="H21" s="40" t="inlineStr">
        <is>
          <t>原下单 2026-01-12 10:03:19
净值日／份额暂估，手续费按 0.16%</t>
        </is>
      </c>
      <c r="I21" s="10" t="str">
        <f>IF(COUNTA(A21:H21)=0,"",IF(OR(OR(OR(G21="撤单",G21="交易失败",G21="交易关闭"),G21="交易失败",G21="交易关闭"),G21="交易失败",G21="交易关闭"),"已排除",IF(G21="待确认","待确认",IF(NOT(OR(G21="已确认",G21="历史估算")),"请选择确认状态",IF(NOT(ISNUMBER(A21)),"缺少有效净值日期",IF(OR(A21&lt;=0,A21&lt;&gt;INT(A21)),"净值日期无效",IF(NOT(OR(OR(B21="买入",B21="定投",B21="转换转入"),B21="卖出",B21="现金分红",B21="红利再投")),"请选择交易类型",IF(NOT(ISNUMBER(C21)),"缺少成交净值",IF(C21&lt;=0,"成交净值须大于零",IF(NOT(ISNUMBER(D21)),"缺少确认份额（分红填0）",IF(NOT(ISNUMBER(E21)),"缺少确认金额（再投填0）",IF(NOT(ISNUMBER(F21)),"缺少手续费（无费用填0）",IF(OR(D21&lt;0,E21&lt;0,F21&lt;0),"份额金额费用不能为负",IF(AA20="错误","前行待修正",IF(A21&lt;Z20,"日期需按成交顺序递增",IF(AND(B21="现金分红",OR(D21&lt;&gt;0,E21&lt;=0,F21&lt;&gt;0)),"分红填份额0、费用0、正金额",IF(AND(B21="红利再投",OR(D21&lt;=0,E21&lt;&gt;0,F21&lt;&gt;0)),"再投填正份额、金额0、费用0",IF(AND(OR(B21="现金分红",B21="红利再投"),K20&lt;=0),"分红或再投前须有持仓",IF(AND(OR(OR(B21="买入",B21="定投",B21="转换转入"),B21="卖出"),OR(D21&lt;=0,E21&lt;=0)),"买卖须填正份额、正金额",IF(AND(B21="卖出",D21&gt;K20+0.000001),"卖出份额超过持仓",IF(AND(OR(B21="买入",B21="定投",B21="转换转入"),F21&gt;=E21)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21="买入",B21="定投",B21="转换转入"),ABS(E21-F21-C21*D21)&gt;'持仓总览'!$H$6),"买入金额与份额净值不符",IF(AND(B21="卖出",ABS(E21+F21-C21*D21)&gt;'持仓总览'!$H$6),"到账加费用与赎回市值不符","已计入"))))))))))))))))))))))))))</f>
        <v>已计入</v>
      </c>
      <c r="J21" s="11">
        <f t="shared" si="0">IF(AA21="正常",IF(I21="已计入",IF(OR(OR(B21="买入",B21="定投",B21="转换转入"),B21="红利再投"),D21,IF(B21="卖出",-D21,0)),0),"")</f>
        <v>40.5</v>
      </c>
      <c r="K21" s="11">
        <f t="shared" si="5">IF(AA21="正常",ROUND(K20+J21,6),"")</f>
        <v>631.63</v>
      </c>
      <c r="L21" s="11">
        <f t="shared" si="6">IF(I21="已计入",ROUND(K20*C21,2),"")</f>
        <v>2914.27</v>
      </c>
      <c r="M21" s="11">
        <f t="shared" si="7">IF(I21="已计入",IF(B21="卖出",MAX(0,L21-Q20-F21),IF(B21="现金分红",MAX(0,L21+E21-Q20),0)),"")</f>
        <v>0</v>
      </c>
      <c r="N21" s="11">
        <f>IF(I21="已计入",IF(AND(B21="卖出",'持仓总览'!$C$7="本金优先"),MAX(0,E21-Q20),IF(OR(B21="卖出",B21="现金分红"),MIN(E21,M21),0)),"")</f>
        <v>0</v>
      </c>
      <c r="O21" s="11">
        <f t="shared" si="8">IF(I21="已计入",IF(OR(B21="卖出",B21="现金分红"),MIN(Q20,MAX(0,E21-N21)),0),"")</f>
        <v>0</v>
      </c>
      <c r="P21" s="11">
        <f t="shared" si="9">IF(I21="已计入",IF(AND(B21="卖出",K21=0),MAX(0,Q20-O21),0),"")</f>
        <v>0</v>
      </c>
      <c r="Q21" s="11">
        <f t="shared" si="10">IF(AA21="正常",IF(I21="已计入",ROUND(Q20+IF(OR(B21="买入",B21="定投",B21="转换转入"),E21,0)-O21-P21,2),Q20),"")</f>
        <v>3000</v>
      </c>
      <c r="R21" s="11">
        <f t="shared" si="1">IF(I21="已计入",ROUND(K21*C21,2),"")</f>
        <v>3113.94</v>
      </c>
      <c r="S21" s="11">
        <f t="shared" si="2">IF(I21="已计入",ROUND(R21-Q21,2),"")</f>
        <v>113.94</v>
      </c>
      <c r="T21" s="12">
        <f t="shared" si="3">IF(I21="已计入",IF(Q21=0,"",S21/Q21),"")</f>
        <v>0.03798</v>
      </c>
      <c r="U21" s="11">
        <f t="shared" si="11">IF(AA21="正常",U20+IF(AND(I21="已计入",OR(B21="买入",B21="定投",B21="转换转入")),E21,0),"")</f>
        <v>3000</v>
      </c>
      <c r="V21" s="11">
        <f t="shared" si="12">IF(AA21="正常",V20+IF(AND(I21="已计入",OR(B21="卖出",B21="现金分红")),E21,0),"")</f>
        <v>0</v>
      </c>
      <c r="W21" s="11">
        <f t="shared" si="13">IF(AA21="正常",W20+IF(I21="已计入",N21,0),"")</f>
        <v>0</v>
      </c>
      <c r="X21" s="11">
        <f t="shared" si="14">IF(AA21="正常",X20+IF(I21="已计入",P21,0),"")</f>
        <v>0</v>
      </c>
      <c r="Y21" s="11">
        <f t="shared" si="4">IF(I21="已计入",ROUND(R21+V21-U21,2),"")</f>
        <v>113.94</v>
      </c>
      <c r="Z21" s="13">
        <f t="shared" si="15">IF(AA21="正常",IF(I21="已计入",A21,Z20),"")</f>
        <v>46034</v>
      </c>
      <c r="AA21" s="10" t="str">
        <f t="shared" si="16">IF(OR(AA20="错误",AND(I21&lt;&gt;"",I21&lt;&gt;"已排除",I21&lt;&gt;"待确认",I21&lt;&gt;"已计入")),"错误","正常")</f>
        <v>正常</v>
      </c>
      <c r="AB21" s="14">
        <f t="shared" si="17">IF(AA21="正常",IF(I21="已计入",C21,AB20),"")</f>
        <v>4.93</v>
      </c>
    </row>
    <row r="22" ht="42" customHeight="1">
      <c r="A22" s="36">
        <v>46035</v>
      </c>
      <c r="B22" s="37" t="inlineStr">
        <is>
          <t>定投</t>
        </is>
      </c>
      <c r="C22" s="38">
        <v>4.9169</v>
      </c>
      <c r="D22" s="39">
        <v>40.61</v>
      </c>
      <c r="E22" s="39">
        <v>200</v>
      </c>
      <c r="F22" s="39">
        <v>0.32</v>
      </c>
      <c r="G22" s="37" t="inlineStr">
        <is>
          <t>历史估算</t>
        </is>
      </c>
      <c r="H22" s="40" t="inlineStr">
        <is>
          <t>原下单 2026-01-13 09:54:40
净值日／份额暂估，手续费按 0.16%</t>
        </is>
      </c>
      <c r="I22" s="10" t="str">
        <f>IF(COUNTA(A22:H22)=0,"",IF(OR(OR(OR(G22="撤单",G22="交易失败",G22="交易关闭"),G22="交易失败",G22="交易关闭"),G22="交易失败",G22="交易关闭"),"已排除",IF(G22="待确认","待确认",IF(NOT(OR(G22="已确认",G22="历史估算")),"请选择确认状态",IF(NOT(ISNUMBER(A22)),"缺少有效净值日期",IF(OR(A22&lt;=0,A22&lt;&gt;INT(A22)),"净值日期无效",IF(NOT(OR(OR(B22="买入",B22="定投",B22="转换转入"),B22="卖出",B22="现金分红",B22="红利再投")),"请选择交易类型",IF(NOT(ISNUMBER(C22)),"缺少成交净值",IF(C22&lt;=0,"成交净值须大于零",IF(NOT(ISNUMBER(D22)),"缺少确认份额（分红填0）",IF(NOT(ISNUMBER(E22)),"缺少确认金额（再投填0）",IF(NOT(ISNUMBER(F22)),"缺少手续费（无费用填0）",IF(OR(D22&lt;0,E22&lt;0,F22&lt;0),"份额金额费用不能为负",IF(AA21="错误","前行待修正",IF(A22&lt;Z21,"日期需按成交顺序递增",IF(AND(B22="现金分红",OR(D22&lt;&gt;0,E22&lt;=0,F22&lt;&gt;0)),"分红填份额0、费用0、正金额",IF(AND(B22="红利再投",OR(D22&lt;=0,E22&lt;&gt;0,F22&lt;&gt;0)),"再投填正份额、金额0、费用0",IF(AND(OR(B22="现金分红",B22="红利再投"),K21&lt;=0),"分红或再投前须有持仓",IF(AND(OR(OR(B22="买入",B22="定投",B22="转换转入"),B22="卖出"),OR(D22&lt;=0,E22&lt;=0)),"买卖须填正份额、正金额",IF(AND(B22="卖出",D22&gt;K21+0.000001),"卖出份额超过持仓",IF(AND(OR(B22="买入",B22="定投",B22="转换转入"),F22&gt;=E22)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22="买入",B22="定投",B22="转换转入"),ABS(E22-F22-C22*D22)&gt;'持仓总览'!$H$6),"买入金额与份额净值不符",IF(AND(B22="卖出",ABS(E22+F22-C22*D22)&gt;'持仓总览'!$H$6),"到账加费用与赎回市值不符","已计入"))))))))))))))))))))))))))</f>
        <v>已计入</v>
      </c>
      <c r="J22" s="11">
        <f t="shared" si="0">IF(AA22="正常",IF(I22="已计入",IF(OR(OR(B22="买入",B22="定投",B22="转换转入"),B22="红利再投"),D22,IF(B22="卖出",-D22,0)),0),"")</f>
        <v>40.61</v>
      </c>
      <c r="K22" s="11">
        <f t="shared" si="5">IF(AA22="正常",ROUND(K21+J22,6),"")</f>
        <v>672.24</v>
      </c>
      <c r="L22" s="11">
        <f t="shared" si="6">IF(I22="已计入",ROUND(K21*C22,2),"")</f>
        <v>3105.66</v>
      </c>
      <c r="M22" s="11">
        <f t="shared" si="7">IF(I22="已计入",IF(B22="卖出",MAX(0,L22-Q21-F22),IF(B22="现金分红",MAX(0,L22+E22-Q21),0)),"")</f>
        <v>0</v>
      </c>
      <c r="N22" s="11">
        <f>IF(I22="已计入",IF(AND(B22="卖出",'持仓总览'!$C$7="本金优先"),MAX(0,E22-Q21),IF(OR(B22="卖出",B22="现金分红"),MIN(E22,M22),0)),"")</f>
        <v>0</v>
      </c>
      <c r="O22" s="11">
        <f t="shared" si="8">IF(I22="已计入",IF(OR(B22="卖出",B22="现金分红"),MIN(Q21,MAX(0,E22-N22)),0),"")</f>
        <v>0</v>
      </c>
      <c r="P22" s="11">
        <f t="shared" si="9">IF(I22="已计入",IF(AND(B22="卖出",K22=0),MAX(0,Q21-O22),0),"")</f>
        <v>0</v>
      </c>
      <c r="Q22" s="11">
        <f t="shared" si="10">IF(AA22="正常",IF(I22="已计入",ROUND(Q21+IF(OR(B22="买入",B22="定投",B22="转换转入"),E22,0)-O22-P22,2),Q21),"")</f>
        <v>3200</v>
      </c>
      <c r="R22" s="11">
        <f t="shared" si="1">IF(I22="已计入",ROUND(K22*C22,2),"")</f>
        <v>3305.34</v>
      </c>
      <c r="S22" s="11">
        <f t="shared" si="2">IF(I22="已计入",ROUND(R22-Q22,2),"")</f>
        <v>105.34</v>
      </c>
      <c r="T22" s="12">
        <f t="shared" si="3">IF(I22="已计入",IF(Q22=0,"",S22/Q22),"")</f>
        <v>0.032918750000000004</v>
      </c>
      <c r="U22" s="11">
        <f t="shared" si="11">IF(AA22="正常",U21+IF(AND(I22="已计入",OR(B22="买入",B22="定投",B22="转换转入")),E22,0),"")</f>
        <v>3200</v>
      </c>
      <c r="V22" s="11">
        <f t="shared" si="12">IF(AA22="正常",V21+IF(AND(I22="已计入",OR(B22="卖出",B22="现金分红")),E22,0),"")</f>
        <v>0</v>
      </c>
      <c r="W22" s="11">
        <f t="shared" si="13">IF(AA22="正常",W21+IF(I22="已计入",N22,0),"")</f>
        <v>0</v>
      </c>
      <c r="X22" s="11">
        <f t="shared" si="14">IF(AA22="正常",X21+IF(I22="已计入",P22,0),"")</f>
        <v>0</v>
      </c>
      <c r="Y22" s="11">
        <f t="shared" si="4">IF(I22="已计入",ROUND(R22+V22-U22,2),"")</f>
        <v>105.34</v>
      </c>
      <c r="Z22" s="13">
        <f t="shared" si="15">IF(AA22="正常",IF(I22="已计入",A22,Z21),"")</f>
        <v>46035</v>
      </c>
      <c r="AA22" s="10" t="str">
        <f t="shared" si="16">IF(OR(AA21="错误",AND(I22&lt;&gt;"",I22&lt;&gt;"已排除",I22&lt;&gt;"待确认",I22&lt;&gt;"已计入")),"错误","正常")</f>
        <v>正常</v>
      </c>
      <c r="AB22" s="14">
        <f t="shared" si="17">IF(AA22="正常",IF(I22="已计入",C22,AB21),"")</f>
        <v>4.9169</v>
      </c>
    </row>
    <row r="23" ht="42" customHeight="1">
      <c r="A23" s="36">
        <v>46036</v>
      </c>
      <c r="B23" s="37" t="inlineStr">
        <is>
          <t>定投</t>
        </is>
      </c>
      <c r="C23" s="38">
        <v>4.893</v>
      </c>
      <c r="D23" s="39">
        <v>40.81</v>
      </c>
      <c r="E23" s="39">
        <v>200</v>
      </c>
      <c r="F23" s="39">
        <v>0.32</v>
      </c>
      <c r="G23" s="37" t="inlineStr">
        <is>
          <t>历史估算</t>
        </is>
      </c>
      <c r="H23" s="40" t="inlineStr">
        <is>
          <t>原下单 2026-01-14 09:55:11
净值日／份额暂估，手续费按 0.16%</t>
        </is>
      </c>
      <c r="I23" s="10" t="str">
        <f>IF(COUNTA(A23:H23)=0,"",IF(OR(OR(OR(G23="撤单",G23="交易失败",G23="交易关闭"),G23="交易失败",G23="交易关闭"),G23="交易失败",G23="交易关闭"),"已排除",IF(G23="待确认","待确认",IF(NOT(OR(G23="已确认",G23="历史估算")),"请选择确认状态",IF(NOT(ISNUMBER(A23)),"缺少有效净值日期",IF(OR(A23&lt;=0,A23&lt;&gt;INT(A23)),"净值日期无效",IF(NOT(OR(OR(B23="买入",B23="定投",B23="转换转入"),B23="卖出",B23="现金分红",B23="红利再投")),"请选择交易类型",IF(NOT(ISNUMBER(C23)),"缺少成交净值",IF(C23&lt;=0,"成交净值须大于零",IF(NOT(ISNUMBER(D23)),"缺少确认份额（分红填0）",IF(NOT(ISNUMBER(E23)),"缺少确认金额（再投填0）",IF(NOT(ISNUMBER(F23)),"缺少手续费（无费用填0）",IF(OR(D23&lt;0,E23&lt;0,F23&lt;0),"份额金额费用不能为负",IF(AA22="错误","前行待修正",IF(A23&lt;Z22,"日期需按成交顺序递增",IF(AND(B23="现金分红",OR(D23&lt;&gt;0,E23&lt;=0,F23&lt;&gt;0)),"分红填份额0、费用0、正金额",IF(AND(B23="红利再投",OR(D23&lt;=0,E23&lt;&gt;0,F23&lt;&gt;0)),"再投填正份额、金额0、费用0",IF(AND(OR(B23="现金分红",B23="红利再投"),K22&lt;=0),"分红或再投前须有持仓",IF(AND(OR(OR(B23="买入",B23="定投",B23="转换转入"),B23="卖出"),OR(D23&lt;=0,E23&lt;=0)),"买卖须填正份额、正金额",IF(AND(B23="卖出",D23&gt;K22+0.000001),"卖出份额超过持仓",IF(AND(OR(B23="买入",B23="定投",B23="转换转入"),F23&gt;=E23)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23="买入",B23="定投",B23="转换转入"),ABS(E23-F23-C23*D23)&gt;'持仓总览'!$H$6),"买入金额与份额净值不符",IF(AND(B23="卖出",ABS(E23+F23-C23*D23)&gt;'持仓总览'!$H$6),"到账加费用与赎回市值不符","已计入"))))))))))))))))))))))))))</f>
        <v>已计入</v>
      </c>
      <c r="J23" s="11">
        <f t="shared" si="0">IF(AA23="正常",IF(I23="已计入",IF(OR(OR(B23="买入",B23="定投",B23="转换转入"),B23="红利再投"),D23,IF(B23="卖出",-D23,0)),0),"")</f>
        <v>40.81</v>
      </c>
      <c r="K23" s="11">
        <f t="shared" si="5">IF(AA23="正常",ROUND(K22+J23,6),"")</f>
        <v>713.05</v>
      </c>
      <c r="L23" s="11">
        <f t="shared" si="6">IF(I23="已计入",ROUND(K22*C23,2),"")</f>
        <v>3289.27</v>
      </c>
      <c r="M23" s="11">
        <f t="shared" si="7">IF(I23="已计入",IF(B23="卖出",MAX(0,L23-Q22-F23),IF(B23="现金分红",MAX(0,L23+E23-Q22),0)),"")</f>
        <v>0</v>
      </c>
      <c r="N23" s="11">
        <f>IF(I23="已计入",IF(AND(B23="卖出",'持仓总览'!$C$7="本金优先"),MAX(0,E23-Q22),IF(OR(B23="卖出",B23="现金分红"),MIN(E23,M23),0)),"")</f>
        <v>0</v>
      </c>
      <c r="O23" s="11">
        <f t="shared" si="8">IF(I23="已计入",IF(OR(B23="卖出",B23="现金分红"),MIN(Q22,MAX(0,E23-N23)),0),"")</f>
        <v>0</v>
      </c>
      <c r="P23" s="11">
        <f t="shared" si="9">IF(I23="已计入",IF(AND(B23="卖出",K23=0),MAX(0,Q22-O23),0),"")</f>
        <v>0</v>
      </c>
      <c r="Q23" s="11">
        <f t="shared" si="10">IF(AA23="正常",IF(I23="已计入",ROUND(Q22+IF(OR(B23="买入",B23="定投",B23="转换转入"),E23,0)-O23-P23,2),Q22),"")</f>
        <v>3400</v>
      </c>
      <c r="R23" s="11">
        <f t="shared" si="1">IF(I23="已计入",ROUND(K23*C23,2),"")</f>
        <v>3488.95</v>
      </c>
      <c r="S23" s="11">
        <f t="shared" si="2">IF(I23="已计入",ROUND(R23-Q23,2),"")</f>
        <v>88.95</v>
      </c>
      <c r="T23" s="12">
        <f t="shared" si="3">IF(I23="已计入",IF(Q23=0,"",S23/Q23),"")</f>
        <v>0.026161764705882353</v>
      </c>
      <c r="U23" s="11">
        <f t="shared" si="11">IF(AA23="正常",U22+IF(AND(I23="已计入",OR(B23="买入",B23="定投",B23="转换转入")),E23,0),"")</f>
        <v>3400</v>
      </c>
      <c r="V23" s="11">
        <f t="shared" si="12">IF(AA23="正常",V22+IF(AND(I23="已计入",OR(B23="卖出",B23="现金分红")),E23,0),"")</f>
        <v>0</v>
      </c>
      <c r="W23" s="11">
        <f t="shared" si="13">IF(AA23="正常",W22+IF(I23="已计入",N23,0),"")</f>
        <v>0</v>
      </c>
      <c r="X23" s="11">
        <f t="shared" si="14">IF(AA23="正常",X22+IF(I23="已计入",P23,0),"")</f>
        <v>0</v>
      </c>
      <c r="Y23" s="11">
        <f t="shared" si="4">IF(I23="已计入",ROUND(R23+V23-U23,2),"")</f>
        <v>88.95</v>
      </c>
      <c r="Z23" s="13">
        <f t="shared" si="15">IF(AA23="正常",IF(I23="已计入",A23,Z22),"")</f>
        <v>46036</v>
      </c>
      <c r="AA23" s="10" t="str">
        <f t="shared" si="16">IF(OR(AA22="错误",AND(I23&lt;&gt;"",I23&lt;&gt;"已排除",I23&lt;&gt;"待确认",I23&lt;&gt;"已计入")),"错误","正常")</f>
        <v>正常</v>
      </c>
      <c r="AB23" s="14">
        <f t="shared" si="17">IF(AA23="正常",IF(I23="已计入",C23,AB22),"")</f>
        <v>4.893</v>
      </c>
    </row>
    <row r="24" ht="42" customHeight="1">
      <c r="A24" s="36">
        <v>46037</v>
      </c>
      <c r="B24" s="37" t="inlineStr">
        <is>
          <t>定投</t>
        </is>
      </c>
      <c r="C24" s="38">
        <v>4.9363</v>
      </c>
      <c r="D24" s="39">
        <v>40.45</v>
      </c>
      <c r="E24" s="39">
        <v>200</v>
      </c>
      <c r="F24" s="39">
        <v>0.32</v>
      </c>
      <c r="G24" s="37" t="inlineStr">
        <is>
          <t>历史估算</t>
        </is>
      </c>
      <c r="H24" s="40" t="inlineStr">
        <is>
          <t>原下单 2026-01-15 09:57:20
净值日／份额暂估，手续费按 0.16%</t>
        </is>
      </c>
      <c r="I24" s="10" t="str">
        <f>IF(COUNTA(A24:H24)=0,"",IF(OR(OR(OR(G24="撤单",G24="交易失败",G24="交易关闭"),G24="交易失败",G24="交易关闭"),G24="交易失败",G24="交易关闭"),"已排除",IF(G24="待确认","待确认",IF(NOT(OR(G24="已确认",G24="历史估算")),"请选择确认状态",IF(NOT(ISNUMBER(A24)),"缺少有效净值日期",IF(OR(A24&lt;=0,A24&lt;&gt;INT(A24)),"净值日期无效",IF(NOT(OR(OR(B24="买入",B24="定投",B24="转换转入"),B24="卖出",B24="现金分红",B24="红利再投")),"请选择交易类型",IF(NOT(ISNUMBER(C24)),"缺少成交净值",IF(C24&lt;=0,"成交净值须大于零",IF(NOT(ISNUMBER(D24)),"缺少确认份额（分红填0）",IF(NOT(ISNUMBER(E24)),"缺少确认金额（再投填0）",IF(NOT(ISNUMBER(F24)),"缺少手续费（无费用填0）",IF(OR(D24&lt;0,E24&lt;0,F24&lt;0),"份额金额费用不能为负",IF(AA23="错误","前行待修正",IF(A24&lt;Z23,"日期需按成交顺序递增",IF(AND(B24="现金分红",OR(D24&lt;&gt;0,E24&lt;=0,F24&lt;&gt;0)),"分红填份额0、费用0、正金额",IF(AND(B24="红利再投",OR(D24&lt;=0,E24&lt;&gt;0,F24&lt;&gt;0)),"再投填正份额、金额0、费用0",IF(AND(OR(B24="现金分红",B24="红利再投"),K23&lt;=0),"分红或再投前须有持仓",IF(AND(OR(OR(B24="买入",B24="定投",B24="转换转入"),B24="卖出"),OR(D24&lt;=0,E24&lt;=0)),"买卖须填正份额、正金额",IF(AND(B24="卖出",D24&gt;K23+0.000001),"卖出份额超过持仓",IF(AND(OR(B24="买入",B24="定投",B24="转换转入"),F24&gt;=E24)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24="买入",B24="定投",B24="转换转入"),ABS(E24-F24-C24*D24)&gt;'持仓总览'!$H$6),"买入金额与份额净值不符",IF(AND(B24="卖出",ABS(E24+F24-C24*D24)&gt;'持仓总览'!$H$6),"到账加费用与赎回市值不符","已计入"))))))))))))))))))))))))))</f>
        <v>已计入</v>
      </c>
      <c r="J24" s="11">
        <f t="shared" si="0">IF(AA24="正常",IF(I24="已计入",IF(OR(OR(B24="买入",B24="定投",B24="转换转入"),B24="红利再投"),D24,IF(B24="卖出",-D24,0)),0),"")</f>
        <v>40.45</v>
      </c>
      <c r="K24" s="11">
        <f t="shared" si="5">IF(AA24="正常",ROUND(K23+J24,6),"")</f>
        <v>753.5</v>
      </c>
      <c r="L24" s="11">
        <f t="shared" si="6">IF(I24="已计入",ROUND(K23*C24,2),"")</f>
        <v>3519.83</v>
      </c>
      <c r="M24" s="11">
        <f t="shared" si="7">IF(I24="已计入",IF(B24="卖出",MAX(0,L24-Q23-F24),IF(B24="现金分红",MAX(0,L24+E24-Q23),0)),"")</f>
        <v>0</v>
      </c>
      <c r="N24" s="11">
        <f>IF(I24="已计入",IF(AND(B24="卖出",'持仓总览'!$C$7="本金优先"),MAX(0,E24-Q23),IF(OR(B24="卖出",B24="现金分红"),MIN(E24,M24),0)),"")</f>
        <v>0</v>
      </c>
      <c r="O24" s="11">
        <f t="shared" si="8">IF(I24="已计入",IF(OR(B24="卖出",B24="现金分红"),MIN(Q23,MAX(0,E24-N24)),0),"")</f>
        <v>0</v>
      </c>
      <c r="P24" s="11">
        <f t="shared" si="9">IF(I24="已计入",IF(AND(B24="卖出",K24=0),MAX(0,Q23-O24),0),"")</f>
        <v>0</v>
      </c>
      <c r="Q24" s="11">
        <f t="shared" si="10">IF(AA24="正常",IF(I24="已计入",ROUND(Q23+IF(OR(B24="买入",B24="定投",B24="转换转入"),E24,0)-O24-P24,2),Q23),"")</f>
        <v>3600</v>
      </c>
      <c r="R24" s="11">
        <f t="shared" si="1">IF(I24="已计入",ROUND(K24*C24,2),"")</f>
        <v>3719.5</v>
      </c>
      <c r="S24" s="11">
        <f t="shared" si="2">IF(I24="已计入",ROUND(R24-Q24,2),"")</f>
        <v>119.5</v>
      </c>
      <c r="T24" s="12">
        <f t="shared" si="3">IF(I24="已计入",IF(Q24=0,"",S24/Q24),"")</f>
        <v>0.03319444444444444</v>
      </c>
      <c r="U24" s="11">
        <f t="shared" si="11">IF(AA24="正常",U23+IF(AND(I24="已计入",OR(B24="买入",B24="定投",B24="转换转入")),E24,0),"")</f>
        <v>3600</v>
      </c>
      <c r="V24" s="11">
        <f t="shared" si="12">IF(AA24="正常",V23+IF(AND(I24="已计入",OR(B24="卖出",B24="现金分红")),E24,0),"")</f>
        <v>0</v>
      </c>
      <c r="W24" s="11">
        <f t="shared" si="13">IF(AA24="正常",W23+IF(I24="已计入",N24,0),"")</f>
        <v>0</v>
      </c>
      <c r="X24" s="11">
        <f t="shared" si="14">IF(AA24="正常",X23+IF(I24="已计入",P24,0),"")</f>
        <v>0</v>
      </c>
      <c r="Y24" s="11">
        <f t="shared" si="4">IF(I24="已计入",ROUND(R24+V24-U24,2),"")</f>
        <v>119.5</v>
      </c>
      <c r="Z24" s="13">
        <f t="shared" si="15">IF(AA24="正常",IF(I24="已计入",A24,Z23),"")</f>
        <v>46037</v>
      </c>
      <c r="AA24" s="10" t="str">
        <f t="shared" si="16">IF(OR(AA23="错误",AND(I24&lt;&gt;"",I24&lt;&gt;"已排除",I24&lt;&gt;"待确认",I24&lt;&gt;"已计入")),"错误","正常")</f>
        <v>正常</v>
      </c>
      <c r="AB24" s="14">
        <f t="shared" si="17">IF(AA24="正常",IF(I24="已计入",C24,AB23),"")</f>
        <v>4.9363</v>
      </c>
    </row>
    <row r="25" ht="42" customHeight="1">
      <c r="A25" s="36">
        <v>46038</v>
      </c>
      <c r="B25" s="37" t="inlineStr">
        <is>
          <t>定投</t>
        </is>
      </c>
      <c r="C25" s="38">
        <v>4.9719</v>
      </c>
      <c r="D25" s="39">
        <v>40.16</v>
      </c>
      <c r="E25" s="39">
        <v>200</v>
      </c>
      <c r="F25" s="39">
        <v>0.32</v>
      </c>
      <c r="G25" s="37" t="inlineStr">
        <is>
          <t>历史估算</t>
        </is>
      </c>
      <c r="H25" s="40" t="inlineStr">
        <is>
          <t>原下单 2026-01-16 09:53:27
净值日／份额暂估，手续费按 0.16%</t>
        </is>
      </c>
      <c r="I25" s="10" t="str">
        <f>IF(COUNTA(A25:H25)=0,"",IF(OR(OR(OR(G25="撤单",G25="交易失败",G25="交易关闭"),G25="交易失败",G25="交易关闭"),G25="交易失败",G25="交易关闭"),"已排除",IF(G25="待确认","待确认",IF(NOT(OR(G25="已确认",G25="历史估算")),"请选择确认状态",IF(NOT(ISNUMBER(A25)),"缺少有效净值日期",IF(OR(A25&lt;=0,A25&lt;&gt;INT(A25)),"净值日期无效",IF(NOT(OR(OR(B25="买入",B25="定投",B25="转换转入"),B25="卖出",B25="现金分红",B25="红利再投")),"请选择交易类型",IF(NOT(ISNUMBER(C25)),"缺少成交净值",IF(C25&lt;=0,"成交净值须大于零",IF(NOT(ISNUMBER(D25)),"缺少确认份额（分红填0）",IF(NOT(ISNUMBER(E25)),"缺少确认金额（再投填0）",IF(NOT(ISNUMBER(F25)),"缺少手续费（无费用填0）",IF(OR(D25&lt;0,E25&lt;0,F25&lt;0),"份额金额费用不能为负",IF(AA24="错误","前行待修正",IF(A25&lt;Z24,"日期需按成交顺序递增",IF(AND(B25="现金分红",OR(D25&lt;&gt;0,E25&lt;=0,F25&lt;&gt;0)),"分红填份额0、费用0、正金额",IF(AND(B25="红利再投",OR(D25&lt;=0,E25&lt;&gt;0,F25&lt;&gt;0)),"再投填正份额、金额0、费用0",IF(AND(OR(B25="现金分红",B25="红利再投"),K24&lt;=0),"分红或再投前须有持仓",IF(AND(OR(OR(B25="买入",B25="定投",B25="转换转入"),B25="卖出"),OR(D25&lt;=0,E25&lt;=0)),"买卖须填正份额、正金额",IF(AND(B25="卖出",D25&gt;K24+0.000001),"卖出份额超过持仓",IF(AND(OR(B25="买入",B25="定投",B25="转换转入"),F25&gt;=E25)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25="买入",B25="定投",B25="转换转入"),ABS(E25-F25-C25*D25)&gt;'持仓总览'!$H$6),"买入金额与份额净值不符",IF(AND(B25="卖出",ABS(E25+F25-C25*D25)&gt;'持仓总览'!$H$6),"到账加费用与赎回市值不符","已计入"))))))))))))))))))))))))))</f>
        <v>已计入</v>
      </c>
      <c r="J25" s="11">
        <f t="shared" si="0">IF(AA25="正常",IF(I25="已计入",IF(OR(OR(B25="买入",B25="定投",B25="转换转入"),B25="红利再投"),D25,IF(B25="卖出",-D25,0)),0),"")</f>
        <v>40.16</v>
      </c>
      <c r="K25" s="11">
        <f t="shared" si="5">IF(AA25="正常",ROUND(K24+J25,6),"")</f>
        <v>793.66</v>
      </c>
      <c r="L25" s="11">
        <f t="shared" si="6">IF(I25="已计入",ROUND(K24*C25,2),"")</f>
        <v>3746.33</v>
      </c>
      <c r="M25" s="11">
        <f t="shared" si="7">IF(I25="已计入",IF(B25="卖出",MAX(0,L25-Q24-F25),IF(B25="现金分红",MAX(0,L25+E25-Q24),0)),"")</f>
        <v>0</v>
      </c>
      <c r="N25" s="11">
        <f>IF(I25="已计入",IF(AND(B25="卖出",'持仓总览'!$C$7="本金优先"),MAX(0,E25-Q24),IF(OR(B25="卖出",B25="现金分红"),MIN(E25,M25),0)),"")</f>
        <v>0</v>
      </c>
      <c r="O25" s="11">
        <f t="shared" si="8">IF(I25="已计入",IF(OR(B25="卖出",B25="现金分红"),MIN(Q24,MAX(0,E25-N25)),0),"")</f>
        <v>0</v>
      </c>
      <c r="P25" s="11">
        <f t="shared" si="9">IF(I25="已计入",IF(AND(B25="卖出",K25=0),MAX(0,Q24-O25),0),"")</f>
        <v>0</v>
      </c>
      <c r="Q25" s="11">
        <f t="shared" si="10">IF(AA25="正常",IF(I25="已计入",ROUND(Q24+IF(OR(B25="买入",B25="定投",B25="转换转入"),E25,0)-O25-P25,2),Q24),"")</f>
        <v>3800</v>
      </c>
      <c r="R25" s="11">
        <f t="shared" si="1">IF(I25="已计入",ROUND(K25*C25,2),"")</f>
        <v>3946</v>
      </c>
      <c r="S25" s="11">
        <f t="shared" si="2">IF(I25="已计入",ROUND(R25-Q25,2),"")</f>
        <v>146</v>
      </c>
      <c r="T25" s="12">
        <f t="shared" si="3">IF(I25="已计入",IF(Q25=0,"",S25/Q25),"")</f>
        <v>0.038421052631578946</v>
      </c>
      <c r="U25" s="11">
        <f t="shared" si="11">IF(AA25="正常",U24+IF(AND(I25="已计入",OR(B25="买入",B25="定投",B25="转换转入")),E25,0),"")</f>
        <v>3800</v>
      </c>
      <c r="V25" s="11">
        <f t="shared" si="12">IF(AA25="正常",V24+IF(AND(I25="已计入",OR(B25="卖出",B25="现金分红")),E25,0),"")</f>
        <v>0</v>
      </c>
      <c r="W25" s="11">
        <f t="shared" si="13">IF(AA25="正常",W24+IF(I25="已计入",N25,0),"")</f>
        <v>0</v>
      </c>
      <c r="X25" s="11">
        <f t="shared" si="14">IF(AA25="正常",X24+IF(I25="已计入",P25,0),"")</f>
        <v>0</v>
      </c>
      <c r="Y25" s="11">
        <f t="shared" si="4">IF(I25="已计入",ROUND(R25+V25-U25,2),"")</f>
        <v>146</v>
      </c>
      <c r="Z25" s="13">
        <f t="shared" si="15">IF(AA25="正常",IF(I25="已计入",A25,Z24),"")</f>
        <v>46038</v>
      </c>
      <c r="AA25" s="10" t="str">
        <f t="shared" si="16">IF(OR(AA24="错误",AND(I25&lt;&gt;"",I25&lt;&gt;"已排除",I25&lt;&gt;"待确认",I25&lt;&gt;"已计入")),"错误","正常")</f>
        <v>正常</v>
      </c>
      <c r="AB25" s="14">
        <f t="shared" si="17">IF(AA25="正常",IF(I25="已计入",C25,AB24),"")</f>
        <v>4.9719</v>
      </c>
    </row>
    <row r="26" ht="42" customHeight="1">
      <c r="A26" s="36">
        <v>46042</v>
      </c>
      <c r="B26" s="37" t="inlineStr">
        <is>
          <t>定投</t>
        </is>
      </c>
      <c r="C26" s="38">
        <v>4.8748</v>
      </c>
      <c r="D26" s="39">
        <v>40.96</v>
      </c>
      <c r="E26" s="39">
        <v>200</v>
      </c>
      <c r="F26" s="39">
        <v>0.32</v>
      </c>
      <c r="G26" s="37" t="inlineStr">
        <is>
          <t>历史估算</t>
        </is>
      </c>
      <c r="H26" s="40" t="inlineStr">
        <is>
          <t>原下单 2026-01-20 09:49:19
净值日／份额暂估，手续费按 0.16%</t>
        </is>
      </c>
      <c r="I26" s="10" t="str">
        <f>IF(COUNTA(A26:H26)=0,"",IF(OR(OR(OR(G26="撤单",G26="交易失败",G26="交易关闭"),G26="交易失败",G26="交易关闭"),G26="交易失败",G26="交易关闭"),"已排除",IF(G26="待确认","待确认",IF(NOT(OR(G26="已确认",G26="历史估算")),"请选择确认状态",IF(NOT(ISNUMBER(A26)),"缺少有效净值日期",IF(OR(A26&lt;=0,A26&lt;&gt;INT(A26)),"净值日期无效",IF(NOT(OR(OR(B26="买入",B26="定投",B26="转换转入"),B26="卖出",B26="现金分红",B26="红利再投")),"请选择交易类型",IF(NOT(ISNUMBER(C26)),"缺少成交净值",IF(C26&lt;=0,"成交净值须大于零",IF(NOT(ISNUMBER(D26)),"缺少确认份额（分红填0）",IF(NOT(ISNUMBER(E26)),"缺少确认金额（再投填0）",IF(NOT(ISNUMBER(F26)),"缺少手续费（无费用填0）",IF(OR(D26&lt;0,E26&lt;0,F26&lt;0),"份额金额费用不能为负",IF(AA25="错误","前行待修正",IF(A26&lt;Z25,"日期需按成交顺序递增",IF(AND(B26="现金分红",OR(D26&lt;&gt;0,E26&lt;=0,F26&lt;&gt;0)),"分红填份额0、费用0、正金额",IF(AND(B26="红利再投",OR(D26&lt;=0,E26&lt;&gt;0,F26&lt;&gt;0)),"再投填正份额、金额0、费用0",IF(AND(OR(B26="现金分红",B26="红利再投"),K25&lt;=0),"分红或再投前须有持仓",IF(AND(OR(OR(B26="买入",B26="定投",B26="转换转入"),B26="卖出"),OR(D26&lt;=0,E26&lt;=0)),"买卖须填正份额、正金额",IF(AND(B26="卖出",D26&gt;K25+0.000001),"卖出份额超过持仓",IF(AND(OR(B26="买入",B26="定投",B26="转换转入"),F26&gt;=E26)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26="买入",B26="定投",B26="转换转入"),ABS(E26-F26-C26*D26)&gt;'持仓总览'!$H$6),"买入金额与份额净值不符",IF(AND(B26="卖出",ABS(E26+F26-C26*D26)&gt;'持仓总览'!$H$6),"到账加费用与赎回市值不符","已计入"))))))))))))))))))))))))))</f>
        <v>已计入</v>
      </c>
      <c r="J26" s="11">
        <f t="shared" si="0">IF(AA26="正常",IF(I26="已计入",IF(OR(OR(B26="买入",B26="定投",B26="转换转入"),B26="红利再投"),D26,IF(B26="卖出",-D26,0)),0),"")</f>
        <v>40.96</v>
      </c>
      <c r="K26" s="11">
        <f t="shared" si="5">IF(AA26="正常",ROUND(K25+J26,6),"")</f>
        <v>834.62</v>
      </c>
      <c r="L26" s="11">
        <f t="shared" si="6">IF(I26="已计入",ROUND(K25*C26,2),"")</f>
        <v>3868.93</v>
      </c>
      <c r="M26" s="11">
        <f t="shared" si="7">IF(I26="已计入",IF(B26="卖出",MAX(0,L26-Q25-F26),IF(B26="现金分红",MAX(0,L26+E26-Q25),0)),"")</f>
        <v>0</v>
      </c>
      <c r="N26" s="11">
        <f>IF(I26="已计入",IF(AND(B26="卖出",'持仓总览'!$C$7="本金优先"),MAX(0,E26-Q25),IF(OR(B26="卖出",B26="现金分红"),MIN(E26,M26),0)),"")</f>
        <v>0</v>
      </c>
      <c r="O26" s="11">
        <f t="shared" si="8">IF(I26="已计入",IF(OR(B26="卖出",B26="现金分红"),MIN(Q25,MAX(0,E26-N26)),0),"")</f>
        <v>0</v>
      </c>
      <c r="P26" s="11">
        <f t="shared" si="9">IF(I26="已计入",IF(AND(B26="卖出",K26=0),MAX(0,Q25-O26),0),"")</f>
        <v>0</v>
      </c>
      <c r="Q26" s="11">
        <f t="shared" si="10">IF(AA26="正常",IF(I26="已计入",ROUND(Q25+IF(OR(B26="买入",B26="定投",B26="转换转入"),E26,0)-O26-P26,2),Q25),"")</f>
        <v>4000</v>
      </c>
      <c r="R26" s="11">
        <f t="shared" si="1">IF(I26="已计入",ROUND(K26*C26,2),"")</f>
        <v>4068.61</v>
      </c>
      <c r="S26" s="11">
        <f t="shared" si="2">IF(I26="已计入",ROUND(R26-Q26,2),"")</f>
        <v>68.61</v>
      </c>
      <c r="T26" s="12">
        <f t="shared" si="3">IF(I26="已计入",IF(Q26=0,"",S26/Q26),"")</f>
        <v>0.0171525</v>
      </c>
      <c r="U26" s="11">
        <f t="shared" si="11">IF(AA26="正常",U25+IF(AND(I26="已计入",OR(B26="买入",B26="定投",B26="转换转入")),E26,0),"")</f>
        <v>4000</v>
      </c>
      <c r="V26" s="11">
        <f t="shared" si="12">IF(AA26="正常",V25+IF(AND(I26="已计入",OR(B26="卖出",B26="现金分红")),E26,0),"")</f>
        <v>0</v>
      </c>
      <c r="W26" s="11">
        <f t="shared" si="13">IF(AA26="正常",W25+IF(I26="已计入",N26,0),"")</f>
        <v>0</v>
      </c>
      <c r="X26" s="11">
        <f t="shared" si="14">IF(AA26="正常",X25+IF(I26="已计入",P26,0),"")</f>
        <v>0</v>
      </c>
      <c r="Y26" s="11">
        <f t="shared" si="4">IF(I26="已计入",ROUND(R26+V26-U26,2),"")</f>
        <v>68.61</v>
      </c>
      <c r="Z26" s="13">
        <f t="shared" si="15">IF(AA26="正常",IF(I26="已计入",A26,Z25),"")</f>
        <v>46042</v>
      </c>
      <c r="AA26" s="10" t="str">
        <f t="shared" si="16">IF(OR(AA25="错误",AND(I26&lt;&gt;"",I26&lt;&gt;"已排除",I26&lt;&gt;"待确认",I26&lt;&gt;"已计入")),"错误","正常")</f>
        <v>正常</v>
      </c>
      <c r="AB26" s="14">
        <f t="shared" si="17">IF(AA26="正常",IF(I26="已计入",C26,AB25),"")</f>
        <v>4.8748</v>
      </c>
    </row>
    <row r="27" ht="42" customHeight="1">
      <c r="A27" s="36">
        <v>46043</v>
      </c>
      <c r="B27" s="37" t="inlineStr">
        <is>
          <t>定投</t>
        </is>
      </c>
      <c r="C27" s="38">
        <v>4.9606</v>
      </c>
      <c r="D27" s="39">
        <v>40.25</v>
      </c>
      <c r="E27" s="39">
        <v>200</v>
      </c>
      <c r="F27" s="39">
        <v>0.32</v>
      </c>
      <c r="G27" s="37" t="inlineStr">
        <is>
          <t>历史估算</t>
        </is>
      </c>
      <c r="H27" s="40" t="inlineStr">
        <is>
          <t>原下单 2026-01-21 09:47:24
净值日／份额暂估，手续费按 0.16%</t>
        </is>
      </c>
      <c r="I27" s="10" t="str">
        <f>IF(COUNTA(A27:H27)=0,"",IF(OR(OR(OR(G27="撤单",G27="交易失败",G27="交易关闭"),G27="交易失败",G27="交易关闭"),G27="交易失败",G27="交易关闭"),"已排除",IF(G27="待确认","待确认",IF(NOT(OR(G27="已确认",G27="历史估算")),"请选择确认状态",IF(NOT(ISNUMBER(A27)),"缺少有效净值日期",IF(OR(A27&lt;=0,A27&lt;&gt;INT(A27)),"净值日期无效",IF(NOT(OR(OR(B27="买入",B27="定投",B27="转换转入"),B27="卖出",B27="现金分红",B27="红利再投")),"请选择交易类型",IF(NOT(ISNUMBER(C27)),"缺少成交净值",IF(C27&lt;=0,"成交净值须大于零",IF(NOT(ISNUMBER(D27)),"缺少确认份额（分红填0）",IF(NOT(ISNUMBER(E27)),"缺少确认金额（再投填0）",IF(NOT(ISNUMBER(F27)),"缺少手续费（无费用填0）",IF(OR(D27&lt;0,E27&lt;0,F27&lt;0),"份额金额费用不能为负",IF(AA26="错误","前行待修正",IF(A27&lt;Z26,"日期需按成交顺序递增",IF(AND(B27="现金分红",OR(D27&lt;&gt;0,E27&lt;=0,F27&lt;&gt;0)),"分红填份额0、费用0、正金额",IF(AND(B27="红利再投",OR(D27&lt;=0,E27&lt;&gt;0,F27&lt;&gt;0)),"再投填正份额、金额0、费用0",IF(AND(OR(B27="现金分红",B27="红利再投"),K26&lt;=0),"分红或再投前须有持仓",IF(AND(OR(OR(B27="买入",B27="定投",B27="转换转入"),B27="卖出"),OR(D27&lt;=0,E27&lt;=0)),"买卖须填正份额、正金额",IF(AND(B27="卖出",D27&gt;K26+0.000001),"卖出份额超过持仓",IF(AND(OR(B27="买入",B27="定投",B27="转换转入"),F27&gt;=E27)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27="买入",B27="定投",B27="转换转入"),ABS(E27-F27-C27*D27)&gt;'持仓总览'!$H$6),"买入金额与份额净值不符",IF(AND(B27="卖出",ABS(E27+F27-C27*D27)&gt;'持仓总览'!$H$6),"到账加费用与赎回市值不符","已计入"))))))))))))))))))))))))))</f>
        <v>已计入</v>
      </c>
      <c r="J27" s="11">
        <f t="shared" si="0">IF(AA27="正常",IF(I27="已计入",IF(OR(OR(B27="买入",B27="定投",B27="转换转入"),B27="红利再投"),D27,IF(B27="卖出",-D27,0)),0),"")</f>
        <v>40.25</v>
      </c>
      <c r="K27" s="11">
        <f t="shared" si="5">IF(AA27="正常",ROUND(K26+J27,6),"")</f>
        <v>874.87</v>
      </c>
      <c r="L27" s="11">
        <f t="shared" si="6">IF(I27="已计入",ROUND(K26*C27,2),"")</f>
        <v>4140.22</v>
      </c>
      <c r="M27" s="11">
        <f t="shared" si="7">IF(I27="已计入",IF(B27="卖出",MAX(0,L27-Q26-F27),IF(B27="现金分红",MAX(0,L27+E27-Q26),0)),"")</f>
        <v>0</v>
      </c>
      <c r="N27" s="11">
        <f>IF(I27="已计入",IF(AND(B27="卖出",'持仓总览'!$C$7="本金优先"),MAX(0,E27-Q26),IF(OR(B27="卖出",B27="现金分红"),MIN(E27,M27),0)),"")</f>
        <v>0</v>
      </c>
      <c r="O27" s="11">
        <f t="shared" si="8">IF(I27="已计入",IF(OR(B27="卖出",B27="现金分红"),MIN(Q26,MAX(0,E27-N27)),0),"")</f>
        <v>0</v>
      </c>
      <c r="P27" s="11">
        <f t="shared" si="9">IF(I27="已计入",IF(AND(B27="卖出",K27=0),MAX(0,Q26-O27),0),"")</f>
        <v>0</v>
      </c>
      <c r="Q27" s="11">
        <f t="shared" si="10">IF(AA27="正常",IF(I27="已计入",ROUND(Q26+IF(OR(B27="买入",B27="定投",B27="转换转入"),E27,0)-O27-P27,2),Q26),"")</f>
        <v>4200</v>
      </c>
      <c r="R27" s="11">
        <f t="shared" si="1">IF(I27="已计入",ROUND(K27*C27,2),"")</f>
        <v>4339.88</v>
      </c>
      <c r="S27" s="11">
        <f t="shared" si="2">IF(I27="已计入",ROUND(R27-Q27,2),"")</f>
        <v>139.88</v>
      </c>
      <c r="T27" s="12">
        <f t="shared" si="3">IF(I27="已计入",IF(Q27=0,"",S27/Q27),"")</f>
        <v>0.033304761904761906</v>
      </c>
      <c r="U27" s="11">
        <f t="shared" si="11">IF(AA27="正常",U26+IF(AND(I27="已计入",OR(B27="买入",B27="定投",B27="转换转入")),E27,0),"")</f>
        <v>4200</v>
      </c>
      <c r="V27" s="11">
        <f t="shared" si="12">IF(AA27="正常",V26+IF(AND(I27="已计入",OR(B27="卖出",B27="现金分红")),E27,0),"")</f>
        <v>0</v>
      </c>
      <c r="W27" s="11">
        <f t="shared" si="13">IF(AA27="正常",W26+IF(I27="已计入",N27,0),"")</f>
        <v>0</v>
      </c>
      <c r="X27" s="11">
        <f t="shared" si="14">IF(AA27="正常",X26+IF(I27="已计入",P27,0),"")</f>
        <v>0</v>
      </c>
      <c r="Y27" s="11">
        <f t="shared" si="4">IF(I27="已计入",ROUND(R27+V27-U27,2),"")</f>
        <v>139.88</v>
      </c>
      <c r="Z27" s="13">
        <f t="shared" si="15">IF(AA27="正常",IF(I27="已计入",A27,Z26),"")</f>
        <v>46043</v>
      </c>
      <c r="AA27" s="10" t="str">
        <f t="shared" si="16">IF(OR(AA26="错误",AND(I27&lt;&gt;"",I27&lt;&gt;"已排除",I27&lt;&gt;"待确认",I27&lt;&gt;"已计入")),"错误","正常")</f>
        <v>正常</v>
      </c>
      <c r="AB27" s="14">
        <f t="shared" si="17">IF(AA27="正常",IF(I27="已计入",C27,AB26),"")</f>
        <v>4.9606</v>
      </c>
    </row>
    <row r="28" ht="42" customHeight="1">
      <c r="A28" s="36">
        <v>46044</v>
      </c>
      <c r="B28" s="37" t="inlineStr">
        <is>
          <t>定投</t>
        </is>
      </c>
      <c r="C28" s="38">
        <v>4.9855</v>
      </c>
      <c r="D28" s="39">
        <v>40.05</v>
      </c>
      <c r="E28" s="39">
        <v>200</v>
      </c>
      <c r="F28" s="39">
        <v>0.32</v>
      </c>
      <c r="G28" s="37" t="inlineStr">
        <is>
          <t>历史估算</t>
        </is>
      </c>
      <c r="H28" s="40" t="inlineStr">
        <is>
          <t>原下单 2026-01-22 09:49:45
净值日／份额暂估，手续费按 0.16%</t>
        </is>
      </c>
      <c r="I28" s="10" t="str">
        <f>IF(COUNTA(A28:H28)=0,"",IF(OR(OR(OR(G28="撤单",G28="交易失败",G28="交易关闭"),G28="交易失败",G28="交易关闭"),G28="交易失败",G28="交易关闭"),"已排除",IF(G28="待确认","待确认",IF(NOT(OR(G28="已确认",G28="历史估算")),"请选择确认状态",IF(NOT(ISNUMBER(A28)),"缺少有效净值日期",IF(OR(A28&lt;=0,A28&lt;&gt;INT(A28)),"净值日期无效",IF(NOT(OR(OR(B28="买入",B28="定投",B28="转换转入"),B28="卖出",B28="现金分红",B28="红利再投")),"请选择交易类型",IF(NOT(ISNUMBER(C28)),"缺少成交净值",IF(C28&lt;=0,"成交净值须大于零",IF(NOT(ISNUMBER(D28)),"缺少确认份额（分红填0）",IF(NOT(ISNUMBER(E28)),"缺少确认金额（再投填0）",IF(NOT(ISNUMBER(F28)),"缺少手续费（无费用填0）",IF(OR(D28&lt;0,E28&lt;0,F28&lt;0),"份额金额费用不能为负",IF(AA27="错误","前行待修正",IF(A28&lt;Z27,"日期需按成交顺序递增",IF(AND(B28="现金分红",OR(D28&lt;&gt;0,E28&lt;=0,F28&lt;&gt;0)),"分红填份额0、费用0、正金额",IF(AND(B28="红利再投",OR(D28&lt;=0,E28&lt;&gt;0,F28&lt;&gt;0)),"再投填正份额、金额0、费用0",IF(AND(OR(B28="现金分红",B28="红利再投"),K27&lt;=0),"分红或再投前须有持仓",IF(AND(OR(OR(B28="买入",B28="定投",B28="转换转入"),B28="卖出"),OR(D28&lt;=0,E28&lt;=0)),"买卖须填正份额、正金额",IF(AND(B28="卖出",D28&gt;K27+0.000001),"卖出份额超过持仓",IF(AND(OR(B28="买入",B28="定投",B28="转换转入"),F28&gt;=E28)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28="买入",B28="定投",B28="转换转入"),ABS(E28-F28-C28*D28)&gt;'持仓总览'!$H$6),"买入金额与份额净值不符",IF(AND(B28="卖出",ABS(E28+F28-C28*D28)&gt;'持仓总览'!$H$6),"到账加费用与赎回市值不符","已计入"))))))))))))))))))))))))))</f>
        <v>已计入</v>
      </c>
      <c r="J28" s="11">
        <f t="shared" si="0">IF(AA28="正常",IF(I28="已计入",IF(OR(OR(B28="买入",B28="定投",B28="转换转入"),B28="红利再投"),D28,IF(B28="卖出",-D28,0)),0),"")</f>
        <v>40.05</v>
      </c>
      <c r="K28" s="11">
        <f t="shared" si="5">IF(AA28="正常",ROUND(K27+J28,6),"")</f>
        <v>914.92</v>
      </c>
      <c r="L28" s="11">
        <f t="shared" si="6">IF(I28="已计入",ROUND(K27*C28,2),"")</f>
        <v>4361.66</v>
      </c>
      <c r="M28" s="11">
        <f t="shared" si="7">IF(I28="已计入",IF(B28="卖出",MAX(0,L28-Q27-F28),IF(B28="现金分红",MAX(0,L28+E28-Q27),0)),"")</f>
        <v>0</v>
      </c>
      <c r="N28" s="11">
        <f>IF(I28="已计入",IF(AND(B28="卖出",'持仓总览'!$C$7="本金优先"),MAX(0,E28-Q27),IF(OR(B28="卖出",B28="现金分红"),MIN(E28,M28),0)),"")</f>
        <v>0</v>
      </c>
      <c r="O28" s="11">
        <f t="shared" si="8">IF(I28="已计入",IF(OR(B28="卖出",B28="现金分红"),MIN(Q27,MAX(0,E28-N28)),0),"")</f>
        <v>0</v>
      </c>
      <c r="P28" s="11">
        <f t="shared" si="9">IF(I28="已计入",IF(AND(B28="卖出",K28=0),MAX(0,Q27-O28),0),"")</f>
        <v>0</v>
      </c>
      <c r="Q28" s="11">
        <f t="shared" si="10">IF(AA28="正常",IF(I28="已计入",ROUND(Q27+IF(OR(B28="买入",B28="定投",B28="转换转入"),E28,0)-O28-P28,2),Q27),"")</f>
        <v>4400</v>
      </c>
      <c r="R28" s="11">
        <f t="shared" si="1">IF(I28="已计入",ROUND(K28*C28,2),"")</f>
        <v>4561.33</v>
      </c>
      <c r="S28" s="11">
        <f t="shared" si="2">IF(I28="已计入",ROUND(R28-Q28,2),"")</f>
        <v>161.33</v>
      </c>
      <c r="T28" s="12">
        <f t="shared" si="3">IF(I28="已计入",IF(Q28=0,"",S28/Q28),"")</f>
        <v>0.036665909090909096</v>
      </c>
      <c r="U28" s="11">
        <f t="shared" si="11">IF(AA28="正常",U27+IF(AND(I28="已计入",OR(B28="买入",B28="定投",B28="转换转入")),E28,0),"")</f>
        <v>4400</v>
      </c>
      <c r="V28" s="11">
        <f t="shared" si="12">IF(AA28="正常",V27+IF(AND(I28="已计入",OR(B28="卖出",B28="现金分红")),E28,0),"")</f>
        <v>0</v>
      </c>
      <c r="W28" s="11">
        <f t="shared" si="13">IF(AA28="正常",W27+IF(I28="已计入",N28,0),"")</f>
        <v>0</v>
      </c>
      <c r="X28" s="11">
        <f t="shared" si="14">IF(AA28="正常",X27+IF(I28="已计入",P28,0),"")</f>
        <v>0</v>
      </c>
      <c r="Y28" s="11">
        <f t="shared" si="4">IF(I28="已计入",ROUND(R28+V28-U28,2),"")</f>
        <v>161.33</v>
      </c>
      <c r="Z28" s="13">
        <f t="shared" si="15">IF(AA28="正常",IF(I28="已计入",A28,Z27),"")</f>
        <v>46044</v>
      </c>
      <c r="AA28" s="10" t="str">
        <f t="shared" si="16">IF(OR(AA27="错误",AND(I28&lt;&gt;"",I28&lt;&gt;"已排除",I28&lt;&gt;"待确认",I28&lt;&gt;"已计入")),"错误","正常")</f>
        <v>正常</v>
      </c>
      <c r="AB28" s="14">
        <f t="shared" si="17">IF(AA28="正常",IF(I28="已计入",C28,AB27),"")</f>
        <v>4.9855</v>
      </c>
    </row>
    <row r="29" ht="42" customHeight="1">
      <c r="A29" s="36">
        <v>46045</v>
      </c>
      <c r="B29" s="37" t="inlineStr">
        <is>
          <t>定投</t>
        </is>
      </c>
      <c r="C29" s="38">
        <v>4.9598</v>
      </c>
      <c r="D29" s="39">
        <v>50.32</v>
      </c>
      <c r="E29" s="39">
        <v>250</v>
      </c>
      <c r="F29" s="39">
        <v>0.4</v>
      </c>
      <c r="G29" s="37" t="inlineStr">
        <is>
          <t>历史估算</t>
        </is>
      </c>
      <c r="H29" s="40" t="inlineStr">
        <is>
          <t>原下单 2026-01-23 10:45:11
净值日／份额暂估，手续费按 0.16%</t>
        </is>
      </c>
      <c r="I29" s="10" t="str">
        <f>IF(COUNTA(A29:H29)=0,"",IF(OR(OR(OR(G29="撤单",G29="交易失败",G29="交易关闭"),G29="交易失败",G29="交易关闭"),G29="交易失败",G29="交易关闭"),"已排除",IF(G29="待确认","待确认",IF(NOT(OR(G29="已确认",G29="历史估算")),"请选择确认状态",IF(NOT(ISNUMBER(A29)),"缺少有效净值日期",IF(OR(A29&lt;=0,A29&lt;&gt;INT(A29)),"净值日期无效",IF(NOT(OR(OR(B29="买入",B29="定投",B29="转换转入"),B29="卖出",B29="现金分红",B29="红利再投")),"请选择交易类型",IF(NOT(ISNUMBER(C29)),"缺少成交净值",IF(C29&lt;=0,"成交净值须大于零",IF(NOT(ISNUMBER(D29)),"缺少确认份额（分红填0）",IF(NOT(ISNUMBER(E29)),"缺少确认金额（再投填0）",IF(NOT(ISNUMBER(F29)),"缺少手续费（无费用填0）",IF(OR(D29&lt;0,E29&lt;0,F29&lt;0),"份额金额费用不能为负",IF(AA28="错误","前行待修正",IF(A29&lt;Z28,"日期需按成交顺序递增",IF(AND(B29="现金分红",OR(D29&lt;&gt;0,E29&lt;=0,F29&lt;&gt;0)),"分红填份额0、费用0、正金额",IF(AND(B29="红利再投",OR(D29&lt;=0,E29&lt;&gt;0,F29&lt;&gt;0)),"再投填正份额、金额0、费用0",IF(AND(OR(B29="现金分红",B29="红利再投"),K28&lt;=0),"分红或再投前须有持仓",IF(AND(OR(OR(B29="买入",B29="定投",B29="转换转入"),B29="卖出"),OR(D29&lt;=0,E29&lt;=0)),"买卖须填正份额、正金额",IF(AND(B29="卖出",D29&gt;K28+0.000001),"卖出份额超过持仓",IF(AND(OR(B29="买入",B29="定投",B29="转换转入"),F29&gt;=E29)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29="买入",B29="定投",B29="转换转入"),ABS(E29-F29-C29*D29)&gt;'持仓总览'!$H$6),"买入金额与份额净值不符",IF(AND(B29="卖出",ABS(E29+F29-C29*D29)&gt;'持仓总览'!$H$6),"到账加费用与赎回市值不符","已计入"))))))))))))))))))))))))))</f>
        <v>已计入</v>
      </c>
      <c r="J29" s="11">
        <f t="shared" si="0">IF(AA29="正常",IF(I29="已计入",IF(OR(OR(B29="买入",B29="定投",B29="转换转入"),B29="红利再投"),D29,IF(B29="卖出",-D29,0)),0),"")</f>
        <v>50.32</v>
      </c>
      <c r="K29" s="11">
        <f t="shared" si="5">IF(AA29="正常",ROUND(K28+J29,6),"")</f>
        <v>965.24</v>
      </c>
      <c r="L29" s="11">
        <f t="shared" si="6">IF(I29="已计入",ROUND(K28*C29,2),"")</f>
        <v>4537.82</v>
      </c>
      <c r="M29" s="11">
        <f t="shared" si="7">IF(I29="已计入",IF(B29="卖出",MAX(0,L29-Q28-F29),IF(B29="现金分红",MAX(0,L29+E29-Q28),0)),"")</f>
        <v>0</v>
      </c>
      <c r="N29" s="11">
        <f>IF(I29="已计入",IF(AND(B29="卖出",'持仓总览'!$C$7="本金优先"),MAX(0,E29-Q28),IF(OR(B29="卖出",B29="现金分红"),MIN(E29,M29),0)),"")</f>
        <v>0</v>
      </c>
      <c r="O29" s="11">
        <f t="shared" si="8">IF(I29="已计入",IF(OR(B29="卖出",B29="现金分红"),MIN(Q28,MAX(0,E29-N29)),0),"")</f>
        <v>0</v>
      </c>
      <c r="P29" s="11">
        <f t="shared" si="9">IF(I29="已计入",IF(AND(B29="卖出",K29=0),MAX(0,Q28-O29),0),"")</f>
        <v>0</v>
      </c>
      <c r="Q29" s="11">
        <f t="shared" si="10">IF(AA29="正常",IF(I29="已计入",ROUND(Q28+IF(OR(B29="买入",B29="定投",B29="转换转入"),E29,0)-O29-P29,2),Q28),"")</f>
        <v>4650</v>
      </c>
      <c r="R29" s="11">
        <f t="shared" si="1">IF(I29="已计入",ROUND(K29*C29,2),"")</f>
        <v>4787.4</v>
      </c>
      <c r="S29" s="11">
        <f t="shared" si="2">IF(I29="已计入",ROUND(R29-Q29,2),"")</f>
        <v>137.4</v>
      </c>
      <c r="T29" s="12">
        <f t="shared" si="3">IF(I29="已计入",IF(Q29=0,"",S29/Q29),"")</f>
        <v>0.029548387096774195</v>
      </c>
      <c r="U29" s="11">
        <f t="shared" si="11">IF(AA29="正常",U28+IF(AND(I29="已计入",OR(B29="买入",B29="定投",B29="转换转入")),E29,0),"")</f>
        <v>4650</v>
      </c>
      <c r="V29" s="11">
        <f t="shared" si="12">IF(AA29="正常",V28+IF(AND(I29="已计入",OR(B29="卖出",B29="现金分红")),E29,0),"")</f>
        <v>0</v>
      </c>
      <c r="W29" s="11">
        <f t="shared" si="13">IF(AA29="正常",W28+IF(I29="已计入",N29,0),"")</f>
        <v>0</v>
      </c>
      <c r="X29" s="11">
        <f t="shared" si="14">IF(AA29="正常",X28+IF(I29="已计入",P29,0),"")</f>
        <v>0</v>
      </c>
      <c r="Y29" s="11">
        <f t="shared" si="4">IF(I29="已计入",ROUND(R29+V29-U29,2),"")</f>
        <v>137.4</v>
      </c>
      <c r="Z29" s="13">
        <f t="shared" si="15">IF(AA29="正常",IF(I29="已计入",A29,Z28),"")</f>
        <v>46045</v>
      </c>
      <c r="AA29" s="10" t="str">
        <f t="shared" si="16">IF(OR(AA28="错误",AND(I29&lt;&gt;"",I29&lt;&gt;"已排除",I29&lt;&gt;"待确认",I29&lt;&gt;"已计入")),"错误","正常")</f>
        <v>正常</v>
      </c>
      <c r="AB29" s="14">
        <f t="shared" si="17">IF(AA29="正常",IF(I29="已计入",C29,AB28),"")</f>
        <v>4.9598</v>
      </c>
    </row>
    <row r="30" ht="42" customHeight="1">
      <c r="A30" s="36">
        <v>46045</v>
      </c>
      <c r="B30" s="37" t="inlineStr">
        <is>
          <t>买入</t>
        </is>
      </c>
      <c r="C30" s="38">
        <v>4.9598</v>
      </c>
      <c r="D30" s="39">
        <v>10064.95</v>
      </c>
      <c r="E30" s="39">
        <v>50000</v>
      </c>
      <c r="F30" s="39">
        <v>79.87</v>
      </c>
      <c r="G30" s="37" t="inlineStr">
        <is>
          <t>历史估算</t>
        </is>
      </c>
      <c r="H30" s="40" t="inlineStr">
        <is>
          <t>原下单 2026-01-23 12:23:32
净值日／份额暂估，手续费按 0.16%</t>
        </is>
      </c>
      <c r="I30" s="10" t="str">
        <f>IF(COUNTA(A30:H30)=0,"",IF(OR(OR(OR(G30="撤单",G30="交易失败",G30="交易关闭"),G30="交易失败",G30="交易关闭"),G30="交易失败",G30="交易关闭"),"已排除",IF(G30="待确认","待确认",IF(NOT(OR(G30="已确认",G30="历史估算")),"请选择确认状态",IF(NOT(ISNUMBER(A30)),"缺少有效净值日期",IF(OR(A30&lt;=0,A30&lt;&gt;INT(A30)),"净值日期无效",IF(NOT(OR(OR(B30="买入",B30="定投",B30="转换转入"),B30="卖出",B30="现金分红",B30="红利再投")),"请选择交易类型",IF(NOT(ISNUMBER(C30)),"缺少成交净值",IF(C30&lt;=0,"成交净值须大于零",IF(NOT(ISNUMBER(D30)),"缺少确认份额（分红填0）",IF(NOT(ISNUMBER(E30)),"缺少确认金额（再投填0）",IF(NOT(ISNUMBER(F30)),"缺少手续费（无费用填0）",IF(OR(D30&lt;0,E30&lt;0,F30&lt;0),"份额金额费用不能为负",IF(AA29="错误","前行待修正",IF(A30&lt;Z29,"日期需按成交顺序递增",IF(AND(B30="现金分红",OR(D30&lt;&gt;0,E30&lt;=0,F30&lt;&gt;0)),"分红填份额0、费用0、正金额",IF(AND(B30="红利再投",OR(D30&lt;=0,E30&lt;&gt;0,F30&lt;&gt;0)),"再投填正份额、金额0、费用0",IF(AND(OR(B30="现金分红",B30="红利再投"),K29&lt;=0),"分红或再投前须有持仓",IF(AND(OR(OR(B30="买入",B30="定投",B30="转换转入"),B30="卖出"),OR(D30&lt;=0,E30&lt;=0)),"买卖须填正份额、正金额",IF(AND(B30="卖出",D30&gt;K29+0.000001),"卖出份额超过持仓",IF(AND(OR(B30="买入",B30="定投",B30="转换转入"),F30&gt;=E30)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30="买入",B30="定投",B30="转换转入"),ABS(E30-F30-C30*D30)&gt;'持仓总览'!$H$6),"买入金额与份额净值不符",IF(AND(B30="卖出",ABS(E30+F30-C30*D30)&gt;'持仓总览'!$H$6),"到账加费用与赎回市值不符","已计入"))))))))))))))))))))))))))</f>
        <v>已计入</v>
      </c>
      <c r="J30" s="11">
        <f t="shared" si="0">IF(AA30="正常",IF(I30="已计入",IF(OR(OR(B30="买入",B30="定投",B30="转换转入"),B30="红利再投"),D30,IF(B30="卖出",-D30,0)),0),"")</f>
        <v>10064.95</v>
      </c>
      <c r="K30" s="11">
        <f t="shared" si="5">IF(AA30="正常",ROUND(K29+J30,6),"")</f>
        <v>11030.19</v>
      </c>
      <c r="L30" s="11">
        <f t="shared" si="6">IF(I30="已计入",ROUND(K29*C30,2),"")</f>
        <v>4787.4</v>
      </c>
      <c r="M30" s="11">
        <f t="shared" si="7">IF(I30="已计入",IF(B30="卖出",MAX(0,L30-Q29-F30),IF(B30="现金分红",MAX(0,L30+E30-Q29),0)),"")</f>
        <v>0</v>
      </c>
      <c r="N30" s="11">
        <f>IF(I30="已计入",IF(AND(B30="卖出",'持仓总览'!$C$7="本金优先"),MAX(0,E30-Q29),IF(OR(B30="卖出",B30="现金分红"),MIN(E30,M30),0)),"")</f>
        <v>0</v>
      </c>
      <c r="O30" s="11">
        <f t="shared" si="8">IF(I30="已计入",IF(OR(B30="卖出",B30="现金分红"),MIN(Q29,MAX(0,E30-N30)),0),"")</f>
        <v>0</v>
      </c>
      <c r="P30" s="11">
        <f t="shared" si="9">IF(I30="已计入",IF(AND(B30="卖出",K30=0),MAX(0,Q29-O30),0),"")</f>
        <v>0</v>
      </c>
      <c r="Q30" s="11">
        <f t="shared" si="10">IF(AA30="正常",IF(I30="已计入",ROUND(Q29+IF(OR(B30="买入",B30="定投",B30="转换转入"),E30,0)-O30-P30,2),Q29),"")</f>
        <v>54650</v>
      </c>
      <c r="R30" s="11">
        <f t="shared" si="1">IF(I30="已计入",ROUND(K30*C30,2),"")</f>
        <v>54707.54</v>
      </c>
      <c r="S30" s="11">
        <f t="shared" si="2">IF(I30="已计入",ROUND(R30-Q30,2),"")</f>
        <v>57.54</v>
      </c>
      <c r="T30" s="12">
        <f t="shared" si="3">IF(I30="已计入",IF(Q30=0,"",S30/Q30),"")</f>
        <v>0.0010528819762122598</v>
      </c>
      <c r="U30" s="11">
        <f t="shared" si="11">IF(AA30="正常",U29+IF(AND(I30="已计入",OR(B30="买入",B30="定投",B30="转换转入")),E30,0),"")</f>
        <v>54650</v>
      </c>
      <c r="V30" s="11">
        <f t="shared" si="12">IF(AA30="正常",V29+IF(AND(I30="已计入",OR(B30="卖出",B30="现金分红")),E30,0),"")</f>
        <v>0</v>
      </c>
      <c r="W30" s="11">
        <f t="shared" si="13">IF(AA30="正常",W29+IF(I30="已计入",N30,0),"")</f>
        <v>0</v>
      </c>
      <c r="X30" s="11">
        <f t="shared" si="14">IF(AA30="正常",X29+IF(I30="已计入",P30,0),"")</f>
        <v>0</v>
      </c>
      <c r="Y30" s="11">
        <f t="shared" si="4">IF(I30="已计入",ROUND(R30+V30-U30,2),"")</f>
        <v>57.54</v>
      </c>
      <c r="Z30" s="13">
        <f t="shared" si="15">IF(AA30="正常",IF(I30="已计入",A30,Z29),"")</f>
        <v>46045</v>
      </c>
      <c r="AA30" s="10" t="str">
        <f t="shared" si="16">IF(OR(AA29="错误",AND(I30&lt;&gt;"",I30&lt;&gt;"已排除",I30&lt;&gt;"待确认",I30&lt;&gt;"已计入")),"错误","正常")</f>
        <v>正常</v>
      </c>
      <c r="AB30" s="14">
        <f t="shared" si="17">IF(AA30="正常",IF(I30="已计入",C30,AB29),"")</f>
        <v>4.9598</v>
      </c>
    </row>
    <row r="31" ht="42" customHeight="1">
      <c r="A31" s="36">
        <v>46045</v>
      </c>
      <c r="B31" s="37" t="inlineStr">
        <is>
          <t>买入</t>
        </is>
      </c>
      <c r="C31" s="38">
        <v>4.9598</v>
      </c>
      <c r="D31" s="39">
        <v>10064.95</v>
      </c>
      <c r="E31" s="39">
        <v>50000</v>
      </c>
      <c r="F31" s="39">
        <v>79.87</v>
      </c>
      <c r="G31" s="37" t="inlineStr">
        <is>
          <t>历史估算</t>
        </is>
      </c>
      <c r="H31" s="40" t="inlineStr">
        <is>
          <t>原下单 2026-01-23 12:32:31
净值日／份额暂估，手续费按 0.16%</t>
        </is>
      </c>
      <c r="I31" s="10" t="str">
        <f>IF(COUNTA(A31:H31)=0,"",IF(OR(OR(OR(G31="撤单",G31="交易失败",G31="交易关闭"),G31="交易失败",G31="交易关闭"),G31="交易失败",G31="交易关闭"),"已排除",IF(G31="待确认","待确认",IF(NOT(OR(G31="已确认",G31="历史估算")),"请选择确认状态",IF(NOT(ISNUMBER(A31)),"缺少有效净值日期",IF(OR(A31&lt;=0,A31&lt;&gt;INT(A31)),"净值日期无效",IF(NOT(OR(OR(B31="买入",B31="定投",B31="转换转入"),B31="卖出",B31="现金分红",B31="红利再投")),"请选择交易类型",IF(NOT(ISNUMBER(C31)),"缺少成交净值",IF(C31&lt;=0,"成交净值须大于零",IF(NOT(ISNUMBER(D31)),"缺少确认份额（分红填0）",IF(NOT(ISNUMBER(E31)),"缺少确认金额（再投填0）",IF(NOT(ISNUMBER(F31)),"缺少手续费（无费用填0）",IF(OR(D31&lt;0,E31&lt;0,F31&lt;0),"份额金额费用不能为负",IF(AA30="错误","前行待修正",IF(A31&lt;Z30,"日期需按成交顺序递增",IF(AND(B31="现金分红",OR(D31&lt;&gt;0,E31&lt;=0,F31&lt;&gt;0)),"分红填份额0、费用0、正金额",IF(AND(B31="红利再投",OR(D31&lt;=0,E31&lt;&gt;0,F31&lt;&gt;0)),"再投填正份额、金额0、费用0",IF(AND(OR(B31="现金分红",B31="红利再投"),K30&lt;=0),"分红或再投前须有持仓",IF(AND(OR(OR(B31="买入",B31="定投",B31="转换转入"),B31="卖出"),OR(D31&lt;=0,E31&lt;=0)),"买卖须填正份额、正金额",IF(AND(B31="卖出",D31&gt;K30+0.000001),"卖出份额超过持仓",IF(AND(OR(B31="买入",B31="定投",B31="转换转入"),F31&gt;=E31)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31="买入",B31="定投",B31="转换转入"),ABS(E31-F31-C31*D31)&gt;'持仓总览'!$H$6),"买入金额与份额净值不符",IF(AND(B31="卖出",ABS(E31+F31-C31*D31)&gt;'持仓总览'!$H$6),"到账加费用与赎回市值不符","已计入"))))))))))))))))))))))))))</f>
        <v>已计入</v>
      </c>
      <c r="J31" s="11">
        <f t="shared" si="0">IF(AA31="正常",IF(I31="已计入",IF(OR(OR(B31="买入",B31="定投",B31="转换转入"),B31="红利再投"),D31,IF(B31="卖出",-D31,0)),0),"")</f>
        <v>10064.95</v>
      </c>
      <c r="K31" s="11">
        <f t="shared" si="5">IF(AA31="正常",ROUND(K30+J31,6),"")</f>
        <v>21095.14</v>
      </c>
      <c r="L31" s="11">
        <f t="shared" si="6">IF(I31="已计入",ROUND(K30*C31,2),"")</f>
        <v>54707.54</v>
      </c>
      <c r="M31" s="11">
        <f t="shared" si="7">IF(I31="已计入",IF(B31="卖出",MAX(0,L31-Q30-F31),IF(B31="现金分红",MAX(0,L31+E31-Q30),0)),"")</f>
        <v>0</v>
      </c>
      <c r="N31" s="11">
        <f>IF(I31="已计入",IF(AND(B31="卖出",'持仓总览'!$C$7="本金优先"),MAX(0,E31-Q30),IF(OR(B31="卖出",B31="现金分红"),MIN(E31,M31),0)),"")</f>
        <v>0</v>
      </c>
      <c r="O31" s="11">
        <f t="shared" si="8">IF(I31="已计入",IF(OR(B31="卖出",B31="现金分红"),MIN(Q30,MAX(0,E31-N31)),0),"")</f>
        <v>0</v>
      </c>
      <c r="P31" s="11">
        <f t="shared" si="9">IF(I31="已计入",IF(AND(B31="卖出",K31=0),MAX(0,Q30-O31),0),"")</f>
        <v>0</v>
      </c>
      <c r="Q31" s="11">
        <f t="shared" si="10">IF(AA31="正常",IF(I31="已计入",ROUND(Q30+IF(OR(B31="买入",B31="定投",B31="转换转入"),E31,0)-O31-P31,2),Q30),"")</f>
        <v>104650</v>
      </c>
      <c r="R31" s="11">
        <f t="shared" si="1">IF(I31="已计入",ROUND(K31*C31,2),"")</f>
        <v>104627.68</v>
      </c>
      <c r="S31" s="11">
        <f t="shared" si="2">IF(I31="已计入",ROUND(R31-Q31,2),"")</f>
        <v>-22.32</v>
      </c>
      <c r="T31" s="12">
        <f t="shared" si="3">IF(I31="已计入",IF(Q31=0,"",S31/Q31),"")</f>
        <v>-0.00021328236980410893</v>
      </c>
      <c r="U31" s="11">
        <f t="shared" si="11">IF(AA31="正常",U30+IF(AND(I31="已计入",OR(B31="买入",B31="定投",B31="转换转入")),E31,0),"")</f>
        <v>104650</v>
      </c>
      <c r="V31" s="11">
        <f t="shared" si="12">IF(AA31="正常",V30+IF(AND(I31="已计入",OR(B31="卖出",B31="现金分红")),E31,0),"")</f>
        <v>0</v>
      </c>
      <c r="W31" s="11">
        <f t="shared" si="13">IF(AA31="正常",W30+IF(I31="已计入",N31,0),"")</f>
        <v>0</v>
      </c>
      <c r="X31" s="11">
        <f t="shared" si="14">IF(AA31="正常",X30+IF(I31="已计入",P31,0),"")</f>
        <v>0</v>
      </c>
      <c r="Y31" s="11">
        <f t="shared" si="4">IF(I31="已计入",ROUND(R31+V31-U31,2),"")</f>
        <v>-22.32</v>
      </c>
      <c r="Z31" s="13">
        <f t="shared" si="15">IF(AA31="正常",IF(I31="已计入",A31,Z30),"")</f>
        <v>46045</v>
      </c>
      <c r="AA31" s="10" t="str">
        <f t="shared" si="16">IF(OR(AA30="错误",AND(I31&lt;&gt;"",I31&lt;&gt;"已排除",I31&lt;&gt;"待确认",I31&lt;&gt;"已计入")),"错误","正常")</f>
        <v>正常</v>
      </c>
      <c r="AB31" s="14">
        <f t="shared" si="17">IF(AA31="正常",IF(I31="已计入",C31,AB30),"")</f>
        <v>4.9598</v>
      </c>
    </row>
    <row r="32" ht="42" customHeight="1">
      <c r="A32" s="36">
        <v>46048</v>
      </c>
      <c r="B32" s="37" t="inlineStr">
        <is>
          <t>定投</t>
        </is>
      </c>
      <c r="C32" s="38">
        <v>4.9581</v>
      </c>
      <c r="D32" s="39">
        <v>50.34</v>
      </c>
      <c r="E32" s="39">
        <v>250</v>
      </c>
      <c r="F32" s="39">
        <v>0.4</v>
      </c>
      <c r="G32" s="37" t="inlineStr">
        <is>
          <t>历史估算</t>
        </is>
      </c>
      <c r="H32" s="40" t="inlineStr">
        <is>
          <t>原下单 2026-01-26 10:50:49
净值日／份额暂估，手续费按 0.16%</t>
        </is>
      </c>
      <c r="I32" s="10" t="str">
        <f>IF(COUNTA(A32:H32)=0,"",IF(OR(OR(OR(G32="撤单",G32="交易失败",G32="交易关闭"),G32="交易失败",G32="交易关闭"),G32="交易失败",G32="交易关闭"),"已排除",IF(G32="待确认","待确认",IF(NOT(OR(G32="已确认",G32="历史估算")),"请选择确认状态",IF(NOT(ISNUMBER(A32)),"缺少有效净值日期",IF(OR(A32&lt;=0,A32&lt;&gt;INT(A32)),"净值日期无效",IF(NOT(OR(OR(B32="买入",B32="定投",B32="转换转入"),B32="卖出",B32="现金分红",B32="红利再投")),"请选择交易类型",IF(NOT(ISNUMBER(C32)),"缺少成交净值",IF(C32&lt;=0,"成交净值须大于零",IF(NOT(ISNUMBER(D32)),"缺少确认份额（分红填0）",IF(NOT(ISNUMBER(E32)),"缺少确认金额（再投填0）",IF(NOT(ISNUMBER(F32)),"缺少手续费（无费用填0）",IF(OR(D32&lt;0,E32&lt;0,F32&lt;0),"份额金额费用不能为负",IF(AA31="错误","前行待修正",IF(A32&lt;Z31,"日期需按成交顺序递增",IF(AND(B32="现金分红",OR(D32&lt;&gt;0,E32&lt;=0,F32&lt;&gt;0)),"分红填份额0、费用0、正金额",IF(AND(B32="红利再投",OR(D32&lt;=0,E32&lt;&gt;0,F32&lt;&gt;0)),"再投填正份额、金额0、费用0",IF(AND(OR(B32="现金分红",B32="红利再投"),K31&lt;=0),"分红或再投前须有持仓",IF(AND(OR(OR(B32="买入",B32="定投",B32="转换转入"),B32="卖出"),OR(D32&lt;=0,E32&lt;=0)),"买卖须填正份额、正金额",IF(AND(B32="卖出",D32&gt;K31+0.000001),"卖出份额超过持仓",IF(AND(OR(B32="买入",B32="定投",B32="转换转入"),F32&gt;=E32)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32="买入",B32="定投",B32="转换转入"),ABS(E32-F32-C32*D32)&gt;'持仓总览'!$H$6),"买入金额与份额净值不符",IF(AND(B32="卖出",ABS(E32+F32-C32*D32)&gt;'持仓总览'!$H$6),"到账加费用与赎回市值不符","已计入"))))))))))))))))))))))))))</f>
        <v>已计入</v>
      </c>
      <c r="J32" s="11">
        <f t="shared" si="0">IF(AA32="正常",IF(I32="已计入",IF(OR(OR(B32="买入",B32="定投",B32="转换转入"),B32="红利再投"),D32,IF(B32="卖出",-D32,0)),0),"")</f>
        <v>50.34</v>
      </c>
      <c r="K32" s="11">
        <f t="shared" si="5">IF(AA32="正常",ROUND(K31+J32,6),"")</f>
        <v>21145.48</v>
      </c>
      <c r="L32" s="11">
        <f t="shared" si="6">IF(I32="已计入",ROUND(K31*C32,2),"")</f>
        <v>104591.81</v>
      </c>
      <c r="M32" s="11">
        <f t="shared" si="7">IF(I32="已计入",IF(B32="卖出",MAX(0,L32-Q31-F32),IF(B32="现金分红",MAX(0,L32+E32-Q31),0)),"")</f>
        <v>0</v>
      </c>
      <c r="N32" s="11">
        <f>IF(I32="已计入",IF(AND(B32="卖出",'持仓总览'!$C$7="本金优先"),MAX(0,E32-Q31),IF(OR(B32="卖出",B32="现金分红"),MIN(E32,M32),0)),"")</f>
        <v>0</v>
      </c>
      <c r="O32" s="11">
        <f t="shared" si="8">IF(I32="已计入",IF(OR(B32="卖出",B32="现金分红"),MIN(Q31,MAX(0,E32-N32)),0),"")</f>
        <v>0</v>
      </c>
      <c r="P32" s="11">
        <f t="shared" si="9">IF(I32="已计入",IF(AND(B32="卖出",K32=0),MAX(0,Q31-O32),0),"")</f>
        <v>0</v>
      </c>
      <c r="Q32" s="11">
        <f t="shared" si="10">IF(AA32="正常",IF(I32="已计入",ROUND(Q31+IF(OR(B32="买入",B32="定投",B32="转换转入"),E32,0)-O32-P32,2),Q31),"")</f>
        <v>104900</v>
      </c>
      <c r="R32" s="11">
        <f t="shared" si="1">IF(I32="已计入",ROUND(K32*C32,2),"")</f>
        <v>104841.4</v>
      </c>
      <c r="S32" s="11">
        <f t="shared" si="2">IF(I32="已计入",ROUND(R32-Q32,2),"")</f>
        <v>-58.6</v>
      </c>
      <c r="T32" s="12">
        <f t="shared" si="3">IF(I32="已计入",IF(Q32=0,"",S32/Q32),"")</f>
        <v>-0.0005586272640610105</v>
      </c>
      <c r="U32" s="11">
        <f t="shared" si="11">IF(AA32="正常",U31+IF(AND(I32="已计入",OR(B32="买入",B32="定投",B32="转换转入")),E32,0),"")</f>
        <v>104900</v>
      </c>
      <c r="V32" s="11">
        <f t="shared" si="12">IF(AA32="正常",V31+IF(AND(I32="已计入",OR(B32="卖出",B32="现金分红")),E32,0),"")</f>
        <v>0</v>
      </c>
      <c r="W32" s="11">
        <f t="shared" si="13">IF(AA32="正常",W31+IF(I32="已计入",N32,0),"")</f>
        <v>0</v>
      </c>
      <c r="X32" s="11">
        <f t="shared" si="14">IF(AA32="正常",X31+IF(I32="已计入",P32,0),"")</f>
        <v>0</v>
      </c>
      <c r="Y32" s="11">
        <f t="shared" si="4">IF(I32="已计入",ROUND(R32+V32-U32,2),"")</f>
        <v>-58.6</v>
      </c>
      <c r="Z32" s="13">
        <f t="shared" si="15">IF(AA32="正常",IF(I32="已计入",A32,Z31),"")</f>
        <v>46048</v>
      </c>
      <c r="AA32" s="10" t="str">
        <f t="shared" si="16">IF(OR(AA31="错误",AND(I32&lt;&gt;"",I32&lt;&gt;"已排除",I32&lt;&gt;"待确认",I32&lt;&gt;"已计入")),"错误","正常")</f>
        <v>正常</v>
      </c>
      <c r="AB32" s="14">
        <f t="shared" si="17">IF(AA32="正常",IF(I32="已计入",C32,AB31),"")</f>
        <v>4.9581</v>
      </c>
    </row>
    <row r="33" ht="42" customHeight="1">
      <c r="A33" s="36">
        <v>46049</v>
      </c>
      <c r="B33" s="37" t="inlineStr">
        <is>
          <t>定投</t>
        </is>
      </c>
      <c r="C33" s="38">
        <v>5.0512</v>
      </c>
      <c r="D33" s="39">
        <v>49.41</v>
      </c>
      <c r="E33" s="39">
        <v>250</v>
      </c>
      <c r="F33" s="39">
        <v>0.4</v>
      </c>
      <c r="G33" s="37" t="inlineStr">
        <is>
          <t>历史估算</t>
        </is>
      </c>
      <c r="H33" s="40" t="inlineStr">
        <is>
          <t>原下单 2026-01-27 10:40:58
净值日／份额暂估，手续费按 0.16%</t>
        </is>
      </c>
      <c r="I33" s="10" t="str">
        <f>IF(COUNTA(A33:H33)=0,"",IF(OR(OR(OR(G33="撤单",G33="交易失败",G33="交易关闭"),G33="交易失败",G33="交易关闭"),G33="交易失败",G33="交易关闭"),"已排除",IF(G33="待确认","待确认",IF(NOT(OR(G33="已确认",G33="历史估算")),"请选择确认状态",IF(NOT(ISNUMBER(A33)),"缺少有效净值日期",IF(OR(A33&lt;=0,A33&lt;&gt;INT(A33)),"净值日期无效",IF(NOT(OR(OR(B33="买入",B33="定投",B33="转换转入"),B33="卖出",B33="现金分红",B33="红利再投")),"请选择交易类型",IF(NOT(ISNUMBER(C33)),"缺少成交净值",IF(C33&lt;=0,"成交净值须大于零",IF(NOT(ISNUMBER(D33)),"缺少确认份额（分红填0）",IF(NOT(ISNUMBER(E33)),"缺少确认金额（再投填0）",IF(NOT(ISNUMBER(F33)),"缺少手续费（无费用填0）",IF(OR(D33&lt;0,E33&lt;0,F33&lt;0),"份额金额费用不能为负",IF(AA32="错误","前行待修正",IF(A33&lt;Z32,"日期需按成交顺序递增",IF(AND(B33="现金分红",OR(D33&lt;&gt;0,E33&lt;=0,F33&lt;&gt;0)),"分红填份额0、费用0、正金额",IF(AND(B33="红利再投",OR(D33&lt;=0,E33&lt;&gt;0,F33&lt;&gt;0)),"再投填正份额、金额0、费用0",IF(AND(OR(B33="现金分红",B33="红利再投"),K32&lt;=0),"分红或再投前须有持仓",IF(AND(OR(OR(B33="买入",B33="定投",B33="转换转入"),B33="卖出"),OR(D33&lt;=0,E33&lt;=0)),"买卖须填正份额、正金额",IF(AND(B33="卖出",D33&gt;K32+0.000001),"卖出份额超过持仓",IF(AND(OR(B33="买入",B33="定投",B33="转换转入"),F33&gt;=E33)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33="买入",B33="定投",B33="转换转入"),ABS(E33-F33-C33*D33)&gt;'持仓总览'!$H$6),"买入金额与份额净值不符",IF(AND(B33="卖出",ABS(E33+F33-C33*D33)&gt;'持仓总览'!$H$6),"到账加费用与赎回市值不符","已计入"))))))))))))))))))))))))))</f>
        <v>已计入</v>
      </c>
      <c r="J33" s="11">
        <f t="shared" si="0">IF(AA33="正常",IF(I33="已计入",IF(OR(OR(B33="买入",B33="定投",B33="转换转入"),B33="红利再投"),D33,IF(B33="卖出",-D33,0)),0),"")</f>
        <v>49.41</v>
      </c>
      <c r="K33" s="11">
        <f t="shared" si="5">IF(AA33="正常",ROUND(K32+J33,6),"")</f>
        <v>21194.89</v>
      </c>
      <c r="L33" s="11">
        <f t="shared" si="6">IF(I33="已计入",ROUND(K32*C33,2),"")</f>
        <v>106810.05</v>
      </c>
      <c r="M33" s="11">
        <f t="shared" si="7">IF(I33="已计入",IF(B33="卖出",MAX(0,L33-Q32-F33),IF(B33="现金分红",MAX(0,L33+E33-Q32),0)),"")</f>
        <v>0</v>
      </c>
      <c r="N33" s="11">
        <f>IF(I33="已计入",IF(AND(B33="卖出",'持仓总览'!$C$7="本金优先"),MAX(0,E33-Q32),IF(OR(B33="卖出",B33="现金分红"),MIN(E33,M33),0)),"")</f>
        <v>0</v>
      </c>
      <c r="O33" s="11">
        <f t="shared" si="8">IF(I33="已计入",IF(OR(B33="卖出",B33="现金分红"),MIN(Q32,MAX(0,E33-N33)),0),"")</f>
        <v>0</v>
      </c>
      <c r="P33" s="11">
        <f t="shared" si="9">IF(I33="已计入",IF(AND(B33="卖出",K33=0),MAX(0,Q32-O33),0),"")</f>
        <v>0</v>
      </c>
      <c r="Q33" s="11">
        <f t="shared" si="10">IF(AA33="正常",IF(I33="已计入",ROUND(Q32+IF(OR(B33="买入",B33="定投",B33="转换转入"),E33,0)-O33-P33,2),Q32),"")</f>
        <v>105150</v>
      </c>
      <c r="R33" s="11">
        <f t="shared" si="1">IF(I33="已计入",ROUND(K33*C33,2),"")</f>
        <v>107059.63</v>
      </c>
      <c r="S33" s="11">
        <f t="shared" si="2">IF(I33="已计入",ROUND(R33-Q33,2),"")</f>
        <v>1909.63</v>
      </c>
      <c r="T33" s="12">
        <f t="shared" si="3">IF(I33="已计入",IF(Q33=0,"",S33/Q33),"")</f>
        <v>0.018161008083689967</v>
      </c>
      <c r="U33" s="11">
        <f t="shared" si="11">IF(AA33="正常",U32+IF(AND(I33="已计入",OR(B33="买入",B33="定投",B33="转换转入")),E33,0),"")</f>
        <v>105150</v>
      </c>
      <c r="V33" s="11">
        <f t="shared" si="12">IF(AA33="正常",V32+IF(AND(I33="已计入",OR(B33="卖出",B33="现金分红")),E33,0),"")</f>
        <v>0</v>
      </c>
      <c r="W33" s="11">
        <f t="shared" si="13">IF(AA33="正常",W32+IF(I33="已计入",N33,0),"")</f>
        <v>0</v>
      </c>
      <c r="X33" s="11">
        <f t="shared" si="14">IF(AA33="正常",X32+IF(I33="已计入",P33,0),"")</f>
        <v>0</v>
      </c>
      <c r="Y33" s="11">
        <f t="shared" si="4">IF(I33="已计入",ROUND(R33+V33-U33,2),"")</f>
        <v>1909.63</v>
      </c>
      <c r="Z33" s="13">
        <f t="shared" si="15">IF(AA33="正常",IF(I33="已计入",A33,Z32),"")</f>
        <v>46049</v>
      </c>
      <c r="AA33" s="10" t="str">
        <f t="shared" si="16">IF(OR(AA32="错误",AND(I33&lt;&gt;"",I33&lt;&gt;"已排除",I33&lt;&gt;"待确认",I33&lt;&gt;"已计入")),"错误","正常")</f>
        <v>正常</v>
      </c>
      <c r="AB33" s="14">
        <f t="shared" si="17">IF(AA33="正常",IF(I33="已计入",C33,AB32),"")</f>
        <v>5.0512</v>
      </c>
    </row>
    <row r="34" ht="42" customHeight="1">
      <c r="A34" s="36">
        <v>46049</v>
      </c>
      <c r="B34" s="37" t="inlineStr">
        <is>
          <t>买入</t>
        </is>
      </c>
      <c r="C34" s="38">
        <v>5.0512</v>
      </c>
      <c r="D34" s="39">
        <v>592.97</v>
      </c>
      <c r="E34" s="39">
        <v>3000</v>
      </c>
      <c r="F34" s="39">
        <v>4.79</v>
      </c>
      <c r="G34" s="37" t="inlineStr">
        <is>
          <t>历史估算</t>
        </is>
      </c>
      <c r="H34" s="40" t="inlineStr">
        <is>
          <t>原下单 2026-01-27 13:20:58
净值日／份额暂估，手续费按 0.16%</t>
        </is>
      </c>
      <c r="I34" s="10" t="str">
        <f>IF(COUNTA(A34:H34)=0,"",IF(OR(OR(OR(G34="撤单",G34="交易失败",G34="交易关闭"),G34="交易失败",G34="交易关闭"),G34="交易失败",G34="交易关闭"),"已排除",IF(G34="待确认","待确认",IF(NOT(OR(G34="已确认",G34="历史估算")),"请选择确认状态",IF(NOT(ISNUMBER(A34)),"缺少有效净值日期",IF(OR(A34&lt;=0,A34&lt;&gt;INT(A34)),"净值日期无效",IF(NOT(OR(OR(B34="买入",B34="定投",B34="转换转入"),B34="卖出",B34="现金分红",B34="红利再投")),"请选择交易类型",IF(NOT(ISNUMBER(C34)),"缺少成交净值",IF(C34&lt;=0,"成交净值须大于零",IF(NOT(ISNUMBER(D34)),"缺少确认份额（分红填0）",IF(NOT(ISNUMBER(E34)),"缺少确认金额（再投填0）",IF(NOT(ISNUMBER(F34)),"缺少手续费（无费用填0）",IF(OR(D34&lt;0,E34&lt;0,F34&lt;0),"份额金额费用不能为负",IF(AA33="错误","前行待修正",IF(A34&lt;Z33,"日期需按成交顺序递增",IF(AND(B34="现金分红",OR(D34&lt;&gt;0,E34&lt;=0,F34&lt;&gt;0)),"分红填份额0、费用0、正金额",IF(AND(B34="红利再投",OR(D34&lt;=0,E34&lt;&gt;0,F34&lt;&gt;0)),"再投填正份额、金额0、费用0",IF(AND(OR(B34="现金分红",B34="红利再投"),K33&lt;=0),"分红或再投前须有持仓",IF(AND(OR(OR(B34="买入",B34="定投",B34="转换转入"),B34="卖出"),OR(D34&lt;=0,E34&lt;=0)),"买卖须填正份额、正金额",IF(AND(B34="卖出",D34&gt;K33+0.000001),"卖出份额超过持仓",IF(AND(OR(B34="买入",B34="定投",B34="转换转入"),F34&gt;=E34)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34="买入",B34="定投",B34="转换转入"),ABS(E34-F34-C34*D34)&gt;'持仓总览'!$H$6),"买入金额与份额净值不符",IF(AND(B34="卖出",ABS(E34+F34-C34*D34)&gt;'持仓总览'!$H$6),"到账加费用与赎回市值不符","已计入"))))))))))))))))))))))))))</f>
        <v>已计入</v>
      </c>
      <c r="J34" s="11">
        <f t="shared" si="0">IF(AA34="正常",IF(I34="已计入",IF(OR(OR(B34="买入",B34="定投",B34="转换转入"),B34="红利再投"),D34,IF(B34="卖出",-D34,0)),0),"")</f>
        <v>592.97</v>
      </c>
      <c r="K34" s="11">
        <f t="shared" si="5">IF(AA34="正常",ROUND(K33+J34,6),"")</f>
        <v>21787.86</v>
      </c>
      <c r="L34" s="11">
        <f t="shared" si="6">IF(I34="已计入",ROUND(K33*C34,2),"")</f>
        <v>107059.63</v>
      </c>
      <c r="M34" s="11">
        <f t="shared" si="7">IF(I34="已计入",IF(B34="卖出",MAX(0,L34-Q33-F34),IF(B34="现金分红",MAX(0,L34+E34-Q33),0)),"")</f>
        <v>0</v>
      </c>
      <c r="N34" s="11">
        <f>IF(I34="已计入",IF(AND(B34="卖出",'持仓总览'!$C$7="本金优先"),MAX(0,E34-Q33),IF(OR(B34="卖出",B34="现金分红"),MIN(E34,M34),0)),"")</f>
        <v>0</v>
      </c>
      <c r="O34" s="11">
        <f t="shared" si="8">IF(I34="已计入",IF(OR(B34="卖出",B34="现金分红"),MIN(Q33,MAX(0,E34-N34)),0),"")</f>
        <v>0</v>
      </c>
      <c r="P34" s="11">
        <f t="shared" si="9">IF(I34="已计入",IF(AND(B34="卖出",K34=0),MAX(0,Q33-O34),0),"")</f>
        <v>0</v>
      </c>
      <c r="Q34" s="11">
        <f t="shared" si="10">IF(AA34="正常",IF(I34="已计入",ROUND(Q33+IF(OR(B34="买入",B34="定投",B34="转换转入"),E34,0)-O34-P34,2),Q33),"")</f>
        <v>108150</v>
      </c>
      <c r="R34" s="11">
        <f t="shared" si="1">IF(I34="已计入",ROUND(K34*C34,2),"")</f>
        <v>110054.84</v>
      </c>
      <c r="S34" s="11">
        <f t="shared" si="2">IF(I34="已计入",ROUND(R34-Q34,2),"")</f>
        <v>1904.84</v>
      </c>
      <c r="T34" s="12">
        <f t="shared" si="3">IF(I34="已计入",IF(Q34=0,"",S34/Q34),"")</f>
        <v>0.017612944983818768</v>
      </c>
      <c r="U34" s="11">
        <f t="shared" si="11">IF(AA34="正常",U33+IF(AND(I34="已计入",OR(B34="买入",B34="定投",B34="转换转入")),E34,0),"")</f>
        <v>108150</v>
      </c>
      <c r="V34" s="11">
        <f t="shared" si="12">IF(AA34="正常",V33+IF(AND(I34="已计入",OR(B34="卖出",B34="现金分红")),E34,0),"")</f>
        <v>0</v>
      </c>
      <c r="W34" s="11">
        <f t="shared" si="13">IF(AA34="正常",W33+IF(I34="已计入",N34,0),"")</f>
        <v>0</v>
      </c>
      <c r="X34" s="11">
        <f t="shared" si="14">IF(AA34="正常",X33+IF(I34="已计入",P34,0),"")</f>
        <v>0</v>
      </c>
      <c r="Y34" s="11">
        <f t="shared" si="4">IF(I34="已计入",ROUND(R34+V34-U34,2),"")</f>
        <v>1904.84</v>
      </c>
      <c r="Z34" s="13">
        <f t="shared" si="15">IF(AA34="正常",IF(I34="已计入",A34,Z33),"")</f>
        <v>46049</v>
      </c>
      <c r="AA34" s="10" t="str">
        <f t="shared" si="16">IF(OR(AA33="错误",AND(I34&lt;&gt;"",I34&lt;&gt;"已排除",I34&lt;&gt;"待确认",I34&lt;&gt;"已计入")),"错误","正常")</f>
        <v>正常</v>
      </c>
      <c r="AB34" s="14">
        <f t="shared" si="17">IF(AA34="正常",IF(I34="已计入",C34,AB33),"")</f>
        <v>5.0512</v>
      </c>
    </row>
    <row r="35" ht="42" customHeight="1">
      <c r="A35" s="36">
        <v>46050</v>
      </c>
      <c r="B35" s="37" t="inlineStr">
        <is>
          <t>定投</t>
        </is>
      </c>
      <c r="C35" s="38">
        <v>5.1155</v>
      </c>
      <c r="D35" s="39">
        <v>48.79</v>
      </c>
      <c r="E35" s="39">
        <v>250</v>
      </c>
      <c r="F35" s="39">
        <v>0.4</v>
      </c>
      <c r="G35" s="37" t="inlineStr">
        <is>
          <t>历史估算</t>
        </is>
      </c>
      <c r="H35" s="40" t="inlineStr">
        <is>
          <t>原下单 2026-01-28 10:42:02
净值日／份额暂估，手续费按 0.16%</t>
        </is>
      </c>
      <c r="I35" s="10" t="str">
        <f>IF(COUNTA(A35:H35)=0,"",IF(OR(OR(OR(G35="撤单",G35="交易失败",G35="交易关闭"),G35="交易失败",G35="交易关闭"),G35="交易失败",G35="交易关闭"),"已排除",IF(G35="待确认","待确认",IF(NOT(OR(G35="已确认",G35="历史估算")),"请选择确认状态",IF(NOT(ISNUMBER(A35)),"缺少有效净值日期",IF(OR(A35&lt;=0,A35&lt;&gt;INT(A35)),"净值日期无效",IF(NOT(OR(OR(B35="买入",B35="定投",B35="转换转入"),B35="卖出",B35="现金分红",B35="红利再投")),"请选择交易类型",IF(NOT(ISNUMBER(C35)),"缺少成交净值",IF(C35&lt;=0,"成交净值须大于零",IF(NOT(ISNUMBER(D35)),"缺少确认份额（分红填0）",IF(NOT(ISNUMBER(E35)),"缺少确认金额（再投填0）",IF(NOT(ISNUMBER(F35)),"缺少手续费（无费用填0）",IF(OR(D35&lt;0,E35&lt;0,F35&lt;0),"份额金额费用不能为负",IF(AA34="错误","前行待修正",IF(A35&lt;Z34,"日期需按成交顺序递增",IF(AND(B35="现金分红",OR(D35&lt;&gt;0,E35&lt;=0,F35&lt;&gt;0)),"分红填份额0、费用0、正金额",IF(AND(B35="红利再投",OR(D35&lt;=0,E35&lt;&gt;0,F35&lt;&gt;0)),"再投填正份额、金额0、费用0",IF(AND(OR(B35="现金分红",B35="红利再投"),K34&lt;=0),"分红或再投前须有持仓",IF(AND(OR(OR(B35="买入",B35="定投",B35="转换转入"),B35="卖出"),OR(D35&lt;=0,E35&lt;=0)),"买卖须填正份额、正金额",IF(AND(B35="卖出",D35&gt;K34+0.000001),"卖出份额超过持仓",IF(AND(OR(B35="买入",B35="定投",B35="转换转入"),F35&gt;=E35)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35="买入",B35="定投",B35="转换转入"),ABS(E35-F35-C35*D35)&gt;'持仓总览'!$H$6),"买入金额与份额净值不符",IF(AND(B35="卖出",ABS(E35+F35-C35*D35)&gt;'持仓总览'!$H$6),"到账加费用与赎回市值不符","已计入"))))))))))))))))))))))))))</f>
        <v>已计入</v>
      </c>
      <c r="J35" s="11">
        <f t="shared" si="0">IF(AA35="正常",IF(I35="已计入",IF(OR(OR(B35="买入",B35="定投",B35="转换转入"),B35="红利再投"),D35,IF(B35="卖出",-D35,0)),0),"")</f>
        <v>48.79</v>
      </c>
      <c r="K35" s="11">
        <f t="shared" si="5">IF(AA35="正常",ROUND(K34+J35,6),"")</f>
        <v>21836.65</v>
      </c>
      <c r="L35" s="11">
        <f t="shared" si="6">IF(I35="已计入",ROUND(K34*C35,2),"")</f>
        <v>111455.8</v>
      </c>
      <c r="M35" s="11">
        <f t="shared" si="7">IF(I35="已计入",IF(B35="卖出",MAX(0,L35-Q34-F35),IF(B35="现金分红",MAX(0,L35+E35-Q34),0)),"")</f>
        <v>0</v>
      </c>
      <c r="N35" s="11">
        <f>IF(I35="已计入",IF(AND(B35="卖出",'持仓总览'!$C$7="本金优先"),MAX(0,E35-Q34),IF(OR(B35="卖出",B35="现金分红"),MIN(E35,M35),0)),"")</f>
        <v>0</v>
      </c>
      <c r="O35" s="11">
        <f t="shared" si="8">IF(I35="已计入",IF(OR(B35="卖出",B35="现金分红"),MIN(Q34,MAX(0,E35-N35)),0),"")</f>
        <v>0</v>
      </c>
      <c r="P35" s="11">
        <f t="shared" si="9">IF(I35="已计入",IF(AND(B35="卖出",K35=0),MAX(0,Q34-O35),0),"")</f>
        <v>0</v>
      </c>
      <c r="Q35" s="11">
        <f t="shared" si="10">IF(AA35="正常",IF(I35="已计入",ROUND(Q34+IF(OR(B35="买入",B35="定投",B35="转换转入"),E35,0)-O35-P35,2),Q34),"")</f>
        <v>108400</v>
      </c>
      <c r="R35" s="11">
        <f t="shared" si="1">IF(I35="已计入",ROUND(K35*C35,2),"")</f>
        <v>111705.38</v>
      </c>
      <c r="S35" s="11">
        <f t="shared" si="2">IF(I35="已计入",ROUND(R35-Q35,2),"")</f>
        <v>3305.38</v>
      </c>
      <c r="T35" s="12">
        <f t="shared" si="3">IF(I35="已计入",IF(Q35=0,"",S35/Q35),"")</f>
        <v>0.030492435424354244</v>
      </c>
      <c r="U35" s="11">
        <f t="shared" si="11">IF(AA35="正常",U34+IF(AND(I35="已计入",OR(B35="买入",B35="定投",B35="转换转入")),E35,0),"")</f>
        <v>108400</v>
      </c>
      <c r="V35" s="11">
        <f t="shared" si="12">IF(AA35="正常",V34+IF(AND(I35="已计入",OR(B35="卖出",B35="现金分红")),E35,0),"")</f>
        <v>0</v>
      </c>
      <c r="W35" s="11">
        <f t="shared" si="13">IF(AA35="正常",W34+IF(I35="已计入",N35,0),"")</f>
        <v>0</v>
      </c>
      <c r="X35" s="11">
        <f t="shared" si="14">IF(AA35="正常",X34+IF(I35="已计入",P35,0),"")</f>
        <v>0</v>
      </c>
      <c r="Y35" s="11">
        <f t="shared" si="4">IF(I35="已计入",ROUND(R35+V35-U35,2),"")</f>
        <v>3305.38</v>
      </c>
      <c r="Z35" s="13">
        <f t="shared" si="15">IF(AA35="正常",IF(I35="已计入",A35,Z34),"")</f>
        <v>46050</v>
      </c>
      <c r="AA35" s="10" t="str">
        <f t="shared" si="16">IF(OR(AA34="错误",AND(I35&lt;&gt;"",I35&lt;&gt;"已排除",I35&lt;&gt;"待确认",I35&lt;&gt;"已计入")),"错误","正常")</f>
        <v>正常</v>
      </c>
      <c r="AB35" s="14">
        <f t="shared" si="17">IF(AA35="正常",IF(I35="已计入",C35,AB34),"")</f>
        <v>5.1155</v>
      </c>
    </row>
    <row r="36" ht="42" customHeight="1">
      <c r="A36" s="36">
        <v>46051</v>
      </c>
      <c r="B36" s="37" t="inlineStr">
        <is>
          <t>定投</t>
        </is>
      </c>
      <c r="C36" s="38">
        <v>5.0843</v>
      </c>
      <c r="D36" s="39">
        <v>49.09</v>
      </c>
      <c r="E36" s="39">
        <v>250</v>
      </c>
      <c r="F36" s="39">
        <v>0.4</v>
      </c>
      <c r="G36" s="37" t="inlineStr">
        <is>
          <t>历史估算</t>
        </is>
      </c>
      <c r="H36" s="40" t="inlineStr">
        <is>
          <t>原下单 2026-01-29 10:41:52
净值日／份额暂估，手续费按 0.16%</t>
        </is>
      </c>
      <c r="I36" s="10" t="str">
        <f>IF(COUNTA(A36:H36)=0,"",IF(OR(OR(OR(G36="撤单",G36="交易失败",G36="交易关闭"),G36="交易失败",G36="交易关闭"),G36="交易失败",G36="交易关闭"),"已排除",IF(G36="待确认","待确认",IF(NOT(OR(G36="已确认",G36="历史估算")),"请选择确认状态",IF(NOT(ISNUMBER(A36)),"缺少有效净值日期",IF(OR(A36&lt;=0,A36&lt;&gt;INT(A36)),"净值日期无效",IF(NOT(OR(OR(B36="买入",B36="定投",B36="转换转入"),B36="卖出",B36="现金分红",B36="红利再投")),"请选择交易类型",IF(NOT(ISNUMBER(C36)),"缺少成交净值",IF(C36&lt;=0,"成交净值须大于零",IF(NOT(ISNUMBER(D36)),"缺少确认份额（分红填0）",IF(NOT(ISNUMBER(E36)),"缺少确认金额（再投填0）",IF(NOT(ISNUMBER(F36)),"缺少手续费（无费用填0）",IF(OR(D36&lt;0,E36&lt;0,F36&lt;0),"份额金额费用不能为负",IF(AA35="错误","前行待修正",IF(A36&lt;Z35,"日期需按成交顺序递增",IF(AND(B36="现金分红",OR(D36&lt;&gt;0,E36&lt;=0,F36&lt;&gt;0)),"分红填份额0、费用0、正金额",IF(AND(B36="红利再投",OR(D36&lt;=0,E36&lt;&gt;0,F36&lt;&gt;0)),"再投填正份额、金额0、费用0",IF(AND(OR(B36="现金分红",B36="红利再投"),K35&lt;=0),"分红或再投前须有持仓",IF(AND(OR(OR(B36="买入",B36="定投",B36="转换转入"),B36="卖出"),OR(D36&lt;=0,E36&lt;=0)),"买卖须填正份额、正金额",IF(AND(B36="卖出",D36&gt;K35+0.000001),"卖出份额超过持仓",IF(AND(OR(B36="买入",B36="定投",B36="转换转入"),F36&gt;=E36)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36="买入",B36="定投",B36="转换转入"),ABS(E36-F36-C36*D36)&gt;'持仓总览'!$H$6),"买入金额与份额净值不符",IF(AND(B36="卖出",ABS(E36+F36-C36*D36)&gt;'持仓总览'!$H$6),"到账加费用与赎回市值不符","已计入"))))))))))))))))))))))))))</f>
        <v>已计入</v>
      </c>
      <c r="J36" s="11">
        <f t="shared" si="0">IF(AA36="正常",IF(I36="已计入",IF(OR(OR(B36="买入",B36="定投",B36="转换转入"),B36="红利再投"),D36,IF(B36="卖出",-D36,0)),0),"")</f>
        <v>49.09</v>
      </c>
      <c r="K36" s="11">
        <f t="shared" si="5">IF(AA36="正常",ROUND(K35+J36,6),"")</f>
        <v>21885.74</v>
      </c>
      <c r="L36" s="11">
        <f t="shared" si="6">IF(I36="已计入",ROUND(K35*C36,2),"")</f>
        <v>111024.08</v>
      </c>
      <c r="M36" s="11">
        <f t="shared" si="7">IF(I36="已计入",IF(B36="卖出",MAX(0,L36-Q35-F36),IF(B36="现金分红",MAX(0,L36+E36-Q35),0)),"")</f>
        <v>0</v>
      </c>
      <c r="N36" s="11">
        <f>IF(I36="已计入",IF(AND(B36="卖出",'持仓总览'!$C$7="本金优先"),MAX(0,E36-Q35),IF(OR(B36="卖出",B36="现金分红"),MIN(E36,M36),0)),"")</f>
        <v>0</v>
      </c>
      <c r="O36" s="11">
        <f t="shared" si="8">IF(I36="已计入",IF(OR(B36="卖出",B36="现金分红"),MIN(Q35,MAX(0,E36-N36)),0),"")</f>
        <v>0</v>
      </c>
      <c r="P36" s="11">
        <f t="shared" si="9">IF(I36="已计入",IF(AND(B36="卖出",K36=0),MAX(0,Q35-O36),0),"")</f>
        <v>0</v>
      </c>
      <c r="Q36" s="11">
        <f t="shared" si="10">IF(AA36="正常",IF(I36="已计入",ROUND(Q35+IF(OR(B36="买入",B36="定投",B36="转换转入"),E36,0)-O36-P36,2),Q35),"")</f>
        <v>108650</v>
      </c>
      <c r="R36" s="11">
        <f t="shared" si="1">IF(I36="已计入",ROUND(K36*C36,2),"")</f>
        <v>111273.67</v>
      </c>
      <c r="S36" s="11">
        <f t="shared" si="2">IF(I36="已计入",ROUND(R36-Q36,2),"")</f>
        <v>2623.67</v>
      </c>
      <c r="T36" s="12">
        <f t="shared" si="3">IF(I36="已计入",IF(Q36=0,"",S36/Q36),"")</f>
        <v>0.02414790612057064</v>
      </c>
      <c r="U36" s="11">
        <f t="shared" si="11">IF(AA36="正常",U35+IF(AND(I36="已计入",OR(B36="买入",B36="定投",B36="转换转入")),E36,0),"")</f>
        <v>108650</v>
      </c>
      <c r="V36" s="11">
        <f t="shared" si="12">IF(AA36="正常",V35+IF(AND(I36="已计入",OR(B36="卖出",B36="现金分红")),E36,0),"")</f>
        <v>0</v>
      </c>
      <c r="W36" s="11">
        <f t="shared" si="13">IF(AA36="正常",W35+IF(I36="已计入",N36,0),"")</f>
        <v>0</v>
      </c>
      <c r="X36" s="11">
        <f t="shared" si="14">IF(AA36="正常",X35+IF(I36="已计入",P36,0),"")</f>
        <v>0</v>
      </c>
      <c r="Y36" s="11">
        <f t="shared" si="4">IF(I36="已计入",ROUND(R36+V36-U36,2),"")</f>
        <v>2623.67</v>
      </c>
      <c r="Z36" s="13">
        <f t="shared" si="15">IF(AA36="正常",IF(I36="已计入",A36,Z35),"")</f>
        <v>46051</v>
      </c>
      <c r="AA36" s="10" t="str">
        <f t="shared" si="16">IF(OR(AA35="错误",AND(I36&lt;&gt;"",I36&lt;&gt;"已排除",I36&lt;&gt;"待确认",I36&lt;&gt;"已计入")),"错误","正常")</f>
        <v>正常</v>
      </c>
      <c r="AB36" s="14">
        <f t="shared" si="17">IF(AA36="正常",IF(I36="已计入",C36,AB35),"")</f>
        <v>5.0843</v>
      </c>
    </row>
    <row r="37" ht="42" customHeight="1">
      <c r="A37" s="36">
        <v>46052</v>
      </c>
      <c r="B37" s="37" t="inlineStr">
        <is>
          <t>定投</t>
        </is>
      </c>
      <c r="C37" s="38">
        <v>5.0376</v>
      </c>
      <c r="D37" s="39">
        <v>49.55</v>
      </c>
      <c r="E37" s="39">
        <v>250</v>
      </c>
      <c r="F37" s="39">
        <v>0.4</v>
      </c>
      <c r="G37" s="37" t="inlineStr">
        <is>
          <t>历史估算</t>
        </is>
      </c>
      <c r="H37" s="40" t="inlineStr">
        <is>
          <t>原下单 2026-01-30 10:36:25
净值日／份额暂估，手续费按 0.16%</t>
        </is>
      </c>
      <c r="I37" s="10" t="str">
        <f>IF(COUNTA(A37:H37)=0,"",IF(OR(OR(OR(G37="撤单",G37="交易失败",G37="交易关闭"),G37="交易失败",G37="交易关闭"),G37="交易失败",G37="交易关闭"),"已排除",IF(G37="待确认","待确认",IF(NOT(OR(G37="已确认",G37="历史估算")),"请选择确认状态",IF(NOT(ISNUMBER(A37)),"缺少有效净值日期",IF(OR(A37&lt;=0,A37&lt;&gt;INT(A37)),"净值日期无效",IF(NOT(OR(OR(B37="买入",B37="定投",B37="转换转入"),B37="卖出",B37="现金分红",B37="红利再投")),"请选择交易类型",IF(NOT(ISNUMBER(C37)),"缺少成交净值",IF(C37&lt;=0,"成交净值须大于零",IF(NOT(ISNUMBER(D37)),"缺少确认份额（分红填0）",IF(NOT(ISNUMBER(E37)),"缺少确认金额（再投填0）",IF(NOT(ISNUMBER(F37)),"缺少手续费（无费用填0）",IF(OR(D37&lt;0,E37&lt;0,F37&lt;0),"份额金额费用不能为负",IF(AA36="错误","前行待修正",IF(A37&lt;Z36,"日期需按成交顺序递增",IF(AND(B37="现金分红",OR(D37&lt;&gt;0,E37&lt;=0,F37&lt;&gt;0)),"分红填份额0、费用0、正金额",IF(AND(B37="红利再投",OR(D37&lt;=0,E37&lt;&gt;0,F37&lt;&gt;0)),"再投填正份额、金额0、费用0",IF(AND(OR(B37="现金分红",B37="红利再投"),K36&lt;=0),"分红或再投前须有持仓",IF(AND(OR(OR(B37="买入",B37="定投",B37="转换转入"),B37="卖出"),OR(D37&lt;=0,E37&lt;=0)),"买卖须填正份额、正金额",IF(AND(B37="卖出",D37&gt;K36+0.000001),"卖出份额超过持仓",IF(AND(OR(B37="买入",B37="定投",B37="转换转入"),F37&gt;=E37)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37="买入",B37="定投",B37="转换转入"),ABS(E37-F37-C37*D37)&gt;'持仓总览'!$H$6),"买入金额与份额净值不符",IF(AND(B37="卖出",ABS(E37+F37-C37*D37)&gt;'持仓总览'!$H$6),"到账加费用与赎回市值不符","已计入"))))))))))))))))))))))))))</f>
        <v>已计入</v>
      </c>
      <c r="J37" s="11">
        <f t="shared" si="0">IF(AA37="正常",IF(I37="已计入",IF(OR(OR(B37="买入",B37="定投",B37="转换转入"),B37="红利再投"),D37,IF(B37="卖出",-D37,0)),0),"")</f>
        <v>49.55</v>
      </c>
      <c r="K37" s="11">
        <f t="shared" si="5">IF(AA37="正常",ROUND(K36+J37,6),"")</f>
        <v>21935.29</v>
      </c>
      <c r="L37" s="11">
        <f t="shared" si="6">IF(I37="已计入",ROUND(K36*C37,2),"")</f>
        <v>110251.6</v>
      </c>
      <c r="M37" s="11">
        <f t="shared" si="7">IF(I37="已计入",IF(B37="卖出",MAX(0,L37-Q36-F37),IF(B37="现金分红",MAX(0,L37+E37-Q36),0)),"")</f>
        <v>0</v>
      </c>
      <c r="N37" s="11">
        <f>IF(I37="已计入",IF(AND(B37="卖出",'持仓总览'!$C$7="本金优先"),MAX(0,E37-Q36),IF(OR(B37="卖出",B37="现金分红"),MIN(E37,M37),0)),"")</f>
        <v>0</v>
      </c>
      <c r="O37" s="11">
        <f t="shared" si="8">IF(I37="已计入",IF(OR(B37="卖出",B37="现金分红"),MIN(Q36,MAX(0,E37-N37)),0),"")</f>
        <v>0</v>
      </c>
      <c r="P37" s="11">
        <f t="shared" si="9">IF(I37="已计入",IF(AND(B37="卖出",K37=0),MAX(0,Q36-O37),0),"")</f>
        <v>0</v>
      </c>
      <c r="Q37" s="11">
        <f t="shared" si="10">IF(AA37="正常",IF(I37="已计入",ROUND(Q36+IF(OR(B37="买入",B37="定投",B37="转换转入"),E37,0)-O37-P37,2),Q36),"")</f>
        <v>108900</v>
      </c>
      <c r="R37" s="11">
        <f t="shared" si="1">IF(I37="已计入",ROUND(K37*C37,2),"")</f>
        <v>110501.22</v>
      </c>
      <c r="S37" s="11">
        <f t="shared" si="2">IF(I37="已计入",ROUND(R37-Q37,2),"")</f>
        <v>1601.22</v>
      </c>
      <c r="T37" s="12">
        <f t="shared" si="3">IF(I37="已计入",IF(Q37=0,"",S37/Q37),"")</f>
        <v>0.01470358126721763</v>
      </c>
      <c r="U37" s="11">
        <f t="shared" si="11">IF(AA37="正常",U36+IF(AND(I37="已计入",OR(B37="买入",B37="定投",B37="转换转入")),E37,0),"")</f>
        <v>108900</v>
      </c>
      <c r="V37" s="11">
        <f t="shared" si="12">IF(AA37="正常",V36+IF(AND(I37="已计入",OR(B37="卖出",B37="现金分红")),E37,0),"")</f>
        <v>0</v>
      </c>
      <c r="W37" s="11">
        <f t="shared" si="13">IF(AA37="正常",W36+IF(I37="已计入",N37,0),"")</f>
        <v>0</v>
      </c>
      <c r="X37" s="11">
        <f t="shared" si="14">IF(AA37="正常",X36+IF(I37="已计入",P37,0),"")</f>
        <v>0</v>
      </c>
      <c r="Y37" s="11">
        <f t="shared" si="4">IF(I37="已计入",ROUND(R37+V37-U37,2),"")</f>
        <v>1601.22</v>
      </c>
      <c r="Z37" s="13">
        <f t="shared" si="15">IF(AA37="正常",IF(I37="已计入",A37,Z36),"")</f>
        <v>46052</v>
      </c>
      <c r="AA37" s="10" t="str">
        <f t="shared" si="16">IF(OR(AA36="错误",AND(I37&lt;&gt;"",I37&lt;&gt;"已排除",I37&lt;&gt;"待确认",I37&lt;&gt;"已计入")),"错误","正常")</f>
        <v>正常</v>
      </c>
      <c r="AB37" s="14">
        <f t="shared" si="17">IF(AA37="正常",IF(I37="已计入",C37,AB36),"")</f>
        <v>5.0376</v>
      </c>
    </row>
    <row r="38" ht="42" customHeight="1">
      <c r="A38" s="36">
        <v>46055</v>
      </c>
      <c r="B38" s="37" t="inlineStr">
        <is>
          <t>买入</t>
        </is>
      </c>
      <c r="C38" s="38">
        <v>5.0261</v>
      </c>
      <c r="D38" s="39">
        <v>993.22</v>
      </c>
      <c r="E38" s="39">
        <v>5000</v>
      </c>
      <c r="F38" s="39">
        <v>7.99</v>
      </c>
      <c r="G38" s="37" t="inlineStr">
        <is>
          <t>历史估算</t>
        </is>
      </c>
      <c r="H38" s="40" t="inlineStr">
        <is>
          <t>原下单 2026-02-02 10:31:42
净值日／份额暂估，手续费按 0.16%</t>
        </is>
      </c>
      <c r="I38" s="10" t="str">
        <f>IF(COUNTA(A38:H38)=0,"",IF(OR(OR(OR(G38="撤单",G38="交易失败",G38="交易关闭"),G38="交易失败",G38="交易关闭"),G38="交易失败",G38="交易关闭"),"已排除",IF(G38="待确认","待确认",IF(NOT(OR(G38="已确认",G38="历史估算")),"请选择确认状态",IF(NOT(ISNUMBER(A38)),"缺少有效净值日期",IF(OR(A38&lt;=0,A38&lt;&gt;INT(A38)),"净值日期无效",IF(NOT(OR(OR(B38="买入",B38="定投",B38="转换转入"),B38="卖出",B38="现金分红",B38="红利再投")),"请选择交易类型",IF(NOT(ISNUMBER(C38)),"缺少成交净值",IF(C38&lt;=0,"成交净值须大于零",IF(NOT(ISNUMBER(D38)),"缺少确认份额（分红填0）",IF(NOT(ISNUMBER(E38)),"缺少确认金额（再投填0）",IF(NOT(ISNUMBER(F38)),"缺少手续费（无费用填0）",IF(OR(D38&lt;0,E38&lt;0,F38&lt;0),"份额金额费用不能为负",IF(AA37="错误","前行待修正",IF(A38&lt;Z37,"日期需按成交顺序递增",IF(AND(B38="现金分红",OR(D38&lt;&gt;0,E38&lt;=0,F38&lt;&gt;0)),"分红填份额0、费用0、正金额",IF(AND(B38="红利再投",OR(D38&lt;=0,E38&lt;&gt;0,F38&lt;&gt;0)),"再投填正份额、金额0、费用0",IF(AND(OR(B38="现金分红",B38="红利再投"),K37&lt;=0),"分红或再投前须有持仓",IF(AND(OR(OR(B38="买入",B38="定投",B38="转换转入"),B38="卖出"),OR(D38&lt;=0,E38&lt;=0)),"买卖须填正份额、正金额",IF(AND(B38="卖出",D38&gt;K37+0.000001),"卖出份额超过持仓",IF(AND(OR(B38="买入",B38="定投",B38="转换转入"),F38&gt;=E38)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38="买入",B38="定投",B38="转换转入"),ABS(E38-F38-C38*D38)&gt;'持仓总览'!$H$6),"买入金额与份额净值不符",IF(AND(B38="卖出",ABS(E38+F38-C38*D38)&gt;'持仓总览'!$H$6),"到账加费用与赎回市值不符","已计入"))))))))))))))))))))))))))</f>
        <v>已计入</v>
      </c>
      <c r="J38" s="11">
        <f t="shared" si="0">IF(AA38="正常",IF(I38="已计入",IF(OR(OR(B38="买入",B38="定投",B38="转换转入"),B38="红利再投"),D38,IF(B38="卖出",-D38,0)),0),"")</f>
        <v>993.22</v>
      </c>
      <c r="K38" s="11">
        <f t="shared" si="5">IF(AA38="正常",ROUND(K37+J38,6),"")</f>
        <v>22928.51</v>
      </c>
      <c r="L38" s="11">
        <f t="shared" si="6">IF(I38="已计入",ROUND(K37*C38,2),"")</f>
        <v>110248.96</v>
      </c>
      <c r="M38" s="11">
        <f t="shared" si="7">IF(I38="已计入",IF(B38="卖出",MAX(0,L38-Q37-F38),IF(B38="现金分红",MAX(0,L38+E38-Q37),0)),"")</f>
        <v>0</v>
      </c>
      <c r="N38" s="11">
        <f>IF(I38="已计入",IF(AND(B38="卖出",'持仓总览'!$C$7="本金优先"),MAX(0,E38-Q37),IF(OR(B38="卖出",B38="现金分红"),MIN(E38,M38),0)),"")</f>
        <v>0</v>
      </c>
      <c r="O38" s="11">
        <f t="shared" si="8">IF(I38="已计入",IF(OR(B38="卖出",B38="现金分红"),MIN(Q37,MAX(0,E38-N38)),0),"")</f>
        <v>0</v>
      </c>
      <c r="P38" s="11">
        <f t="shared" si="9">IF(I38="已计入",IF(AND(B38="卖出",K38=0),MAX(0,Q37-O38),0),"")</f>
        <v>0</v>
      </c>
      <c r="Q38" s="11">
        <f t="shared" si="10">IF(AA38="正常",IF(I38="已计入",ROUND(Q37+IF(OR(B38="买入",B38="定投",B38="转换转入"),E38,0)-O38-P38,2),Q37),"")</f>
        <v>113900</v>
      </c>
      <c r="R38" s="11">
        <f t="shared" si="1">IF(I38="已计入",ROUND(K38*C38,2),"")</f>
        <v>115240.98</v>
      </c>
      <c r="S38" s="11">
        <f t="shared" si="2">IF(I38="已计入",ROUND(R38-Q38,2),"")</f>
        <v>1340.98</v>
      </c>
      <c r="T38" s="12">
        <f t="shared" si="3">IF(I38="已计入",IF(Q38=0,"",S38/Q38),"")</f>
        <v>0.011773309920983318</v>
      </c>
      <c r="U38" s="11">
        <f t="shared" si="11">IF(AA38="正常",U37+IF(AND(I38="已计入",OR(B38="买入",B38="定投",B38="转换转入")),E38,0),"")</f>
        <v>113900</v>
      </c>
      <c r="V38" s="11">
        <f t="shared" si="12">IF(AA38="正常",V37+IF(AND(I38="已计入",OR(B38="卖出",B38="现金分红")),E38,0),"")</f>
        <v>0</v>
      </c>
      <c r="W38" s="11">
        <f t="shared" si="13">IF(AA38="正常",W37+IF(I38="已计入",N38,0),"")</f>
        <v>0</v>
      </c>
      <c r="X38" s="11">
        <f t="shared" si="14">IF(AA38="正常",X37+IF(I38="已计入",P38,0),"")</f>
        <v>0</v>
      </c>
      <c r="Y38" s="11">
        <f t="shared" si="4">IF(I38="已计入",ROUND(R38+V38-U38,2),"")</f>
        <v>1340.98</v>
      </c>
      <c r="Z38" s="13">
        <f t="shared" si="15">IF(AA38="正常",IF(I38="已计入",A38,Z37),"")</f>
        <v>46055</v>
      </c>
      <c r="AA38" s="10" t="str">
        <f t="shared" si="16">IF(OR(AA37="错误",AND(I38&lt;&gt;"",I38&lt;&gt;"已排除",I38&lt;&gt;"待确认",I38&lt;&gt;"已计入")),"错误","正常")</f>
        <v>正常</v>
      </c>
      <c r="AB38" s="14">
        <f t="shared" si="17">IF(AA38="正常",IF(I38="已计入",C38,AB37),"")</f>
        <v>5.0261</v>
      </c>
    </row>
    <row r="39" ht="42" customHeight="1">
      <c r="A39" s="36">
        <v>46055</v>
      </c>
      <c r="B39" s="37" t="inlineStr">
        <is>
          <t>定投</t>
        </is>
      </c>
      <c r="C39" s="38">
        <v>5.0261</v>
      </c>
      <c r="D39" s="39">
        <v>49.66</v>
      </c>
      <c r="E39" s="39">
        <v>250</v>
      </c>
      <c r="F39" s="39">
        <v>0.4</v>
      </c>
      <c r="G39" s="37" t="inlineStr">
        <is>
          <t>历史估算</t>
        </is>
      </c>
      <c r="H39" s="40" t="inlineStr">
        <is>
          <t>原下单 2026-02-02 10:48:49
净值日／份额暂估，手续费按 0.16%</t>
        </is>
      </c>
      <c r="I39" s="10" t="str">
        <f>IF(COUNTA(A39:H39)=0,"",IF(OR(OR(OR(G39="撤单",G39="交易失败",G39="交易关闭"),G39="交易失败",G39="交易关闭"),G39="交易失败",G39="交易关闭"),"已排除",IF(G39="待确认","待确认",IF(NOT(OR(G39="已确认",G39="历史估算")),"请选择确认状态",IF(NOT(ISNUMBER(A39)),"缺少有效净值日期",IF(OR(A39&lt;=0,A39&lt;&gt;INT(A39)),"净值日期无效",IF(NOT(OR(OR(B39="买入",B39="定投",B39="转换转入"),B39="卖出",B39="现金分红",B39="红利再投")),"请选择交易类型",IF(NOT(ISNUMBER(C39)),"缺少成交净值",IF(C39&lt;=0,"成交净值须大于零",IF(NOT(ISNUMBER(D39)),"缺少确认份额（分红填0）",IF(NOT(ISNUMBER(E39)),"缺少确认金额（再投填0）",IF(NOT(ISNUMBER(F39)),"缺少手续费（无费用填0）",IF(OR(D39&lt;0,E39&lt;0,F39&lt;0),"份额金额费用不能为负",IF(AA38="错误","前行待修正",IF(A39&lt;Z38,"日期需按成交顺序递增",IF(AND(B39="现金分红",OR(D39&lt;&gt;0,E39&lt;=0,F39&lt;&gt;0)),"分红填份额0、费用0、正金额",IF(AND(B39="红利再投",OR(D39&lt;=0,E39&lt;&gt;0,F39&lt;&gt;0)),"再投填正份额、金额0、费用0",IF(AND(OR(B39="现金分红",B39="红利再投"),K38&lt;=0),"分红或再投前须有持仓",IF(AND(OR(OR(B39="买入",B39="定投",B39="转换转入"),B39="卖出"),OR(D39&lt;=0,E39&lt;=0)),"买卖须填正份额、正金额",IF(AND(B39="卖出",D39&gt;K38+0.000001),"卖出份额超过持仓",IF(AND(OR(B39="买入",B39="定投",B39="转换转入"),F39&gt;=E39)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39="买入",B39="定投",B39="转换转入"),ABS(E39-F39-C39*D39)&gt;'持仓总览'!$H$6),"买入金额与份额净值不符",IF(AND(B39="卖出",ABS(E39+F39-C39*D39)&gt;'持仓总览'!$H$6),"到账加费用与赎回市值不符","已计入"))))))))))))))))))))))))))</f>
        <v>已计入</v>
      </c>
      <c r="J39" s="11">
        <f t="shared" si="0">IF(AA39="正常",IF(I39="已计入",IF(OR(OR(B39="买入",B39="定投",B39="转换转入"),B39="红利再投"),D39,IF(B39="卖出",-D39,0)),0),"")</f>
        <v>49.66</v>
      </c>
      <c r="K39" s="11">
        <f t="shared" si="5">IF(AA39="正常",ROUND(K38+J39,6),"")</f>
        <v>22978.17</v>
      </c>
      <c r="L39" s="11">
        <f t="shared" si="6">IF(I39="已计入",ROUND(K38*C39,2),"")</f>
        <v>115240.98</v>
      </c>
      <c r="M39" s="11">
        <f t="shared" si="7">IF(I39="已计入",IF(B39="卖出",MAX(0,L39-Q38-F39),IF(B39="现金分红",MAX(0,L39+E39-Q38),0)),"")</f>
        <v>0</v>
      </c>
      <c r="N39" s="11">
        <f>IF(I39="已计入",IF(AND(B39="卖出",'持仓总览'!$C$7="本金优先"),MAX(0,E39-Q38),IF(OR(B39="卖出",B39="现金分红"),MIN(E39,M39),0)),"")</f>
        <v>0</v>
      </c>
      <c r="O39" s="11">
        <f t="shared" si="8">IF(I39="已计入",IF(OR(B39="卖出",B39="现金分红"),MIN(Q38,MAX(0,E39-N39)),0),"")</f>
        <v>0</v>
      </c>
      <c r="P39" s="11">
        <f t="shared" si="9">IF(I39="已计入",IF(AND(B39="卖出",K39=0),MAX(0,Q38-O39),0),"")</f>
        <v>0</v>
      </c>
      <c r="Q39" s="11">
        <f t="shared" si="10">IF(AA39="正常",IF(I39="已计入",ROUND(Q38+IF(OR(B39="买入",B39="定投",B39="转换转入"),E39,0)-O39-P39,2),Q38),"")</f>
        <v>114150</v>
      </c>
      <c r="R39" s="11">
        <f t="shared" si="1">IF(I39="已计入",ROUND(K39*C39,2),"")</f>
        <v>115490.58</v>
      </c>
      <c r="S39" s="11">
        <f t="shared" si="2">IF(I39="已计入",ROUND(R39-Q39,2),"")</f>
        <v>1340.58</v>
      </c>
      <c r="T39" s="12">
        <f t="shared" si="3">IF(I39="已计入",IF(Q39=0,"",S39/Q39),"")</f>
        <v>0.011744021024967148</v>
      </c>
      <c r="U39" s="11">
        <f t="shared" si="11">IF(AA39="正常",U38+IF(AND(I39="已计入",OR(B39="买入",B39="定投",B39="转换转入")),E39,0),"")</f>
        <v>114150</v>
      </c>
      <c r="V39" s="11">
        <f t="shared" si="12">IF(AA39="正常",V38+IF(AND(I39="已计入",OR(B39="卖出",B39="现金分红")),E39,0),"")</f>
        <v>0</v>
      </c>
      <c r="W39" s="11">
        <f t="shared" si="13">IF(AA39="正常",W38+IF(I39="已计入",N39,0),"")</f>
        <v>0</v>
      </c>
      <c r="X39" s="11">
        <f t="shared" si="14">IF(AA39="正常",X38+IF(I39="已计入",P39,0),"")</f>
        <v>0</v>
      </c>
      <c r="Y39" s="11">
        <f t="shared" si="4">IF(I39="已计入",ROUND(R39+V39-U39,2),"")</f>
        <v>1340.58</v>
      </c>
      <c r="Z39" s="13">
        <f t="shared" si="15">IF(AA39="正常",IF(I39="已计入",A39,Z38),"")</f>
        <v>46055</v>
      </c>
      <c r="AA39" s="10" t="str">
        <f t="shared" si="16">IF(OR(AA38="错误",AND(I39&lt;&gt;"",I39&lt;&gt;"已排除",I39&lt;&gt;"待确认",I39&lt;&gt;"已计入")),"错误","正常")</f>
        <v>正常</v>
      </c>
      <c r="AB39" s="14">
        <f t="shared" si="17">IF(AA39="正常",IF(I39="已计入",C39,AB38),"")</f>
        <v>5.0261</v>
      </c>
    </row>
    <row r="40" ht="42" customHeight="1">
      <c r="A40" s="36">
        <v>46056</v>
      </c>
      <c r="B40" s="37" t="inlineStr">
        <is>
          <t>定投</t>
        </is>
      </c>
      <c r="C40" s="38">
        <v>5.0188</v>
      </c>
      <c r="D40" s="39">
        <v>59.68</v>
      </c>
      <c r="E40" s="39">
        <v>300</v>
      </c>
      <c r="F40" s="39">
        <v>0.48</v>
      </c>
      <c r="G40" s="37" t="inlineStr">
        <is>
          <t>历史估算</t>
        </is>
      </c>
      <c r="H40" s="40" t="inlineStr">
        <is>
          <t>原下单 2026-02-03 11:03:56
净值日／份额暂估，手续费按 0.16%</t>
        </is>
      </c>
      <c r="I40" s="10" t="str">
        <f>IF(COUNTA(A40:H40)=0,"",IF(OR(OR(OR(G40="撤单",G40="交易失败",G40="交易关闭"),G40="交易失败",G40="交易关闭"),G40="交易失败",G40="交易关闭"),"已排除",IF(G40="待确认","待确认",IF(NOT(OR(G40="已确认",G40="历史估算")),"请选择确认状态",IF(NOT(ISNUMBER(A40)),"缺少有效净值日期",IF(OR(A40&lt;=0,A40&lt;&gt;INT(A40)),"净值日期无效",IF(NOT(OR(OR(B40="买入",B40="定投",B40="转换转入"),B40="卖出",B40="现金分红",B40="红利再投")),"请选择交易类型",IF(NOT(ISNUMBER(C40)),"缺少成交净值",IF(C40&lt;=0,"成交净值须大于零",IF(NOT(ISNUMBER(D40)),"缺少确认份额（分红填0）",IF(NOT(ISNUMBER(E40)),"缺少确认金额（再投填0）",IF(NOT(ISNUMBER(F40)),"缺少手续费（无费用填0）",IF(OR(D40&lt;0,E40&lt;0,F40&lt;0),"份额金额费用不能为负",IF(AA39="错误","前行待修正",IF(A40&lt;Z39,"日期需按成交顺序递增",IF(AND(B40="现金分红",OR(D40&lt;&gt;0,E40&lt;=0,F40&lt;&gt;0)),"分红填份额0、费用0、正金额",IF(AND(B40="红利再投",OR(D40&lt;=0,E40&lt;&gt;0,F40&lt;&gt;0)),"再投填正份额、金额0、费用0",IF(AND(OR(B40="现金分红",B40="红利再投"),K39&lt;=0),"分红或再投前须有持仓",IF(AND(OR(OR(B40="买入",B40="定投",B40="转换转入"),B40="卖出"),OR(D40&lt;=0,E40&lt;=0)),"买卖须填正份额、正金额",IF(AND(B40="卖出",D40&gt;K39+0.000001),"卖出份额超过持仓",IF(AND(OR(B40="买入",B40="定投",B40="转换转入"),F40&gt;=E40)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40="买入",B40="定投",B40="转换转入"),ABS(E40-F40-C40*D40)&gt;'持仓总览'!$H$6),"买入金额与份额净值不符",IF(AND(B40="卖出",ABS(E40+F40-C40*D40)&gt;'持仓总览'!$H$6),"到账加费用与赎回市值不符","已计入"))))))))))))))))))))))))))</f>
        <v>已计入</v>
      </c>
      <c r="J40" s="11">
        <f t="shared" si="0">IF(AA40="正常",IF(I40="已计入",IF(OR(OR(B40="买入",B40="定投",B40="转换转入"),B40="红利再投"),D40,IF(B40="卖出",-D40,0)),0),"")</f>
        <v>59.68</v>
      </c>
      <c r="K40" s="11">
        <f t="shared" si="5">IF(AA40="正常",ROUND(K39+J40,6),"")</f>
        <v>23037.85</v>
      </c>
      <c r="L40" s="11">
        <f t="shared" si="6">IF(I40="已计入",ROUND(K39*C40,2),"")</f>
        <v>115322.84</v>
      </c>
      <c r="M40" s="11">
        <f t="shared" si="7">IF(I40="已计入",IF(B40="卖出",MAX(0,L40-Q39-F40),IF(B40="现金分红",MAX(0,L40+E40-Q39),0)),"")</f>
        <v>0</v>
      </c>
      <c r="N40" s="11">
        <f>IF(I40="已计入",IF(AND(B40="卖出",'持仓总览'!$C$7="本金优先"),MAX(0,E40-Q39),IF(OR(B40="卖出",B40="现金分红"),MIN(E40,M40),0)),"")</f>
        <v>0</v>
      </c>
      <c r="O40" s="11">
        <f t="shared" si="8">IF(I40="已计入",IF(OR(B40="卖出",B40="现金分红"),MIN(Q39,MAX(0,E40-N40)),0),"")</f>
        <v>0</v>
      </c>
      <c r="P40" s="11">
        <f t="shared" si="9">IF(I40="已计入",IF(AND(B40="卖出",K40=0),MAX(0,Q39-O40),0),"")</f>
        <v>0</v>
      </c>
      <c r="Q40" s="11">
        <f t="shared" si="10">IF(AA40="正常",IF(I40="已计入",ROUND(Q39+IF(OR(B40="买入",B40="定投",B40="转换转入"),E40,0)-O40-P40,2),Q39),"")</f>
        <v>114450</v>
      </c>
      <c r="R40" s="11">
        <f t="shared" si="1">IF(I40="已计入",ROUND(K40*C40,2),"")</f>
        <v>115622.36</v>
      </c>
      <c r="S40" s="11">
        <f t="shared" si="2">IF(I40="已计入",ROUND(R40-Q40,2),"")</f>
        <v>1172.36</v>
      </c>
      <c r="T40" s="12">
        <f t="shared" si="3">IF(I40="已计入",IF(Q40=0,"",S40/Q40),"")</f>
        <v>0.010243425076452598</v>
      </c>
      <c r="U40" s="11">
        <f t="shared" si="11">IF(AA40="正常",U39+IF(AND(I40="已计入",OR(B40="买入",B40="定投",B40="转换转入")),E40,0),"")</f>
        <v>114450</v>
      </c>
      <c r="V40" s="11">
        <f t="shared" si="12">IF(AA40="正常",V39+IF(AND(I40="已计入",OR(B40="卖出",B40="现金分红")),E40,0),"")</f>
        <v>0</v>
      </c>
      <c r="W40" s="11">
        <f t="shared" si="13">IF(AA40="正常",W39+IF(I40="已计入",N40,0),"")</f>
        <v>0</v>
      </c>
      <c r="X40" s="11">
        <f t="shared" si="14">IF(AA40="正常",X39+IF(I40="已计入",P40,0),"")</f>
        <v>0</v>
      </c>
      <c r="Y40" s="11">
        <f t="shared" si="4">IF(I40="已计入",ROUND(R40+V40-U40,2),"")</f>
        <v>1172.36</v>
      </c>
      <c r="Z40" s="13">
        <f t="shared" si="15">IF(AA40="正常",IF(I40="已计入",A40,Z39),"")</f>
        <v>46056</v>
      </c>
      <c r="AA40" s="10" t="str">
        <f t="shared" si="16">IF(OR(AA39="错误",AND(I40&lt;&gt;"",I40&lt;&gt;"已排除",I40&lt;&gt;"待确认",I40&lt;&gt;"已计入")),"错误","正常")</f>
        <v>正常</v>
      </c>
      <c r="AB40" s="14">
        <f t="shared" si="17">IF(AA40="正常",IF(I40="已计入",C40,AB39),"")</f>
        <v>5.0188</v>
      </c>
    </row>
    <row r="41" ht="42" customHeight="1">
      <c r="A41" s="36">
        <v>46057</v>
      </c>
      <c r="B41" s="37" t="inlineStr">
        <is>
          <t>买入</t>
        </is>
      </c>
      <c r="C41" s="38">
        <v>4.8743</v>
      </c>
      <c r="D41" s="39">
        <v>61.45</v>
      </c>
      <c r="E41" s="39">
        <v>300</v>
      </c>
      <c r="F41" s="39">
        <v>0.48</v>
      </c>
      <c r="G41" s="37" t="inlineStr">
        <is>
          <t>历史估算</t>
        </is>
      </c>
      <c r="H41" s="40" t="inlineStr">
        <is>
          <t>原下单 2026-02-04 07:53:20
净值日／份额暂估，手续费按 0.16%</t>
        </is>
      </c>
      <c r="I41" s="10" t="str">
        <f>IF(COUNTA(A41:H41)=0,"",IF(OR(OR(OR(G41="撤单",G41="交易失败",G41="交易关闭"),G41="交易失败",G41="交易关闭"),G41="交易失败",G41="交易关闭"),"已排除",IF(G41="待确认","待确认",IF(NOT(OR(G41="已确认",G41="历史估算")),"请选择确认状态",IF(NOT(ISNUMBER(A41)),"缺少有效净值日期",IF(OR(A41&lt;=0,A41&lt;&gt;INT(A41)),"净值日期无效",IF(NOT(OR(OR(B41="买入",B41="定投",B41="转换转入"),B41="卖出",B41="现金分红",B41="红利再投")),"请选择交易类型",IF(NOT(ISNUMBER(C41)),"缺少成交净值",IF(C41&lt;=0,"成交净值须大于零",IF(NOT(ISNUMBER(D41)),"缺少确认份额（分红填0）",IF(NOT(ISNUMBER(E41)),"缺少确认金额（再投填0）",IF(NOT(ISNUMBER(F41)),"缺少手续费（无费用填0）",IF(OR(D41&lt;0,E41&lt;0,F41&lt;0),"份额金额费用不能为负",IF(AA40="错误","前行待修正",IF(A41&lt;Z40,"日期需按成交顺序递增",IF(AND(B41="现金分红",OR(D41&lt;&gt;0,E41&lt;=0,F41&lt;&gt;0)),"分红填份额0、费用0、正金额",IF(AND(B41="红利再投",OR(D41&lt;=0,E41&lt;&gt;0,F41&lt;&gt;0)),"再投填正份额、金额0、费用0",IF(AND(OR(B41="现金分红",B41="红利再投"),K40&lt;=0),"分红或再投前须有持仓",IF(AND(OR(OR(B41="买入",B41="定投",B41="转换转入"),B41="卖出"),OR(D41&lt;=0,E41&lt;=0)),"买卖须填正份额、正金额",IF(AND(B41="卖出",D41&gt;K40+0.000001),"卖出份额超过持仓",IF(AND(OR(B41="买入",B41="定投",B41="转换转入"),F41&gt;=E41)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41="买入",B41="定投",B41="转换转入"),ABS(E41-F41-C41*D41)&gt;'持仓总览'!$H$6),"买入金额与份额净值不符",IF(AND(B41="卖出",ABS(E41+F41-C41*D41)&gt;'持仓总览'!$H$6),"到账加费用与赎回市值不符","已计入"))))))))))))))))))))))))))</f>
        <v>已计入</v>
      </c>
      <c r="J41" s="11">
        <f t="shared" si="0">IF(AA41="正常",IF(I41="已计入",IF(OR(OR(B41="买入",B41="定投",B41="转换转入"),B41="红利再投"),D41,IF(B41="卖出",-D41,0)),0),"")</f>
        <v>61.45</v>
      </c>
      <c r="K41" s="11">
        <f t="shared" si="5">IF(AA41="正常",ROUND(K40+J41,6),"")</f>
        <v>23099.3</v>
      </c>
      <c r="L41" s="11">
        <f t="shared" si="6">IF(I41="已计入",ROUND(K40*C41,2),"")</f>
        <v>112293.39</v>
      </c>
      <c r="M41" s="11">
        <f t="shared" si="7">IF(I41="已计入",IF(B41="卖出",MAX(0,L41-Q40-F41),IF(B41="现金分红",MAX(0,L41+E41-Q40),0)),"")</f>
        <v>0</v>
      </c>
      <c r="N41" s="11">
        <f>IF(I41="已计入",IF(AND(B41="卖出",'持仓总览'!$C$7="本金优先"),MAX(0,E41-Q40),IF(OR(B41="卖出",B41="现金分红"),MIN(E41,M41),0)),"")</f>
        <v>0</v>
      </c>
      <c r="O41" s="11">
        <f t="shared" si="8">IF(I41="已计入",IF(OR(B41="卖出",B41="现金分红"),MIN(Q40,MAX(0,E41-N41)),0),"")</f>
        <v>0</v>
      </c>
      <c r="P41" s="11">
        <f t="shared" si="9">IF(I41="已计入",IF(AND(B41="卖出",K41=0),MAX(0,Q40-O41),0),"")</f>
        <v>0</v>
      </c>
      <c r="Q41" s="11">
        <f t="shared" si="10">IF(AA41="正常",IF(I41="已计入",ROUND(Q40+IF(OR(B41="买入",B41="定投",B41="转换转入"),E41,0)-O41-P41,2),Q40),"")</f>
        <v>114750</v>
      </c>
      <c r="R41" s="11">
        <f t="shared" si="1">IF(I41="已计入",ROUND(K41*C41,2),"")</f>
        <v>112592.92</v>
      </c>
      <c r="S41" s="11">
        <f t="shared" si="2">IF(I41="已计入",ROUND(R41-Q41,2),"")</f>
        <v>-2157.08</v>
      </c>
      <c r="T41" s="12">
        <f t="shared" si="3">IF(I41="已计入",IF(Q41=0,"",S41/Q41),"")</f>
        <v>-0.018798082788671025</v>
      </c>
      <c r="U41" s="11">
        <f t="shared" si="11">IF(AA41="正常",U40+IF(AND(I41="已计入",OR(B41="买入",B41="定投",B41="转换转入")),E41,0),"")</f>
        <v>114750</v>
      </c>
      <c r="V41" s="11">
        <f t="shared" si="12">IF(AA41="正常",V40+IF(AND(I41="已计入",OR(B41="卖出",B41="现金分红")),E41,0),"")</f>
        <v>0</v>
      </c>
      <c r="W41" s="11">
        <f t="shared" si="13">IF(AA41="正常",W40+IF(I41="已计入",N41,0),"")</f>
        <v>0</v>
      </c>
      <c r="X41" s="11">
        <f t="shared" si="14">IF(AA41="正常",X40+IF(I41="已计入",P41,0),"")</f>
        <v>0</v>
      </c>
      <c r="Y41" s="11">
        <f t="shared" si="4">IF(I41="已计入",ROUND(R41+V41-U41,2),"")</f>
        <v>-2157.08</v>
      </c>
      <c r="Z41" s="13">
        <f t="shared" si="15">IF(AA41="正常",IF(I41="已计入",A41,Z40),"")</f>
        <v>46057</v>
      </c>
      <c r="AA41" s="10" t="str">
        <f t="shared" si="16">IF(OR(AA40="错误",AND(I41&lt;&gt;"",I41&lt;&gt;"已排除",I41&lt;&gt;"待确认",I41&lt;&gt;"已计入")),"错误","正常")</f>
        <v>正常</v>
      </c>
      <c r="AB41" s="14">
        <f t="shared" si="17">IF(AA41="正常",IF(I41="已计入",C41,AB40),"")</f>
        <v>4.8743</v>
      </c>
    </row>
    <row r="42" ht="42" customHeight="1">
      <c r="A42" s="36">
        <v>46058</v>
      </c>
      <c r="B42" s="37" t="inlineStr">
        <is>
          <t>定投</t>
        </is>
      </c>
      <c r="C42" s="38">
        <v>4.8188</v>
      </c>
      <c r="D42" s="39">
        <v>41.44</v>
      </c>
      <c r="E42" s="39">
        <v>200</v>
      </c>
      <c r="F42" s="39">
        <v>0.32</v>
      </c>
      <c r="G42" s="37" t="inlineStr">
        <is>
          <t>历史估算</t>
        </is>
      </c>
      <c r="H42" s="40" t="inlineStr">
        <is>
          <t>原下单 2026-02-05 11:05:27
净值日／份额暂估，手续费按 0.16%</t>
        </is>
      </c>
      <c r="I42" s="10" t="str">
        <f>IF(COUNTA(A42:H42)=0,"",IF(OR(OR(OR(G42="撤单",G42="交易失败",G42="交易关闭"),G42="交易失败",G42="交易关闭"),G42="交易失败",G42="交易关闭"),"已排除",IF(G42="待确认","待确认",IF(NOT(OR(G42="已确认",G42="历史估算")),"请选择确认状态",IF(NOT(ISNUMBER(A42)),"缺少有效净值日期",IF(OR(A42&lt;=0,A42&lt;&gt;INT(A42)),"净值日期无效",IF(NOT(OR(OR(B42="买入",B42="定投",B42="转换转入"),B42="卖出",B42="现金分红",B42="红利再投")),"请选择交易类型",IF(NOT(ISNUMBER(C42)),"缺少成交净值",IF(C42&lt;=0,"成交净值须大于零",IF(NOT(ISNUMBER(D42)),"缺少确认份额（分红填0）",IF(NOT(ISNUMBER(E42)),"缺少确认金额（再投填0）",IF(NOT(ISNUMBER(F42)),"缺少手续费（无费用填0）",IF(OR(D42&lt;0,E42&lt;0,F42&lt;0),"份额金额费用不能为负",IF(AA41="错误","前行待修正",IF(A42&lt;Z41,"日期需按成交顺序递增",IF(AND(B42="现金分红",OR(D42&lt;&gt;0,E42&lt;=0,F42&lt;&gt;0)),"分红填份额0、费用0、正金额",IF(AND(B42="红利再投",OR(D42&lt;=0,E42&lt;&gt;0,F42&lt;&gt;0)),"再投填正份额、金额0、费用0",IF(AND(OR(B42="现金分红",B42="红利再投"),K41&lt;=0),"分红或再投前须有持仓",IF(AND(OR(OR(B42="买入",B42="定投",B42="转换转入"),B42="卖出"),OR(D42&lt;=0,E42&lt;=0)),"买卖须填正份额、正金额",IF(AND(B42="卖出",D42&gt;K41+0.000001),"卖出份额超过持仓",IF(AND(OR(B42="买入",B42="定投",B42="转换转入"),F42&gt;=E42)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42="买入",B42="定投",B42="转换转入"),ABS(E42-F42-C42*D42)&gt;'持仓总览'!$H$6),"买入金额与份额净值不符",IF(AND(B42="卖出",ABS(E42+F42-C42*D42)&gt;'持仓总览'!$H$6),"到账加费用与赎回市值不符","已计入"))))))))))))))))))))))))))</f>
        <v>已计入</v>
      </c>
      <c r="J42" s="11">
        <f t="shared" si="0">IF(AA42="正常",IF(I42="已计入",IF(OR(OR(B42="买入",B42="定投",B42="转换转入"),B42="红利再投"),D42,IF(B42="卖出",-D42,0)),0),"")</f>
        <v>41.44</v>
      </c>
      <c r="K42" s="11">
        <f t="shared" si="5">IF(AA42="正常",ROUND(K41+J42,6),"")</f>
        <v>23140.74</v>
      </c>
      <c r="L42" s="11">
        <f t="shared" si="6">IF(I42="已计入",ROUND(K41*C42,2),"")</f>
        <v>111310.91</v>
      </c>
      <c r="M42" s="11">
        <f t="shared" si="7">IF(I42="已计入",IF(B42="卖出",MAX(0,L42-Q41-F42),IF(B42="现金分红",MAX(0,L42+E42-Q41),0)),"")</f>
        <v>0</v>
      </c>
      <c r="N42" s="11">
        <f>IF(I42="已计入",IF(AND(B42="卖出",'持仓总览'!$C$7="本金优先"),MAX(0,E42-Q41),IF(OR(B42="卖出",B42="现金分红"),MIN(E42,M42),0)),"")</f>
        <v>0</v>
      </c>
      <c r="O42" s="11">
        <f t="shared" si="8">IF(I42="已计入",IF(OR(B42="卖出",B42="现金分红"),MIN(Q41,MAX(0,E42-N42)),0),"")</f>
        <v>0</v>
      </c>
      <c r="P42" s="11">
        <f t="shared" si="9">IF(I42="已计入",IF(AND(B42="卖出",K42=0),MAX(0,Q41-O42),0),"")</f>
        <v>0</v>
      </c>
      <c r="Q42" s="11">
        <f t="shared" si="10">IF(AA42="正常",IF(I42="已计入",ROUND(Q41+IF(OR(B42="买入",B42="定投",B42="转换转入"),E42,0)-O42-P42,2),Q41),"")</f>
        <v>114950</v>
      </c>
      <c r="R42" s="11">
        <f t="shared" si="1">IF(I42="已计入",ROUND(K42*C42,2),"")</f>
        <v>111510.6</v>
      </c>
      <c r="S42" s="11">
        <f t="shared" si="2">IF(I42="已计入",ROUND(R42-Q42,2),"")</f>
        <v>-3439.4</v>
      </c>
      <c r="T42" s="12">
        <f t="shared" si="3">IF(I42="已计入",IF(Q42=0,"",S42/Q42),"")</f>
        <v>-0.02992083514571553</v>
      </c>
      <c r="U42" s="11">
        <f t="shared" si="11">IF(AA42="正常",U41+IF(AND(I42="已计入",OR(B42="买入",B42="定投",B42="转换转入")),E42,0),"")</f>
        <v>114950</v>
      </c>
      <c r="V42" s="11">
        <f t="shared" si="12">IF(AA42="正常",V41+IF(AND(I42="已计入",OR(B42="卖出",B42="现金分红")),E42,0),"")</f>
        <v>0</v>
      </c>
      <c r="W42" s="11">
        <f t="shared" si="13">IF(AA42="正常",W41+IF(I42="已计入",N42,0),"")</f>
        <v>0</v>
      </c>
      <c r="X42" s="11">
        <f t="shared" si="14">IF(AA42="正常",X41+IF(I42="已计入",P42,0),"")</f>
        <v>0</v>
      </c>
      <c r="Y42" s="11">
        <f t="shared" si="4">IF(I42="已计入",ROUND(R42+V42-U42,2),"")</f>
        <v>-3439.4</v>
      </c>
      <c r="Z42" s="13">
        <f t="shared" si="15">IF(AA42="正常",IF(I42="已计入",A42,Z41),"")</f>
        <v>46058</v>
      </c>
      <c r="AA42" s="10" t="str">
        <f t="shared" si="16">IF(OR(AA41="错误",AND(I42&lt;&gt;"",I42&lt;&gt;"已排除",I42&lt;&gt;"待确认",I42&lt;&gt;"已计入")),"错误","正常")</f>
        <v>正常</v>
      </c>
      <c r="AB42" s="14">
        <f t="shared" si="17">IF(AA42="正常",IF(I42="已计入",C42,AB41),"")</f>
        <v>4.8188</v>
      </c>
    </row>
    <row r="43" ht="42" customHeight="1">
      <c r="A43" s="36">
        <v>46059</v>
      </c>
      <c r="B43" s="37" t="inlineStr">
        <is>
          <t>定投</t>
        </is>
      </c>
      <c r="C43" s="38">
        <v>4.9177</v>
      </c>
      <c r="D43" s="39">
        <v>40.6</v>
      </c>
      <c r="E43" s="39">
        <v>200</v>
      </c>
      <c r="F43" s="39">
        <v>0.32</v>
      </c>
      <c r="G43" s="37" t="inlineStr">
        <is>
          <t>历史估算</t>
        </is>
      </c>
      <c r="H43" s="40" t="inlineStr">
        <is>
          <t>原下单 2026-02-06 10:58:11
净值日／份额暂估，手续费按 0.16%</t>
        </is>
      </c>
      <c r="I43" s="10" t="str">
        <f>IF(COUNTA(A43:H43)=0,"",IF(OR(OR(OR(G43="撤单",G43="交易失败",G43="交易关闭"),G43="交易失败",G43="交易关闭"),G43="交易失败",G43="交易关闭"),"已排除",IF(G43="待确认","待确认",IF(NOT(OR(G43="已确认",G43="历史估算")),"请选择确认状态",IF(NOT(ISNUMBER(A43)),"缺少有效净值日期",IF(OR(A43&lt;=0,A43&lt;&gt;INT(A43)),"净值日期无效",IF(NOT(OR(OR(B43="买入",B43="定投",B43="转换转入"),B43="卖出",B43="现金分红",B43="红利再投")),"请选择交易类型",IF(NOT(ISNUMBER(C43)),"缺少成交净值",IF(C43&lt;=0,"成交净值须大于零",IF(NOT(ISNUMBER(D43)),"缺少确认份额（分红填0）",IF(NOT(ISNUMBER(E43)),"缺少确认金额（再投填0）",IF(NOT(ISNUMBER(F43)),"缺少手续费（无费用填0）",IF(OR(D43&lt;0,E43&lt;0,F43&lt;0),"份额金额费用不能为负",IF(AA42="错误","前行待修正",IF(A43&lt;Z42,"日期需按成交顺序递增",IF(AND(B43="现金分红",OR(D43&lt;&gt;0,E43&lt;=0,F43&lt;&gt;0)),"分红填份额0、费用0、正金额",IF(AND(B43="红利再投",OR(D43&lt;=0,E43&lt;&gt;0,F43&lt;&gt;0)),"再投填正份额、金额0、费用0",IF(AND(OR(B43="现金分红",B43="红利再投"),K42&lt;=0),"分红或再投前须有持仓",IF(AND(OR(OR(B43="买入",B43="定投",B43="转换转入"),B43="卖出"),OR(D43&lt;=0,E43&lt;=0)),"买卖须填正份额、正金额",IF(AND(B43="卖出",D43&gt;K42+0.000001),"卖出份额超过持仓",IF(AND(OR(B43="买入",B43="定投",B43="转换转入"),F43&gt;=E43)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43="买入",B43="定投",B43="转换转入"),ABS(E43-F43-C43*D43)&gt;'持仓总览'!$H$6),"买入金额与份额净值不符",IF(AND(B43="卖出",ABS(E43+F43-C43*D43)&gt;'持仓总览'!$H$6),"到账加费用与赎回市值不符","已计入"))))))))))))))))))))))))))</f>
        <v>已计入</v>
      </c>
      <c r="J43" s="11">
        <f t="shared" si="0">IF(AA43="正常",IF(I43="已计入",IF(OR(OR(B43="买入",B43="定投",B43="转换转入"),B43="红利再投"),D43,IF(B43="卖出",-D43,0)),0),"")</f>
        <v>40.6</v>
      </c>
      <c r="K43" s="11">
        <f t="shared" si="5">IF(AA43="正常",ROUND(K42+J43,6),"")</f>
        <v>23181.34</v>
      </c>
      <c r="L43" s="11">
        <f t="shared" si="6">IF(I43="已计入",ROUND(K42*C43,2),"")</f>
        <v>113799.22</v>
      </c>
      <c r="M43" s="11">
        <f t="shared" si="7">IF(I43="已计入",IF(B43="卖出",MAX(0,L43-Q42-F43),IF(B43="现金分红",MAX(0,L43+E43-Q42),0)),"")</f>
        <v>0</v>
      </c>
      <c r="N43" s="11">
        <f>IF(I43="已计入",IF(AND(B43="卖出",'持仓总览'!$C$7="本金优先"),MAX(0,E43-Q42),IF(OR(B43="卖出",B43="现金分红"),MIN(E43,M43),0)),"")</f>
        <v>0</v>
      </c>
      <c r="O43" s="11">
        <f t="shared" si="8">IF(I43="已计入",IF(OR(B43="卖出",B43="现金分红"),MIN(Q42,MAX(0,E43-N43)),0),"")</f>
        <v>0</v>
      </c>
      <c r="P43" s="11">
        <f t="shared" si="9">IF(I43="已计入",IF(AND(B43="卖出",K43=0),MAX(0,Q42-O43),0),"")</f>
        <v>0</v>
      </c>
      <c r="Q43" s="11">
        <f t="shared" si="10">IF(AA43="正常",IF(I43="已计入",ROUND(Q42+IF(OR(B43="买入",B43="定投",B43="转换转入"),E43,0)-O43-P43,2),Q42),"")</f>
        <v>115150</v>
      </c>
      <c r="R43" s="11">
        <f t="shared" si="1">IF(I43="已计入",ROUND(K43*C43,2),"")</f>
        <v>113998.88</v>
      </c>
      <c r="S43" s="11">
        <f t="shared" si="2">IF(I43="已计入",ROUND(R43-Q43,2),"")</f>
        <v>-1151.12</v>
      </c>
      <c r="T43" s="12">
        <f t="shared" si="3">IF(I43="已计入",IF(Q43=0,"",S43/Q43),"")</f>
        <v>-0.009996699956578375</v>
      </c>
      <c r="U43" s="11">
        <f t="shared" si="11">IF(AA43="正常",U42+IF(AND(I43="已计入",OR(B43="买入",B43="定投",B43="转换转入")),E43,0),"")</f>
        <v>115150</v>
      </c>
      <c r="V43" s="11">
        <f t="shared" si="12">IF(AA43="正常",V42+IF(AND(I43="已计入",OR(B43="卖出",B43="现金分红")),E43,0),"")</f>
        <v>0</v>
      </c>
      <c r="W43" s="11">
        <f t="shared" si="13">IF(AA43="正常",W42+IF(I43="已计入",N43,0),"")</f>
        <v>0</v>
      </c>
      <c r="X43" s="11">
        <f t="shared" si="14">IF(AA43="正常",X42+IF(I43="已计入",P43,0),"")</f>
        <v>0</v>
      </c>
      <c r="Y43" s="11">
        <f t="shared" si="4">IF(I43="已计入",ROUND(R43+V43-U43,2),"")</f>
        <v>-1151.12</v>
      </c>
      <c r="Z43" s="13">
        <f t="shared" si="15">IF(AA43="正常",IF(I43="已计入",A43,Z42),"")</f>
        <v>46059</v>
      </c>
      <c r="AA43" s="10" t="str">
        <f t="shared" si="16">IF(OR(AA42="错误",AND(I43&lt;&gt;"",I43&lt;&gt;"已排除",I43&lt;&gt;"待确认",I43&lt;&gt;"已计入")),"错误","正常")</f>
        <v>正常</v>
      </c>
      <c r="AB43" s="14">
        <f t="shared" si="17">IF(AA43="正常",IF(I43="已计入",C43,AB42),"")</f>
        <v>4.9177</v>
      </c>
    </row>
    <row r="44" ht="42" customHeight="1">
      <c r="A44" s="36">
        <v>46059</v>
      </c>
      <c r="B44" s="37" t="inlineStr">
        <is>
          <t>买入</t>
        </is>
      </c>
      <c r="C44" s="38">
        <v>4.9177</v>
      </c>
      <c r="D44" s="39">
        <v>203.02</v>
      </c>
      <c r="E44" s="39">
        <v>1000</v>
      </c>
      <c r="F44" s="39">
        <v>1.6</v>
      </c>
      <c r="G44" s="37" t="inlineStr">
        <is>
          <t>历史估算</t>
        </is>
      </c>
      <c r="H44" s="40" t="inlineStr">
        <is>
          <t>原下单 2026-02-06 13:10:13
净值日／份额暂估，手续费按 0.16%</t>
        </is>
      </c>
      <c r="I44" s="10" t="str">
        <f>IF(COUNTA(A44:H44)=0,"",IF(OR(OR(OR(G44="撤单",G44="交易失败",G44="交易关闭"),G44="交易失败",G44="交易关闭"),G44="交易失败",G44="交易关闭"),"已排除",IF(G44="待确认","待确认",IF(NOT(OR(G44="已确认",G44="历史估算")),"请选择确认状态",IF(NOT(ISNUMBER(A44)),"缺少有效净值日期",IF(OR(A44&lt;=0,A44&lt;&gt;INT(A44)),"净值日期无效",IF(NOT(OR(OR(B44="买入",B44="定投",B44="转换转入"),B44="卖出",B44="现金分红",B44="红利再投")),"请选择交易类型",IF(NOT(ISNUMBER(C44)),"缺少成交净值",IF(C44&lt;=0,"成交净值须大于零",IF(NOT(ISNUMBER(D44)),"缺少确认份额（分红填0）",IF(NOT(ISNUMBER(E44)),"缺少确认金额（再投填0）",IF(NOT(ISNUMBER(F44)),"缺少手续费（无费用填0）",IF(OR(D44&lt;0,E44&lt;0,F44&lt;0),"份额金额费用不能为负",IF(AA43="错误","前行待修正",IF(A44&lt;Z43,"日期需按成交顺序递增",IF(AND(B44="现金分红",OR(D44&lt;&gt;0,E44&lt;=0,F44&lt;&gt;0)),"分红填份额0、费用0、正金额",IF(AND(B44="红利再投",OR(D44&lt;=0,E44&lt;&gt;0,F44&lt;&gt;0)),"再投填正份额、金额0、费用0",IF(AND(OR(B44="现金分红",B44="红利再投"),K43&lt;=0),"分红或再投前须有持仓",IF(AND(OR(OR(B44="买入",B44="定投",B44="转换转入"),B44="卖出"),OR(D44&lt;=0,E44&lt;=0)),"买卖须填正份额、正金额",IF(AND(B44="卖出",D44&gt;K43+0.000001),"卖出份额超过持仓",IF(AND(OR(B44="买入",B44="定投",B44="转换转入"),F44&gt;=E44)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44="买入",B44="定投",B44="转换转入"),ABS(E44-F44-C44*D44)&gt;'持仓总览'!$H$6),"买入金额与份额净值不符",IF(AND(B44="卖出",ABS(E44+F44-C44*D44)&gt;'持仓总览'!$H$6),"到账加费用与赎回市值不符","已计入"))))))))))))))))))))))))))</f>
        <v>已计入</v>
      </c>
      <c r="J44" s="11">
        <f t="shared" si="0">IF(AA44="正常",IF(I44="已计入",IF(OR(OR(B44="买入",B44="定投",B44="转换转入"),B44="红利再投"),D44,IF(B44="卖出",-D44,0)),0),"")</f>
        <v>203.02</v>
      </c>
      <c r="K44" s="11">
        <f t="shared" si="5">IF(AA44="正常",ROUND(K43+J44,6),"")</f>
        <v>23384.36</v>
      </c>
      <c r="L44" s="11">
        <f t="shared" si="6">IF(I44="已计入",ROUND(K43*C44,2),"")</f>
        <v>113998.88</v>
      </c>
      <c r="M44" s="11">
        <f t="shared" si="7">IF(I44="已计入",IF(B44="卖出",MAX(0,L44-Q43-F44),IF(B44="现金分红",MAX(0,L44+E44-Q43),0)),"")</f>
        <v>0</v>
      </c>
      <c r="N44" s="11">
        <f>IF(I44="已计入",IF(AND(B44="卖出",'持仓总览'!$C$7="本金优先"),MAX(0,E44-Q43),IF(OR(B44="卖出",B44="现金分红"),MIN(E44,M44),0)),"")</f>
        <v>0</v>
      </c>
      <c r="O44" s="11">
        <f t="shared" si="8">IF(I44="已计入",IF(OR(B44="卖出",B44="现金分红"),MIN(Q43,MAX(0,E44-N44)),0),"")</f>
        <v>0</v>
      </c>
      <c r="P44" s="11">
        <f t="shared" si="9">IF(I44="已计入",IF(AND(B44="卖出",K44=0),MAX(0,Q43-O44),0),"")</f>
        <v>0</v>
      </c>
      <c r="Q44" s="11">
        <f t="shared" si="10">IF(AA44="正常",IF(I44="已计入",ROUND(Q43+IF(OR(B44="买入",B44="定投",B44="转换转入"),E44,0)-O44-P44,2),Q43),"")</f>
        <v>116150</v>
      </c>
      <c r="R44" s="11">
        <f t="shared" si="1">IF(I44="已计入",ROUND(K44*C44,2),"")</f>
        <v>114997.27</v>
      </c>
      <c r="S44" s="11">
        <f t="shared" si="2">IF(I44="已计入",ROUND(R44-Q44,2),"")</f>
        <v>-1152.73</v>
      </c>
      <c r="T44" s="12">
        <f t="shared" si="3">IF(I44="已计入",IF(Q44=0,"",S44/Q44),"")</f>
        <v>-0.00992449418854929</v>
      </c>
      <c r="U44" s="11">
        <f t="shared" si="11">IF(AA44="正常",U43+IF(AND(I44="已计入",OR(B44="买入",B44="定投",B44="转换转入")),E44,0),"")</f>
        <v>116150</v>
      </c>
      <c r="V44" s="11">
        <f t="shared" si="12">IF(AA44="正常",V43+IF(AND(I44="已计入",OR(B44="卖出",B44="现金分红")),E44,0),"")</f>
        <v>0</v>
      </c>
      <c r="W44" s="11">
        <f t="shared" si="13">IF(AA44="正常",W43+IF(I44="已计入",N44,0),"")</f>
        <v>0</v>
      </c>
      <c r="X44" s="11">
        <f t="shared" si="14">IF(AA44="正常",X43+IF(I44="已计入",P44,0),"")</f>
        <v>0</v>
      </c>
      <c r="Y44" s="11">
        <f t="shared" si="4">IF(I44="已计入",ROUND(R44+V44-U44,2),"")</f>
        <v>-1152.73</v>
      </c>
      <c r="Z44" s="13">
        <f t="shared" si="15">IF(AA44="正常",IF(I44="已计入",A44,Z43),"")</f>
        <v>46059</v>
      </c>
      <c r="AA44" s="10" t="str">
        <f t="shared" si="16">IF(OR(AA43="错误",AND(I44&lt;&gt;"",I44&lt;&gt;"已排除",I44&lt;&gt;"待确认",I44&lt;&gt;"已计入")),"错误","正常")</f>
        <v>正常</v>
      </c>
      <c r="AB44" s="14">
        <f t="shared" si="17">IF(AA44="正常",IF(I44="已计入",C44,AB43),"")</f>
        <v>4.9177</v>
      </c>
    </row>
    <row r="45" ht="42" customHeight="1">
      <c r="A45" s="36">
        <v>46062</v>
      </c>
      <c r="B45" s="37" t="inlineStr">
        <is>
          <t>定投</t>
        </is>
      </c>
      <c r="C45" s="38">
        <v>5.0061</v>
      </c>
      <c r="D45" s="39">
        <v>39.89</v>
      </c>
      <c r="E45" s="39">
        <v>200</v>
      </c>
      <c r="F45" s="39">
        <v>0.32</v>
      </c>
      <c r="G45" s="37" t="inlineStr">
        <is>
          <t>历史估算</t>
        </is>
      </c>
      <c r="H45" s="40" t="inlineStr">
        <is>
          <t>原下单 2026-02-09 11:06:14
净值日／份额暂估，手续费按 0.16%</t>
        </is>
      </c>
      <c r="I45" s="10" t="str">
        <f>IF(COUNTA(A45:H45)=0,"",IF(OR(OR(OR(G45="撤单",G45="交易失败",G45="交易关闭"),G45="交易失败",G45="交易关闭"),G45="交易失败",G45="交易关闭"),"已排除",IF(G45="待确认","待确认",IF(NOT(OR(G45="已确认",G45="历史估算")),"请选择确认状态",IF(NOT(ISNUMBER(A45)),"缺少有效净值日期",IF(OR(A45&lt;=0,A45&lt;&gt;INT(A45)),"净值日期无效",IF(NOT(OR(OR(B45="买入",B45="定投",B45="转换转入"),B45="卖出",B45="现金分红",B45="红利再投")),"请选择交易类型",IF(NOT(ISNUMBER(C45)),"缺少成交净值",IF(C45&lt;=0,"成交净值须大于零",IF(NOT(ISNUMBER(D45)),"缺少确认份额（分红填0）",IF(NOT(ISNUMBER(E45)),"缺少确认金额（再投填0）",IF(NOT(ISNUMBER(F45)),"缺少手续费（无费用填0）",IF(OR(D45&lt;0,E45&lt;0,F45&lt;0),"份额金额费用不能为负",IF(AA44="错误","前行待修正",IF(A45&lt;Z44,"日期需按成交顺序递增",IF(AND(B45="现金分红",OR(D45&lt;&gt;0,E45&lt;=0,F45&lt;&gt;0)),"分红填份额0、费用0、正金额",IF(AND(B45="红利再投",OR(D45&lt;=0,E45&lt;&gt;0,F45&lt;&gt;0)),"再投填正份额、金额0、费用0",IF(AND(OR(B45="现金分红",B45="红利再投"),K44&lt;=0),"分红或再投前须有持仓",IF(AND(OR(OR(B45="买入",B45="定投",B45="转换转入"),B45="卖出"),OR(D45&lt;=0,E45&lt;=0)),"买卖须填正份额、正金额",IF(AND(B45="卖出",D45&gt;K44+0.000001),"卖出份额超过持仓",IF(AND(OR(B45="买入",B45="定投",B45="转换转入"),F45&gt;=E45)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45="买入",B45="定投",B45="转换转入"),ABS(E45-F45-C45*D45)&gt;'持仓总览'!$H$6),"买入金额与份额净值不符",IF(AND(B45="卖出",ABS(E45+F45-C45*D45)&gt;'持仓总览'!$H$6),"到账加费用与赎回市值不符","已计入"))))))))))))))))))))))))))</f>
        <v>已计入</v>
      </c>
      <c r="J45" s="11">
        <f t="shared" si="0">IF(AA45="正常",IF(I45="已计入",IF(OR(OR(B45="买入",B45="定投",B45="转换转入"),B45="红利再投"),D45,IF(B45="卖出",-D45,0)),0),"")</f>
        <v>39.89</v>
      </c>
      <c r="K45" s="11">
        <f t="shared" si="5">IF(AA45="正常",ROUND(K44+J45,6),"")</f>
        <v>23424.25</v>
      </c>
      <c r="L45" s="11">
        <f t="shared" si="6">IF(I45="已计入",ROUND(K44*C45,2),"")</f>
        <v>117064.44</v>
      </c>
      <c r="M45" s="11">
        <f t="shared" si="7">IF(I45="已计入",IF(B45="卖出",MAX(0,L45-Q44-F45),IF(B45="现金分红",MAX(0,L45+E45-Q44),0)),"")</f>
        <v>0</v>
      </c>
      <c r="N45" s="11">
        <f>IF(I45="已计入",IF(AND(B45="卖出",'持仓总览'!$C$7="本金优先"),MAX(0,E45-Q44),IF(OR(B45="卖出",B45="现金分红"),MIN(E45,M45),0)),"")</f>
        <v>0</v>
      </c>
      <c r="O45" s="11">
        <f t="shared" si="8">IF(I45="已计入",IF(OR(B45="卖出",B45="现金分红"),MIN(Q44,MAX(0,E45-N45)),0),"")</f>
        <v>0</v>
      </c>
      <c r="P45" s="11">
        <f t="shared" si="9">IF(I45="已计入",IF(AND(B45="卖出",K45=0),MAX(0,Q44-O45),0),"")</f>
        <v>0</v>
      </c>
      <c r="Q45" s="11">
        <f t="shared" si="10">IF(AA45="正常",IF(I45="已计入",ROUND(Q44+IF(OR(B45="买入",B45="定投",B45="转换转入"),E45,0)-O45-P45,2),Q44),"")</f>
        <v>116350</v>
      </c>
      <c r="R45" s="11">
        <f t="shared" si="1">IF(I45="已计入",ROUND(K45*C45,2),"")</f>
        <v>117264.14</v>
      </c>
      <c r="S45" s="11">
        <f t="shared" si="2">IF(I45="已计入",ROUND(R45-Q45,2),"")</f>
        <v>914.14</v>
      </c>
      <c r="T45" s="12">
        <f t="shared" si="3">IF(I45="已计入",IF(Q45=0,"",S45/Q45),"")</f>
        <v>0.007856811345079501</v>
      </c>
      <c r="U45" s="11">
        <f t="shared" si="11">IF(AA45="正常",U44+IF(AND(I45="已计入",OR(B45="买入",B45="定投",B45="转换转入")),E45,0),"")</f>
        <v>116350</v>
      </c>
      <c r="V45" s="11">
        <f t="shared" si="12">IF(AA45="正常",V44+IF(AND(I45="已计入",OR(B45="卖出",B45="现金分红")),E45,0),"")</f>
        <v>0</v>
      </c>
      <c r="W45" s="11">
        <f t="shared" si="13">IF(AA45="正常",W44+IF(I45="已计入",N45,0),"")</f>
        <v>0</v>
      </c>
      <c r="X45" s="11">
        <f t="shared" si="14">IF(AA45="正常",X44+IF(I45="已计入",P45,0),"")</f>
        <v>0</v>
      </c>
      <c r="Y45" s="11">
        <f t="shared" si="4">IF(I45="已计入",ROUND(R45+V45-U45,2),"")</f>
        <v>914.14</v>
      </c>
      <c r="Z45" s="13">
        <f t="shared" si="15">IF(AA45="正常",IF(I45="已计入",A45,Z44),"")</f>
        <v>46062</v>
      </c>
      <c r="AA45" s="10" t="str">
        <f t="shared" si="16">IF(OR(AA44="错误",AND(I45&lt;&gt;"",I45&lt;&gt;"已排除",I45&lt;&gt;"待确认",I45&lt;&gt;"已计入")),"错误","正常")</f>
        <v>正常</v>
      </c>
      <c r="AB45" s="14">
        <f t="shared" si="17">IF(AA45="正常",IF(I45="已计入",C45,AB44),"")</f>
        <v>5.0061</v>
      </c>
    </row>
    <row r="46" ht="42" customHeight="1">
      <c r="A46" s="36">
        <v>46063</v>
      </c>
      <c r="B46" s="37" t="inlineStr">
        <is>
          <t>定投</t>
        </is>
      </c>
      <c r="C46" s="38">
        <v>5.0064</v>
      </c>
      <c r="D46" s="39">
        <v>39.88</v>
      </c>
      <c r="E46" s="39">
        <v>200</v>
      </c>
      <c r="F46" s="39">
        <v>0.32</v>
      </c>
      <c r="G46" s="37" t="inlineStr">
        <is>
          <t>历史估算</t>
        </is>
      </c>
      <c r="H46" s="40" t="inlineStr">
        <is>
          <t>原下单 2026-02-10 10:55:23
净值日／份额暂估，手续费按 0.16%</t>
        </is>
      </c>
      <c r="I46" s="10" t="str">
        <f>IF(COUNTA(A46:H46)=0,"",IF(OR(OR(OR(G46="撤单",G46="交易失败",G46="交易关闭"),G46="交易失败",G46="交易关闭"),G46="交易失败",G46="交易关闭"),"已排除",IF(G46="待确认","待确认",IF(NOT(OR(G46="已确认",G46="历史估算")),"请选择确认状态",IF(NOT(ISNUMBER(A46)),"缺少有效净值日期",IF(OR(A46&lt;=0,A46&lt;&gt;INT(A46)),"净值日期无效",IF(NOT(OR(OR(B46="买入",B46="定投",B46="转换转入"),B46="卖出",B46="现金分红",B46="红利再投")),"请选择交易类型",IF(NOT(ISNUMBER(C46)),"缺少成交净值",IF(C46&lt;=0,"成交净值须大于零",IF(NOT(ISNUMBER(D46)),"缺少确认份额（分红填0）",IF(NOT(ISNUMBER(E46)),"缺少确认金额（再投填0）",IF(NOT(ISNUMBER(F46)),"缺少手续费（无费用填0）",IF(OR(D46&lt;0,E46&lt;0,F46&lt;0),"份额金额费用不能为负",IF(AA45="错误","前行待修正",IF(A46&lt;Z45,"日期需按成交顺序递增",IF(AND(B46="现金分红",OR(D46&lt;&gt;0,E46&lt;=0,F46&lt;&gt;0)),"分红填份额0、费用0、正金额",IF(AND(B46="红利再投",OR(D46&lt;=0,E46&lt;&gt;0,F46&lt;&gt;0)),"再投填正份额、金额0、费用0",IF(AND(OR(B46="现金分红",B46="红利再投"),K45&lt;=0),"分红或再投前须有持仓",IF(AND(OR(OR(B46="买入",B46="定投",B46="转换转入"),B46="卖出"),OR(D46&lt;=0,E46&lt;=0)),"买卖须填正份额、正金额",IF(AND(B46="卖出",D46&gt;K45+0.000001),"卖出份额超过持仓",IF(AND(OR(B46="买入",B46="定投",B46="转换转入"),F46&gt;=E46)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46="买入",B46="定投",B46="转换转入"),ABS(E46-F46-C46*D46)&gt;'持仓总览'!$H$6),"买入金额与份额净值不符",IF(AND(B46="卖出",ABS(E46+F46-C46*D46)&gt;'持仓总览'!$H$6),"到账加费用与赎回市值不符","已计入"))))))))))))))))))))))))))</f>
        <v>已计入</v>
      </c>
      <c r="J46" s="11">
        <f t="shared" si="0">IF(AA46="正常",IF(I46="已计入",IF(OR(OR(B46="买入",B46="定投",B46="转换转入"),B46="红利再投"),D46,IF(B46="卖出",-D46,0)),0),"")</f>
        <v>39.88</v>
      </c>
      <c r="K46" s="11">
        <f t="shared" si="5">IF(AA46="正常",ROUND(K45+J46,6),"")</f>
        <v>23464.13</v>
      </c>
      <c r="L46" s="11">
        <f t="shared" si="6">IF(I46="已计入",ROUND(K45*C46,2),"")</f>
        <v>117271.17</v>
      </c>
      <c r="M46" s="11">
        <f t="shared" si="7">IF(I46="已计入",IF(B46="卖出",MAX(0,L46-Q45-F46),IF(B46="现金分红",MAX(0,L46+E46-Q45),0)),"")</f>
        <v>0</v>
      </c>
      <c r="N46" s="11">
        <f>IF(I46="已计入",IF(AND(B46="卖出",'持仓总览'!$C$7="本金优先"),MAX(0,E46-Q45),IF(OR(B46="卖出",B46="现金分红"),MIN(E46,M46),0)),"")</f>
        <v>0</v>
      </c>
      <c r="O46" s="11">
        <f t="shared" si="8">IF(I46="已计入",IF(OR(B46="卖出",B46="现金分红"),MIN(Q45,MAX(0,E46-N46)),0),"")</f>
        <v>0</v>
      </c>
      <c r="P46" s="11">
        <f t="shared" si="9">IF(I46="已计入",IF(AND(B46="卖出",K46=0),MAX(0,Q45-O46),0),"")</f>
        <v>0</v>
      </c>
      <c r="Q46" s="11">
        <f t="shared" si="10">IF(AA46="正常",IF(I46="已计入",ROUND(Q45+IF(OR(B46="买入",B46="定投",B46="转换转入"),E46,0)-O46-P46,2),Q45),"")</f>
        <v>116550</v>
      </c>
      <c r="R46" s="11">
        <f t="shared" si="1">IF(I46="已计入",ROUND(K46*C46,2),"")</f>
        <v>117470.82</v>
      </c>
      <c r="S46" s="11">
        <f t="shared" si="2">IF(I46="已计入",ROUND(R46-Q46,2),"")</f>
        <v>920.82</v>
      </c>
      <c r="T46" s="12">
        <f t="shared" si="3">IF(I46="已计入",IF(Q46=0,"",S46/Q46),"")</f>
        <v>0.007900643500643501</v>
      </c>
      <c r="U46" s="11">
        <f t="shared" si="11">IF(AA46="正常",U45+IF(AND(I46="已计入",OR(B46="买入",B46="定投",B46="转换转入")),E46,0),"")</f>
        <v>116550</v>
      </c>
      <c r="V46" s="11">
        <f t="shared" si="12">IF(AA46="正常",V45+IF(AND(I46="已计入",OR(B46="卖出",B46="现金分红")),E46,0),"")</f>
        <v>0</v>
      </c>
      <c r="W46" s="11">
        <f t="shared" si="13">IF(AA46="正常",W45+IF(I46="已计入",N46,0),"")</f>
        <v>0</v>
      </c>
      <c r="X46" s="11">
        <f t="shared" si="14">IF(AA46="正常",X45+IF(I46="已计入",P46,0),"")</f>
        <v>0</v>
      </c>
      <c r="Y46" s="11">
        <f t="shared" si="4">IF(I46="已计入",ROUND(R46+V46-U46,2),"")</f>
        <v>920.82</v>
      </c>
      <c r="Z46" s="13">
        <f t="shared" si="15">IF(AA46="正常",IF(I46="已计入",A46,Z45),"")</f>
        <v>46063</v>
      </c>
      <c r="AA46" s="10" t="str">
        <f t="shared" si="16">IF(OR(AA45="错误",AND(I46&lt;&gt;"",I46&lt;&gt;"已排除",I46&lt;&gt;"待确认",I46&lt;&gt;"已计入")),"错误","正常")</f>
        <v>正常</v>
      </c>
      <c r="AB46" s="14">
        <f t="shared" si="17">IF(AA46="正常",IF(I46="已计入",C46,AB45),"")</f>
        <v>5.0064</v>
      </c>
    </row>
    <row r="47" ht="42" customHeight="1">
      <c r="A47" s="36">
        <v>46064</v>
      </c>
      <c r="B47" s="37" t="inlineStr">
        <is>
          <t>定投</t>
        </is>
      </c>
      <c r="C47" s="38">
        <v>5.0362</v>
      </c>
      <c r="D47" s="39">
        <v>39.65</v>
      </c>
      <c r="E47" s="39">
        <v>200</v>
      </c>
      <c r="F47" s="39">
        <v>0.32</v>
      </c>
      <c r="G47" s="37" t="inlineStr">
        <is>
          <t>历史估算</t>
        </is>
      </c>
      <c r="H47" s="40" t="inlineStr">
        <is>
          <t>原下单 2026-02-11 10:51:11
净值日／份额暂估，手续费按 0.16%</t>
        </is>
      </c>
      <c r="I47" s="10" t="str">
        <f>IF(COUNTA(A47:H47)=0,"",IF(OR(OR(OR(G47="撤单",G47="交易失败",G47="交易关闭"),G47="交易失败",G47="交易关闭"),G47="交易失败",G47="交易关闭"),"已排除",IF(G47="待确认","待确认",IF(NOT(OR(G47="已确认",G47="历史估算")),"请选择确认状态",IF(NOT(ISNUMBER(A47)),"缺少有效净值日期",IF(OR(A47&lt;=0,A47&lt;&gt;INT(A47)),"净值日期无效",IF(NOT(OR(OR(B47="买入",B47="定投",B47="转换转入"),B47="卖出",B47="现金分红",B47="红利再投")),"请选择交易类型",IF(NOT(ISNUMBER(C47)),"缺少成交净值",IF(C47&lt;=0,"成交净值须大于零",IF(NOT(ISNUMBER(D47)),"缺少确认份额（分红填0）",IF(NOT(ISNUMBER(E47)),"缺少确认金额（再投填0）",IF(NOT(ISNUMBER(F47)),"缺少手续费（无费用填0）",IF(OR(D47&lt;0,E47&lt;0,F47&lt;0),"份额金额费用不能为负",IF(AA46="错误","前行待修正",IF(A47&lt;Z46,"日期需按成交顺序递增",IF(AND(B47="现金分红",OR(D47&lt;&gt;0,E47&lt;=0,F47&lt;&gt;0)),"分红填份额0、费用0、正金额",IF(AND(B47="红利再投",OR(D47&lt;=0,E47&lt;&gt;0,F47&lt;&gt;0)),"再投填正份额、金额0、费用0",IF(AND(OR(B47="现金分红",B47="红利再投"),K46&lt;=0),"分红或再投前须有持仓",IF(AND(OR(OR(B47="买入",B47="定投",B47="转换转入"),B47="卖出"),OR(D47&lt;=0,E47&lt;=0)),"买卖须填正份额、正金额",IF(AND(B47="卖出",D47&gt;K46+0.000001),"卖出份额超过持仓",IF(AND(OR(B47="买入",B47="定投",B47="转换转入"),F47&gt;=E47)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47="买入",B47="定投",B47="转换转入"),ABS(E47-F47-C47*D47)&gt;'持仓总览'!$H$6),"买入金额与份额净值不符",IF(AND(B47="卖出",ABS(E47+F47-C47*D47)&gt;'持仓总览'!$H$6),"到账加费用与赎回市值不符","已计入"))))))))))))))))))))))))))</f>
        <v>已计入</v>
      </c>
      <c r="J47" s="11">
        <f t="shared" si="0">IF(AA47="正常",IF(I47="已计入",IF(OR(OR(B47="买入",B47="定投",B47="转换转入"),B47="红利再投"),D47,IF(B47="卖出",-D47,0)),0),"")</f>
        <v>39.65</v>
      </c>
      <c r="K47" s="11">
        <f t="shared" si="5">IF(AA47="正常",ROUND(K46+J47,6),"")</f>
        <v>23503.78</v>
      </c>
      <c r="L47" s="11">
        <f t="shared" si="6">IF(I47="已计入",ROUND(K46*C47,2),"")</f>
        <v>118170.05</v>
      </c>
      <c r="M47" s="11">
        <f t="shared" si="7">IF(I47="已计入",IF(B47="卖出",MAX(0,L47-Q46-F47),IF(B47="现金分红",MAX(0,L47+E47-Q46),0)),"")</f>
        <v>0</v>
      </c>
      <c r="N47" s="11">
        <f>IF(I47="已计入",IF(AND(B47="卖出",'持仓总览'!$C$7="本金优先"),MAX(0,E47-Q46),IF(OR(B47="卖出",B47="现金分红"),MIN(E47,M47),0)),"")</f>
        <v>0</v>
      </c>
      <c r="O47" s="11">
        <f t="shared" si="8">IF(I47="已计入",IF(OR(B47="卖出",B47="现金分红"),MIN(Q46,MAX(0,E47-N47)),0),"")</f>
        <v>0</v>
      </c>
      <c r="P47" s="11">
        <f t="shared" si="9">IF(I47="已计入",IF(AND(B47="卖出",K47=0),MAX(0,Q46-O47),0),"")</f>
        <v>0</v>
      </c>
      <c r="Q47" s="11">
        <f t="shared" si="10">IF(AA47="正常",IF(I47="已计入",ROUND(Q46+IF(OR(B47="买入",B47="定投",B47="转换转入"),E47,0)-O47-P47,2),Q46),"")</f>
        <v>116750</v>
      </c>
      <c r="R47" s="11">
        <f t="shared" si="1">IF(I47="已计入",ROUND(K47*C47,2),"")</f>
        <v>118369.74</v>
      </c>
      <c r="S47" s="11">
        <f t="shared" si="2">IF(I47="已计入",ROUND(R47-Q47,2),"")</f>
        <v>1619.74</v>
      </c>
      <c r="T47" s="12">
        <f t="shared" si="3">IF(I47="已计入",IF(Q47=0,"",S47/Q47),"")</f>
        <v>0.013873576017130622</v>
      </c>
      <c r="U47" s="11">
        <f t="shared" si="11">IF(AA47="正常",U46+IF(AND(I47="已计入",OR(B47="买入",B47="定投",B47="转换转入")),E47,0),"")</f>
        <v>116750</v>
      </c>
      <c r="V47" s="11">
        <f t="shared" si="12">IF(AA47="正常",V46+IF(AND(I47="已计入",OR(B47="卖出",B47="现金分红")),E47,0),"")</f>
        <v>0</v>
      </c>
      <c r="W47" s="11">
        <f t="shared" si="13">IF(AA47="正常",W46+IF(I47="已计入",N47,0),"")</f>
        <v>0</v>
      </c>
      <c r="X47" s="11">
        <f t="shared" si="14">IF(AA47="正常",X46+IF(I47="已计入",P47,0),"")</f>
        <v>0</v>
      </c>
      <c r="Y47" s="11">
        <f t="shared" si="4">IF(I47="已计入",ROUND(R47+V47-U47,2),"")</f>
        <v>1619.74</v>
      </c>
      <c r="Z47" s="13">
        <f t="shared" si="15">IF(AA47="正常",IF(I47="已计入",A47,Z46),"")</f>
        <v>46064</v>
      </c>
      <c r="AA47" s="10" t="str">
        <f t="shared" si="16">IF(OR(AA46="错误",AND(I47&lt;&gt;"",I47&lt;&gt;"已排除",I47&lt;&gt;"待确认",I47&lt;&gt;"已计入")),"错误","正常")</f>
        <v>正常</v>
      </c>
      <c r="AB47" s="14">
        <f t="shared" si="17">IF(AA47="正常",IF(I47="已计入",C47,AB46),"")</f>
        <v>5.0362</v>
      </c>
    </row>
    <row r="48" ht="42" customHeight="1">
      <c r="A48" s="36">
        <v>46065</v>
      </c>
      <c r="B48" s="37" t="inlineStr">
        <is>
          <t>定投</t>
        </is>
      </c>
      <c r="C48" s="38">
        <v>5.0382</v>
      </c>
      <c r="D48" s="39">
        <v>39.63</v>
      </c>
      <c r="E48" s="39">
        <v>200</v>
      </c>
      <c r="F48" s="39">
        <v>0.32</v>
      </c>
      <c r="G48" s="37" t="inlineStr">
        <is>
          <t>历史估算</t>
        </is>
      </c>
      <c r="H48" s="40" t="inlineStr">
        <is>
          <t>原下单 2026-02-12 10:55:20
净值日／份额暂估，手续费按 0.16%</t>
        </is>
      </c>
      <c r="I48" s="10" t="str">
        <f>IF(COUNTA(A48:H48)=0,"",IF(OR(OR(OR(G48="撤单",G48="交易失败",G48="交易关闭"),G48="交易失败",G48="交易关闭"),G48="交易失败",G48="交易关闭"),"已排除",IF(G48="待确认","待确认",IF(NOT(OR(G48="已确认",G48="历史估算")),"请选择确认状态",IF(NOT(ISNUMBER(A48)),"缺少有效净值日期",IF(OR(A48&lt;=0,A48&lt;&gt;INT(A48)),"净值日期无效",IF(NOT(OR(OR(B48="买入",B48="定投",B48="转换转入"),B48="卖出",B48="现金分红",B48="红利再投")),"请选择交易类型",IF(NOT(ISNUMBER(C48)),"缺少成交净值",IF(C48&lt;=0,"成交净值须大于零",IF(NOT(ISNUMBER(D48)),"缺少确认份额（分红填0）",IF(NOT(ISNUMBER(E48)),"缺少确认金额（再投填0）",IF(NOT(ISNUMBER(F48)),"缺少手续费（无费用填0）",IF(OR(D48&lt;0,E48&lt;0,F48&lt;0),"份额金额费用不能为负",IF(AA47="错误","前行待修正",IF(A48&lt;Z47,"日期需按成交顺序递增",IF(AND(B48="现金分红",OR(D48&lt;&gt;0,E48&lt;=0,F48&lt;&gt;0)),"分红填份额0、费用0、正金额",IF(AND(B48="红利再投",OR(D48&lt;=0,E48&lt;&gt;0,F48&lt;&gt;0)),"再投填正份额、金额0、费用0",IF(AND(OR(B48="现金分红",B48="红利再投"),K47&lt;=0),"分红或再投前须有持仓",IF(AND(OR(OR(B48="买入",B48="定投",B48="转换转入"),B48="卖出"),OR(D48&lt;=0,E48&lt;=0)),"买卖须填正份额、正金额",IF(AND(B48="卖出",D48&gt;K47+0.000001),"卖出份额超过持仓",IF(AND(OR(B48="买入",B48="定投",B48="转换转入"),F48&gt;=E48)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48="买入",B48="定投",B48="转换转入"),ABS(E48-F48-C48*D48)&gt;'持仓总览'!$H$6),"买入金额与份额净值不符",IF(AND(B48="卖出",ABS(E48+F48-C48*D48)&gt;'持仓总览'!$H$6),"到账加费用与赎回市值不符","已计入"))))))))))))))))))))))))))</f>
        <v>已计入</v>
      </c>
      <c r="J48" s="11">
        <f t="shared" si="0">IF(AA48="正常",IF(I48="已计入",IF(OR(OR(B48="买入",B48="定投",B48="转换转入"),B48="红利再投"),D48,IF(B48="卖出",-D48,0)),0),"")</f>
        <v>39.63</v>
      </c>
      <c r="K48" s="11">
        <f t="shared" si="5">IF(AA48="正常",ROUND(K47+J48,6),"")</f>
        <v>23543.41</v>
      </c>
      <c r="L48" s="11">
        <f t="shared" si="6">IF(I48="已计入",ROUND(K47*C48,2),"")</f>
        <v>118416.74</v>
      </c>
      <c r="M48" s="11">
        <f t="shared" si="7">IF(I48="已计入",IF(B48="卖出",MAX(0,L48-Q47-F48),IF(B48="现金分红",MAX(0,L48+E48-Q47),0)),"")</f>
        <v>0</v>
      </c>
      <c r="N48" s="11">
        <f>IF(I48="已计入",IF(AND(B48="卖出",'持仓总览'!$C$7="本金优先"),MAX(0,E48-Q47),IF(OR(B48="卖出",B48="现金分红"),MIN(E48,M48),0)),"")</f>
        <v>0</v>
      </c>
      <c r="O48" s="11">
        <f t="shared" si="8">IF(I48="已计入",IF(OR(B48="卖出",B48="现金分红"),MIN(Q47,MAX(0,E48-N48)),0),"")</f>
        <v>0</v>
      </c>
      <c r="P48" s="11">
        <f t="shared" si="9">IF(I48="已计入",IF(AND(B48="卖出",K48=0),MAX(0,Q47-O48),0),"")</f>
        <v>0</v>
      </c>
      <c r="Q48" s="11">
        <f t="shared" si="10">IF(AA48="正常",IF(I48="已计入",ROUND(Q47+IF(OR(B48="买入",B48="定投",B48="转换转入"),E48,0)-O48-P48,2),Q47),"")</f>
        <v>116950</v>
      </c>
      <c r="R48" s="11">
        <f t="shared" si="1">IF(I48="已计入",ROUND(K48*C48,2),"")</f>
        <v>118616.41</v>
      </c>
      <c r="S48" s="11">
        <f t="shared" si="2">IF(I48="已计入",ROUND(R48-Q48,2),"")</f>
        <v>1666.41</v>
      </c>
      <c r="T48" s="12">
        <f t="shared" si="3">IF(I48="已计入",IF(Q48=0,"",S48/Q48),"")</f>
        <v>0.014248909790508765</v>
      </c>
      <c r="U48" s="11">
        <f t="shared" si="11">IF(AA48="正常",U47+IF(AND(I48="已计入",OR(B48="买入",B48="定投",B48="转换转入")),E48,0),"")</f>
        <v>116950</v>
      </c>
      <c r="V48" s="11">
        <f t="shared" si="12">IF(AA48="正常",V47+IF(AND(I48="已计入",OR(B48="卖出",B48="现金分红")),E48,0),"")</f>
        <v>0</v>
      </c>
      <c r="W48" s="11">
        <f t="shared" si="13">IF(AA48="正常",W47+IF(I48="已计入",N48,0),"")</f>
        <v>0</v>
      </c>
      <c r="X48" s="11">
        <f t="shared" si="14">IF(AA48="正常",X47+IF(I48="已计入",P48,0),"")</f>
        <v>0</v>
      </c>
      <c r="Y48" s="11">
        <f t="shared" si="4">IF(I48="已计入",ROUND(R48+V48-U48,2),"")</f>
        <v>1666.41</v>
      </c>
      <c r="Z48" s="13">
        <f t="shared" si="15">IF(AA48="正常",IF(I48="已计入",A48,Z47),"")</f>
        <v>46065</v>
      </c>
      <c r="AA48" s="10" t="str">
        <f t="shared" si="16">IF(OR(AA47="错误",AND(I48&lt;&gt;"",I48&lt;&gt;"已排除",I48&lt;&gt;"待确认",I48&lt;&gt;"已计入")),"错误","正常")</f>
        <v>正常</v>
      </c>
      <c r="AB48" s="14">
        <f t="shared" si="17">IF(AA48="正常",IF(I48="已计入",C48,AB47),"")</f>
        <v>5.0382</v>
      </c>
    </row>
    <row r="49" ht="42" customHeight="1">
      <c r="A49" s="36">
        <v>46066</v>
      </c>
      <c r="B49" s="37" t="inlineStr">
        <is>
          <t>定投</t>
        </is>
      </c>
      <c r="C49" s="38">
        <v>5.0543</v>
      </c>
      <c r="D49" s="39">
        <v>39.51</v>
      </c>
      <c r="E49" s="39">
        <v>200</v>
      </c>
      <c r="F49" s="39">
        <v>0.32</v>
      </c>
      <c r="G49" s="37" t="inlineStr">
        <is>
          <t>历史估算</t>
        </is>
      </c>
      <c r="H49" s="40" t="inlineStr">
        <is>
          <t>原下单 2026-02-13 10:49:25
净值日／份额暂估，手续费按 0.16%</t>
        </is>
      </c>
      <c r="I49" s="10" t="str">
        <f>IF(COUNTA(A49:H49)=0,"",IF(OR(OR(OR(G49="撤单",G49="交易失败",G49="交易关闭"),G49="交易失败",G49="交易关闭"),G49="交易失败",G49="交易关闭"),"已排除",IF(G49="待确认","待确认",IF(NOT(OR(G49="已确认",G49="历史估算")),"请选择确认状态",IF(NOT(ISNUMBER(A49)),"缺少有效净值日期",IF(OR(A49&lt;=0,A49&lt;&gt;INT(A49)),"净值日期无效",IF(NOT(OR(OR(B49="买入",B49="定投",B49="转换转入"),B49="卖出",B49="现金分红",B49="红利再投")),"请选择交易类型",IF(NOT(ISNUMBER(C49)),"缺少成交净值",IF(C49&lt;=0,"成交净值须大于零",IF(NOT(ISNUMBER(D49)),"缺少确认份额（分红填0）",IF(NOT(ISNUMBER(E49)),"缺少确认金额（再投填0）",IF(NOT(ISNUMBER(F49)),"缺少手续费（无费用填0）",IF(OR(D49&lt;0,E49&lt;0,F49&lt;0),"份额金额费用不能为负",IF(AA48="错误","前行待修正",IF(A49&lt;Z48,"日期需按成交顺序递增",IF(AND(B49="现金分红",OR(D49&lt;&gt;0,E49&lt;=0,F49&lt;&gt;0)),"分红填份额0、费用0、正金额",IF(AND(B49="红利再投",OR(D49&lt;=0,E49&lt;&gt;0,F49&lt;&gt;0)),"再投填正份额、金额0、费用0",IF(AND(OR(B49="现金分红",B49="红利再投"),K48&lt;=0),"分红或再投前须有持仓",IF(AND(OR(OR(B49="买入",B49="定投",B49="转换转入"),B49="卖出"),OR(D49&lt;=0,E49&lt;=0)),"买卖须填正份额、正金额",IF(AND(B49="卖出",D49&gt;K48+0.000001),"卖出份额超过持仓",IF(AND(OR(B49="买入",B49="定投",B49="转换转入"),F49&gt;=E49)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49="买入",B49="定投",B49="转换转入"),ABS(E49-F49-C49*D49)&gt;'持仓总览'!$H$6),"买入金额与份额净值不符",IF(AND(B49="卖出",ABS(E49+F49-C49*D49)&gt;'持仓总览'!$H$6),"到账加费用与赎回市值不符","已计入"))))))))))))))))))))))))))</f>
        <v>已计入</v>
      </c>
      <c r="J49" s="11">
        <f t="shared" si="0">IF(AA49="正常",IF(I49="已计入",IF(OR(OR(B49="买入",B49="定投",B49="转换转入"),B49="红利再投"),D49,IF(B49="卖出",-D49,0)),0),"")</f>
        <v>39.51</v>
      </c>
      <c r="K49" s="11">
        <f t="shared" si="5">IF(AA49="正常",ROUND(K48+J49,6),"")</f>
        <v>23582.92</v>
      </c>
      <c r="L49" s="11">
        <f t="shared" si="6">IF(I49="已计入",ROUND(K48*C49,2),"")</f>
        <v>118995.46</v>
      </c>
      <c r="M49" s="11">
        <f t="shared" si="7">IF(I49="已计入",IF(B49="卖出",MAX(0,L49-Q48-F49),IF(B49="现金分红",MAX(0,L49+E49-Q48),0)),"")</f>
        <v>0</v>
      </c>
      <c r="N49" s="11">
        <f>IF(I49="已计入",IF(AND(B49="卖出",'持仓总览'!$C$7="本金优先"),MAX(0,E49-Q48),IF(OR(B49="卖出",B49="现金分红"),MIN(E49,M49),0)),"")</f>
        <v>0</v>
      </c>
      <c r="O49" s="11">
        <f t="shared" si="8">IF(I49="已计入",IF(OR(B49="卖出",B49="现金分红"),MIN(Q48,MAX(0,E49-N49)),0),"")</f>
        <v>0</v>
      </c>
      <c r="P49" s="11">
        <f t="shared" si="9">IF(I49="已计入",IF(AND(B49="卖出",K49=0),MAX(0,Q48-O49),0),"")</f>
        <v>0</v>
      </c>
      <c r="Q49" s="11">
        <f t="shared" si="10">IF(AA49="正常",IF(I49="已计入",ROUND(Q48+IF(OR(B49="买入",B49="定投",B49="转换转入"),E49,0)-O49-P49,2),Q48),"")</f>
        <v>117150</v>
      </c>
      <c r="R49" s="11">
        <f t="shared" si="1">IF(I49="已计入",ROUND(K49*C49,2),"")</f>
        <v>119195.15</v>
      </c>
      <c r="S49" s="11">
        <f t="shared" si="2">IF(I49="已计入",ROUND(R49-Q49,2),"")</f>
        <v>2045.15</v>
      </c>
      <c r="T49" s="12">
        <f t="shared" si="3">IF(I49="已计入",IF(Q49=0,"",S49/Q49),"")</f>
        <v>0.017457533077251387</v>
      </c>
      <c r="U49" s="11">
        <f t="shared" si="11">IF(AA49="正常",U48+IF(AND(I49="已计入",OR(B49="买入",B49="定投",B49="转换转入")),E49,0),"")</f>
        <v>117150</v>
      </c>
      <c r="V49" s="11">
        <f t="shared" si="12">IF(AA49="正常",V48+IF(AND(I49="已计入",OR(B49="卖出",B49="现金分红")),E49,0),"")</f>
        <v>0</v>
      </c>
      <c r="W49" s="11">
        <f t="shared" si="13">IF(AA49="正常",W48+IF(I49="已计入",N49,0),"")</f>
        <v>0</v>
      </c>
      <c r="X49" s="11">
        <f t="shared" si="14">IF(AA49="正常",X48+IF(I49="已计入",P49,0),"")</f>
        <v>0</v>
      </c>
      <c r="Y49" s="11">
        <f t="shared" si="4">IF(I49="已计入",ROUND(R49+V49-U49,2),"")</f>
        <v>2045.15</v>
      </c>
      <c r="Z49" s="13">
        <f t="shared" si="15">IF(AA49="正常",IF(I49="已计入",A49,Z48),"")</f>
        <v>46066</v>
      </c>
      <c r="AA49" s="10" t="str">
        <f t="shared" si="16">IF(OR(AA48="错误",AND(I49&lt;&gt;"",I49&lt;&gt;"已排除",I49&lt;&gt;"待确认",I49&lt;&gt;"已计入")),"错误","正常")</f>
        <v>正常</v>
      </c>
      <c r="AB49" s="14">
        <f t="shared" si="17">IF(AA49="正常",IF(I49="已计入",C49,AB48),"")</f>
        <v>5.0543</v>
      </c>
    </row>
    <row r="50" ht="42" customHeight="1">
      <c r="A50" s="36">
        <v>46077</v>
      </c>
      <c r="B50" s="37" t="inlineStr">
        <is>
          <t>定投</t>
        </is>
      </c>
      <c r="C50" s="38">
        <v>5.2389</v>
      </c>
      <c r="D50" s="39">
        <v>38.11</v>
      </c>
      <c r="E50" s="39">
        <v>200</v>
      </c>
      <c r="F50" s="39">
        <v>0.32</v>
      </c>
      <c r="G50" s="37" t="inlineStr">
        <is>
          <t>历史估算</t>
        </is>
      </c>
      <c r="H50" s="40" t="inlineStr">
        <is>
          <t>原下单 2026-02-24 10:32:56
净值日／份额暂估，手续费按 0.16%</t>
        </is>
      </c>
      <c r="I50" s="10" t="str">
        <f>IF(COUNTA(A50:H50)=0,"",IF(OR(OR(OR(G50="撤单",G50="交易失败",G50="交易关闭"),G50="交易失败",G50="交易关闭"),G50="交易失败",G50="交易关闭"),"已排除",IF(G50="待确认","待确认",IF(NOT(OR(G50="已确认",G50="历史估算")),"请选择确认状态",IF(NOT(ISNUMBER(A50)),"缺少有效净值日期",IF(OR(A50&lt;=0,A50&lt;&gt;INT(A50)),"净值日期无效",IF(NOT(OR(OR(B50="买入",B50="定投",B50="转换转入"),B50="卖出",B50="现金分红",B50="红利再投")),"请选择交易类型",IF(NOT(ISNUMBER(C50)),"缺少成交净值",IF(C50&lt;=0,"成交净值须大于零",IF(NOT(ISNUMBER(D50)),"缺少确认份额（分红填0）",IF(NOT(ISNUMBER(E50)),"缺少确认金额（再投填0）",IF(NOT(ISNUMBER(F50)),"缺少手续费（无费用填0）",IF(OR(D50&lt;0,E50&lt;0,F50&lt;0),"份额金额费用不能为负",IF(AA49="错误","前行待修正",IF(A50&lt;Z49,"日期需按成交顺序递增",IF(AND(B50="现金分红",OR(D50&lt;&gt;0,E50&lt;=0,F50&lt;&gt;0)),"分红填份额0、费用0、正金额",IF(AND(B50="红利再投",OR(D50&lt;=0,E50&lt;&gt;0,F50&lt;&gt;0)),"再投填正份额、金额0、费用0",IF(AND(OR(B50="现金分红",B50="红利再投"),K49&lt;=0),"分红或再投前须有持仓",IF(AND(OR(OR(B50="买入",B50="定投",B50="转换转入"),B50="卖出"),OR(D50&lt;=0,E50&lt;=0)),"买卖须填正份额、正金额",IF(AND(B50="卖出",D50&gt;K49+0.000001),"卖出份额超过持仓",IF(AND(OR(B50="买入",B50="定投",B50="转换转入"),F50&gt;=E50)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50="买入",B50="定投",B50="转换转入"),ABS(E50-F50-C50*D50)&gt;'持仓总览'!$H$6),"买入金额与份额净值不符",IF(AND(B50="卖出",ABS(E50+F50-C50*D50)&gt;'持仓总览'!$H$6),"到账加费用与赎回市值不符","已计入"))))))))))))))))))))))))))</f>
        <v>已计入</v>
      </c>
      <c r="J50" s="11">
        <f t="shared" si="0">IF(AA50="正常",IF(I50="已计入",IF(OR(OR(B50="买入",B50="定投",B50="转换转入"),B50="红利再投"),D50,IF(B50="卖出",-D50,0)),0),"")</f>
        <v>38.11</v>
      </c>
      <c r="K50" s="11">
        <f t="shared" si="5">IF(AA50="正常",ROUND(K49+J50,6),"")</f>
        <v>23621.03</v>
      </c>
      <c r="L50" s="11">
        <f t="shared" si="6">IF(I50="已计入",ROUND(K49*C50,2),"")</f>
        <v>123548.56</v>
      </c>
      <c r="M50" s="11">
        <f t="shared" si="7">IF(I50="已计入",IF(B50="卖出",MAX(0,L50-Q49-F50),IF(B50="现金分红",MAX(0,L50+E50-Q49),0)),"")</f>
        <v>0</v>
      </c>
      <c r="N50" s="11">
        <f>IF(I50="已计入",IF(AND(B50="卖出",'持仓总览'!$C$7="本金优先"),MAX(0,E50-Q49),IF(OR(B50="卖出",B50="现金分红"),MIN(E50,M50),0)),"")</f>
        <v>0</v>
      </c>
      <c r="O50" s="11">
        <f t="shared" si="8">IF(I50="已计入",IF(OR(B50="卖出",B50="现金分红"),MIN(Q49,MAX(0,E50-N50)),0),"")</f>
        <v>0</v>
      </c>
      <c r="P50" s="11">
        <f t="shared" si="9">IF(I50="已计入",IF(AND(B50="卖出",K50=0),MAX(0,Q49-O50),0),"")</f>
        <v>0</v>
      </c>
      <c r="Q50" s="11">
        <f t="shared" si="10">IF(AA50="正常",IF(I50="已计入",ROUND(Q49+IF(OR(B50="买入",B50="定投",B50="转换转入"),E50,0)-O50-P50,2),Q49),"")</f>
        <v>117350</v>
      </c>
      <c r="R50" s="11">
        <f t="shared" si="1">IF(I50="已计入",ROUND(K50*C50,2),"")</f>
        <v>123748.21</v>
      </c>
      <c r="S50" s="11">
        <f t="shared" si="2">IF(I50="已计入",ROUND(R50-Q50,2),"")</f>
        <v>6398.21</v>
      </c>
      <c r="T50" s="12">
        <f t="shared" si="3">IF(I50="已计入",IF(Q50=0,"",S50/Q50),"")</f>
        <v>0.05452245419684704</v>
      </c>
      <c r="U50" s="11">
        <f t="shared" si="11">IF(AA50="正常",U49+IF(AND(I50="已计入",OR(B50="买入",B50="定投",B50="转换转入")),E50,0),"")</f>
        <v>117350</v>
      </c>
      <c r="V50" s="11">
        <f t="shared" si="12">IF(AA50="正常",V49+IF(AND(I50="已计入",OR(B50="卖出",B50="现金分红")),E50,0),"")</f>
        <v>0</v>
      </c>
      <c r="W50" s="11">
        <f t="shared" si="13">IF(AA50="正常",W49+IF(I50="已计入",N50,0),"")</f>
        <v>0</v>
      </c>
      <c r="X50" s="11">
        <f t="shared" si="14">IF(AA50="正常",X49+IF(I50="已计入",P50,0),"")</f>
        <v>0</v>
      </c>
      <c r="Y50" s="11">
        <f t="shared" si="4">IF(I50="已计入",ROUND(R50+V50-U50,2),"")</f>
        <v>6398.21</v>
      </c>
      <c r="Z50" s="13">
        <f t="shared" si="15">IF(AA50="正常",IF(I50="已计入",A50,Z49),"")</f>
        <v>46077</v>
      </c>
      <c r="AA50" s="10" t="str">
        <f t="shared" si="16">IF(OR(AA49="错误",AND(I50&lt;&gt;"",I50&lt;&gt;"已排除",I50&lt;&gt;"待确认",I50&lt;&gt;"已计入")),"错误","正常")</f>
        <v>正常</v>
      </c>
      <c r="AB50" s="14">
        <f t="shared" si="17">IF(AA50="正常",IF(I50="已计入",C50,AB49),"")</f>
        <v>5.2389</v>
      </c>
    </row>
    <row r="51" ht="42" customHeight="1">
      <c r="A51" s="36">
        <v>46078</v>
      </c>
      <c r="B51" s="37" t="inlineStr">
        <is>
          <t>定投</t>
        </is>
      </c>
      <c r="C51" s="38">
        <v>5.2637</v>
      </c>
      <c r="D51" s="39">
        <v>37.94</v>
      </c>
      <c r="E51" s="39">
        <v>200</v>
      </c>
      <c r="F51" s="39">
        <v>0.32</v>
      </c>
      <c r="G51" s="37" t="inlineStr">
        <is>
          <t>历史估算</t>
        </is>
      </c>
      <c r="H51" s="40" t="inlineStr">
        <is>
          <t>原下单 2026-02-25 10:47:02
净值日／份额暂估，手续费按 0.16%</t>
        </is>
      </c>
      <c r="I51" s="10" t="str">
        <f>IF(COUNTA(A51:H51)=0,"",IF(OR(OR(OR(G51="撤单",G51="交易失败",G51="交易关闭"),G51="交易失败",G51="交易关闭"),G51="交易失败",G51="交易关闭"),"已排除",IF(G51="待确认","待确认",IF(NOT(OR(G51="已确认",G51="历史估算")),"请选择确认状态",IF(NOT(ISNUMBER(A51)),"缺少有效净值日期",IF(OR(A51&lt;=0,A51&lt;&gt;INT(A51)),"净值日期无效",IF(NOT(OR(OR(B51="买入",B51="定投",B51="转换转入"),B51="卖出",B51="现金分红",B51="红利再投")),"请选择交易类型",IF(NOT(ISNUMBER(C51)),"缺少成交净值",IF(C51&lt;=0,"成交净值须大于零",IF(NOT(ISNUMBER(D51)),"缺少确认份额（分红填0）",IF(NOT(ISNUMBER(E51)),"缺少确认金额（再投填0）",IF(NOT(ISNUMBER(F51)),"缺少手续费（无费用填0）",IF(OR(D51&lt;0,E51&lt;0,F51&lt;0),"份额金额费用不能为负",IF(AA50="错误","前行待修正",IF(A51&lt;Z50,"日期需按成交顺序递增",IF(AND(B51="现金分红",OR(D51&lt;&gt;0,E51&lt;=0,F51&lt;&gt;0)),"分红填份额0、费用0、正金额",IF(AND(B51="红利再投",OR(D51&lt;=0,E51&lt;&gt;0,F51&lt;&gt;0)),"再投填正份额、金额0、费用0",IF(AND(OR(B51="现金分红",B51="红利再投"),K50&lt;=0),"分红或再投前须有持仓",IF(AND(OR(OR(B51="买入",B51="定投",B51="转换转入"),B51="卖出"),OR(D51&lt;=0,E51&lt;=0)),"买卖须填正份额、正金额",IF(AND(B51="卖出",D51&gt;K50+0.000001),"卖出份额超过持仓",IF(AND(OR(B51="买入",B51="定投",B51="转换转入"),F51&gt;=E51)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51="买入",B51="定投",B51="转换转入"),ABS(E51-F51-C51*D51)&gt;'持仓总览'!$H$6),"买入金额与份额净值不符",IF(AND(B51="卖出",ABS(E51+F51-C51*D51)&gt;'持仓总览'!$H$6),"到账加费用与赎回市值不符","已计入"))))))))))))))))))))))))))</f>
        <v>已计入</v>
      </c>
      <c r="J51" s="11">
        <f t="shared" si="0">IF(AA51="正常",IF(I51="已计入",IF(OR(OR(B51="买入",B51="定投",B51="转换转入"),B51="红利再投"),D51,IF(B51="卖出",-D51,0)),0),"")</f>
        <v>37.94</v>
      </c>
      <c r="K51" s="11">
        <f t="shared" si="5">IF(AA51="正常",ROUND(K50+J51,6),"")</f>
        <v>23658.97</v>
      </c>
      <c r="L51" s="11">
        <f t="shared" si="6">IF(I51="已计入",ROUND(K50*C51,2),"")</f>
        <v>124334.02</v>
      </c>
      <c r="M51" s="11">
        <f t="shared" si="7">IF(I51="已计入",IF(B51="卖出",MAX(0,L51-Q50-F51),IF(B51="现金分红",MAX(0,L51+E51-Q50),0)),"")</f>
        <v>0</v>
      </c>
      <c r="N51" s="11">
        <f>IF(I51="已计入",IF(AND(B51="卖出",'持仓总览'!$C$7="本金优先"),MAX(0,E51-Q50),IF(OR(B51="卖出",B51="现金分红"),MIN(E51,M51),0)),"")</f>
        <v>0</v>
      </c>
      <c r="O51" s="11">
        <f t="shared" si="8">IF(I51="已计入",IF(OR(B51="卖出",B51="现金分红"),MIN(Q50,MAX(0,E51-N51)),0),"")</f>
        <v>0</v>
      </c>
      <c r="P51" s="11">
        <f t="shared" si="9">IF(I51="已计入",IF(AND(B51="卖出",K51=0),MAX(0,Q50-O51),0),"")</f>
        <v>0</v>
      </c>
      <c r="Q51" s="11">
        <f t="shared" si="10">IF(AA51="正常",IF(I51="已计入",ROUND(Q50+IF(OR(B51="买入",B51="定投",B51="转换转入"),E51,0)-O51-P51,2),Q50),"")</f>
        <v>117550</v>
      </c>
      <c r="R51" s="11">
        <f t="shared" si="1">IF(I51="已计入",ROUND(K51*C51,2),"")</f>
        <v>124533.72</v>
      </c>
      <c r="S51" s="11">
        <f t="shared" si="2">IF(I51="已计入",ROUND(R51-Q51,2),"")</f>
        <v>6983.72</v>
      </c>
      <c r="T51" s="12">
        <f t="shared" si="3">IF(I51="已计入",IF(Q51=0,"",S51/Q51),"")</f>
        <v>0.05941063377286261</v>
      </c>
      <c r="U51" s="11">
        <f t="shared" si="11">IF(AA51="正常",U50+IF(AND(I51="已计入",OR(B51="买入",B51="定投",B51="转换转入")),E51,0),"")</f>
        <v>117550</v>
      </c>
      <c r="V51" s="11">
        <f t="shared" si="12">IF(AA51="正常",V50+IF(AND(I51="已计入",OR(B51="卖出",B51="现金分红")),E51,0),"")</f>
        <v>0</v>
      </c>
      <c r="W51" s="11">
        <f t="shared" si="13">IF(AA51="正常",W50+IF(I51="已计入",N51,0),"")</f>
        <v>0</v>
      </c>
      <c r="X51" s="11">
        <f t="shared" si="14">IF(AA51="正常",X50+IF(I51="已计入",P51,0),"")</f>
        <v>0</v>
      </c>
      <c r="Y51" s="11">
        <f t="shared" si="4">IF(I51="已计入",ROUND(R51+V51-U51,2),"")</f>
        <v>6983.72</v>
      </c>
      <c r="Z51" s="13">
        <f t="shared" si="15">IF(AA51="正常",IF(I51="已计入",A51,Z50),"")</f>
        <v>46078</v>
      </c>
      <c r="AA51" s="10" t="str">
        <f t="shared" si="16">IF(OR(AA50="错误",AND(I51&lt;&gt;"",I51&lt;&gt;"已排除",I51&lt;&gt;"待确认",I51&lt;&gt;"已计入")),"错误","正常")</f>
        <v>正常</v>
      </c>
      <c r="AB51" s="14">
        <f t="shared" si="17">IF(AA51="正常",IF(I51="已计入",C51,AB50),"")</f>
        <v>5.2637</v>
      </c>
    </row>
    <row r="52" ht="42" customHeight="1">
      <c r="A52" s="36">
        <v>46079</v>
      </c>
      <c r="B52" s="37" t="inlineStr">
        <is>
          <t>定投</t>
        </is>
      </c>
      <c r="C52" s="38">
        <v>5.1786</v>
      </c>
      <c r="D52" s="39">
        <v>38.56</v>
      </c>
      <c r="E52" s="39">
        <v>200</v>
      </c>
      <c r="F52" s="39">
        <v>0.32</v>
      </c>
      <c r="G52" s="37" t="inlineStr">
        <is>
          <t>历史估算</t>
        </is>
      </c>
      <c r="H52" s="40" t="inlineStr">
        <is>
          <t>原下单 2026-02-26 10:49:00
净值日／份额暂估，手续费按 0.16%</t>
        </is>
      </c>
      <c r="I52" s="10" t="str">
        <f>IF(COUNTA(A52:H52)=0,"",IF(OR(OR(OR(G52="撤单",G52="交易失败",G52="交易关闭"),G52="交易失败",G52="交易关闭"),G52="交易失败",G52="交易关闭"),"已排除",IF(G52="待确认","待确认",IF(NOT(OR(G52="已确认",G52="历史估算")),"请选择确认状态",IF(NOT(ISNUMBER(A52)),"缺少有效净值日期",IF(OR(A52&lt;=0,A52&lt;&gt;INT(A52)),"净值日期无效",IF(NOT(OR(OR(B52="买入",B52="定投",B52="转换转入"),B52="卖出",B52="现金分红",B52="红利再投")),"请选择交易类型",IF(NOT(ISNUMBER(C52)),"缺少成交净值",IF(C52&lt;=0,"成交净值须大于零",IF(NOT(ISNUMBER(D52)),"缺少确认份额（分红填0）",IF(NOT(ISNUMBER(E52)),"缺少确认金额（再投填0）",IF(NOT(ISNUMBER(F52)),"缺少手续费（无费用填0）",IF(OR(D52&lt;0,E52&lt;0,F52&lt;0),"份额金额费用不能为负",IF(AA51="错误","前行待修正",IF(A52&lt;Z51,"日期需按成交顺序递增",IF(AND(B52="现金分红",OR(D52&lt;&gt;0,E52&lt;=0,F52&lt;&gt;0)),"分红填份额0、费用0、正金额",IF(AND(B52="红利再投",OR(D52&lt;=0,E52&lt;&gt;0,F52&lt;&gt;0)),"再投填正份额、金额0、费用0",IF(AND(OR(B52="现金分红",B52="红利再投"),K51&lt;=0),"分红或再投前须有持仓",IF(AND(OR(OR(B52="买入",B52="定投",B52="转换转入"),B52="卖出"),OR(D52&lt;=0,E52&lt;=0)),"买卖须填正份额、正金额",IF(AND(B52="卖出",D52&gt;K51+0.000001),"卖出份额超过持仓",IF(AND(OR(B52="买入",B52="定投",B52="转换转入"),F52&gt;=E52)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52="买入",B52="定投",B52="转换转入"),ABS(E52-F52-C52*D52)&gt;'持仓总览'!$H$6),"买入金额与份额净值不符",IF(AND(B52="卖出",ABS(E52+F52-C52*D52)&gt;'持仓总览'!$H$6),"到账加费用与赎回市值不符","已计入"))))))))))))))))))))))))))</f>
        <v>已计入</v>
      </c>
      <c r="J52" s="11">
        <f t="shared" si="0">IF(AA52="正常",IF(I52="已计入",IF(OR(OR(B52="买入",B52="定投",B52="转换转入"),B52="红利再投"),D52,IF(B52="卖出",-D52,0)),0),"")</f>
        <v>38.56</v>
      </c>
      <c r="K52" s="11">
        <f t="shared" si="5">IF(AA52="正常",ROUND(K51+J52,6),"")</f>
        <v>23697.53</v>
      </c>
      <c r="L52" s="11">
        <f t="shared" si="6">IF(I52="已计入",ROUND(K51*C52,2),"")</f>
        <v>122520.34</v>
      </c>
      <c r="M52" s="11">
        <f t="shared" si="7">IF(I52="已计入",IF(B52="卖出",MAX(0,L52-Q51-F52),IF(B52="现金分红",MAX(0,L52+E52-Q51),0)),"")</f>
        <v>0</v>
      </c>
      <c r="N52" s="11">
        <f>IF(I52="已计入",IF(AND(B52="卖出",'持仓总览'!$C$7="本金优先"),MAX(0,E52-Q51),IF(OR(B52="卖出",B52="现金分红"),MIN(E52,M52),0)),"")</f>
        <v>0</v>
      </c>
      <c r="O52" s="11">
        <f t="shared" si="8">IF(I52="已计入",IF(OR(B52="卖出",B52="现金分红"),MIN(Q51,MAX(0,E52-N52)),0),"")</f>
        <v>0</v>
      </c>
      <c r="P52" s="11">
        <f t="shared" si="9">IF(I52="已计入",IF(AND(B52="卖出",K52=0),MAX(0,Q51-O52),0),"")</f>
        <v>0</v>
      </c>
      <c r="Q52" s="11">
        <f t="shared" si="10">IF(AA52="正常",IF(I52="已计入",ROUND(Q51+IF(OR(B52="买入",B52="定投",B52="转换转入"),E52,0)-O52-P52,2),Q51),"")</f>
        <v>117750</v>
      </c>
      <c r="R52" s="11">
        <f t="shared" si="1">IF(I52="已计入",ROUND(K52*C52,2),"")</f>
        <v>122720.03</v>
      </c>
      <c r="S52" s="11">
        <f t="shared" si="2">IF(I52="已计入",ROUND(R52-Q52,2),"")</f>
        <v>4970.03</v>
      </c>
      <c r="T52" s="12">
        <f t="shared" si="3">IF(I52="已计入",IF(Q52=0,"",S52/Q52),"")</f>
        <v>0.04220832271762208</v>
      </c>
      <c r="U52" s="11">
        <f t="shared" si="11">IF(AA52="正常",U51+IF(AND(I52="已计入",OR(B52="买入",B52="定投",B52="转换转入")),E52,0),"")</f>
        <v>117750</v>
      </c>
      <c r="V52" s="11">
        <f t="shared" si="12">IF(AA52="正常",V51+IF(AND(I52="已计入",OR(B52="卖出",B52="现金分红")),E52,0),"")</f>
        <v>0</v>
      </c>
      <c r="W52" s="11">
        <f t="shared" si="13">IF(AA52="正常",W51+IF(I52="已计入",N52,0),"")</f>
        <v>0</v>
      </c>
      <c r="X52" s="11">
        <f t="shared" si="14">IF(AA52="正常",X51+IF(I52="已计入",P52,0),"")</f>
        <v>0</v>
      </c>
      <c r="Y52" s="11">
        <f t="shared" si="4">IF(I52="已计入",ROUND(R52+V52-U52,2),"")</f>
        <v>4970.03</v>
      </c>
      <c r="Z52" s="13">
        <f t="shared" si="15">IF(AA52="正常",IF(I52="已计入",A52,Z51),"")</f>
        <v>46079</v>
      </c>
      <c r="AA52" s="10" t="str">
        <f t="shared" si="16">IF(OR(AA51="错误",AND(I52&lt;&gt;"",I52&lt;&gt;"已排除",I52&lt;&gt;"待确认",I52&lt;&gt;"已计入")),"错误","正常")</f>
        <v>正常</v>
      </c>
      <c r="AB52" s="14">
        <f t="shared" si="17">IF(AA52="正常",IF(I52="已计入",C52,AB51),"")</f>
        <v>5.1786</v>
      </c>
    </row>
    <row r="53" ht="42" customHeight="1">
      <c r="A53" s="36">
        <v>46080</v>
      </c>
      <c r="B53" s="37" t="inlineStr">
        <is>
          <t>定投</t>
        </is>
      </c>
      <c r="C53" s="38">
        <v>5.1398</v>
      </c>
      <c r="D53" s="39">
        <v>29.14</v>
      </c>
      <c r="E53" s="39">
        <v>150</v>
      </c>
      <c r="F53" s="39">
        <v>0.24</v>
      </c>
      <c r="G53" s="37" t="inlineStr">
        <is>
          <t>历史估算</t>
        </is>
      </c>
      <c r="H53" s="40" t="inlineStr">
        <is>
          <t>原下单 2026-02-27 10:59:35
净值日／份额暂估，手续费按 0.16%</t>
        </is>
      </c>
      <c r="I53" s="10" t="str">
        <f>IF(COUNTA(A53:H53)=0,"",IF(OR(OR(OR(G53="撤单",G53="交易失败",G53="交易关闭"),G53="交易失败",G53="交易关闭"),G53="交易失败",G53="交易关闭"),"已排除",IF(G53="待确认","待确认",IF(NOT(OR(G53="已确认",G53="历史估算")),"请选择确认状态",IF(NOT(ISNUMBER(A53)),"缺少有效净值日期",IF(OR(A53&lt;=0,A53&lt;&gt;INT(A53)),"净值日期无效",IF(NOT(OR(OR(B53="买入",B53="定投",B53="转换转入"),B53="卖出",B53="现金分红",B53="红利再投")),"请选择交易类型",IF(NOT(ISNUMBER(C53)),"缺少成交净值",IF(C53&lt;=0,"成交净值须大于零",IF(NOT(ISNUMBER(D53)),"缺少确认份额（分红填0）",IF(NOT(ISNUMBER(E53)),"缺少确认金额（再投填0）",IF(NOT(ISNUMBER(F53)),"缺少手续费（无费用填0）",IF(OR(D53&lt;0,E53&lt;0,F53&lt;0),"份额金额费用不能为负",IF(AA52="错误","前行待修正",IF(A53&lt;Z52,"日期需按成交顺序递增",IF(AND(B53="现金分红",OR(D53&lt;&gt;0,E53&lt;=0,F53&lt;&gt;0)),"分红填份额0、费用0、正金额",IF(AND(B53="红利再投",OR(D53&lt;=0,E53&lt;&gt;0,F53&lt;&gt;0)),"再投填正份额、金额0、费用0",IF(AND(OR(B53="现金分红",B53="红利再投"),K52&lt;=0),"分红或再投前须有持仓",IF(AND(OR(OR(B53="买入",B53="定投",B53="转换转入"),B53="卖出"),OR(D53&lt;=0,E53&lt;=0)),"买卖须填正份额、正金额",IF(AND(B53="卖出",D53&gt;K52+0.000001),"卖出份额超过持仓",IF(AND(OR(B53="买入",B53="定投",B53="转换转入"),F53&gt;=E53)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53="买入",B53="定投",B53="转换转入"),ABS(E53-F53-C53*D53)&gt;'持仓总览'!$H$6),"买入金额与份额净值不符",IF(AND(B53="卖出",ABS(E53+F53-C53*D53)&gt;'持仓总览'!$H$6),"到账加费用与赎回市值不符","已计入"))))))))))))))))))))))))))</f>
        <v>已计入</v>
      </c>
      <c r="J53" s="11">
        <f t="shared" si="0">IF(AA53="正常",IF(I53="已计入",IF(OR(OR(B53="买入",B53="定投",B53="转换转入"),B53="红利再投"),D53,IF(B53="卖出",-D53,0)),0),"")</f>
        <v>29.14</v>
      </c>
      <c r="K53" s="11">
        <f t="shared" si="5">IF(AA53="正常",ROUND(K52+J53,6),"")</f>
        <v>23726.67</v>
      </c>
      <c r="L53" s="11">
        <f t="shared" si="6">IF(I53="已计入",ROUND(K52*C53,2),"")</f>
        <v>121800.56</v>
      </c>
      <c r="M53" s="11">
        <f t="shared" si="7">IF(I53="已计入",IF(B53="卖出",MAX(0,L53-Q52-F53),IF(B53="现金分红",MAX(0,L53+E53-Q52),0)),"")</f>
        <v>0</v>
      </c>
      <c r="N53" s="11">
        <f>IF(I53="已计入",IF(AND(B53="卖出",'持仓总览'!$C$7="本金优先"),MAX(0,E53-Q52),IF(OR(B53="卖出",B53="现金分红"),MIN(E53,M53),0)),"")</f>
        <v>0</v>
      </c>
      <c r="O53" s="11">
        <f t="shared" si="8">IF(I53="已计入",IF(OR(B53="卖出",B53="现金分红"),MIN(Q52,MAX(0,E53-N53)),0),"")</f>
        <v>0</v>
      </c>
      <c r="P53" s="11">
        <f t="shared" si="9">IF(I53="已计入",IF(AND(B53="卖出",K53=0),MAX(0,Q52-O53),0),"")</f>
        <v>0</v>
      </c>
      <c r="Q53" s="11">
        <f t="shared" si="10">IF(AA53="正常",IF(I53="已计入",ROUND(Q52+IF(OR(B53="买入",B53="定投",B53="转换转入"),E53,0)-O53-P53,2),Q52),"")</f>
        <v>117900</v>
      </c>
      <c r="R53" s="11">
        <f t="shared" si="1">IF(I53="已计入",ROUND(K53*C53,2),"")</f>
        <v>121950.34</v>
      </c>
      <c r="S53" s="11">
        <f t="shared" si="2">IF(I53="已计入",ROUND(R53-Q53,2),"")</f>
        <v>4050.34</v>
      </c>
      <c r="T53" s="12">
        <f t="shared" si="3">IF(I53="已计入",IF(Q53=0,"",S53/Q53),"")</f>
        <v>0.034354028837998304</v>
      </c>
      <c r="U53" s="11">
        <f t="shared" si="11">IF(AA53="正常",U52+IF(AND(I53="已计入",OR(B53="买入",B53="定投",B53="转换转入")),E53,0),"")</f>
        <v>117900</v>
      </c>
      <c r="V53" s="11">
        <f t="shared" si="12">IF(AA53="正常",V52+IF(AND(I53="已计入",OR(B53="卖出",B53="现金分红")),E53,0),"")</f>
        <v>0</v>
      </c>
      <c r="W53" s="11">
        <f t="shared" si="13">IF(AA53="正常",W52+IF(I53="已计入",N53,0),"")</f>
        <v>0</v>
      </c>
      <c r="X53" s="11">
        <f t="shared" si="14">IF(AA53="正常",X52+IF(I53="已计入",P53,0),"")</f>
        <v>0</v>
      </c>
      <c r="Y53" s="11">
        <f t="shared" si="4">IF(I53="已计入",ROUND(R53+V53-U53,2),"")</f>
        <v>4050.34</v>
      </c>
      <c r="Z53" s="13">
        <f t="shared" si="15">IF(AA53="正常",IF(I53="已计入",A53,Z52),"")</f>
        <v>46080</v>
      </c>
      <c r="AA53" s="10" t="str">
        <f t="shared" si="16">IF(OR(AA52="错误",AND(I53&lt;&gt;"",I53&lt;&gt;"已排除",I53&lt;&gt;"待确认",I53&lt;&gt;"已计入")),"错误","正常")</f>
        <v>正常</v>
      </c>
      <c r="AB53" s="14">
        <f t="shared" si="17">IF(AA53="正常",IF(I53="已计入",C53,AB52),"")</f>
        <v>5.1398</v>
      </c>
    </row>
    <row r="54" ht="42" customHeight="1">
      <c r="A54" s="36">
        <v>46083</v>
      </c>
      <c r="B54" s="37" t="inlineStr">
        <is>
          <t>定投</t>
        </is>
      </c>
      <c r="C54" s="38">
        <v>5.1437</v>
      </c>
      <c r="D54" s="39">
        <v>29.12</v>
      </c>
      <c r="E54" s="39">
        <v>150</v>
      </c>
      <c r="F54" s="39">
        <v>0.24</v>
      </c>
      <c r="G54" s="37" t="inlineStr">
        <is>
          <t>历史估算</t>
        </is>
      </c>
      <c r="H54" s="40" t="inlineStr">
        <is>
          <t>原下单 2026-03-02 11:11:17
净值日／份额暂估，手续费按 0.16%</t>
        </is>
      </c>
      <c r="I54" s="10" t="str">
        <f>IF(COUNTA(A54:H54)=0,"",IF(OR(OR(OR(G54="撤单",G54="交易失败",G54="交易关闭"),G54="交易失败",G54="交易关闭"),G54="交易失败",G54="交易关闭"),"已排除",IF(G54="待确认","待确认",IF(NOT(OR(G54="已确认",G54="历史估算")),"请选择确认状态",IF(NOT(ISNUMBER(A54)),"缺少有效净值日期",IF(OR(A54&lt;=0,A54&lt;&gt;INT(A54)),"净值日期无效",IF(NOT(OR(OR(B54="买入",B54="定投",B54="转换转入"),B54="卖出",B54="现金分红",B54="红利再投")),"请选择交易类型",IF(NOT(ISNUMBER(C54)),"缺少成交净值",IF(C54&lt;=0,"成交净值须大于零",IF(NOT(ISNUMBER(D54)),"缺少确认份额（分红填0）",IF(NOT(ISNUMBER(E54)),"缺少确认金额（再投填0）",IF(NOT(ISNUMBER(F54)),"缺少手续费（无费用填0）",IF(OR(D54&lt;0,E54&lt;0,F54&lt;0),"份额金额费用不能为负",IF(AA53="错误","前行待修正",IF(A54&lt;Z53,"日期需按成交顺序递增",IF(AND(B54="现金分红",OR(D54&lt;&gt;0,E54&lt;=0,F54&lt;&gt;0)),"分红填份额0、费用0、正金额",IF(AND(B54="红利再投",OR(D54&lt;=0,E54&lt;&gt;0,F54&lt;&gt;0)),"再投填正份额、金额0、费用0",IF(AND(OR(B54="现金分红",B54="红利再投"),K53&lt;=0),"分红或再投前须有持仓",IF(AND(OR(OR(B54="买入",B54="定投",B54="转换转入"),B54="卖出"),OR(D54&lt;=0,E54&lt;=0)),"买卖须填正份额、正金额",IF(AND(B54="卖出",D54&gt;K53+0.000001),"卖出份额超过持仓",IF(AND(OR(B54="买入",B54="定投",B54="转换转入"),F54&gt;=E54)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54="买入",B54="定投",B54="转换转入"),ABS(E54-F54-C54*D54)&gt;'持仓总览'!$H$6),"买入金额与份额净值不符",IF(AND(B54="卖出",ABS(E54+F54-C54*D54)&gt;'持仓总览'!$H$6),"到账加费用与赎回市值不符","已计入"))))))))))))))))))))))))))</f>
        <v>已计入</v>
      </c>
      <c r="J54" s="11">
        <f t="shared" si="0">IF(AA54="正常",IF(I54="已计入",IF(OR(OR(B54="买入",B54="定投",B54="转换转入"),B54="红利再投"),D54,IF(B54="卖出",-D54,0)),0),"")</f>
        <v>29.12</v>
      </c>
      <c r="K54" s="11">
        <f t="shared" si="5">IF(AA54="正常",ROUND(K53+J54,6),"")</f>
        <v>23755.79</v>
      </c>
      <c r="L54" s="11">
        <f t="shared" si="6">IF(I54="已计入",ROUND(K53*C54,2),"")</f>
        <v>122042.87</v>
      </c>
      <c r="M54" s="11">
        <f t="shared" si="7">IF(I54="已计入",IF(B54="卖出",MAX(0,L54-Q53-F54),IF(B54="现金分红",MAX(0,L54+E54-Q53),0)),"")</f>
        <v>0</v>
      </c>
      <c r="N54" s="11">
        <f>IF(I54="已计入",IF(AND(B54="卖出",'持仓总览'!$C$7="本金优先"),MAX(0,E54-Q53),IF(OR(B54="卖出",B54="现金分红"),MIN(E54,M54),0)),"")</f>
        <v>0</v>
      </c>
      <c r="O54" s="11">
        <f t="shared" si="8">IF(I54="已计入",IF(OR(B54="卖出",B54="现金分红"),MIN(Q53,MAX(0,E54-N54)),0),"")</f>
        <v>0</v>
      </c>
      <c r="P54" s="11">
        <f t="shared" si="9">IF(I54="已计入",IF(AND(B54="卖出",K54=0),MAX(0,Q53-O54),0),"")</f>
        <v>0</v>
      </c>
      <c r="Q54" s="11">
        <f t="shared" si="10">IF(AA54="正常",IF(I54="已计入",ROUND(Q53+IF(OR(B54="买入",B54="定投",B54="转换转入"),E54,0)-O54-P54,2),Q53),"")</f>
        <v>118050</v>
      </c>
      <c r="R54" s="11">
        <f t="shared" si="1">IF(I54="已计入",ROUND(K54*C54,2),"")</f>
        <v>122192.66</v>
      </c>
      <c r="S54" s="11">
        <f t="shared" si="2">IF(I54="已计入",ROUND(R54-Q54,2),"")</f>
        <v>4142.66</v>
      </c>
      <c r="T54" s="12">
        <f t="shared" si="3">IF(I54="已计入",IF(Q54=0,"",S54/Q54),"")</f>
        <v>0.035092418466751374</v>
      </c>
      <c r="U54" s="11">
        <f t="shared" si="11">IF(AA54="正常",U53+IF(AND(I54="已计入",OR(B54="买入",B54="定投",B54="转换转入")),E54,0),"")</f>
        <v>118050</v>
      </c>
      <c r="V54" s="11">
        <f t="shared" si="12">IF(AA54="正常",V53+IF(AND(I54="已计入",OR(B54="卖出",B54="现金分红")),E54,0),"")</f>
        <v>0</v>
      </c>
      <c r="W54" s="11">
        <f t="shared" si="13">IF(AA54="正常",W53+IF(I54="已计入",N54,0),"")</f>
        <v>0</v>
      </c>
      <c r="X54" s="11">
        <f t="shared" si="14">IF(AA54="正常",X53+IF(I54="已计入",P54,0),"")</f>
        <v>0</v>
      </c>
      <c r="Y54" s="11">
        <f t="shared" si="4">IF(I54="已计入",ROUND(R54+V54-U54,2),"")</f>
        <v>4142.66</v>
      </c>
      <c r="Z54" s="13">
        <f t="shared" si="15">IF(AA54="正常",IF(I54="已计入",A54,Z53),"")</f>
        <v>46083</v>
      </c>
      <c r="AA54" s="10" t="str">
        <f t="shared" si="16">IF(OR(AA53="错误",AND(I54&lt;&gt;"",I54&lt;&gt;"已排除",I54&lt;&gt;"待确认",I54&lt;&gt;"已计入")),"错误","正常")</f>
        <v>正常</v>
      </c>
      <c r="AB54" s="14">
        <f t="shared" si="17">IF(AA54="正常",IF(I54="已计入",C54,AB53),"")</f>
        <v>5.1437</v>
      </c>
    </row>
    <row r="55" ht="42" customHeight="1">
      <c r="A55" s="36">
        <v>46093</v>
      </c>
      <c r="B55" s="37" t="inlineStr">
        <is>
          <t>定投</t>
        </is>
      </c>
      <c r="C55" s="38">
        <v>4.9799</v>
      </c>
      <c r="D55" s="39">
        <v>30.07</v>
      </c>
      <c r="E55" s="39">
        <v>150</v>
      </c>
      <c r="F55" s="39">
        <v>0.24</v>
      </c>
      <c r="G55" s="37" t="inlineStr">
        <is>
          <t>历史估算</t>
        </is>
      </c>
      <c r="H55" s="40" t="inlineStr">
        <is>
          <t>原下单 2026-03-12 11:06:31
净值日／份额暂估，手续费按 0.16%</t>
        </is>
      </c>
      <c r="I55" s="10" t="str">
        <f>IF(COUNTA(A55:H55)=0,"",IF(OR(OR(OR(G55="撤单",G55="交易失败",G55="交易关闭"),G55="交易失败",G55="交易关闭"),G55="交易失败",G55="交易关闭"),"已排除",IF(G55="待确认","待确认",IF(NOT(OR(G55="已确认",G55="历史估算")),"请选择确认状态",IF(NOT(ISNUMBER(A55)),"缺少有效净值日期",IF(OR(A55&lt;=0,A55&lt;&gt;INT(A55)),"净值日期无效",IF(NOT(OR(OR(B55="买入",B55="定投",B55="转换转入"),B55="卖出",B55="现金分红",B55="红利再投")),"请选择交易类型",IF(NOT(ISNUMBER(C55)),"缺少成交净值",IF(C55&lt;=0,"成交净值须大于零",IF(NOT(ISNUMBER(D55)),"缺少确认份额（分红填0）",IF(NOT(ISNUMBER(E55)),"缺少确认金额（再投填0）",IF(NOT(ISNUMBER(F55)),"缺少手续费（无费用填0）",IF(OR(D55&lt;0,E55&lt;0,F55&lt;0),"份额金额费用不能为负",IF(AA54="错误","前行待修正",IF(A55&lt;Z54,"日期需按成交顺序递增",IF(AND(B55="现金分红",OR(D55&lt;&gt;0,E55&lt;=0,F55&lt;&gt;0)),"分红填份额0、费用0、正金额",IF(AND(B55="红利再投",OR(D55&lt;=0,E55&lt;&gt;0,F55&lt;&gt;0)),"再投填正份额、金额0、费用0",IF(AND(OR(B55="现金分红",B55="红利再投"),K54&lt;=0),"分红或再投前须有持仓",IF(AND(OR(OR(B55="买入",B55="定投",B55="转换转入"),B55="卖出"),OR(D55&lt;=0,E55&lt;=0)),"买卖须填正份额、正金额",IF(AND(B55="卖出",D55&gt;K54+0.000001),"卖出份额超过持仓",IF(AND(OR(B55="买入",B55="定投",B55="转换转入"),F55&gt;=E55)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55="买入",B55="定投",B55="转换转入"),ABS(E55-F55-C55*D55)&gt;'持仓总览'!$H$6),"买入金额与份额净值不符",IF(AND(B55="卖出",ABS(E55+F55-C55*D55)&gt;'持仓总览'!$H$6),"到账加费用与赎回市值不符","已计入"))))))))))))))))))))))))))</f>
        <v>已计入</v>
      </c>
      <c r="J55" s="11">
        <f t="shared" si="0">IF(AA55="正常",IF(I55="已计入",IF(OR(OR(B55="买入",B55="定投",B55="转换转入"),B55="红利再投"),D55,IF(B55="卖出",-D55,0)),0),"")</f>
        <v>30.07</v>
      </c>
      <c r="K55" s="11">
        <f t="shared" si="5">IF(AA55="正常",ROUND(K54+J55,6),"")</f>
        <v>23785.86</v>
      </c>
      <c r="L55" s="11">
        <f t="shared" si="6">IF(I55="已计入",ROUND(K54*C55,2),"")</f>
        <v>118301.46</v>
      </c>
      <c r="M55" s="11">
        <f t="shared" si="7">IF(I55="已计入",IF(B55="卖出",MAX(0,L55-Q54-F55),IF(B55="现金分红",MAX(0,L55+E55-Q54),0)),"")</f>
        <v>0</v>
      </c>
      <c r="N55" s="11">
        <f>IF(I55="已计入",IF(AND(B55="卖出",'持仓总览'!$C$7="本金优先"),MAX(0,E55-Q54),IF(OR(B55="卖出",B55="现金分红"),MIN(E55,M55),0)),"")</f>
        <v>0</v>
      </c>
      <c r="O55" s="11">
        <f t="shared" si="8">IF(I55="已计入",IF(OR(B55="卖出",B55="现金分红"),MIN(Q54,MAX(0,E55-N55)),0),"")</f>
        <v>0</v>
      </c>
      <c r="P55" s="11">
        <f t="shared" si="9">IF(I55="已计入",IF(AND(B55="卖出",K55=0),MAX(0,Q54-O55),0),"")</f>
        <v>0</v>
      </c>
      <c r="Q55" s="11">
        <f t="shared" si="10">IF(AA55="正常",IF(I55="已计入",ROUND(Q54+IF(OR(B55="买入",B55="定投",B55="转换转入"),E55,0)-O55-P55,2),Q54),"")</f>
        <v>118200</v>
      </c>
      <c r="R55" s="11">
        <f t="shared" si="1">IF(I55="已计入",ROUND(K55*C55,2),"")</f>
        <v>118451.2</v>
      </c>
      <c r="S55" s="11">
        <f t="shared" si="2">IF(I55="已计入",ROUND(R55-Q55,2),"")</f>
        <v>251.2</v>
      </c>
      <c r="T55" s="12">
        <f t="shared" si="3">IF(I55="已计入",IF(Q55=0,"",S55/Q55),"")</f>
        <v>0.002125211505922166</v>
      </c>
      <c r="U55" s="11">
        <f t="shared" si="11">IF(AA55="正常",U54+IF(AND(I55="已计入",OR(B55="买入",B55="定投",B55="转换转入")),E55,0),"")</f>
        <v>118200</v>
      </c>
      <c r="V55" s="11">
        <f t="shared" si="12">IF(AA55="正常",V54+IF(AND(I55="已计入",OR(B55="卖出",B55="现金分红")),E55,0),"")</f>
        <v>0</v>
      </c>
      <c r="W55" s="11">
        <f t="shared" si="13">IF(AA55="正常",W54+IF(I55="已计入",N55,0),"")</f>
        <v>0</v>
      </c>
      <c r="X55" s="11">
        <f t="shared" si="14">IF(AA55="正常",X54+IF(I55="已计入",P55,0),"")</f>
        <v>0</v>
      </c>
      <c r="Y55" s="11">
        <f t="shared" si="4">IF(I55="已计入",ROUND(R55+V55-U55,2),"")</f>
        <v>251.2</v>
      </c>
      <c r="Z55" s="13">
        <f t="shared" si="15">IF(AA55="正常",IF(I55="已计入",A55,Z54),"")</f>
        <v>46093</v>
      </c>
      <c r="AA55" s="10" t="str">
        <f t="shared" si="16">IF(OR(AA54="错误",AND(I55&lt;&gt;"",I55&lt;&gt;"已排除",I55&lt;&gt;"待确认",I55&lt;&gt;"已计入")),"错误","正常")</f>
        <v>正常</v>
      </c>
      <c r="AB55" s="14">
        <f t="shared" si="17">IF(AA55="正常",IF(I55="已计入",C55,AB54),"")</f>
        <v>4.9799</v>
      </c>
    </row>
    <row r="56" ht="42" customHeight="1">
      <c r="A56" s="36">
        <v>46094</v>
      </c>
      <c r="B56" s="37" t="inlineStr">
        <is>
          <t>定投</t>
        </is>
      </c>
      <c r="C56" s="38">
        <v>4.9686</v>
      </c>
      <c r="D56" s="39">
        <v>30.14</v>
      </c>
      <c r="E56" s="39">
        <v>150</v>
      </c>
      <c r="F56" s="39">
        <v>0.24</v>
      </c>
      <c r="G56" s="37" t="inlineStr">
        <is>
          <t>历史估算</t>
        </is>
      </c>
      <c r="H56" s="40" t="inlineStr">
        <is>
          <t>原下单 2026-03-13 11:01:08
净值日／份额暂估，手续费按 0.16%</t>
        </is>
      </c>
      <c r="I56" s="10" t="str">
        <f>IF(COUNTA(A56:H56)=0,"",IF(OR(OR(OR(G56="撤单",G56="交易失败",G56="交易关闭"),G56="交易失败",G56="交易关闭"),G56="交易失败",G56="交易关闭"),"已排除",IF(G56="待确认","待确认",IF(NOT(OR(G56="已确认",G56="历史估算")),"请选择确认状态",IF(NOT(ISNUMBER(A56)),"缺少有效净值日期",IF(OR(A56&lt;=0,A56&lt;&gt;INT(A56)),"净值日期无效",IF(NOT(OR(OR(B56="买入",B56="定投",B56="转换转入"),B56="卖出",B56="现金分红",B56="红利再投")),"请选择交易类型",IF(NOT(ISNUMBER(C56)),"缺少成交净值",IF(C56&lt;=0,"成交净值须大于零",IF(NOT(ISNUMBER(D56)),"缺少确认份额（分红填0）",IF(NOT(ISNUMBER(E56)),"缺少确认金额（再投填0）",IF(NOT(ISNUMBER(F56)),"缺少手续费（无费用填0）",IF(OR(D56&lt;0,E56&lt;0,F56&lt;0),"份额金额费用不能为负",IF(AA55="错误","前行待修正",IF(A56&lt;Z55,"日期需按成交顺序递增",IF(AND(B56="现金分红",OR(D56&lt;&gt;0,E56&lt;=0,F56&lt;&gt;0)),"分红填份额0、费用0、正金额",IF(AND(B56="红利再投",OR(D56&lt;=0,E56&lt;&gt;0,F56&lt;&gt;0)),"再投填正份额、金额0、费用0",IF(AND(OR(B56="现金分红",B56="红利再投"),K55&lt;=0),"分红或再投前须有持仓",IF(AND(OR(OR(B56="买入",B56="定投",B56="转换转入"),B56="卖出"),OR(D56&lt;=0,E56&lt;=0)),"买卖须填正份额、正金额",IF(AND(B56="卖出",D56&gt;K55+0.000001),"卖出份额超过持仓",IF(AND(OR(B56="买入",B56="定投",B56="转换转入"),F56&gt;=E56)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56="买入",B56="定投",B56="转换转入"),ABS(E56-F56-C56*D56)&gt;'持仓总览'!$H$6),"买入金额与份额净值不符",IF(AND(B56="卖出",ABS(E56+F56-C56*D56)&gt;'持仓总览'!$H$6),"到账加费用与赎回市值不符","已计入"))))))))))))))))))))))))))</f>
        <v>已计入</v>
      </c>
      <c r="J56" s="11">
        <f t="shared" si="0">IF(AA56="正常",IF(I56="已计入",IF(OR(OR(B56="买入",B56="定投",B56="转换转入"),B56="红利再投"),D56,IF(B56="卖出",-D56,0)),0),"")</f>
        <v>30.14</v>
      </c>
      <c r="K56" s="11">
        <f t="shared" si="5">IF(AA56="正常",ROUND(K55+J56,6),"")</f>
        <v>23816</v>
      </c>
      <c r="L56" s="11">
        <f t="shared" si="6">IF(I56="已计入",ROUND(K55*C56,2),"")</f>
        <v>118182.42</v>
      </c>
      <c r="M56" s="11">
        <f t="shared" si="7">IF(I56="已计入",IF(B56="卖出",MAX(0,L56-Q55-F56),IF(B56="现金分红",MAX(0,L56+E56-Q55),0)),"")</f>
        <v>0</v>
      </c>
      <c r="N56" s="11">
        <f>IF(I56="已计入",IF(AND(B56="卖出",'持仓总览'!$C$7="本金优先"),MAX(0,E56-Q55),IF(OR(B56="卖出",B56="现金分红"),MIN(E56,M56),0)),"")</f>
        <v>0</v>
      </c>
      <c r="O56" s="11">
        <f t="shared" si="8">IF(I56="已计入",IF(OR(B56="卖出",B56="现金分红"),MIN(Q55,MAX(0,E56-N56)),0),"")</f>
        <v>0</v>
      </c>
      <c r="P56" s="11">
        <f t="shared" si="9">IF(I56="已计入",IF(AND(B56="卖出",K56=0),MAX(0,Q55-O56),0),"")</f>
        <v>0</v>
      </c>
      <c r="Q56" s="11">
        <f t="shared" si="10">IF(AA56="正常",IF(I56="已计入",ROUND(Q55+IF(OR(B56="买入",B56="定投",B56="转换转入"),E56,0)-O56-P56,2),Q55),"")</f>
        <v>118350</v>
      </c>
      <c r="R56" s="11">
        <f t="shared" si="1">IF(I56="已计入",ROUND(K56*C56,2),"")</f>
        <v>118332.18</v>
      </c>
      <c r="S56" s="11">
        <f t="shared" si="2">IF(I56="已计入",ROUND(R56-Q56,2),"")</f>
        <v>-17.82</v>
      </c>
      <c r="T56" s="12">
        <f t="shared" si="3">IF(I56="已计入",IF(Q56=0,"",S56/Q56),"")</f>
        <v>-0.0001505703422053232</v>
      </c>
      <c r="U56" s="11">
        <f t="shared" si="11">IF(AA56="正常",U55+IF(AND(I56="已计入",OR(B56="买入",B56="定投",B56="转换转入")),E56,0),"")</f>
        <v>118350</v>
      </c>
      <c r="V56" s="11">
        <f t="shared" si="12">IF(AA56="正常",V55+IF(AND(I56="已计入",OR(B56="卖出",B56="现金分红")),E56,0),"")</f>
        <v>0</v>
      </c>
      <c r="W56" s="11">
        <f t="shared" si="13">IF(AA56="正常",W55+IF(I56="已计入",N56,0),"")</f>
        <v>0</v>
      </c>
      <c r="X56" s="11">
        <f t="shared" si="14">IF(AA56="正常",X55+IF(I56="已计入",P56,0),"")</f>
        <v>0</v>
      </c>
      <c r="Y56" s="11">
        <f t="shared" si="4">IF(I56="已计入",ROUND(R56+V56-U56,2),"")</f>
        <v>-17.82</v>
      </c>
      <c r="Z56" s="13">
        <f t="shared" si="15">IF(AA56="正常",IF(I56="已计入",A56,Z55),"")</f>
        <v>46094</v>
      </c>
      <c r="AA56" s="10" t="str">
        <f t="shared" si="16">IF(OR(AA55="错误",AND(I56&lt;&gt;"",I56&lt;&gt;"已排除",I56&lt;&gt;"待确认",I56&lt;&gt;"已计入")),"错误","正常")</f>
        <v>正常</v>
      </c>
      <c r="AB56" s="14">
        <f t="shared" si="17">IF(AA56="正常",IF(I56="已计入",C56,AB55),"")</f>
        <v>4.9686</v>
      </c>
    </row>
    <row r="57" ht="42" customHeight="1">
      <c r="A57" s="36">
        <v>46097</v>
      </c>
      <c r="B57" s="37" t="inlineStr">
        <is>
          <t>定投</t>
        </is>
      </c>
      <c r="C57" s="38">
        <v>5.0686</v>
      </c>
      <c r="D57" s="39">
        <v>29.55</v>
      </c>
      <c r="E57" s="39">
        <v>150</v>
      </c>
      <c r="F57" s="39">
        <v>0.24</v>
      </c>
      <c r="G57" s="37" t="inlineStr">
        <is>
          <t>历史估算</t>
        </is>
      </c>
      <c r="H57" s="40" t="inlineStr">
        <is>
          <t>原下单 2026-03-16 11:09:46
净值日／份额暂估，手续费按 0.16%</t>
        </is>
      </c>
      <c r="I57" s="10" t="str">
        <f>IF(COUNTA(A57:H57)=0,"",IF(OR(OR(OR(G57="撤单",G57="交易失败",G57="交易关闭"),G57="交易失败",G57="交易关闭"),G57="交易失败",G57="交易关闭"),"已排除",IF(G57="待确认","待确认",IF(NOT(OR(G57="已确认",G57="历史估算")),"请选择确认状态",IF(NOT(ISNUMBER(A57)),"缺少有效净值日期",IF(OR(A57&lt;=0,A57&lt;&gt;INT(A57)),"净值日期无效",IF(NOT(OR(OR(B57="买入",B57="定投",B57="转换转入"),B57="卖出",B57="现金分红",B57="红利再投")),"请选择交易类型",IF(NOT(ISNUMBER(C57)),"缺少成交净值",IF(C57&lt;=0,"成交净值须大于零",IF(NOT(ISNUMBER(D57)),"缺少确认份额（分红填0）",IF(NOT(ISNUMBER(E57)),"缺少确认金额（再投填0）",IF(NOT(ISNUMBER(F57)),"缺少手续费（无费用填0）",IF(OR(D57&lt;0,E57&lt;0,F57&lt;0),"份额金额费用不能为负",IF(AA56="错误","前行待修正",IF(A57&lt;Z56,"日期需按成交顺序递增",IF(AND(B57="现金分红",OR(D57&lt;&gt;0,E57&lt;=0,F57&lt;&gt;0)),"分红填份额0、费用0、正金额",IF(AND(B57="红利再投",OR(D57&lt;=0,E57&lt;&gt;0,F57&lt;&gt;0)),"再投填正份额、金额0、费用0",IF(AND(OR(B57="现金分红",B57="红利再投"),K56&lt;=0),"分红或再投前须有持仓",IF(AND(OR(OR(B57="买入",B57="定投",B57="转换转入"),B57="卖出"),OR(D57&lt;=0,E57&lt;=0)),"买卖须填正份额、正金额",IF(AND(B57="卖出",D57&gt;K56+0.000001),"卖出份额超过持仓",IF(AND(OR(B57="买入",B57="定投",B57="转换转入"),F57&gt;=E57)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57="买入",B57="定投",B57="转换转入"),ABS(E57-F57-C57*D57)&gt;'持仓总览'!$H$6),"买入金额与份额净值不符",IF(AND(B57="卖出",ABS(E57+F57-C57*D57)&gt;'持仓总览'!$H$6),"到账加费用与赎回市值不符","已计入"))))))))))))))))))))))))))</f>
        <v>已计入</v>
      </c>
      <c r="J57" s="11">
        <f t="shared" si="0">IF(AA57="正常",IF(I57="已计入",IF(OR(OR(B57="买入",B57="定投",B57="转换转入"),B57="红利再投"),D57,IF(B57="卖出",-D57,0)),0),"")</f>
        <v>29.55</v>
      </c>
      <c r="K57" s="11">
        <f t="shared" si="5">IF(AA57="正常",ROUND(K56+J57,6),"")</f>
        <v>23845.55</v>
      </c>
      <c r="L57" s="11">
        <f t="shared" si="6">IF(I57="已计入",ROUND(K56*C57,2),"")</f>
        <v>120713.78</v>
      </c>
      <c r="M57" s="11">
        <f t="shared" si="7">IF(I57="已计入",IF(B57="卖出",MAX(0,L57-Q56-F57),IF(B57="现金分红",MAX(0,L57+E57-Q56),0)),"")</f>
        <v>0</v>
      </c>
      <c r="N57" s="11">
        <f>IF(I57="已计入",IF(AND(B57="卖出",'持仓总览'!$C$7="本金优先"),MAX(0,E57-Q56),IF(OR(B57="卖出",B57="现金分红"),MIN(E57,M57),0)),"")</f>
        <v>0</v>
      </c>
      <c r="O57" s="11">
        <f t="shared" si="8">IF(I57="已计入",IF(OR(B57="卖出",B57="现金分红"),MIN(Q56,MAX(0,E57-N57)),0),"")</f>
        <v>0</v>
      </c>
      <c r="P57" s="11">
        <f t="shared" si="9">IF(I57="已计入",IF(AND(B57="卖出",K57=0),MAX(0,Q56-O57),0),"")</f>
        <v>0</v>
      </c>
      <c r="Q57" s="11">
        <f t="shared" si="10">IF(AA57="正常",IF(I57="已计入",ROUND(Q56+IF(OR(B57="买入",B57="定投",B57="转换转入"),E57,0)-O57-P57,2),Q56),"")</f>
        <v>118500</v>
      </c>
      <c r="R57" s="11">
        <f t="shared" si="1">IF(I57="已计入",ROUND(K57*C57,2),"")</f>
        <v>120863.55</v>
      </c>
      <c r="S57" s="11">
        <f t="shared" si="2">IF(I57="已计入",ROUND(R57-Q57,2),"")</f>
        <v>2363.55</v>
      </c>
      <c r="T57" s="12">
        <f t="shared" si="3">IF(I57="已计入",IF(Q57=0,"",S57/Q57),"")</f>
        <v>0.019945569620253165</v>
      </c>
      <c r="U57" s="11">
        <f t="shared" si="11">IF(AA57="正常",U56+IF(AND(I57="已计入",OR(B57="买入",B57="定投",B57="转换转入")),E57,0),"")</f>
        <v>118500</v>
      </c>
      <c r="V57" s="11">
        <f t="shared" si="12">IF(AA57="正常",V56+IF(AND(I57="已计入",OR(B57="卖出",B57="现金分红")),E57,0),"")</f>
        <v>0</v>
      </c>
      <c r="W57" s="11">
        <f t="shared" si="13">IF(AA57="正常",W56+IF(I57="已计入",N57,0),"")</f>
        <v>0</v>
      </c>
      <c r="X57" s="11">
        <f t="shared" si="14">IF(AA57="正常",X56+IF(I57="已计入",P57,0),"")</f>
        <v>0</v>
      </c>
      <c r="Y57" s="11">
        <f t="shared" si="4">IF(I57="已计入",ROUND(R57+V57-U57,2),"")</f>
        <v>2363.55</v>
      </c>
      <c r="Z57" s="13">
        <f t="shared" si="15">IF(AA57="正常",IF(I57="已计入",A57,Z56),"")</f>
        <v>46097</v>
      </c>
      <c r="AA57" s="10" t="str">
        <f t="shared" si="16">IF(OR(AA56="错误",AND(I57&lt;&gt;"",I57&lt;&gt;"已排除",I57&lt;&gt;"待确认",I57&lt;&gt;"已计入")),"错误","正常")</f>
        <v>正常</v>
      </c>
      <c r="AB57" s="14">
        <f t="shared" si="17">IF(AA57="正常",IF(I57="已计入",C57,AB56),"")</f>
        <v>5.0686</v>
      </c>
    </row>
    <row r="58" ht="42" customHeight="1">
      <c r="A58" s="36">
        <v>46098</v>
      </c>
      <c r="B58" s="37" t="inlineStr">
        <is>
          <t>定投</t>
        </is>
      </c>
      <c r="C58" s="38">
        <v>5.0641</v>
      </c>
      <c r="D58" s="39">
        <v>29.57</v>
      </c>
      <c r="E58" s="39">
        <v>150</v>
      </c>
      <c r="F58" s="39">
        <v>0.24</v>
      </c>
      <c r="G58" s="37" t="inlineStr">
        <is>
          <t>历史估算</t>
        </is>
      </c>
      <c r="H58" s="40" t="inlineStr">
        <is>
          <t>原下单 2026-03-17 10:57:08
净值日／份额暂估，手续费按 0.16%</t>
        </is>
      </c>
      <c r="I58" s="10" t="str">
        <f>IF(COUNTA(A58:H58)=0,"",IF(OR(OR(OR(G58="撤单",G58="交易失败",G58="交易关闭"),G58="交易失败",G58="交易关闭"),G58="交易失败",G58="交易关闭"),"已排除",IF(G58="待确认","待确认",IF(NOT(OR(G58="已确认",G58="历史估算")),"请选择确认状态",IF(NOT(ISNUMBER(A58)),"缺少有效净值日期",IF(OR(A58&lt;=0,A58&lt;&gt;INT(A58)),"净值日期无效",IF(NOT(OR(OR(B58="买入",B58="定投",B58="转换转入"),B58="卖出",B58="现金分红",B58="红利再投")),"请选择交易类型",IF(NOT(ISNUMBER(C58)),"缺少成交净值",IF(C58&lt;=0,"成交净值须大于零",IF(NOT(ISNUMBER(D58)),"缺少确认份额（分红填0）",IF(NOT(ISNUMBER(E58)),"缺少确认金额（再投填0）",IF(NOT(ISNUMBER(F58)),"缺少手续费（无费用填0）",IF(OR(D58&lt;0,E58&lt;0,F58&lt;0),"份额金额费用不能为负",IF(AA57="错误","前行待修正",IF(A58&lt;Z57,"日期需按成交顺序递增",IF(AND(B58="现金分红",OR(D58&lt;&gt;0,E58&lt;=0,F58&lt;&gt;0)),"分红填份额0、费用0、正金额",IF(AND(B58="红利再投",OR(D58&lt;=0,E58&lt;&gt;0,F58&lt;&gt;0)),"再投填正份额、金额0、费用0",IF(AND(OR(B58="现金分红",B58="红利再投"),K57&lt;=0),"分红或再投前须有持仓",IF(AND(OR(OR(B58="买入",B58="定投",B58="转换转入"),B58="卖出"),OR(D58&lt;=0,E58&lt;=0)),"买卖须填正份额、正金额",IF(AND(B58="卖出",D58&gt;K57+0.000001),"卖出份额超过持仓",IF(AND(OR(B58="买入",B58="定投",B58="转换转入"),F58&gt;=E58)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58="买入",B58="定投",B58="转换转入"),ABS(E58-F58-C58*D58)&gt;'持仓总览'!$H$6),"买入金额与份额净值不符",IF(AND(B58="卖出",ABS(E58+F58-C58*D58)&gt;'持仓总览'!$H$6),"到账加费用与赎回市值不符","已计入"))))))))))))))))))))))))))</f>
        <v>已计入</v>
      </c>
      <c r="J58" s="11">
        <f t="shared" si="0">IF(AA58="正常",IF(I58="已计入",IF(OR(OR(B58="买入",B58="定投",B58="转换转入"),B58="红利再投"),D58,IF(B58="卖出",-D58,0)),0),"")</f>
        <v>29.57</v>
      </c>
      <c r="K58" s="11">
        <f t="shared" si="5">IF(AA58="正常",ROUND(K57+J58,6),"")</f>
        <v>23875.12</v>
      </c>
      <c r="L58" s="11">
        <f t="shared" si="6">IF(I58="已计入",ROUND(K57*C58,2),"")</f>
        <v>120756.25</v>
      </c>
      <c r="M58" s="11">
        <f t="shared" si="7">IF(I58="已计入",IF(B58="卖出",MAX(0,L58-Q57-F58),IF(B58="现金分红",MAX(0,L58+E58-Q57),0)),"")</f>
        <v>0</v>
      </c>
      <c r="N58" s="11">
        <f>IF(I58="已计入",IF(AND(B58="卖出",'持仓总览'!$C$7="本金优先"),MAX(0,E58-Q57),IF(OR(B58="卖出",B58="现金分红"),MIN(E58,M58),0)),"")</f>
        <v>0</v>
      </c>
      <c r="O58" s="11">
        <f t="shared" si="8">IF(I58="已计入",IF(OR(B58="卖出",B58="现金分红"),MIN(Q57,MAX(0,E58-N58)),0),"")</f>
        <v>0</v>
      </c>
      <c r="P58" s="11">
        <f t="shared" si="9">IF(I58="已计入",IF(AND(B58="卖出",K58=0),MAX(0,Q57-O58),0),"")</f>
        <v>0</v>
      </c>
      <c r="Q58" s="11">
        <f t="shared" si="10">IF(AA58="正常",IF(I58="已计入",ROUND(Q57+IF(OR(B58="买入",B58="定投",B58="转换转入"),E58,0)-O58-P58,2),Q57),"")</f>
        <v>118650</v>
      </c>
      <c r="R58" s="11">
        <f t="shared" si="1">IF(I58="已计入",ROUND(K58*C58,2),"")</f>
        <v>120906</v>
      </c>
      <c r="S58" s="11">
        <f t="shared" si="2">IF(I58="已计入",ROUND(R58-Q58,2),"")</f>
        <v>2256</v>
      </c>
      <c r="T58" s="12">
        <f t="shared" si="3">IF(I58="已计入",IF(Q58=0,"",S58/Q58),"")</f>
        <v>0.019013906447534767</v>
      </c>
      <c r="U58" s="11">
        <f t="shared" si="11">IF(AA58="正常",U57+IF(AND(I58="已计入",OR(B58="买入",B58="定投",B58="转换转入")),E58,0),"")</f>
        <v>118650</v>
      </c>
      <c r="V58" s="11">
        <f t="shared" si="12">IF(AA58="正常",V57+IF(AND(I58="已计入",OR(B58="卖出",B58="现金分红")),E58,0),"")</f>
        <v>0</v>
      </c>
      <c r="W58" s="11">
        <f t="shared" si="13">IF(AA58="正常",W57+IF(I58="已计入",N58,0),"")</f>
        <v>0</v>
      </c>
      <c r="X58" s="11">
        <f t="shared" si="14">IF(AA58="正常",X57+IF(I58="已计入",P58,0),"")</f>
        <v>0</v>
      </c>
      <c r="Y58" s="11">
        <f t="shared" si="4">IF(I58="已计入",ROUND(R58+V58-U58,2),"")</f>
        <v>2256</v>
      </c>
      <c r="Z58" s="13">
        <f t="shared" si="15">IF(AA58="正常",IF(I58="已计入",A58,Z57),"")</f>
        <v>46098</v>
      </c>
      <c r="AA58" s="10" t="str">
        <f t="shared" si="16">IF(OR(AA57="错误",AND(I58&lt;&gt;"",I58&lt;&gt;"已排除",I58&lt;&gt;"待确认",I58&lt;&gt;"已计入")),"错误","正常")</f>
        <v>正常</v>
      </c>
      <c r="AB58" s="14">
        <f t="shared" si="17">IF(AA58="正常",IF(I58="已计入",C58,AB57),"")</f>
        <v>5.0641</v>
      </c>
    </row>
    <row r="59" ht="42" customHeight="1">
      <c r="A59" s="36">
        <v>46099</v>
      </c>
      <c r="B59" s="37" t="inlineStr">
        <is>
          <t>定投</t>
        </is>
      </c>
      <c r="C59" s="38">
        <v>5.11</v>
      </c>
      <c r="D59" s="39">
        <v>29.31</v>
      </c>
      <c r="E59" s="39">
        <v>150</v>
      </c>
      <c r="F59" s="39">
        <v>0.24</v>
      </c>
      <c r="G59" s="37" t="inlineStr">
        <is>
          <t>历史估算</t>
        </is>
      </c>
      <c r="H59" s="40" t="inlineStr">
        <is>
          <t>原下单 2026-03-18 10:55:38
净值日／份额暂估，手续费按 0.16%</t>
        </is>
      </c>
      <c r="I59" s="10" t="str">
        <f>IF(COUNTA(A59:H59)=0,"",IF(OR(OR(OR(G59="撤单",G59="交易失败",G59="交易关闭"),G59="交易失败",G59="交易关闭"),G59="交易失败",G59="交易关闭"),"已排除",IF(G59="待确认","待确认",IF(NOT(OR(G59="已确认",G59="历史估算")),"请选择确认状态",IF(NOT(ISNUMBER(A59)),"缺少有效净值日期",IF(OR(A59&lt;=0,A59&lt;&gt;INT(A59)),"净值日期无效",IF(NOT(OR(OR(B59="买入",B59="定投",B59="转换转入"),B59="卖出",B59="现金分红",B59="红利再投")),"请选择交易类型",IF(NOT(ISNUMBER(C59)),"缺少成交净值",IF(C59&lt;=0,"成交净值须大于零",IF(NOT(ISNUMBER(D59)),"缺少确认份额（分红填0）",IF(NOT(ISNUMBER(E59)),"缺少确认金额（再投填0）",IF(NOT(ISNUMBER(F59)),"缺少手续费（无费用填0）",IF(OR(D59&lt;0,E59&lt;0,F59&lt;0),"份额金额费用不能为负",IF(AA58="错误","前行待修正",IF(A59&lt;Z58,"日期需按成交顺序递增",IF(AND(B59="现金分红",OR(D59&lt;&gt;0,E59&lt;=0,F59&lt;&gt;0)),"分红填份额0、费用0、正金额",IF(AND(B59="红利再投",OR(D59&lt;=0,E59&lt;&gt;0,F59&lt;&gt;0)),"再投填正份额、金额0、费用0",IF(AND(OR(B59="现金分红",B59="红利再投"),K58&lt;=0),"分红或再投前须有持仓",IF(AND(OR(OR(B59="买入",B59="定投",B59="转换转入"),B59="卖出"),OR(D59&lt;=0,E59&lt;=0)),"买卖须填正份额、正金额",IF(AND(B59="卖出",D59&gt;K58+0.000001),"卖出份额超过持仓",IF(AND(OR(B59="买入",B59="定投",B59="转换转入"),F59&gt;=E59)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59="买入",B59="定投",B59="转换转入"),ABS(E59-F59-C59*D59)&gt;'持仓总览'!$H$6),"买入金额与份额净值不符",IF(AND(B59="卖出",ABS(E59+F59-C59*D59)&gt;'持仓总览'!$H$6),"到账加费用与赎回市值不符","已计入"))))))))))))))))))))))))))</f>
        <v>已计入</v>
      </c>
      <c r="J59" s="11">
        <f t="shared" si="0">IF(AA59="正常",IF(I59="已计入",IF(OR(OR(B59="买入",B59="定投",B59="转换转入"),B59="红利再投"),D59,IF(B59="卖出",-D59,0)),0),"")</f>
        <v>29.31</v>
      </c>
      <c r="K59" s="11">
        <f t="shared" si="5">IF(AA59="正常",ROUND(K58+J59,6),"")</f>
        <v>23904.43</v>
      </c>
      <c r="L59" s="11">
        <f t="shared" si="6">IF(I59="已计入",ROUND(K58*C59,2),"")</f>
        <v>122001.86</v>
      </c>
      <c r="M59" s="11">
        <f t="shared" si="7">IF(I59="已计入",IF(B59="卖出",MAX(0,L59-Q58-F59),IF(B59="现金分红",MAX(0,L59+E59-Q58),0)),"")</f>
        <v>0</v>
      </c>
      <c r="N59" s="11">
        <f>IF(I59="已计入",IF(AND(B59="卖出",'持仓总览'!$C$7="本金优先"),MAX(0,E59-Q58),IF(OR(B59="卖出",B59="现金分红"),MIN(E59,M59),0)),"")</f>
        <v>0</v>
      </c>
      <c r="O59" s="11">
        <f t="shared" si="8">IF(I59="已计入",IF(OR(B59="卖出",B59="现金分红"),MIN(Q58,MAX(0,E59-N59)),0),"")</f>
        <v>0</v>
      </c>
      <c r="P59" s="11">
        <f t="shared" si="9">IF(I59="已计入",IF(AND(B59="卖出",K59=0),MAX(0,Q58-O59),0),"")</f>
        <v>0</v>
      </c>
      <c r="Q59" s="11">
        <f t="shared" si="10">IF(AA59="正常",IF(I59="已计入",ROUND(Q58+IF(OR(B59="买入",B59="定投",B59="转换转入"),E59,0)-O59-P59,2),Q58),"")</f>
        <v>118800</v>
      </c>
      <c r="R59" s="11">
        <f t="shared" si="1">IF(I59="已计入",ROUND(K59*C59,2),"")</f>
        <v>122151.64</v>
      </c>
      <c r="S59" s="11">
        <f t="shared" si="2">IF(I59="已计入",ROUND(R59-Q59,2),"")</f>
        <v>3351.64</v>
      </c>
      <c r="T59" s="12">
        <f t="shared" si="3">IF(I59="已计入",IF(Q59=0,"",S59/Q59),"")</f>
        <v>0.02821245791245791</v>
      </c>
      <c r="U59" s="11">
        <f t="shared" si="11">IF(AA59="正常",U58+IF(AND(I59="已计入",OR(B59="买入",B59="定投",B59="转换转入")),E59,0),"")</f>
        <v>118800</v>
      </c>
      <c r="V59" s="11">
        <f t="shared" si="12">IF(AA59="正常",V58+IF(AND(I59="已计入",OR(B59="卖出",B59="现金分红")),E59,0),"")</f>
        <v>0</v>
      </c>
      <c r="W59" s="11">
        <f t="shared" si="13">IF(AA59="正常",W58+IF(I59="已计入",N59,0),"")</f>
        <v>0</v>
      </c>
      <c r="X59" s="11">
        <f t="shared" si="14">IF(AA59="正常",X58+IF(I59="已计入",P59,0),"")</f>
        <v>0</v>
      </c>
      <c r="Y59" s="11">
        <f t="shared" si="4">IF(I59="已计入",ROUND(R59+V59-U59,2),"")</f>
        <v>3351.64</v>
      </c>
      <c r="Z59" s="13">
        <f t="shared" si="15">IF(AA59="正常",IF(I59="已计入",A59,Z58),"")</f>
        <v>46099</v>
      </c>
      <c r="AA59" s="10" t="str">
        <f t="shared" si="16">IF(OR(AA58="错误",AND(I59&lt;&gt;"",I59&lt;&gt;"已排除",I59&lt;&gt;"待确认",I59&lt;&gt;"已计入")),"错误","正常")</f>
        <v>正常</v>
      </c>
      <c r="AB59" s="14">
        <f t="shared" si="17">IF(AA59="正常",IF(I59="已计入",C59,AB58),"")</f>
        <v>5.11</v>
      </c>
    </row>
    <row r="60" ht="42" customHeight="1">
      <c r="A60" s="36">
        <v>46100</v>
      </c>
      <c r="B60" s="37" t="inlineStr">
        <is>
          <t>定投</t>
        </is>
      </c>
      <c r="C60" s="38">
        <v>5.0696</v>
      </c>
      <c r="D60" s="39">
        <v>29.54</v>
      </c>
      <c r="E60" s="39">
        <v>150</v>
      </c>
      <c r="F60" s="39">
        <v>0.24</v>
      </c>
      <c r="G60" s="37" t="inlineStr">
        <is>
          <t>历史估算</t>
        </is>
      </c>
      <c r="H60" s="40" t="inlineStr">
        <is>
          <t>原下单 2026-03-19 10:56:41
净值日／份额暂估，手续费按 0.16%</t>
        </is>
      </c>
      <c r="I60" s="10" t="str">
        <f>IF(COUNTA(A60:H60)=0,"",IF(OR(OR(OR(G60="撤单",G60="交易失败",G60="交易关闭"),G60="交易失败",G60="交易关闭"),G60="交易失败",G60="交易关闭"),"已排除",IF(G60="待确认","待确认",IF(NOT(OR(G60="已确认",G60="历史估算")),"请选择确认状态",IF(NOT(ISNUMBER(A60)),"缺少有效净值日期",IF(OR(A60&lt;=0,A60&lt;&gt;INT(A60)),"净值日期无效",IF(NOT(OR(OR(B60="买入",B60="定投",B60="转换转入"),B60="卖出",B60="现金分红",B60="红利再投")),"请选择交易类型",IF(NOT(ISNUMBER(C60)),"缺少成交净值",IF(C60&lt;=0,"成交净值须大于零",IF(NOT(ISNUMBER(D60)),"缺少确认份额（分红填0）",IF(NOT(ISNUMBER(E60)),"缺少确认金额（再投填0）",IF(NOT(ISNUMBER(F60)),"缺少手续费（无费用填0）",IF(OR(D60&lt;0,E60&lt;0,F60&lt;0),"份额金额费用不能为负",IF(AA59="错误","前行待修正",IF(A60&lt;Z59,"日期需按成交顺序递增",IF(AND(B60="现金分红",OR(D60&lt;&gt;0,E60&lt;=0,F60&lt;&gt;0)),"分红填份额0、费用0、正金额",IF(AND(B60="红利再投",OR(D60&lt;=0,E60&lt;&gt;0,F60&lt;&gt;0)),"再投填正份额、金额0、费用0",IF(AND(OR(B60="现金分红",B60="红利再投"),K59&lt;=0),"分红或再投前须有持仓",IF(AND(OR(OR(B60="买入",B60="定投",B60="转换转入"),B60="卖出"),OR(D60&lt;=0,E60&lt;=0)),"买卖须填正份额、正金额",IF(AND(B60="卖出",D60&gt;K59+0.000001),"卖出份额超过持仓",IF(AND(OR(B60="买入",B60="定投",B60="转换转入"),F60&gt;=E60)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60="买入",B60="定投",B60="转换转入"),ABS(E60-F60-C60*D60)&gt;'持仓总览'!$H$6),"买入金额与份额净值不符",IF(AND(B60="卖出",ABS(E60+F60-C60*D60)&gt;'持仓总览'!$H$6),"到账加费用与赎回市值不符","已计入"))))))))))))))))))))))))))</f>
        <v>已计入</v>
      </c>
      <c r="J60" s="11">
        <f t="shared" si="0">IF(AA60="正常",IF(I60="已计入",IF(OR(OR(B60="买入",B60="定投",B60="转换转入"),B60="红利再投"),D60,IF(B60="卖出",-D60,0)),0),"")</f>
        <v>29.54</v>
      </c>
      <c r="K60" s="11">
        <f t="shared" si="5">IF(AA60="正常",ROUND(K59+J60,6),"")</f>
        <v>23933.97</v>
      </c>
      <c r="L60" s="11">
        <f t="shared" si="6">IF(I60="已计入",ROUND(K59*C60,2),"")</f>
        <v>121185.9</v>
      </c>
      <c r="M60" s="11">
        <f t="shared" si="7">IF(I60="已计入",IF(B60="卖出",MAX(0,L60-Q59-F60),IF(B60="现金分红",MAX(0,L60+E60-Q59),0)),"")</f>
        <v>0</v>
      </c>
      <c r="N60" s="11">
        <f>IF(I60="已计入",IF(AND(B60="卖出",'持仓总览'!$C$7="本金优先"),MAX(0,E60-Q59),IF(OR(B60="卖出",B60="现金分红"),MIN(E60,M60),0)),"")</f>
        <v>0</v>
      </c>
      <c r="O60" s="11">
        <f t="shared" si="8">IF(I60="已计入",IF(OR(B60="卖出",B60="现金分红"),MIN(Q59,MAX(0,E60-N60)),0),"")</f>
        <v>0</v>
      </c>
      <c r="P60" s="11">
        <f t="shared" si="9">IF(I60="已计入",IF(AND(B60="卖出",K60=0),MAX(0,Q59-O60),0),"")</f>
        <v>0</v>
      </c>
      <c r="Q60" s="11">
        <f t="shared" si="10">IF(AA60="正常",IF(I60="已计入",ROUND(Q59+IF(OR(B60="买入",B60="定投",B60="转换转入"),E60,0)-O60-P60,2),Q59),"")</f>
        <v>118950</v>
      </c>
      <c r="R60" s="11">
        <f t="shared" si="1">IF(I60="已计入",ROUND(K60*C60,2),"")</f>
        <v>121335.65</v>
      </c>
      <c r="S60" s="11">
        <f t="shared" si="2">IF(I60="已计入",ROUND(R60-Q60,2),"")</f>
        <v>2385.65</v>
      </c>
      <c r="T60" s="12">
        <f t="shared" si="3">IF(I60="已计入",IF(Q60=0,"",S60/Q60),"")</f>
        <v>0.02005590584279109</v>
      </c>
      <c r="U60" s="11">
        <f t="shared" si="11">IF(AA60="正常",U59+IF(AND(I60="已计入",OR(B60="买入",B60="定投",B60="转换转入")),E60,0),"")</f>
        <v>118950</v>
      </c>
      <c r="V60" s="11">
        <f t="shared" si="12">IF(AA60="正常",V59+IF(AND(I60="已计入",OR(B60="卖出",B60="现金分红")),E60,0),"")</f>
        <v>0</v>
      </c>
      <c r="W60" s="11">
        <f t="shared" si="13">IF(AA60="正常",W59+IF(I60="已计入",N60,0),"")</f>
        <v>0</v>
      </c>
      <c r="X60" s="11">
        <f t="shared" si="14">IF(AA60="正常",X59+IF(I60="已计入",P60,0),"")</f>
        <v>0</v>
      </c>
      <c r="Y60" s="11">
        <f t="shared" si="4">IF(I60="已计入",ROUND(R60+V60-U60,2),"")</f>
        <v>2385.65</v>
      </c>
      <c r="Z60" s="13">
        <f t="shared" si="15">IF(AA60="正常",IF(I60="已计入",A60,Z59),"")</f>
        <v>46100</v>
      </c>
      <c r="AA60" s="10" t="str">
        <f t="shared" si="16">IF(OR(AA59="错误",AND(I60&lt;&gt;"",I60&lt;&gt;"已排除",I60&lt;&gt;"待确认",I60&lt;&gt;"已计入")),"错误","正常")</f>
        <v>正常</v>
      </c>
      <c r="AB60" s="14">
        <f t="shared" si="17">IF(AA60="正常",IF(I60="已计入",C60,AB59),"")</f>
        <v>5.0696</v>
      </c>
    </row>
    <row r="61" ht="42" customHeight="1">
      <c r="A61" s="36">
        <v>46101</v>
      </c>
      <c r="B61" s="37" t="inlineStr">
        <is>
          <t>定投</t>
        </is>
      </c>
      <c r="C61" s="38">
        <v>4.9514</v>
      </c>
      <c r="D61" s="39">
        <v>30.25</v>
      </c>
      <c r="E61" s="39">
        <v>150</v>
      </c>
      <c r="F61" s="39">
        <v>0.24</v>
      </c>
      <c r="G61" s="37" t="inlineStr">
        <is>
          <t>历史估算</t>
        </is>
      </c>
      <c r="H61" s="40" t="inlineStr">
        <is>
          <t>原下单 2026-03-20 10:48:56
净值日／份额暂估，手续费按 0.16%</t>
        </is>
      </c>
      <c r="I61" s="10" t="str">
        <f>IF(COUNTA(A61:H61)=0,"",IF(OR(OR(OR(G61="撤单",G61="交易失败",G61="交易关闭"),G61="交易失败",G61="交易关闭"),G61="交易失败",G61="交易关闭"),"已排除",IF(G61="待确认","待确认",IF(NOT(OR(G61="已确认",G61="历史估算")),"请选择确认状态",IF(NOT(ISNUMBER(A61)),"缺少有效净值日期",IF(OR(A61&lt;=0,A61&lt;&gt;INT(A61)),"净值日期无效",IF(NOT(OR(OR(B61="买入",B61="定投",B61="转换转入"),B61="卖出",B61="现金分红",B61="红利再投")),"请选择交易类型",IF(NOT(ISNUMBER(C61)),"缺少成交净值",IF(C61&lt;=0,"成交净值须大于零",IF(NOT(ISNUMBER(D61)),"缺少确认份额（分红填0）",IF(NOT(ISNUMBER(E61)),"缺少确认金额（再投填0）",IF(NOT(ISNUMBER(F61)),"缺少手续费（无费用填0）",IF(OR(D61&lt;0,E61&lt;0,F61&lt;0),"份额金额费用不能为负",IF(AA60="错误","前行待修正",IF(A61&lt;Z60,"日期需按成交顺序递增",IF(AND(B61="现金分红",OR(D61&lt;&gt;0,E61&lt;=0,F61&lt;&gt;0)),"分红填份额0、费用0、正金额",IF(AND(B61="红利再投",OR(D61&lt;=0,E61&lt;&gt;0,F61&lt;&gt;0)),"再投填正份额、金额0、费用0",IF(AND(OR(B61="现金分红",B61="红利再投"),K60&lt;=0),"分红或再投前须有持仓",IF(AND(OR(OR(B61="买入",B61="定投",B61="转换转入"),B61="卖出"),OR(D61&lt;=0,E61&lt;=0)),"买卖须填正份额、正金额",IF(AND(B61="卖出",D61&gt;K60+0.000001),"卖出份额超过持仓",IF(AND(OR(B61="买入",B61="定投",B61="转换转入"),F61&gt;=E61)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61="买入",B61="定投",B61="转换转入"),ABS(E61-F61-C61*D61)&gt;'持仓总览'!$H$6),"买入金额与份额净值不符",IF(AND(B61="卖出",ABS(E61+F61-C61*D61)&gt;'持仓总览'!$H$6),"到账加费用与赎回市值不符","已计入"))))))))))))))))))))))))))</f>
        <v>已计入</v>
      </c>
      <c r="J61" s="11">
        <f t="shared" si="0">IF(AA61="正常",IF(I61="已计入",IF(OR(OR(B61="买入",B61="定投",B61="转换转入"),B61="红利再投"),D61,IF(B61="卖出",-D61,0)),0),"")</f>
        <v>30.25</v>
      </c>
      <c r="K61" s="11">
        <f t="shared" si="5">IF(AA61="正常",ROUND(K60+J61,6),"")</f>
        <v>23964.22</v>
      </c>
      <c r="L61" s="11">
        <f t="shared" si="6">IF(I61="已计入",ROUND(K60*C61,2),"")</f>
        <v>118506.66</v>
      </c>
      <c r="M61" s="11">
        <f t="shared" si="7">IF(I61="已计入",IF(B61="卖出",MAX(0,L61-Q60-F61),IF(B61="现金分红",MAX(0,L61+E61-Q60),0)),"")</f>
        <v>0</v>
      </c>
      <c r="N61" s="11">
        <f>IF(I61="已计入",IF(AND(B61="卖出",'持仓总览'!$C$7="本金优先"),MAX(0,E61-Q60),IF(OR(B61="卖出",B61="现金分红"),MIN(E61,M61),0)),"")</f>
        <v>0</v>
      </c>
      <c r="O61" s="11">
        <f t="shared" si="8">IF(I61="已计入",IF(OR(B61="卖出",B61="现金分红"),MIN(Q60,MAX(0,E61-N61)),0),"")</f>
        <v>0</v>
      </c>
      <c r="P61" s="11">
        <f t="shared" si="9">IF(I61="已计入",IF(AND(B61="卖出",K61=0),MAX(0,Q60-O61),0),"")</f>
        <v>0</v>
      </c>
      <c r="Q61" s="11">
        <f t="shared" si="10">IF(AA61="正常",IF(I61="已计入",ROUND(Q60+IF(OR(B61="买入",B61="定投",B61="转换转入"),E61,0)-O61-P61,2),Q60),"")</f>
        <v>119100</v>
      </c>
      <c r="R61" s="11">
        <f t="shared" si="1">IF(I61="已计入",ROUND(K61*C61,2),"")</f>
        <v>118656.44</v>
      </c>
      <c r="S61" s="11">
        <f t="shared" si="2">IF(I61="已计入",ROUND(R61-Q61,2),"")</f>
        <v>-443.56</v>
      </c>
      <c r="T61" s="12">
        <f t="shared" si="3">IF(I61="已计入",IF(Q61=0,"",S61/Q61),"")</f>
        <v>-0.0037242653232577665</v>
      </c>
      <c r="U61" s="11">
        <f t="shared" si="11">IF(AA61="正常",U60+IF(AND(I61="已计入",OR(B61="买入",B61="定投",B61="转换转入")),E61,0),"")</f>
        <v>119100</v>
      </c>
      <c r="V61" s="11">
        <f t="shared" si="12">IF(AA61="正常",V60+IF(AND(I61="已计入",OR(B61="卖出",B61="现金分红")),E61,0),"")</f>
        <v>0</v>
      </c>
      <c r="W61" s="11">
        <f t="shared" si="13">IF(AA61="正常",W60+IF(I61="已计入",N61,0),"")</f>
        <v>0</v>
      </c>
      <c r="X61" s="11">
        <f t="shared" si="14">IF(AA61="正常",X60+IF(I61="已计入",P61,0),"")</f>
        <v>0</v>
      </c>
      <c r="Y61" s="11">
        <f t="shared" si="4">IF(I61="已计入",ROUND(R61+V61-U61,2),"")</f>
        <v>-443.56</v>
      </c>
      <c r="Z61" s="13">
        <f t="shared" si="15">IF(AA61="正常",IF(I61="已计入",A61,Z60),"")</f>
        <v>46101</v>
      </c>
      <c r="AA61" s="10" t="str">
        <f t="shared" si="16">IF(OR(AA60="错误",AND(I61&lt;&gt;"",I61&lt;&gt;"已排除",I61&lt;&gt;"待确认",I61&lt;&gt;"已计入")),"错误","正常")</f>
        <v>正常</v>
      </c>
      <c r="AB61" s="14">
        <f t="shared" si="17">IF(AA61="正常",IF(I61="已计入",C61,AB60),"")</f>
        <v>4.9514</v>
      </c>
    </row>
    <row r="62" ht="42" customHeight="1">
      <c r="A62" s="36">
        <v>46104</v>
      </c>
      <c r="B62" s="37" t="inlineStr">
        <is>
          <t>定投</t>
        </is>
      </c>
      <c r="C62" s="38">
        <v>4.9328</v>
      </c>
      <c r="D62" s="39">
        <v>30.36</v>
      </c>
      <c r="E62" s="39">
        <v>150</v>
      </c>
      <c r="F62" s="39">
        <v>0.24</v>
      </c>
      <c r="G62" s="37" t="inlineStr">
        <is>
          <t>历史估算</t>
        </is>
      </c>
      <c r="H62" s="40" t="inlineStr">
        <is>
          <t>原下单 2026-03-23 11:00:20
净值日／份额暂估，手续费按 0.16%</t>
        </is>
      </c>
      <c r="I62" s="10" t="str">
        <f>IF(COUNTA(A62:H62)=0,"",IF(OR(OR(OR(G62="撤单",G62="交易失败",G62="交易关闭"),G62="交易失败",G62="交易关闭"),G62="交易失败",G62="交易关闭"),"已排除",IF(G62="待确认","待确认",IF(NOT(OR(G62="已确认",G62="历史估算")),"请选择确认状态",IF(NOT(ISNUMBER(A62)),"缺少有效净值日期",IF(OR(A62&lt;=0,A62&lt;&gt;INT(A62)),"净值日期无效",IF(NOT(OR(OR(B62="买入",B62="定投",B62="转换转入"),B62="卖出",B62="现金分红",B62="红利再投")),"请选择交易类型",IF(NOT(ISNUMBER(C62)),"缺少成交净值",IF(C62&lt;=0,"成交净值须大于零",IF(NOT(ISNUMBER(D62)),"缺少确认份额（分红填0）",IF(NOT(ISNUMBER(E62)),"缺少确认金额（再投填0）",IF(NOT(ISNUMBER(F62)),"缺少手续费（无费用填0）",IF(OR(D62&lt;0,E62&lt;0,F62&lt;0),"份额金额费用不能为负",IF(AA61="错误","前行待修正",IF(A62&lt;Z61,"日期需按成交顺序递增",IF(AND(B62="现金分红",OR(D62&lt;&gt;0,E62&lt;=0,F62&lt;&gt;0)),"分红填份额0、费用0、正金额",IF(AND(B62="红利再投",OR(D62&lt;=0,E62&lt;&gt;0,F62&lt;&gt;0)),"再投填正份额、金额0、费用0",IF(AND(OR(B62="现金分红",B62="红利再投"),K61&lt;=0),"分红或再投前须有持仓",IF(AND(OR(OR(B62="买入",B62="定投",B62="转换转入"),B62="卖出"),OR(D62&lt;=0,E62&lt;=0)),"买卖须填正份额、正金额",IF(AND(B62="卖出",D62&gt;K61+0.000001),"卖出份额超过持仓",IF(AND(OR(B62="买入",B62="定投",B62="转换转入"),F62&gt;=E62)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62="买入",B62="定投",B62="转换转入"),ABS(E62-F62-C62*D62)&gt;'持仓总览'!$H$6),"买入金额与份额净值不符",IF(AND(B62="卖出",ABS(E62+F62-C62*D62)&gt;'持仓总览'!$H$6),"到账加费用与赎回市值不符","已计入"))))))))))))))))))))))))))</f>
        <v>已计入</v>
      </c>
      <c r="J62" s="11">
        <f t="shared" si="0">IF(AA62="正常",IF(I62="已计入",IF(OR(OR(B62="买入",B62="定投",B62="转换转入"),B62="红利再投"),D62,IF(B62="卖出",-D62,0)),0),"")</f>
        <v>30.36</v>
      </c>
      <c r="K62" s="11">
        <f t="shared" si="5">IF(AA62="正常",ROUND(K61+J62,6),"")</f>
        <v>23994.58</v>
      </c>
      <c r="L62" s="11">
        <f t="shared" si="6">IF(I62="已计入",ROUND(K61*C62,2),"")</f>
        <v>118210.7</v>
      </c>
      <c r="M62" s="11">
        <f t="shared" si="7">IF(I62="已计入",IF(B62="卖出",MAX(0,L62-Q61-F62),IF(B62="现金分红",MAX(0,L62+E62-Q61),0)),"")</f>
        <v>0</v>
      </c>
      <c r="N62" s="11">
        <f>IF(I62="已计入",IF(AND(B62="卖出",'持仓总览'!$C$7="本金优先"),MAX(0,E62-Q61),IF(OR(B62="卖出",B62="现金分红"),MIN(E62,M62),0)),"")</f>
        <v>0</v>
      </c>
      <c r="O62" s="11">
        <f t="shared" si="8">IF(I62="已计入",IF(OR(B62="卖出",B62="现金分红"),MIN(Q61,MAX(0,E62-N62)),0),"")</f>
        <v>0</v>
      </c>
      <c r="P62" s="11">
        <f t="shared" si="9">IF(I62="已计入",IF(AND(B62="卖出",K62=0),MAX(0,Q61-O62),0),"")</f>
        <v>0</v>
      </c>
      <c r="Q62" s="11">
        <f t="shared" si="10">IF(AA62="正常",IF(I62="已计入",ROUND(Q61+IF(OR(B62="买入",B62="定投",B62="转换转入"),E62,0)-O62-P62,2),Q61),"")</f>
        <v>119250</v>
      </c>
      <c r="R62" s="11">
        <f t="shared" si="1">IF(I62="已计入",ROUND(K62*C62,2),"")</f>
        <v>118360.46</v>
      </c>
      <c r="S62" s="11">
        <f t="shared" si="2">IF(I62="已计入",ROUND(R62-Q62,2),"")</f>
        <v>-889.54</v>
      </c>
      <c r="T62" s="12">
        <f t="shared" si="3">IF(I62="已计入",IF(Q62=0,"",S62/Q62),"")</f>
        <v>-0.007459454926624738</v>
      </c>
      <c r="U62" s="11">
        <f t="shared" si="11">IF(AA62="正常",U61+IF(AND(I62="已计入",OR(B62="买入",B62="定投",B62="转换转入")),E62,0),"")</f>
        <v>119250</v>
      </c>
      <c r="V62" s="11">
        <f t="shared" si="12">IF(AA62="正常",V61+IF(AND(I62="已计入",OR(B62="卖出",B62="现金分红")),E62,0),"")</f>
        <v>0</v>
      </c>
      <c r="W62" s="11">
        <f t="shared" si="13">IF(AA62="正常",W61+IF(I62="已计入",N62,0),"")</f>
        <v>0</v>
      </c>
      <c r="X62" s="11">
        <f t="shared" si="14">IF(AA62="正常",X61+IF(I62="已计入",P62,0),"")</f>
        <v>0</v>
      </c>
      <c r="Y62" s="11">
        <f t="shared" si="4">IF(I62="已计入",ROUND(R62+V62-U62,2),"")</f>
        <v>-889.54</v>
      </c>
      <c r="Z62" s="13">
        <f t="shared" si="15">IF(AA62="正常",IF(I62="已计入",A62,Z61),"")</f>
        <v>46104</v>
      </c>
      <c r="AA62" s="10" t="str">
        <f t="shared" si="16">IF(OR(AA61="错误",AND(I62&lt;&gt;"",I62&lt;&gt;"已排除",I62&lt;&gt;"待确认",I62&lt;&gt;"已计入")),"错误","正常")</f>
        <v>正常</v>
      </c>
      <c r="AB62" s="14">
        <f t="shared" si="17">IF(AA62="正常",IF(I62="已计入",C62,AB61),"")</f>
        <v>4.9328</v>
      </c>
    </row>
    <row r="63" ht="42" customHeight="1">
      <c r="A63" s="36">
        <v>46105</v>
      </c>
      <c r="B63" s="37" t="inlineStr">
        <is>
          <t>定投</t>
        </is>
      </c>
      <c r="C63" s="38">
        <v>4.9748</v>
      </c>
      <c r="D63" s="39">
        <v>30.1</v>
      </c>
      <c r="E63" s="39">
        <v>150</v>
      </c>
      <c r="F63" s="39">
        <v>0.24</v>
      </c>
      <c r="G63" s="37" t="inlineStr">
        <is>
          <t>历史估算</t>
        </is>
      </c>
      <c r="H63" s="40" t="inlineStr">
        <is>
          <t>原下单 2026-03-24 10:48:21
净值日／份额暂估，手续费按 0.16%</t>
        </is>
      </c>
      <c r="I63" s="10" t="str">
        <f>IF(COUNTA(A63:H63)=0,"",IF(OR(OR(OR(G63="撤单",G63="交易失败",G63="交易关闭"),G63="交易失败",G63="交易关闭"),G63="交易失败",G63="交易关闭"),"已排除",IF(G63="待确认","待确认",IF(NOT(OR(G63="已确认",G63="历史估算")),"请选择确认状态",IF(NOT(ISNUMBER(A63)),"缺少有效净值日期",IF(OR(A63&lt;=0,A63&lt;&gt;INT(A63)),"净值日期无效",IF(NOT(OR(OR(B63="买入",B63="定投",B63="转换转入"),B63="卖出",B63="现金分红",B63="红利再投")),"请选择交易类型",IF(NOT(ISNUMBER(C63)),"缺少成交净值",IF(C63&lt;=0,"成交净值须大于零",IF(NOT(ISNUMBER(D63)),"缺少确认份额（分红填0）",IF(NOT(ISNUMBER(E63)),"缺少确认金额（再投填0）",IF(NOT(ISNUMBER(F63)),"缺少手续费（无费用填0）",IF(OR(D63&lt;0,E63&lt;0,F63&lt;0),"份额金额费用不能为负",IF(AA62="错误","前行待修正",IF(A63&lt;Z62,"日期需按成交顺序递增",IF(AND(B63="现金分红",OR(D63&lt;&gt;0,E63&lt;=0,F63&lt;&gt;0)),"分红填份额0、费用0、正金额",IF(AND(B63="红利再投",OR(D63&lt;=0,E63&lt;&gt;0,F63&lt;&gt;0)),"再投填正份额、金额0、费用0",IF(AND(OR(B63="现金分红",B63="红利再投"),K62&lt;=0),"分红或再投前须有持仓",IF(AND(OR(OR(B63="买入",B63="定投",B63="转换转入"),B63="卖出"),OR(D63&lt;=0,E63&lt;=0)),"买卖须填正份额、正金额",IF(AND(B63="卖出",D63&gt;K62+0.000001),"卖出份额超过持仓",IF(AND(OR(B63="买入",B63="定投",B63="转换转入"),F63&gt;=E63)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63="买入",B63="定投",B63="转换转入"),ABS(E63-F63-C63*D63)&gt;'持仓总览'!$H$6),"买入金额与份额净值不符",IF(AND(B63="卖出",ABS(E63+F63-C63*D63)&gt;'持仓总览'!$H$6),"到账加费用与赎回市值不符","已计入"))))))))))))))))))))))))))</f>
        <v>已计入</v>
      </c>
      <c r="J63" s="11">
        <f t="shared" si="0">IF(AA63="正常",IF(I63="已计入",IF(OR(OR(B63="买入",B63="定投",B63="转换转入"),B63="红利再投"),D63,IF(B63="卖出",-D63,0)),0),"")</f>
        <v>30.1</v>
      </c>
      <c r="K63" s="11">
        <f t="shared" si="5">IF(AA63="正常",ROUND(K62+J63,6),"")</f>
        <v>24024.68</v>
      </c>
      <c r="L63" s="11">
        <f t="shared" si="6">IF(I63="已计入",ROUND(K62*C63,2),"")</f>
        <v>119368.24</v>
      </c>
      <c r="M63" s="11">
        <f t="shared" si="7">IF(I63="已计入",IF(B63="卖出",MAX(0,L63-Q62-F63),IF(B63="现金分红",MAX(0,L63+E63-Q62),0)),"")</f>
        <v>0</v>
      </c>
      <c r="N63" s="11">
        <f>IF(I63="已计入",IF(AND(B63="卖出",'持仓总览'!$C$7="本金优先"),MAX(0,E63-Q62),IF(OR(B63="卖出",B63="现金分红"),MIN(E63,M63),0)),"")</f>
        <v>0</v>
      </c>
      <c r="O63" s="11">
        <f t="shared" si="8">IF(I63="已计入",IF(OR(B63="卖出",B63="现金分红"),MIN(Q62,MAX(0,E63-N63)),0),"")</f>
        <v>0</v>
      </c>
      <c r="P63" s="11">
        <f t="shared" si="9">IF(I63="已计入",IF(AND(B63="卖出",K63=0),MAX(0,Q62-O63),0),"")</f>
        <v>0</v>
      </c>
      <c r="Q63" s="11">
        <f t="shared" si="10">IF(AA63="正常",IF(I63="已计入",ROUND(Q62+IF(OR(B63="买入",B63="定投",B63="转换转入"),E63,0)-O63-P63,2),Q62),"")</f>
        <v>119400</v>
      </c>
      <c r="R63" s="11">
        <f t="shared" si="1">IF(I63="已计入",ROUND(K63*C63,2),"")</f>
        <v>119517.98</v>
      </c>
      <c r="S63" s="11">
        <f t="shared" si="2">IF(I63="已计入",ROUND(R63-Q63,2),"")</f>
        <v>117.98</v>
      </c>
      <c r="T63" s="12">
        <f t="shared" si="3">IF(I63="已计入",IF(Q63=0,"",S63/Q63),"")</f>
        <v>0.000988107202680067</v>
      </c>
      <c r="U63" s="11">
        <f t="shared" si="11">IF(AA63="正常",U62+IF(AND(I63="已计入",OR(B63="买入",B63="定投",B63="转换转入")),E63,0),"")</f>
        <v>119400</v>
      </c>
      <c r="V63" s="11">
        <f t="shared" si="12">IF(AA63="正常",V62+IF(AND(I63="已计入",OR(B63="卖出",B63="现金分红")),E63,0),"")</f>
        <v>0</v>
      </c>
      <c r="W63" s="11">
        <f t="shared" si="13">IF(AA63="正常",W62+IF(I63="已计入",N63,0),"")</f>
        <v>0</v>
      </c>
      <c r="X63" s="11">
        <f t="shared" si="14">IF(AA63="正常",X62+IF(I63="已计入",P63,0),"")</f>
        <v>0</v>
      </c>
      <c r="Y63" s="11">
        <f t="shared" si="4">IF(I63="已计入",ROUND(R63+V63-U63,2),"")</f>
        <v>117.98</v>
      </c>
      <c r="Z63" s="13">
        <f t="shared" si="15">IF(AA63="正常",IF(I63="已计入",A63,Z62),"")</f>
        <v>46105</v>
      </c>
      <c r="AA63" s="10" t="str">
        <f t="shared" si="16">IF(OR(AA62="错误",AND(I63&lt;&gt;"",I63&lt;&gt;"已排除",I63&lt;&gt;"待确认",I63&lt;&gt;"已计入")),"错误","正常")</f>
        <v>正常</v>
      </c>
      <c r="AB63" s="14">
        <f t="shared" si="17">IF(AA63="正常",IF(I63="已计入",C63,AB62),"")</f>
        <v>4.9748</v>
      </c>
    </row>
    <row r="64" ht="42" customHeight="1">
      <c r="A64" s="36">
        <v>46106</v>
      </c>
      <c r="B64" s="37" t="inlineStr">
        <is>
          <t>定投</t>
        </is>
      </c>
      <c r="C64" s="38">
        <v>5.0453</v>
      </c>
      <c r="D64" s="39">
        <v>29.68</v>
      </c>
      <c r="E64" s="39">
        <v>150</v>
      </c>
      <c r="F64" s="39">
        <v>0.24</v>
      </c>
      <c r="G64" s="37" t="inlineStr">
        <is>
          <t>历史估算</t>
        </is>
      </c>
      <c r="H64" s="40" t="inlineStr">
        <is>
          <t>原下单 2026-03-25 10:48:20
净值日／份额暂估，手续费按 0.16%</t>
        </is>
      </c>
      <c r="I64" s="10" t="str">
        <f>IF(COUNTA(A64:H64)=0,"",IF(OR(OR(OR(G64="撤单",G64="交易失败",G64="交易关闭"),G64="交易失败",G64="交易关闭"),G64="交易失败",G64="交易关闭"),"已排除",IF(G64="待确认","待确认",IF(NOT(OR(G64="已确认",G64="历史估算")),"请选择确认状态",IF(NOT(ISNUMBER(A64)),"缺少有效净值日期",IF(OR(A64&lt;=0,A64&lt;&gt;INT(A64)),"净值日期无效",IF(NOT(OR(OR(B64="买入",B64="定投",B64="转换转入"),B64="卖出",B64="现金分红",B64="红利再投")),"请选择交易类型",IF(NOT(ISNUMBER(C64)),"缺少成交净值",IF(C64&lt;=0,"成交净值须大于零",IF(NOT(ISNUMBER(D64)),"缺少确认份额（分红填0）",IF(NOT(ISNUMBER(E64)),"缺少确认金额（再投填0）",IF(NOT(ISNUMBER(F64)),"缺少手续费（无费用填0）",IF(OR(D64&lt;0,E64&lt;0,F64&lt;0),"份额金额费用不能为负",IF(AA63="错误","前行待修正",IF(A64&lt;Z63,"日期需按成交顺序递增",IF(AND(B64="现金分红",OR(D64&lt;&gt;0,E64&lt;=0,F64&lt;&gt;0)),"分红填份额0、费用0、正金额",IF(AND(B64="红利再投",OR(D64&lt;=0,E64&lt;&gt;0,F64&lt;&gt;0)),"再投填正份额、金额0、费用0",IF(AND(OR(B64="现金分红",B64="红利再投"),K63&lt;=0),"分红或再投前须有持仓",IF(AND(OR(OR(B64="买入",B64="定投",B64="转换转入"),B64="卖出"),OR(D64&lt;=0,E64&lt;=0)),"买卖须填正份额、正金额",IF(AND(B64="卖出",D64&gt;K63+0.000001),"卖出份额超过持仓",IF(AND(OR(B64="买入",B64="定投",B64="转换转入"),F64&gt;=E64)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64="买入",B64="定投",B64="转换转入"),ABS(E64-F64-C64*D64)&gt;'持仓总览'!$H$6),"买入金额与份额净值不符",IF(AND(B64="卖出",ABS(E64+F64-C64*D64)&gt;'持仓总览'!$H$6),"到账加费用与赎回市值不符","已计入"))))))))))))))))))))))))))</f>
        <v>已计入</v>
      </c>
      <c r="J64" s="11">
        <f t="shared" si="0">IF(AA64="正常",IF(I64="已计入",IF(OR(OR(B64="买入",B64="定投",B64="转换转入"),B64="红利再投"),D64,IF(B64="卖出",-D64,0)),0),"")</f>
        <v>29.68</v>
      </c>
      <c r="K64" s="11">
        <f t="shared" si="5">IF(AA64="正常",ROUND(K63+J64,6),"")</f>
        <v>24054.36</v>
      </c>
      <c r="L64" s="11">
        <f t="shared" si="6">IF(I64="已计入",ROUND(K63*C64,2),"")</f>
        <v>121211.72</v>
      </c>
      <c r="M64" s="11">
        <f t="shared" si="7">IF(I64="已计入",IF(B64="卖出",MAX(0,L64-Q63-F64),IF(B64="现金分红",MAX(0,L64+E64-Q63),0)),"")</f>
        <v>0</v>
      </c>
      <c r="N64" s="11">
        <f>IF(I64="已计入",IF(AND(B64="卖出",'持仓总览'!$C$7="本金优先"),MAX(0,E64-Q63),IF(OR(B64="卖出",B64="现金分红"),MIN(E64,M64),0)),"")</f>
        <v>0</v>
      </c>
      <c r="O64" s="11">
        <f t="shared" si="8">IF(I64="已计入",IF(OR(B64="卖出",B64="现金分红"),MIN(Q63,MAX(0,E64-N64)),0),"")</f>
        <v>0</v>
      </c>
      <c r="P64" s="11">
        <f t="shared" si="9">IF(I64="已计入",IF(AND(B64="卖出",K64=0),MAX(0,Q63-O64),0),"")</f>
        <v>0</v>
      </c>
      <c r="Q64" s="11">
        <f t="shared" si="10">IF(AA64="正常",IF(I64="已计入",ROUND(Q63+IF(OR(B64="买入",B64="定投",B64="转换转入"),E64,0)-O64-P64,2),Q63),"")</f>
        <v>119550</v>
      </c>
      <c r="R64" s="11">
        <f t="shared" si="1">IF(I64="已计入",ROUND(K64*C64,2),"")</f>
        <v>121361.46</v>
      </c>
      <c r="S64" s="11">
        <f t="shared" si="2">IF(I64="已计入",ROUND(R64-Q64,2),"")</f>
        <v>1811.46</v>
      </c>
      <c r="T64" s="12">
        <f t="shared" si="3">IF(I64="已计入",IF(Q64=0,"",S64/Q64),"")</f>
        <v>0.01515232120451694</v>
      </c>
      <c r="U64" s="11">
        <f t="shared" si="11">IF(AA64="正常",U63+IF(AND(I64="已计入",OR(B64="买入",B64="定投",B64="转换转入")),E64,0),"")</f>
        <v>119550</v>
      </c>
      <c r="V64" s="11">
        <f t="shared" si="12">IF(AA64="正常",V63+IF(AND(I64="已计入",OR(B64="卖出",B64="现金分红")),E64,0),"")</f>
        <v>0</v>
      </c>
      <c r="W64" s="11">
        <f t="shared" si="13">IF(AA64="正常",W63+IF(I64="已计入",N64,0),"")</f>
        <v>0</v>
      </c>
      <c r="X64" s="11">
        <f t="shared" si="14">IF(AA64="正常",X63+IF(I64="已计入",P64,0),"")</f>
        <v>0</v>
      </c>
      <c r="Y64" s="11">
        <f t="shared" si="4">IF(I64="已计入",ROUND(R64+V64-U64,2),"")</f>
        <v>1811.46</v>
      </c>
      <c r="Z64" s="13">
        <f t="shared" si="15">IF(AA64="正常",IF(I64="已计入",A64,Z63),"")</f>
        <v>46106</v>
      </c>
      <c r="AA64" s="10" t="str">
        <f t="shared" si="16">IF(OR(AA63="错误",AND(I64&lt;&gt;"",I64&lt;&gt;"已排除",I64&lt;&gt;"待确认",I64&lt;&gt;"已计入")),"错误","正常")</f>
        <v>正常</v>
      </c>
      <c r="AB64" s="14">
        <f t="shared" si="17">IF(AA64="正常",IF(I64="已计入",C64,AB63),"")</f>
        <v>5.0453</v>
      </c>
    </row>
    <row r="65" ht="42" customHeight="1">
      <c r="A65" s="36">
        <v>46107</v>
      </c>
      <c r="B65" s="37" t="inlineStr">
        <is>
          <t>定投</t>
        </is>
      </c>
      <c r="C65" s="38">
        <v>4.8604</v>
      </c>
      <c r="D65" s="39">
        <v>30.81</v>
      </c>
      <c r="E65" s="39">
        <v>150</v>
      </c>
      <c r="F65" s="39">
        <v>0.24</v>
      </c>
      <c r="G65" s="37" t="inlineStr">
        <is>
          <t>历史估算</t>
        </is>
      </c>
      <c r="H65" s="40" t="inlineStr">
        <is>
          <t>原下单 2026-03-26 10:51:40
净值日／份额暂估，手续费按 0.16%</t>
        </is>
      </c>
      <c r="I65" s="10" t="str">
        <f>IF(COUNTA(A65:H65)=0,"",IF(OR(OR(OR(G65="撤单",G65="交易失败",G65="交易关闭"),G65="交易失败",G65="交易关闭"),G65="交易失败",G65="交易关闭"),"已排除",IF(G65="待确认","待确认",IF(NOT(OR(G65="已确认",G65="历史估算")),"请选择确认状态",IF(NOT(ISNUMBER(A65)),"缺少有效净值日期",IF(OR(A65&lt;=0,A65&lt;&gt;INT(A65)),"净值日期无效",IF(NOT(OR(OR(B65="买入",B65="定投",B65="转换转入"),B65="卖出",B65="现金分红",B65="红利再投")),"请选择交易类型",IF(NOT(ISNUMBER(C65)),"缺少成交净值",IF(C65&lt;=0,"成交净值须大于零",IF(NOT(ISNUMBER(D65)),"缺少确认份额（分红填0）",IF(NOT(ISNUMBER(E65)),"缺少确认金额（再投填0）",IF(NOT(ISNUMBER(F65)),"缺少手续费（无费用填0）",IF(OR(D65&lt;0,E65&lt;0,F65&lt;0),"份额金额费用不能为负",IF(AA64="错误","前行待修正",IF(A65&lt;Z64,"日期需按成交顺序递增",IF(AND(B65="现金分红",OR(D65&lt;&gt;0,E65&lt;=0,F65&lt;&gt;0)),"分红填份额0、费用0、正金额",IF(AND(B65="红利再投",OR(D65&lt;=0,E65&lt;&gt;0,F65&lt;&gt;0)),"再投填正份额、金额0、费用0",IF(AND(OR(B65="现金分红",B65="红利再投"),K64&lt;=0),"分红或再投前须有持仓",IF(AND(OR(OR(B65="买入",B65="定投",B65="转换转入"),B65="卖出"),OR(D65&lt;=0,E65&lt;=0)),"买卖须填正份额、正金额",IF(AND(B65="卖出",D65&gt;K64+0.000001),"卖出份额超过持仓",IF(AND(OR(B65="买入",B65="定投",B65="转换转入"),F65&gt;=E65)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65="买入",B65="定投",B65="转换转入"),ABS(E65-F65-C65*D65)&gt;'持仓总览'!$H$6),"买入金额与份额净值不符",IF(AND(B65="卖出",ABS(E65+F65-C65*D65)&gt;'持仓总览'!$H$6),"到账加费用与赎回市值不符","已计入"))))))))))))))))))))))))))</f>
        <v>已计入</v>
      </c>
      <c r="J65" s="11">
        <f t="shared" si="0">IF(AA65="正常",IF(I65="已计入",IF(OR(OR(B65="买入",B65="定投",B65="转换转入"),B65="红利再投"),D65,IF(B65="卖出",-D65,0)),0),"")</f>
        <v>30.81</v>
      </c>
      <c r="K65" s="11">
        <f t="shared" si="5">IF(AA65="正常",ROUND(K64+J65,6),"")</f>
        <v>24085.17</v>
      </c>
      <c r="L65" s="11">
        <f t="shared" si="6">IF(I65="已计入",ROUND(K64*C65,2),"")</f>
        <v>116913.81</v>
      </c>
      <c r="M65" s="11">
        <f t="shared" si="7">IF(I65="已计入",IF(B65="卖出",MAX(0,L65-Q64-F65),IF(B65="现金分红",MAX(0,L65+E65-Q64),0)),"")</f>
        <v>0</v>
      </c>
      <c r="N65" s="11">
        <f>IF(I65="已计入",IF(AND(B65="卖出",'持仓总览'!$C$7="本金优先"),MAX(0,E65-Q64),IF(OR(B65="卖出",B65="现金分红"),MIN(E65,M65),0)),"")</f>
        <v>0</v>
      </c>
      <c r="O65" s="11">
        <f t="shared" si="8">IF(I65="已计入",IF(OR(B65="卖出",B65="现金分红"),MIN(Q64,MAX(0,E65-N65)),0),"")</f>
        <v>0</v>
      </c>
      <c r="P65" s="11">
        <f t="shared" si="9">IF(I65="已计入",IF(AND(B65="卖出",K65=0),MAX(0,Q64-O65),0),"")</f>
        <v>0</v>
      </c>
      <c r="Q65" s="11">
        <f t="shared" si="10">IF(AA65="正常",IF(I65="已计入",ROUND(Q64+IF(OR(B65="买入",B65="定投",B65="转换转入"),E65,0)-O65-P65,2),Q64),"")</f>
        <v>119700</v>
      </c>
      <c r="R65" s="11">
        <f t="shared" si="1">IF(I65="已计入",ROUND(K65*C65,2),"")</f>
        <v>117063.56</v>
      </c>
      <c r="S65" s="11">
        <f t="shared" si="2">IF(I65="已计入",ROUND(R65-Q65,2),"")</f>
        <v>-2636.44</v>
      </c>
      <c r="T65" s="12">
        <f t="shared" si="3">IF(I65="已计入",IF(Q65=0,"",S65/Q65),"")</f>
        <v>-0.022025396825396826</v>
      </c>
      <c r="U65" s="11">
        <f t="shared" si="11">IF(AA65="正常",U64+IF(AND(I65="已计入",OR(B65="买入",B65="定投",B65="转换转入")),E65,0),"")</f>
        <v>119700</v>
      </c>
      <c r="V65" s="11">
        <f t="shared" si="12">IF(AA65="正常",V64+IF(AND(I65="已计入",OR(B65="卖出",B65="现金分红")),E65,0),"")</f>
        <v>0</v>
      </c>
      <c r="W65" s="11">
        <f t="shared" si="13">IF(AA65="正常",W64+IF(I65="已计入",N65,0),"")</f>
        <v>0</v>
      </c>
      <c r="X65" s="11">
        <f t="shared" si="14">IF(AA65="正常",X64+IF(I65="已计入",P65,0),"")</f>
        <v>0</v>
      </c>
      <c r="Y65" s="11">
        <f t="shared" si="4">IF(I65="已计入",ROUND(R65+V65-U65,2),"")</f>
        <v>-2636.44</v>
      </c>
      <c r="Z65" s="13">
        <f t="shared" si="15">IF(AA65="正常",IF(I65="已计入",A65,Z64),"")</f>
        <v>46107</v>
      </c>
      <c r="AA65" s="10" t="str">
        <f t="shared" si="16">IF(OR(AA64="错误",AND(I65&lt;&gt;"",I65&lt;&gt;"已排除",I65&lt;&gt;"待确认",I65&lt;&gt;"已计入")),"错误","正常")</f>
        <v>正常</v>
      </c>
      <c r="AB65" s="14">
        <f t="shared" si="17">IF(AA65="正常",IF(I65="已计入",C65,AB64),"")</f>
        <v>4.8604</v>
      </c>
    </row>
    <row r="66" ht="42" customHeight="1">
      <c r="A66" s="36">
        <v>46108</v>
      </c>
      <c r="B66" s="37" t="inlineStr">
        <is>
          <t>定投</t>
        </is>
      </c>
      <c r="C66" s="38">
        <v>4.8031</v>
      </c>
      <c r="D66" s="39">
        <v>31.18</v>
      </c>
      <c r="E66" s="39">
        <v>150</v>
      </c>
      <c r="F66" s="39">
        <v>0.24</v>
      </c>
      <c r="G66" s="37" t="inlineStr">
        <is>
          <t>历史估算</t>
        </is>
      </c>
      <c r="H66" s="40" t="inlineStr">
        <is>
          <t>原下单 2026-03-27 10:44:09
净值日／份额暂估，手续费按 0.16%</t>
        </is>
      </c>
      <c r="I66" s="10" t="str">
        <f>IF(COUNTA(A66:H66)=0,"",IF(OR(OR(OR(G66="撤单",G66="交易失败",G66="交易关闭"),G66="交易失败",G66="交易关闭"),G66="交易失败",G66="交易关闭"),"已排除",IF(G66="待确认","待确认",IF(NOT(OR(G66="已确认",G66="历史估算")),"请选择确认状态",IF(NOT(ISNUMBER(A66)),"缺少有效净值日期",IF(OR(A66&lt;=0,A66&lt;&gt;INT(A66)),"净值日期无效",IF(NOT(OR(OR(B66="买入",B66="定投",B66="转换转入"),B66="卖出",B66="现金分红",B66="红利再投")),"请选择交易类型",IF(NOT(ISNUMBER(C66)),"缺少成交净值",IF(C66&lt;=0,"成交净值须大于零",IF(NOT(ISNUMBER(D66)),"缺少确认份额（分红填0）",IF(NOT(ISNUMBER(E66)),"缺少确认金额（再投填0）",IF(NOT(ISNUMBER(F66)),"缺少手续费（无费用填0）",IF(OR(D66&lt;0,E66&lt;0,F66&lt;0),"份额金额费用不能为负",IF(AA65="错误","前行待修正",IF(A66&lt;Z65,"日期需按成交顺序递增",IF(AND(B66="现金分红",OR(D66&lt;&gt;0,E66&lt;=0,F66&lt;&gt;0)),"分红填份额0、费用0、正金额",IF(AND(B66="红利再投",OR(D66&lt;=0,E66&lt;&gt;0,F66&lt;&gt;0)),"再投填正份额、金额0、费用0",IF(AND(OR(B66="现金分红",B66="红利再投"),K65&lt;=0),"分红或再投前须有持仓",IF(AND(OR(OR(B66="买入",B66="定投",B66="转换转入"),B66="卖出"),OR(D66&lt;=0,E66&lt;=0)),"买卖须填正份额、正金额",IF(AND(B66="卖出",D66&gt;K65+0.000001),"卖出份额超过持仓",IF(AND(OR(B66="买入",B66="定投",B66="转换转入"),F66&gt;=E66)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66="买入",B66="定投",B66="转换转入"),ABS(E66-F66-C66*D66)&gt;'持仓总览'!$H$6),"买入金额与份额净值不符",IF(AND(B66="卖出",ABS(E66+F66-C66*D66)&gt;'持仓总览'!$H$6),"到账加费用与赎回市值不符","已计入"))))))))))))))))))))))))))</f>
        <v>已计入</v>
      </c>
      <c r="J66" s="11">
        <f t="shared" si="0">IF(AA66="正常",IF(I66="已计入",IF(OR(OR(B66="买入",B66="定投",B66="转换转入"),B66="红利再投"),D66,IF(B66="卖出",-D66,0)),0),"")</f>
        <v>31.18</v>
      </c>
      <c r="K66" s="11">
        <f t="shared" si="5">IF(AA66="正常",ROUND(K65+J66,6),"")</f>
        <v>24116.35</v>
      </c>
      <c r="L66" s="11">
        <f t="shared" si="6">IF(I66="已计入",ROUND(K65*C66,2),"")</f>
        <v>115683.48</v>
      </c>
      <c r="M66" s="11">
        <f t="shared" si="7">IF(I66="已计入",IF(B66="卖出",MAX(0,L66-Q65-F66),IF(B66="现金分红",MAX(0,L66+E66-Q65),0)),"")</f>
        <v>0</v>
      </c>
      <c r="N66" s="11">
        <f>IF(I66="已计入",IF(AND(B66="卖出",'持仓总览'!$C$7="本金优先"),MAX(0,E66-Q65),IF(OR(B66="卖出",B66="现金分红"),MIN(E66,M66),0)),"")</f>
        <v>0</v>
      </c>
      <c r="O66" s="11">
        <f t="shared" si="8">IF(I66="已计入",IF(OR(B66="卖出",B66="现金分红"),MIN(Q65,MAX(0,E66-N66)),0),"")</f>
        <v>0</v>
      </c>
      <c r="P66" s="11">
        <f t="shared" si="9">IF(I66="已计入",IF(AND(B66="卖出",K66=0),MAX(0,Q65-O66),0),"")</f>
        <v>0</v>
      </c>
      <c r="Q66" s="11">
        <f t="shared" si="10">IF(AA66="正常",IF(I66="已计入",ROUND(Q65+IF(OR(B66="买入",B66="定投",B66="转换转入"),E66,0)-O66-P66,2),Q65),"")</f>
        <v>119850</v>
      </c>
      <c r="R66" s="11">
        <f t="shared" si="1">IF(I66="已计入",ROUND(K66*C66,2),"")</f>
        <v>115833.24</v>
      </c>
      <c r="S66" s="11">
        <f t="shared" si="2">IF(I66="已计入",ROUND(R66-Q66,2),"")</f>
        <v>-4016.76</v>
      </c>
      <c r="T66" s="12">
        <f t="shared" si="3">IF(I66="已计入",IF(Q66=0,"",S66/Q66),"")</f>
        <v>-0.03351489361702128</v>
      </c>
      <c r="U66" s="11">
        <f t="shared" si="11">IF(AA66="正常",U65+IF(AND(I66="已计入",OR(B66="买入",B66="定投",B66="转换转入")),E66,0),"")</f>
        <v>119850</v>
      </c>
      <c r="V66" s="11">
        <f t="shared" si="12">IF(AA66="正常",V65+IF(AND(I66="已计入",OR(B66="卖出",B66="现金分红")),E66,0),"")</f>
        <v>0</v>
      </c>
      <c r="W66" s="11">
        <f t="shared" si="13">IF(AA66="正常",W65+IF(I66="已计入",N66,0),"")</f>
        <v>0</v>
      </c>
      <c r="X66" s="11">
        <f t="shared" si="14">IF(AA66="正常",X65+IF(I66="已计入",P66,0),"")</f>
        <v>0</v>
      </c>
      <c r="Y66" s="11">
        <f t="shared" si="4">IF(I66="已计入",ROUND(R66+V66-U66,2),"")</f>
        <v>-4016.76</v>
      </c>
      <c r="Z66" s="13">
        <f t="shared" si="15">IF(AA66="正常",IF(I66="已计入",A66,Z65),"")</f>
        <v>46108</v>
      </c>
      <c r="AA66" s="10" t="str">
        <f t="shared" si="16">IF(OR(AA65="错误",AND(I66&lt;&gt;"",I66&lt;&gt;"已排除",I66&lt;&gt;"待确认",I66&lt;&gt;"已计入")),"错误","正常")</f>
        <v>正常</v>
      </c>
      <c r="AB66" s="14">
        <f t="shared" si="17">IF(AA66="正常",IF(I66="已计入",C66,AB65),"")</f>
        <v>4.8031</v>
      </c>
    </row>
    <row r="67" ht="42" customHeight="1">
      <c r="A67" s="36">
        <v>46111</v>
      </c>
      <c r="B67" s="37" t="inlineStr">
        <is>
          <t>定投</t>
        </is>
      </c>
      <c r="C67" s="38">
        <v>4.742</v>
      </c>
      <c r="D67" s="39">
        <v>31.58</v>
      </c>
      <c r="E67" s="39">
        <v>150</v>
      </c>
      <c r="F67" s="39">
        <v>0.24</v>
      </c>
      <c r="G67" s="37" t="inlineStr">
        <is>
          <t>历史估算</t>
        </is>
      </c>
      <c r="H67" s="40" t="inlineStr">
        <is>
          <t>原下单 2026-03-30 10:54:15
净值日／份额暂估，手续费按 0.16%</t>
        </is>
      </c>
      <c r="I67" s="10" t="str">
        <f>IF(COUNTA(A67:H67)=0,"",IF(OR(OR(OR(G67="撤单",G67="交易失败",G67="交易关闭"),G67="交易失败",G67="交易关闭"),G67="交易失败",G67="交易关闭"),"已排除",IF(G67="待确认","待确认",IF(NOT(OR(G67="已确认",G67="历史估算")),"请选择确认状态",IF(NOT(ISNUMBER(A67)),"缺少有效净值日期",IF(OR(A67&lt;=0,A67&lt;&gt;INT(A67)),"净值日期无效",IF(NOT(OR(OR(B67="买入",B67="定投",B67="转换转入"),B67="卖出",B67="现金分红",B67="红利再投")),"请选择交易类型",IF(NOT(ISNUMBER(C67)),"缺少成交净值",IF(C67&lt;=0,"成交净值须大于零",IF(NOT(ISNUMBER(D67)),"缺少确认份额（分红填0）",IF(NOT(ISNUMBER(E67)),"缺少确认金额（再投填0）",IF(NOT(ISNUMBER(F67)),"缺少手续费（无费用填0）",IF(OR(D67&lt;0,E67&lt;0,F67&lt;0),"份额金额费用不能为负",IF(AA66="错误","前行待修正",IF(A67&lt;Z66,"日期需按成交顺序递增",IF(AND(B67="现金分红",OR(D67&lt;&gt;0,E67&lt;=0,F67&lt;&gt;0)),"分红填份额0、费用0、正金额",IF(AND(B67="红利再投",OR(D67&lt;=0,E67&lt;&gt;0,F67&lt;&gt;0)),"再投填正份额、金额0、费用0",IF(AND(OR(B67="现金分红",B67="红利再投"),K66&lt;=0),"分红或再投前须有持仓",IF(AND(OR(OR(B67="买入",B67="定投",B67="转换转入"),B67="卖出"),OR(D67&lt;=0,E67&lt;=0)),"买卖须填正份额、正金额",IF(AND(B67="卖出",D67&gt;K66+0.000001),"卖出份额超过持仓",IF(AND(OR(B67="买入",B67="定投",B67="转换转入"),F67&gt;=E67)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67="买入",B67="定投",B67="转换转入"),ABS(E67-F67-C67*D67)&gt;'持仓总览'!$H$6),"买入金额与份额净值不符",IF(AND(B67="卖出",ABS(E67+F67-C67*D67)&gt;'持仓总览'!$H$6),"到账加费用与赎回市值不符","已计入"))))))))))))))))))))))))))</f>
        <v>已计入</v>
      </c>
      <c r="J67" s="11">
        <f t="shared" si="0">IF(AA67="正常",IF(I67="已计入",IF(OR(OR(B67="买入",B67="定投",B67="转换转入"),B67="红利再投"),D67,IF(B67="卖出",-D67,0)),0),"")</f>
        <v>31.58</v>
      </c>
      <c r="K67" s="11">
        <f t="shared" si="5">IF(AA67="正常",ROUND(K66+J67,6),"")</f>
        <v>24147.93</v>
      </c>
      <c r="L67" s="11">
        <f t="shared" si="6">IF(I67="已计入",ROUND(K66*C67,2),"")</f>
        <v>114359.73</v>
      </c>
      <c r="M67" s="11">
        <f t="shared" si="7">IF(I67="已计入",IF(B67="卖出",MAX(0,L67-Q66-F67),IF(B67="现金分红",MAX(0,L67+E67-Q66),0)),"")</f>
        <v>0</v>
      </c>
      <c r="N67" s="11">
        <f>IF(I67="已计入",IF(AND(B67="卖出",'持仓总览'!$C$7="本金优先"),MAX(0,E67-Q66),IF(OR(B67="卖出",B67="现金分红"),MIN(E67,M67),0)),"")</f>
        <v>0</v>
      </c>
      <c r="O67" s="11">
        <f t="shared" si="8">IF(I67="已计入",IF(OR(B67="卖出",B67="现金分红"),MIN(Q66,MAX(0,E67-N67)),0),"")</f>
        <v>0</v>
      </c>
      <c r="P67" s="11">
        <f t="shared" si="9">IF(I67="已计入",IF(AND(B67="卖出",K67=0),MAX(0,Q66-O67),0),"")</f>
        <v>0</v>
      </c>
      <c r="Q67" s="11">
        <f t="shared" si="10">IF(AA67="正常",IF(I67="已计入",ROUND(Q66+IF(OR(B67="买入",B67="定投",B67="转换转入"),E67,0)-O67-P67,2),Q66),"")</f>
        <v>120000</v>
      </c>
      <c r="R67" s="11">
        <f t="shared" si="1">IF(I67="已计入",ROUND(K67*C67,2),"")</f>
        <v>114509.48</v>
      </c>
      <c r="S67" s="11">
        <f t="shared" si="2">IF(I67="已计入",ROUND(R67-Q67,2),"")</f>
        <v>-5490.52</v>
      </c>
      <c r="T67" s="12">
        <f t="shared" si="3">IF(I67="已计入",IF(Q67=0,"",S67/Q67),"")</f>
        <v>-0.045754333333333334</v>
      </c>
      <c r="U67" s="11">
        <f t="shared" si="11">IF(AA67="正常",U66+IF(AND(I67="已计入",OR(B67="买入",B67="定投",B67="转换转入")),E67,0),"")</f>
        <v>120000</v>
      </c>
      <c r="V67" s="11">
        <f t="shared" si="12">IF(AA67="正常",V66+IF(AND(I67="已计入",OR(B67="卖出",B67="现金分红")),E67,0),"")</f>
        <v>0</v>
      </c>
      <c r="W67" s="11">
        <f t="shared" si="13">IF(AA67="正常",W66+IF(I67="已计入",N67,0),"")</f>
        <v>0</v>
      </c>
      <c r="X67" s="11">
        <f t="shared" si="14">IF(AA67="正常",X66+IF(I67="已计入",P67,0),"")</f>
        <v>0</v>
      </c>
      <c r="Y67" s="11">
        <f t="shared" si="4">IF(I67="已计入",ROUND(R67+V67-U67,2),"")</f>
        <v>-5490.52</v>
      </c>
      <c r="Z67" s="13">
        <f t="shared" si="15">IF(AA67="正常",IF(I67="已计入",A67,Z66),"")</f>
        <v>46111</v>
      </c>
      <c r="AA67" s="10" t="str">
        <f t="shared" si="16">IF(OR(AA66="错误",AND(I67&lt;&gt;"",I67&lt;&gt;"已排除",I67&lt;&gt;"待确认",I67&lt;&gt;"已计入")),"错误","正常")</f>
        <v>正常</v>
      </c>
      <c r="AB67" s="14">
        <f t="shared" si="17">IF(AA67="正常",IF(I67="已计入",C67,AB66),"")</f>
        <v>4.742</v>
      </c>
    </row>
    <row r="68" ht="42" customHeight="1">
      <c r="A68" s="36">
        <v>46112</v>
      </c>
      <c r="B68" s="37" t="inlineStr">
        <is>
          <t>定投</t>
        </is>
      </c>
      <c r="C68" s="38">
        <v>4.826</v>
      </c>
      <c r="D68" s="39">
        <v>31.03</v>
      </c>
      <c r="E68" s="39">
        <v>150</v>
      </c>
      <c r="F68" s="39">
        <v>0.24</v>
      </c>
      <c r="G68" s="37" t="inlineStr">
        <is>
          <t>历史估算</t>
        </is>
      </c>
      <c r="H68" s="40" t="inlineStr">
        <is>
          <t>原下单 2026-03-31 10:43:20
净值日／份额暂估，手续费按 0.16%</t>
        </is>
      </c>
      <c r="I68" s="10" t="str">
        <f>IF(COUNTA(A68:H68)=0,"",IF(OR(OR(OR(G68="撤单",G68="交易失败",G68="交易关闭"),G68="交易失败",G68="交易关闭"),G68="交易失败",G68="交易关闭"),"已排除",IF(G68="待确认","待确认",IF(NOT(OR(G68="已确认",G68="历史估算")),"请选择确认状态",IF(NOT(ISNUMBER(A68)),"缺少有效净值日期",IF(OR(A68&lt;=0,A68&lt;&gt;INT(A68)),"净值日期无效",IF(NOT(OR(OR(B68="买入",B68="定投",B68="转换转入"),B68="卖出",B68="现金分红",B68="红利再投")),"请选择交易类型",IF(NOT(ISNUMBER(C68)),"缺少成交净值",IF(C68&lt;=0,"成交净值须大于零",IF(NOT(ISNUMBER(D68)),"缺少确认份额（分红填0）",IF(NOT(ISNUMBER(E68)),"缺少确认金额（再投填0）",IF(NOT(ISNUMBER(F68)),"缺少手续费（无费用填0）",IF(OR(D68&lt;0,E68&lt;0,F68&lt;0),"份额金额费用不能为负",IF(AA67="错误","前行待修正",IF(A68&lt;Z67,"日期需按成交顺序递增",IF(AND(B68="现金分红",OR(D68&lt;&gt;0,E68&lt;=0,F68&lt;&gt;0)),"分红填份额0、费用0、正金额",IF(AND(B68="红利再投",OR(D68&lt;=0,E68&lt;&gt;0,F68&lt;&gt;0)),"再投填正份额、金额0、费用0",IF(AND(OR(B68="现金分红",B68="红利再投"),K67&lt;=0),"分红或再投前须有持仓",IF(AND(OR(OR(B68="买入",B68="定投",B68="转换转入"),B68="卖出"),OR(D68&lt;=0,E68&lt;=0)),"买卖须填正份额、正金额",IF(AND(B68="卖出",D68&gt;K67+0.000001),"卖出份额超过持仓",IF(AND(OR(B68="买入",B68="定投",B68="转换转入"),F68&gt;=E68)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68="买入",B68="定投",B68="转换转入"),ABS(E68-F68-C68*D68)&gt;'持仓总览'!$H$6),"买入金额与份额净值不符",IF(AND(B68="卖出",ABS(E68+F68-C68*D68)&gt;'持仓总览'!$H$6),"到账加费用与赎回市值不符","已计入"))))))))))))))))))))))))))</f>
        <v>已计入</v>
      </c>
      <c r="J68" s="11">
        <f t="shared" si="0">IF(AA68="正常",IF(I68="已计入",IF(OR(OR(B68="买入",B68="定投",B68="转换转入"),B68="红利再投"),D68,IF(B68="卖出",-D68,0)),0),"")</f>
        <v>31.03</v>
      </c>
      <c r="K68" s="11">
        <f t="shared" si="5">IF(AA68="正常",ROUND(K67+J68,6),"")</f>
        <v>24178.96</v>
      </c>
      <c r="L68" s="11">
        <f t="shared" si="6">IF(I68="已计入",ROUND(K67*C68,2),"")</f>
        <v>116537.91</v>
      </c>
      <c r="M68" s="11">
        <f t="shared" si="7">IF(I68="已计入",IF(B68="卖出",MAX(0,L68-Q67-F68),IF(B68="现金分红",MAX(0,L68+E68-Q67),0)),"")</f>
        <v>0</v>
      </c>
      <c r="N68" s="11">
        <f>IF(I68="已计入",IF(AND(B68="卖出",'持仓总览'!$C$7="本金优先"),MAX(0,E68-Q67),IF(OR(B68="卖出",B68="现金分红"),MIN(E68,M68),0)),"")</f>
        <v>0</v>
      </c>
      <c r="O68" s="11">
        <f t="shared" si="8">IF(I68="已计入",IF(OR(B68="卖出",B68="现金分红"),MIN(Q67,MAX(0,E68-N68)),0),"")</f>
        <v>0</v>
      </c>
      <c r="P68" s="11">
        <f t="shared" si="9">IF(I68="已计入",IF(AND(B68="卖出",K68=0),MAX(0,Q67-O68),0),"")</f>
        <v>0</v>
      </c>
      <c r="Q68" s="11">
        <f t="shared" si="10">IF(AA68="正常",IF(I68="已计入",ROUND(Q67+IF(OR(B68="买入",B68="定投",B68="转换转入"),E68,0)-O68-P68,2),Q67),"")</f>
        <v>120150</v>
      </c>
      <c r="R68" s="11">
        <f t="shared" si="1">IF(I68="已计入",ROUND(K68*C68,2),"")</f>
        <v>116687.66</v>
      </c>
      <c r="S68" s="11">
        <f t="shared" si="2">IF(I68="已计入",ROUND(R68-Q68,2),"")</f>
        <v>-3462.34</v>
      </c>
      <c r="T68" s="12">
        <f t="shared" si="3">IF(I68="已计入",IF(Q68=0,"",S68/Q68),"")</f>
        <v>-0.028816812317935914</v>
      </c>
      <c r="U68" s="11">
        <f t="shared" si="11">IF(AA68="正常",U67+IF(AND(I68="已计入",OR(B68="买入",B68="定投",B68="转换转入")),E68,0),"")</f>
        <v>120150</v>
      </c>
      <c r="V68" s="11">
        <f t="shared" si="12">IF(AA68="正常",V67+IF(AND(I68="已计入",OR(B68="卖出",B68="现金分红")),E68,0),"")</f>
        <v>0</v>
      </c>
      <c r="W68" s="11">
        <f t="shared" si="13">IF(AA68="正常",W67+IF(I68="已计入",N68,0),"")</f>
        <v>0</v>
      </c>
      <c r="X68" s="11">
        <f t="shared" si="14">IF(AA68="正常",X67+IF(I68="已计入",P68,0),"")</f>
        <v>0</v>
      </c>
      <c r="Y68" s="11">
        <f t="shared" si="4">IF(I68="已计入",ROUND(R68+V68-U68,2),"")</f>
        <v>-3462.34</v>
      </c>
      <c r="Z68" s="13">
        <f t="shared" si="15">IF(AA68="正常",IF(I68="已计入",A68,Z67),"")</f>
        <v>46112</v>
      </c>
      <c r="AA68" s="10" t="str">
        <f t="shared" si="16">IF(OR(AA67="错误",AND(I68&lt;&gt;"",I68&lt;&gt;"已排除",I68&lt;&gt;"待确认",I68&lt;&gt;"已计入")),"错误","正常")</f>
        <v>正常</v>
      </c>
      <c r="AB68" s="14">
        <f t="shared" si="17">IF(AA68="正常",IF(I68="已计入",C68,AB67),"")</f>
        <v>4.826</v>
      </c>
    </row>
    <row r="69" ht="42" customHeight="1">
      <c r="A69" s="36">
        <v>46113</v>
      </c>
      <c r="B69" s="37" t="inlineStr">
        <is>
          <t>定投</t>
        </is>
      </c>
      <c r="C69" s="38">
        <v>5.0377</v>
      </c>
      <c r="D69" s="39">
        <v>29.73</v>
      </c>
      <c r="E69" s="39">
        <v>150</v>
      </c>
      <c r="F69" s="39">
        <v>0.24</v>
      </c>
      <c r="G69" s="37" t="inlineStr">
        <is>
          <t>历史估算</t>
        </is>
      </c>
      <c r="H69" s="40" t="inlineStr">
        <is>
          <t>原下单 2026-04-01 10:46:42
净值日／份额暂估，手续费按 0.16%</t>
        </is>
      </c>
      <c r="I69" s="10" t="str">
        <f>IF(COUNTA(A69:H69)=0,"",IF(OR(OR(OR(G69="撤单",G69="交易失败",G69="交易关闭"),G69="交易失败",G69="交易关闭"),G69="交易失败",G69="交易关闭"),"已排除",IF(G69="待确认","待确认",IF(NOT(OR(G69="已确认",G69="历史估算")),"请选择确认状态",IF(NOT(ISNUMBER(A69)),"缺少有效净值日期",IF(OR(A69&lt;=0,A69&lt;&gt;INT(A69)),"净值日期无效",IF(NOT(OR(OR(B69="买入",B69="定投",B69="转换转入"),B69="卖出",B69="现金分红",B69="红利再投")),"请选择交易类型",IF(NOT(ISNUMBER(C69)),"缺少成交净值",IF(C69&lt;=0,"成交净值须大于零",IF(NOT(ISNUMBER(D69)),"缺少确认份额（分红填0）",IF(NOT(ISNUMBER(E69)),"缺少确认金额（再投填0）",IF(NOT(ISNUMBER(F69)),"缺少手续费（无费用填0）",IF(OR(D69&lt;0,E69&lt;0,F69&lt;0),"份额金额费用不能为负",IF(AA68="错误","前行待修正",IF(A69&lt;Z68,"日期需按成交顺序递增",IF(AND(B69="现金分红",OR(D69&lt;&gt;0,E69&lt;=0,F69&lt;&gt;0)),"分红填份额0、费用0、正金额",IF(AND(B69="红利再投",OR(D69&lt;=0,E69&lt;&gt;0,F69&lt;&gt;0)),"再投填正份额、金额0、费用0",IF(AND(OR(B69="现金分红",B69="红利再投"),K68&lt;=0),"分红或再投前须有持仓",IF(AND(OR(OR(B69="买入",B69="定投",B69="转换转入"),B69="卖出"),OR(D69&lt;=0,E69&lt;=0)),"买卖须填正份额、正金额",IF(AND(B69="卖出",D69&gt;K68+0.000001),"卖出份额超过持仓",IF(AND(OR(B69="买入",B69="定投",B69="转换转入"),F69&gt;=E69)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69="买入",B69="定投",B69="转换转入"),ABS(E69-F69-C69*D69)&gt;'持仓总览'!$H$6),"买入金额与份额净值不符",IF(AND(B69="卖出",ABS(E69+F69-C69*D69)&gt;'持仓总览'!$H$6),"到账加费用与赎回市值不符","已计入"))))))))))))))))))))))))))</f>
        <v>已计入</v>
      </c>
      <c r="J69" s="11">
        <f t="shared" si="0">IF(AA69="正常",IF(I69="已计入",IF(OR(OR(B69="买入",B69="定投",B69="转换转入"),B69="红利再投"),D69,IF(B69="卖出",-D69,0)),0),"")</f>
        <v>29.73</v>
      </c>
      <c r="K69" s="11">
        <f t="shared" si="5">IF(AA69="正常",ROUND(K68+J69,6),"")</f>
        <v>24208.69</v>
      </c>
      <c r="L69" s="11">
        <f t="shared" si="6">IF(I69="已计入",ROUND(K68*C69,2),"")</f>
        <v>121806.35</v>
      </c>
      <c r="M69" s="11">
        <f t="shared" si="7">IF(I69="已计入",IF(B69="卖出",MAX(0,L69-Q68-F69),IF(B69="现金分红",MAX(0,L69+E69-Q68),0)),"")</f>
        <v>0</v>
      </c>
      <c r="N69" s="11">
        <f>IF(I69="已计入",IF(AND(B69="卖出",'持仓总览'!$C$7="本金优先"),MAX(0,E69-Q68),IF(OR(B69="卖出",B69="现金分红"),MIN(E69,M69),0)),"")</f>
        <v>0</v>
      </c>
      <c r="O69" s="11">
        <f t="shared" si="8">IF(I69="已计入",IF(OR(B69="卖出",B69="现金分红"),MIN(Q68,MAX(0,E69-N69)),0),"")</f>
        <v>0</v>
      </c>
      <c r="P69" s="11">
        <f t="shared" si="9">IF(I69="已计入",IF(AND(B69="卖出",K69=0),MAX(0,Q68-O69),0),"")</f>
        <v>0</v>
      </c>
      <c r="Q69" s="11">
        <f t="shared" si="10">IF(AA69="正常",IF(I69="已计入",ROUND(Q68+IF(OR(B69="买入",B69="定投",B69="转换转入"),E69,0)-O69-P69,2),Q68),"")</f>
        <v>120300</v>
      </c>
      <c r="R69" s="11">
        <f t="shared" si="1">IF(I69="已计入",ROUND(K69*C69,2),"")</f>
        <v>121956.12</v>
      </c>
      <c r="S69" s="11">
        <f t="shared" si="2">IF(I69="已计入",ROUND(R69-Q69,2),"")</f>
        <v>1656.12</v>
      </c>
      <c r="T69" s="12">
        <f t="shared" si="3">IF(I69="已计入",IF(Q69=0,"",S69/Q69),"")</f>
        <v>0.013766583541147131</v>
      </c>
      <c r="U69" s="11">
        <f t="shared" si="11">IF(AA69="正常",U68+IF(AND(I69="已计入",OR(B69="买入",B69="定投",B69="转换转入")),E69,0),"")</f>
        <v>120300</v>
      </c>
      <c r="V69" s="11">
        <f t="shared" si="12">IF(AA69="正常",V68+IF(AND(I69="已计入",OR(B69="卖出",B69="现金分红")),E69,0),"")</f>
        <v>0</v>
      </c>
      <c r="W69" s="11">
        <f t="shared" si="13">IF(AA69="正常",W68+IF(I69="已计入",N69,0),"")</f>
        <v>0</v>
      </c>
      <c r="X69" s="11">
        <f t="shared" si="14">IF(AA69="正常",X68+IF(I69="已计入",P69,0),"")</f>
        <v>0</v>
      </c>
      <c r="Y69" s="11">
        <f t="shared" si="4">IF(I69="已计入",ROUND(R69+V69-U69,2),"")</f>
        <v>1656.12</v>
      </c>
      <c r="Z69" s="13">
        <f t="shared" si="15">IF(AA69="正常",IF(I69="已计入",A69,Z68),"")</f>
        <v>46113</v>
      </c>
      <c r="AA69" s="10" t="str">
        <f t="shared" si="16">IF(OR(AA68="错误",AND(I69&lt;&gt;"",I69&lt;&gt;"已排除",I69&lt;&gt;"待确认",I69&lt;&gt;"已计入")),"错误","正常")</f>
        <v>正常</v>
      </c>
      <c r="AB69" s="14">
        <f t="shared" si="17">IF(AA69="正常",IF(I69="已计入",C69,AB68),"")</f>
        <v>5.0377</v>
      </c>
    </row>
    <row r="70" ht="42" customHeight="1">
      <c r="A70" s="36">
        <v>46114</v>
      </c>
      <c r="B70" s="37" t="inlineStr">
        <is>
          <t>定投</t>
        </is>
      </c>
      <c r="C70" s="38">
        <v>4.9572</v>
      </c>
      <c r="D70" s="39">
        <v>30.21</v>
      </c>
      <c r="E70" s="39">
        <v>150</v>
      </c>
      <c r="F70" s="39">
        <v>0.24</v>
      </c>
      <c r="G70" s="37" t="inlineStr">
        <is>
          <t>历史估算</t>
        </is>
      </c>
      <c r="H70" s="40" t="inlineStr">
        <is>
          <t>原下单 2026-04-02 10:45:53
净值日／份额暂估，手续费按 0.16%</t>
        </is>
      </c>
      <c r="I70" s="10" t="str">
        <f>IF(COUNTA(A70:H70)=0,"",IF(OR(OR(OR(G70="撤单",G70="交易失败",G70="交易关闭"),G70="交易失败",G70="交易关闭"),G70="交易失败",G70="交易关闭"),"已排除",IF(G70="待确认","待确认",IF(NOT(OR(G70="已确认",G70="历史估算")),"请选择确认状态",IF(NOT(ISNUMBER(A70)),"缺少有效净值日期",IF(OR(A70&lt;=0,A70&lt;&gt;INT(A70)),"净值日期无效",IF(NOT(OR(OR(B70="买入",B70="定投",B70="转换转入"),B70="卖出",B70="现金分红",B70="红利再投")),"请选择交易类型",IF(NOT(ISNUMBER(C70)),"缺少成交净值",IF(C70&lt;=0,"成交净值须大于零",IF(NOT(ISNUMBER(D70)),"缺少确认份额（分红填0）",IF(NOT(ISNUMBER(E70)),"缺少确认金额（再投填0）",IF(NOT(ISNUMBER(F70)),"缺少手续费（无费用填0）",IF(OR(D70&lt;0,E70&lt;0,F70&lt;0),"份额金额费用不能为负",IF(AA69="错误","前行待修正",IF(A70&lt;Z69,"日期需按成交顺序递增",IF(AND(B70="现金分红",OR(D70&lt;&gt;0,E70&lt;=0,F70&lt;&gt;0)),"分红填份额0、费用0、正金额",IF(AND(B70="红利再投",OR(D70&lt;=0,E70&lt;&gt;0,F70&lt;&gt;0)),"再投填正份额、金额0、费用0",IF(AND(OR(B70="现金分红",B70="红利再投"),K69&lt;=0),"分红或再投前须有持仓",IF(AND(OR(OR(B70="买入",B70="定投",B70="转换转入"),B70="卖出"),OR(D70&lt;=0,E70&lt;=0)),"买卖须填正份额、正金额",IF(AND(B70="卖出",D70&gt;K69+0.000001),"卖出份额超过持仓",IF(AND(OR(B70="买入",B70="定投",B70="转换转入"),F70&gt;=E70)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70="买入",B70="定投",B70="转换转入"),ABS(E70-F70-C70*D70)&gt;'持仓总览'!$H$6),"买入金额与份额净值不符",IF(AND(B70="卖出",ABS(E70+F70-C70*D70)&gt;'持仓总览'!$H$6),"到账加费用与赎回市值不符","已计入"))))))))))))))))))))))))))</f>
        <v>已计入</v>
      </c>
      <c r="J70" s="11">
        <f t="shared" si="0">IF(AA70="正常",IF(I70="已计入",IF(OR(OR(B70="买入",B70="定投",B70="转换转入"),B70="红利再投"),D70,IF(B70="卖出",-D70,0)),0),"")</f>
        <v>30.21</v>
      </c>
      <c r="K70" s="11">
        <f t="shared" si="5">IF(AA70="正常",ROUND(K69+J70,6),"")</f>
        <v>24238.9</v>
      </c>
      <c r="L70" s="11">
        <f t="shared" si="6">IF(I70="已计入",ROUND(K69*C70,2),"")</f>
        <v>120007.32</v>
      </c>
      <c r="M70" s="11">
        <f t="shared" si="7">IF(I70="已计入",IF(B70="卖出",MAX(0,L70-Q69-F70),IF(B70="现金分红",MAX(0,L70+E70-Q69),0)),"")</f>
        <v>0</v>
      </c>
      <c r="N70" s="11">
        <f>IF(I70="已计入",IF(AND(B70="卖出",'持仓总览'!$C$7="本金优先"),MAX(0,E70-Q69),IF(OR(B70="卖出",B70="现金分红"),MIN(E70,M70),0)),"")</f>
        <v>0</v>
      </c>
      <c r="O70" s="11">
        <f t="shared" si="8">IF(I70="已计入",IF(OR(B70="卖出",B70="现金分红"),MIN(Q69,MAX(0,E70-N70)),0),"")</f>
        <v>0</v>
      </c>
      <c r="P70" s="11">
        <f t="shared" si="9">IF(I70="已计入",IF(AND(B70="卖出",K70=0),MAX(0,Q69-O70),0),"")</f>
        <v>0</v>
      </c>
      <c r="Q70" s="11">
        <f t="shared" si="10">IF(AA70="正常",IF(I70="已计入",ROUND(Q69+IF(OR(B70="买入",B70="定投",B70="转换转入"),E70,0)-O70-P70,2),Q69),"")</f>
        <v>120450</v>
      </c>
      <c r="R70" s="11">
        <f t="shared" si="1">IF(I70="已计入",ROUND(K70*C70,2),"")</f>
        <v>120157.08</v>
      </c>
      <c r="S70" s="11">
        <f t="shared" si="2">IF(I70="已计入",ROUND(R70-Q70,2),"")</f>
        <v>-292.92</v>
      </c>
      <c r="T70" s="12">
        <f t="shared" si="3">IF(I70="已计入",IF(Q70=0,"",S70/Q70),"")</f>
        <v>-0.002431880448318805</v>
      </c>
      <c r="U70" s="11">
        <f t="shared" si="11">IF(AA70="正常",U69+IF(AND(I70="已计入",OR(B70="买入",B70="定投",B70="转换转入")),E70,0),"")</f>
        <v>120450</v>
      </c>
      <c r="V70" s="11">
        <f t="shared" si="12">IF(AA70="正常",V69+IF(AND(I70="已计入",OR(B70="卖出",B70="现金分红")),E70,0),"")</f>
        <v>0</v>
      </c>
      <c r="W70" s="11">
        <f t="shared" si="13">IF(AA70="正常",W69+IF(I70="已计入",N70,0),"")</f>
        <v>0</v>
      </c>
      <c r="X70" s="11">
        <f t="shared" si="14">IF(AA70="正常",X69+IF(I70="已计入",P70,0),"")</f>
        <v>0</v>
      </c>
      <c r="Y70" s="11">
        <f t="shared" si="4">IF(I70="已计入",ROUND(R70+V70-U70,2),"")</f>
        <v>-292.92</v>
      </c>
      <c r="Z70" s="13">
        <f t="shared" si="15">IF(AA70="正常",IF(I70="已计入",A70,Z69),"")</f>
        <v>46114</v>
      </c>
      <c r="AA70" s="10" t="str">
        <f t="shared" si="16">IF(OR(AA69="错误",AND(I70&lt;&gt;"",I70&lt;&gt;"已排除",I70&lt;&gt;"待确认",I70&lt;&gt;"已计入")),"错误","正常")</f>
        <v>正常</v>
      </c>
      <c r="AB70" s="14">
        <f t="shared" si="17">IF(AA70="正常",IF(I70="已计入",C70,AB69),"")</f>
        <v>4.9572</v>
      </c>
    </row>
    <row r="71" ht="42" customHeight="1">
      <c r="A71" s="36">
        <v>46119</v>
      </c>
      <c r="B71" s="37" t="inlineStr">
        <is>
          <t>定投</t>
        </is>
      </c>
      <c r="C71" s="38">
        <v>5.0168</v>
      </c>
      <c r="D71" s="39">
        <v>29.85</v>
      </c>
      <c r="E71" s="39">
        <v>150</v>
      </c>
      <c r="F71" s="39">
        <v>0.24</v>
      </c>
      <c r="G71" s="37" t="inlineStr">
        <is>
          <t>历史估算</t>
        </is>
      </c>
      <c r="H71" s="40" t="inlineStr">
        <is>
          <t>原下单 2026-04-07 10:21:10
净值日／份额暂估，手续费按 0.16%</t>
        </is>
      </c>
      <c r="I71" s="10" t="str">
        <f>IF(COUNTA(A71:H71)=0,"",IF(OR(OR(OR(G71="撤单",G71="交易失败",G71="交易关闭"),G71="交易失败",G71="交易关闭"),G71="交易失败",G71="交易关闭"),"已排除",IF(G71="待确认","待确认",IF(NOT(OR(G71="已确认",G71="历史估算")),"请选择确认状态",IF(NOT(ISNUMBER(A71)),"缺少有效净值日期",IF(OR(A71&lt;=0,A71&lt;&gt;INT(A71)),"净值日期无效",IF(NOT(OR(OR(B71="买入",B71="定投",B71="转换转入"),B71="卖出",B71="现金分红",B71="红利再投")),"请选择交易类型",IF(NOT(ISNUMBER(C71)),"缺少成交净值",IF(C71&lt;=0,"成交净值须大于零",IF(NOT(ISNUMBER(D71)),"缺少确认份额（分红填0）",IF(NOT(ISNUMBER(E71)),"缺少确认金额（再投填0）",IF(NOT(ISNUMBER(F71)),"缺少手续费（无费用填0）",IF(OR(D71&lt;0,E71&lt;0,F71&lt;0),"份额金额费用不能为负",IF(AA70="错误","前行待修正",IF(A71&lt;Z70,"日期需按成交顺序递增",IF(AND(B71="现金分红",OR(D71&lt;&gt;0,E71&lt;=0,F71&lt;&gt;0)),"分红填份额0、费用0、正金额",IF(AND(B71="红利再投",OR(D71&lt;=0,E71&lt;&gt;0,F71&lt;&gt;0)),"再投填正份额、金额0、费用0",IF(AND(OR(B71="现金分红",B71="红利再投"),K70&lt;=0),"分红或再投前须有持仓",IF(AND(OR(OR(B71="买入",B71="定投",B71="转换转入"),B71="卖出"),OR(D71&lt;=0,E71&lt;=0)),"买卖须填正份额、正金额",IF(AND(B71="卖出",D71&gt;K70+0.000001),"卖出份额超过持仓",IF(AND(OR(B71="买入",B71="定投",B71="转换转入"),F71&gt;=E71)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71="买入",B71="定投",B71="转换转入"),ABS(E71-F71-C71*D71)&gt;'持仓总览'!$H$6),"买入金额与份额净值不符",IF(AND(B71="卖出",ABS(E71+F71-C71*D71)&gt;'持仓总览'!$H$6),"到账加费用与赎回市值不符","已计入"))))))))))))))))))))))))))</f>
        <v>已计入</v>
      </c>
      <c r="J71" s="11">
        <f t="shared" ref="J71:J134" si="18">IF(AA71="正常",IF(I71="已计入",IF(OR(OR(B71="买入",B71="定投",B71="转换转入"),B71="红利再投"),D71,IF(B71="卖出",-D71,0)),0),"")</f>
        <v>29.85</v>
      </c>
      <c r="K71" s="11">
        <f t="shared" si="5">IF(AA71="正常",ROUND(K70+J71,6),"")</f>
        <v>24268.75</v>
      </c>
      <c r="L71" s="11">
        <f t="shared" si="6">IF(I71="已计入",ROUND(K70*C71,2),"")</f>
        <v>121601.71</v>
      </c>
      <c r="M71" s="11">
        <f t="shared" si="7">IF(I71="已计入",IF(B71="卖出",MAX(0,L71-Q70-F71),IF(B71="现金分红",MAX(0,L71+E71-Q70),0)),"")</f>
        <v>0</v>
      </c>
      <c r="N71" s="11">
        <f>IF(I71="已计入",IF(AND(B71="卖出",'持仓总览'!$C$7="本金优先"),MAX(0,E71-Q70),IF(OR(B71="卖出",B71="现金分红"),MIN(E71,M71),0)),"")</f>
        <v>0</v>
      </c>
      <c r="O71" s="11">
        <f t="shared" si="8">IF(I71="已计入",IF(OR(B71="卖出",B71="现金分红"),MIN(Q70,MAX(0,E71-N71)),0),"")</f>
        <v>0</v>
      </c>
      <c r="P71" s="11">
        <f t="shared" si="9">IF(I71="已计入",IF(AND(B71="卖出",K71=0),MAX(0,Q70-O71),0),"")</f>
        <v>0</v>
      </c>
      <c r="Q71" s="11">
        <f t="shared" si="10">IF(AA71="正常",IF(I71="已计入",ROUND(Q70+IF(OR(B71="买入",B71="定投",B71="转换转入"),E71,0)-O71-P71,2),Q70),"")</f>
        <v>120600</v>
      </c>
      <c r="R71" s="11">
        <f t="shared" ref="R71:R134" si="19">IF(I71="已计入",ROUND(K71*C71,2),"")</f>
        <v>121751.47</v>
      </c>
      <c r="S71" s="11">
        <f t="shared" ref="S71:S134" si="20">IF(I71="已计入",ROUND(R71-Q71,2),"")</f>
        <v>1151.47</v>
      </c>
      <c r="T71" s="12">
        <f t="shared" ref="T71:T134" si="21">IF(I71="已计入",IF(Q71=0,"",S71/Q71),"")</f>
        <v>0.009547844112769486</v>
      </c>
      <c r="U71" s="11">
        <f t="shared" si="11">IF(AA71="正常",U70+IF(AND(I71="已计入",OR(B71="买入",B71="定投",B71="转换转入")),E71,0),"")</f>
        <v>120600</v>
      </c>
      <c r="V71" s="11">
        <f t="shared" si="12">IF(AA71="正常",V70+IF(AND(I71="已计入",OR(B71="卖出",B71="现金分红")),E71,0),"")</f>
        <v>0</v>
      </c>
      <c r="W71" s="11">
        <f t="shared" si="13">IF(AA71="正常",W70+IF(I71="已计入",N71,0),"")</f>
        <v>0</v>
      </c>
      <c r="X71" s="11">
        <f t="shared" si="14">IF(AA71="正常",X70+IF(I71="已计入",P71,0),"")</f>
        <v>0</v>
      </c>
      <c r="Y71" s="11">
        <f t="shared" ref="Y71:Y134" si="22">IF(I71="已计入",ROUND(R71+V71-U71,2),"")</f>
        <v>1151.47</v>
      </c>
      <c r="Z71" s="13">
        <f t="shared" si="15">IF(AA71="正常",IF(I71="已计入",A71,Z70),"")</f>
        <v>46119</v>
      </c>
      <c r="AA71" s="10" t="str">
        <f t="shared" si="16">IF(OR(AA70="错误",AND(I71&lt;&gt;"",I71&lt;&gt;"已排除",I71&lt;&gt;"待确认",I71&lt;&gt;"已计入")),"错误","正常")</f>
        <v>正常</v>
      </c>
      <c r="AB71" s="14">
        <f t="shared" si="17">IF(AA71="正常",IF(I71="已计入",C71,AB70),"")</f>
        <v>5.0168</v>
      </c>
    </row>
    <row r="72" ht="42" customHeight="1">
      <c r="A72" s="36">
        <v>46120</v>
      </c>
      <c r="B72" s="37" t="inlineStr">
        <is>
          <t>定投</t>
        </is>
      </c>
      <c r="C72" s="38">
        <v>5.2943</v>
      </c>
      <c r="D72" s="39">
        <v>28.29</v>
      </c>
      <c r="E72" s="39">
        <v>150</v>
      </c>
      <c r="F72" s="39">
        <v>0.24</v>
      </c>
      <c r="G72" s="37" t="inlineStr">
        <is>
          <t>历史估算</t>
        </is>
      </c>
      <c r="H72" s="40" t="inlineStr">
        <is>
          <t>原下单 2026-04-08 10:11:56
净值日／份额暂估，手续费按 0.16%</t>
        </is>
      </c>
      <c r="I72" s="10" t="str">
        <f>IF(COUNTA(A72:H72)=0,"",IF(OR(OR(OR(G72="撤单",G72="交易失败",G72="交易关闭"),G72="交易失败",G72="交易关闭"),G72="交易失败",G72="交易关闭"),"已排除",IF(G72="待确认","待确认",IF(NOT(OR(G72="已确认",G72="历史估算")),"请选择确认状态",IF(NOT(ISNUMBER(A72)),"缺少有效净值日期",IF(OR(A72&lt;=0,A72&lt;&gt;INT(A72)),"净值日期无效",IF(NOT(OR(OR(B72="买入",B72="定投",B72="转换转入"),B72="卖出",B72="现金分红",B72="红利再投")),"请选择交易类型",IF(NOT(ISNUMBER(C72)),"缺少成交净值",IF(C72&lt;=0,"成交净值须大于零",IF(NOT(ISNUMBER(D72)),"缺少确认份额（分红填0）",IF(NOT(ISNUMBER(E72)),"缺少确认金额（再投填0）",IF(NOT(ISNUMBER(F72)),"缺少手续费（无费用填0）",IF(OR(D72&lt;0,E72&lt;0,F72&lt;0),"份额金额费用不能为负",IF(AA71="错误","前行待修正",IF(A72&lt;Z71,"日期需按成交顺序递增",IF(AND(B72="现金分红",OR(D72&lt;&gt;0,E72&lt;=0,F72&lt;&gt;0)),"分红填份额0、费用0、正金额",IF(AND(B72="红利再投",OR(D72&lt;=0,E72&lt;&gt;0,F72&lt;&gt;0)),"再投填正份额、金额0、费用0",IF(AND(OR(B72="现金分红",B72="红利再投"),K71&lt;=0),"分红或再投前须有持仓",IF(AND(OR(OR(B72="买入",B72="定投",B72="转换转入"),B72="卖出"),OR(D72&lt;=0,E72&lt;=0)),"买卖须填正份额、正金额",IF(AND(B72="卖出",D72&gt;K71+0.000001),"卖出份额超过持仓",IF(AND(OR(B72="买入",B72="定投",B72="转换转入"),F72&gt;=E72)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72="买入",B72="定投",B72="转换转入"),ABS(E72-F72-C72*D72)&gt;'持仓总览'!$H$6),"买入金额与份额净值不符",IF(AND(B72="卖出",ABS(E72+F72-C72*D72)&gt;'持仓总览'!$H$6),"到账加费用与赎回市值不符","已计入"))))))))))))))))))))))))))</f>
        <v>已计入</v>
      </c>
      <c r="J72" s="11">
        <f t="shared" si="18">IF(AA72="正常",IF(I72="已计入",IF(OR(OR(B72="买入",B72="定投",B72="转换转入"),B72="红利再投"),D72,IF(B72="卖出",-D72,0)),0),"")</f>
        <v>28.29</v>
      </c>
      <c r="K72" s="11">
        <f t="shared" ref="K72:K135" si="23">IF(AA72="正常",ROUND(K71+J72,6),"")</f>
        <v>24297.04</v>
      </c>
      <c r="L72" s="11">
        <f t="shared" ref="L72:L135" si="24">IF(I72="已计入",ROUND(K71*C72,2),"")</f>
        <v>128486.04</v>
      </c>
      <c r="M72" s="11">
        <f t="shared" ref="M72:M135" si="25">IF(I72="已计入",IF(B72="卖出",MAX(0,L72-Q71-F72),IF(B72="现金分红",MAX(0,L72+E72-Q71),0)),"")</f>
        <v>0</v>
      </c>
      <c r="N72" s="11">
        <f>IF(I72="已计入",IF(AND(B72="卖出",'持仓总览'!$C$7="本金优先"),MAX(0,E72-Q71),IF(OR(B72="卖出",B72="现金分红"),MIN(E72,M72),0)),"")</f>
        <v>0</v>
      </c>
      <c r="O72" s="11">
        <f t="shared" ref="O72:O135" si="26">IF(I72="已计入",IF(OR(B72="卖出",B72="现金分红"),MIN(Q71,MAX(0,E72-N72)),0),"")</f>
        <v>0</v>
      </c>
      <c r="P72" s="11">
        <f t="shared" ref="P72:P135" si="27">IF(I72="已计入",IF(AND(B72="卖出",K72=0),MAX(0,Q71-O72),0),"")</f>
        <v>0</v>
      </c>
      <c r="Q72" s="11">
        <f t="shared" ref="Q72:Q135" si="28">IF(AA72="正常",IF(I72="已计入",ROUND(Q71+IF(OR(B72="买入",B72="定投",B72="转换转入"),E72,0)-O72-P72,2),Q71),"")</f>
        <v>120750</v>
      </c>
      <c r="R72" s="11">
        <f t="shared" si="19">IF(I72="已计入",ROUND(K72*C72,2),"")</f>
        <v>128635.82</v>
      </c>
      <c r="S72" s="11">
        <f t="shared" si="20">IF(I72="已计入",ROUND(R72-Q72,2),"")</f>
        <v>7885.82</v>
      </c>
      <c r="T72" s="12">
        <f t="shared" si="21">IF(I72="已计入",IF(Q72=0,"",S72/Q72),"")</f>
        <v>0.06530699792960662</v>
      </c>
      <c r="U72" s="11">
        <f t="shared" ref="U72:U135" si="29">IF(AA72="正常",U71+IF(AND(I72="已计入",OR(B72="买入",B72="定投",B72="转换转入")),E72,0),"")</f>
        <v>120750</v>
      </c>
      <c r="V72" s="11">
        <f t="shared" ref="V72:V135" si="30">IF(AA72="正常",V71+IF(AND(I72="已计入",OR(B72="卖出",B72="现金分红")),E72,0),"")</f>
        <v>0</v>
      </c>
      <c r="W72" s="11">
        <f t="shared" ref="W72:W135" si="31">IF(AA72="正常",W71+IF(I72="已计入",N72,0),"")</f>
        <v>0</v>
      </c>
      <c r="X72" s="11">
        <f t="shared" ref="X72:X135" si="32">IF(AA72="正常",X71+IF(I72="已计入",P72,0),"")</f>
        <v>0</v>
      </c>
      <c r="Y72" s="11">
        <f t="shared" si="22">IF(I72="已计入",ROUND(R72+V72-U72,2),"")</f>
        <v>7885.82</v>
      </c>
      <c r="Z72" s="13">
        <f t="shared" ref="Z72:Z135" si="33">IF(AA72="正常",IF(I72="已计入",A72,Z71),"")</f>
        <v>46120</v>
      </c>
      <c r="AA72" s="10" t="str">
        <f t="shared" ref="AA72:AA135" si="34">IF(OR(AA71="错误",AND(I72&lt;&gt;"",I72&lt;&gt;"已排除",I72&lt;&gt;"待确认",I72&lt;&gt;"已计入")),"错误","正常")</f>
        <v>正常</v>
      </c>
      <c r="AB72" s="14">
        <f t="shared" ref="AB72:AB135" si="35">IF(AA72="正常",IF(I72="已计入",C72,AB71),"")</f>
        <v>5.2943</v>
      </c>
    </row>
    <row r="73" ht="42" customHeight="1">
      <c r="A73" s="36">
        <v>46121</v>
      </c>
      <c r="B73" s="37" t="inlineStr">
        <is>
          <t>定投</t>
        </is>
      </c>
      <c r="C73" s="38">
        <v>5.3879</v>
      </c>
      <c r="D73" s="39">
        <v>27.8</v>
      </c>
      <c r="E73" s="39">
        <v>150</v>
      </c>
      <c r="F73" s="39">
        <v>0.24</v>
      </c>
      <c r="G73" s="37" t="inlineStr">
        <is>
          <t>历史估算</t>
        </is>
      </c>
      <c r="H73" s="40" t="inlineStr">
        <is>
          <t>原下单 2026-04-09 10:12:11
净值日／份额暂估，手续费按 0.16%</t>
        </is>
      </c>
      <c r="I73" s="10" t="str">
        <f>IF(COUNTA(A73:H73)=0,"",IF(OR(OR(OR(G73="撤单",G73="交易失败",G73="交易关闭"),G73="交易失败",G73="交易关闭"),G73="交易失败",G73="交易关闭"),"已排除",IF(G73="待确认","待确认",IF(NOT(OR(G73="已确认",G73="历史估算")),"请选择确认状态",IF(NOT(ISNUMBER(A73)),"缺少有效净值日期",IF(OR(A73&lt;=0,A73&lt;&gt;INT(A73)),"净值日期无效",IF(NOT(OR(OR(B73="买入",B73="定投",B73="转换转入"),B73="卖出",B73="现金分红",B73="红利再投")),"请选择交易类型",IF(NOT(ISNUMBER(C73)),"缺少成交净值",IF(C73&lt;=0,"成交净值须大于零",IF(NOT(ISNUMBER(D73)),"缺少确认份额（分红填0）",IF(NOT(ISNUMBER(E73)),"缺少确认金额（再投填0）",IF(NOT(ISNUMBER(F73)),"缺少手续费（无费用填0）",IF(OR(D73&lt;0,E73&lt;0,F73&lt;0),"份额金额���用不能为负",IF(AA72="错误","前行待修正",IF(A73&lt;Z72,"日期需按成交顺序递增",IF(AND(B73="现金分红",OR(D73&lt;&gt;0,E73&lt;=0,F73&lt;&gt;0)),"分红填份额0、费用0、正金额",IF(AND(B73="红利再投",OR(D73&lt;=0,E73&lt;&gt;0,F73&lt;&gt;0)),"再投填正份额、金额0、费用0",IF(AND(OR(B73="现金分红",B73="红利再投"),K72&lt;=0),"分红或再投前须有持仓",IF(AND(OR(OR(B73="买入",B73="定投",B73="转换转入"),B73="卖出"),OR(D73&lt;=0,E73&lt;=0)),"买卖须填正份额、正金额",IF(AND(B73="卖出",D73&gt;K72+0.000001),"卖出份额超过持仓",IF(AND(OR(B73="买入",B73="定投",B73="转换转入"),F73&gt;=E73)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73="买入",B73="定投",B73="转换转入"),ABS(E73-F73-C73*D73)&gt;'持仓总览'!$H$6),"买入金额与份额净值不符",IF(AND(B73="卖出",ABS(E73+F73-C73*D73)&gt;'持仓总览'!$H$6),"到账加费用与赎回市值不符","已计入"))))))))))))))))))))))))))</f>
        <v>已计入</v>
      </c>
      <c r="J73" s="11">
        <f t="shared" si="18">IF(AA73="正常",IF(I73="已计入",IF(OR(OR(B73="买入",B73="定投",B73="转换转入"),B73="红利再投"),D73,IF(B73="卖出",-D73,0)),0),"")</f>
        <v>27.8</v>
      </c>
      <c r="K73" s="11">
        <f t="shared" si="23">IF(AA73="正常",ROUND(K72+J73,6),"")</f>
        <v>24324.84</v>
      </c>
      <c r="L73" s="11">
        <f t="shared" si="24">IF(I73="已计入",ROUND(K72*C73,2),"")</f>
        <v>130910.02</v>
      </c>
      <c r="M73" s="11">
        <f t="shared" si="25">IF(I73="已计入",IF(B73="卖出",MAX(0,L73-Q72-F73),IF(B73="现金分红",MAX(0,L73+E73-Q72),0)),"")</f>
        <v>0</v>
      </c>
      <c r="N73" s="11">
        <f>IF(I73="已计入",IF(AND(B73="卖出",'持仓总览'!$C$7="本金优先"),MAX(0,E73-Q72),IF(OR(B73="卖出",B73="现金分红"),MIN(E73,M73),0)),"")</f>
        <v>0</v>
      </c>
      <c r="O73" s="11">
        <f t="shared" si="26">IF(I73="已计入",IF(OR(B73="卖出",B73="现金分红"),MIN(Q72,MAX(0,E73-N73)),0),"")</f>
        <v>0</v>
      </c>
      <c r="P73" s="11">
        <f t="shared" si="27">IF(I73="已计入",IF(AND(B73="卖出",K73=0),MAX(0,Q72-O73),0),"")</f>
        <v>0</v>
      </c>
      <c r="Q73" s="11">
        <f t="shared" si="28">IF(AA73="正常",IF(I73="已计入",ROUND(Q72+IF(OR(B73="买入",B73="定投",B73="转换转入"),E73,0)-O73-P73,2),Q72),"")</f>
        <v>120900</v>
      </c>
      <c r="R73" s="11">
        <f t="shared" si="19">IF(I73="已计入",ROUND(K73*C73,2),"")</f>
        <v>131059.81</v>
      </c>
      <c r="S73" s="11">
        <f t="shared" si="20">IF(I73="已计入",ROUND(R73-Q73,2),"")</f>
        <v>10159.81</v>
      </c>
      <c r="T73" s="12">
        <f t="shared" si="21">IF(I73="已计入",IF(Q73=0,"",S73/Q73),"")</f>
        <v>0.08403482216708023</v>
      </c>
      <c r="U73" s="11">
        <f t="shared" si="29">IF(AA73="正常",U72+IF(AND(I73="已计入",OR(B73="买入",B73="定投",B73="转换转入")),E73,0),"")</f>
        <v>120900</v>
      </c>
      <c r="V73" s="11">
        <f t="shared" si="30">IF(AA73="正常",V72+IF(AND(I73="已计入",OR(B73="卖出",B73="现金分红")),E73,0),"")</f>
        <v>0</v>
      </c>
      <c r="W73" s="11">
        <f t="shared" si="31">IF(AA73="正常",W72+IF(I73="已计入",N73,0),"")</f>
        <v>0</v>
      </c>
      <c r="X73" s="11">
        <f t="shared" si="32">IF(AA73="正常",X72+IF(I73="已计入",P73,0),"")</f>
        <v>0</v>
      </c>
      <c r="Y73" s="11">
        <f t="shared" si="22">IF(I73="已计入",ROUND(R73+V73-U73,2),"")</f>
        <v>10159.81</v>
      </c>
      <c r="Z73" s="13">
        <f t="shared" si="33">IF(AA73="正常",IF(I73="已计入",A73,Z72),"")</f>
        <v>46121</v>
      </c>
      <c r="AA73" s="10" t="str">
        <f t="shared" si="34">IF(OR(AA72="错误",AND(I73&lt;&gt;"",I73&lt;&gt;"已排除",I73&lt;&gt;"待确认",I73&lt;&gt;"已计入")),"错误","正常")</f>
        <v>正常</v>
      </c>
      <c r="AB73" s="14">
        <f t="shared" si="35">IF(AA73="正常",IF(I73="已计入",C73,AB72),"")</f>
        <v>5.3879</v>
      </c>
    </row>
    <row r="74" ht="42" customHeight="1">
      <c r="A74" s="36">
        <v>46122</v>
      </c>
      <c r="B74" s="37" t="inlineStr">
        <is>
          <t>定投</t>
        </is>
      </c>
      <c r="C74" s="38">
        <v>5.4461</v>
      </c>
      <c r="D74" s="39">
        <v>27.5</v>
      </c>
      <c r="E74" s="39">
        <v>150</v>
      </c>
      <c r="F74" s="39">
        <v>0.24</v>
      </c>
      <c r="G74" s="37" t="inlineStr">
        <is>
          <t>历史估算</t>
        </is>
      </c>
      <c r="H74" s="40" t="inlineStr">
        <is>
          <t>原下单 2026-04-10 10:06:59
净值日／份额暂估，手续费按 0.16%</t>
        </is>
      </c>
      <c r="I74" s="10" t="str">
        <f>IF(COUNTA(A74:H74)=0,"",IF(OR(OR(OR(G74="撤单",G74="交易失败",G74="交易关闭"),G74="交易失败",G74="交易关闭"),G74="交易失败",G74="交易关闭"),"已排除",IF(G74="待确认","待确认",IF(NOT(OR(G74="已确认",G74="历史估算")),"请选择确认状态",IF(NOT(ISNUMBER(A74)),"缺少有效净值日期",IF(OR(A74&lt;=0,A74&lt;&gt;INT(A74)),"净值日期无效",IF(NOT(OR(OR(B74="买入",B74="定投",B74="转换转入"),B74="卖出",B74="现金分红",B74="红利再投")),"请选择交易类型",IF(NOT(ISNUMBER(C74)),"缺少成交净值",IF(C74&lt;=0,"成交净值须大于零",IF(NOT(ISNUMBER(D74)),"缺少确认份额（分红填0）",IF(NOT(ISNUMBER(E74)),"缺少确认金额（再投填0）",IF(NOT(ISNUMBER(F74)),"缺少手续费（无费用填0）",IF(OR(D74&lt;0,E74&lt;0,F74&lt;0),"份额金额费用不能为负",IF(AA73="错误","前行待修正",IF(A74&lt;Z73,"日期需按成交顺序递增",IF(AND(B74="现金分红",OR(D74&lt;&gt;0,E74&lt;=0,F74&lt;&gt;0)),"分红填份额0、费用0、正金额",IF(AND(B74="红利再投",OR(D74&lt;=0,E74&lt;&gt;0,F74&lt;&gt;0)),"再投填正份额、金额0、费用0",IF(AND(OR(B74="现金分红",B74="红利再投"),K73&lt;=0),"分红或再投前须有持仓",IF(AND(OR(OR(B74="买入",B74="定投",B74="转换转入"),B74="卖出"),OR(D74&lt;=0,E74&lt;=0)),"买卖须填正份额、正金额",IF(AND(B74="卖出",D74&gt;K73+0.000001),"卖出份额超过持仓",IF(AND(OR(B74="买入",B74="定投",B74="转换转入"),F74&gt;=E74)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74="买入",B74="定投",B74="转换转入"),ABS(E74-F74-C74*D74)&gt;'持仓总览'!$H$6),"买入金额与份额净值不符",IF(AND(B74="卖出",ABS(E74+F74-C74*D74)&gt;'持仓总览'!$H$6),"到账加费用与赎回市值不符","已计入"))))))))))))))))))))))))))</f>
        <v>已计入</v>
      </c>
      <c r="J74" s="11">
        <f t="shared" si="18">IF(AA74="正常",IF(I74="已计入",IF(OR(OR(B74="买入",B74="定投",B74="转换转入"),B74="红利再投"),D74,IF(B74="卖出",-D74,0)),0),"")</f>
        <v>27.5</v>
      </c>
      <c r="K74" s="11">
        <f t="shared" si="23">IF(AA74="正常",ROUND(K73+J74,6),"")</f>
        <v>24352.34</v>
      </c>
      <c r="L74" s="11">
        <f t="shared" si="24">IF(I74="已计入",ROUND(K73*C74,2),"")</f>
        <v>132475.51</v>
      </c>
      <c r="M74" s="11">
        <f t="shared" si="25">IF(I74="已计入",IF(B74="卖出",MAX(0,L74-Q73-F74),IF(B74="现金分红",MAX(0,L74+E74-Q73),0)),"")</f>
        <v>0</v>
      </c>
      <c r="N74" s="11">
        <f>IF(I74="已计入",IF(AND(B74="卖出",'持仓总览'!$C$7="本金优先"),MAX(0,E74-Q73),IF(OR(B74="卖出",B74="现金分红"),MIN(E74,M74),0)),"")</f>
        <v>0</v>
      </c>
      <c r="O74" s="11">
        <f t="shared" si="26">IF(I74="已计入",IF(OR(B74="卖出",B74="现金分红"),MIN(Q73,MAX(0,E74-N74)),0),"")</f>
        <v>0</v>
      </c>
      <c r="P74" s="11">
        <f t="shared" si="27">IF(I74="已计入",IF(AND(B74="卖出",K74=0),MAX(0,Q73-O74),0),"")</f>
        <v>0</v>
      </c>
      <c r="Q74" s="11">
        <f t="shared" si="28">IF(AA74="正常",IF(I74="已计入",ROUND(Q73+IF(OR(B74="买入",B74="定投",B74="转换转入"),E74,0)-O74-P74,2),Q73),"")</f>
        <v>121050</v>
      </c>
      <c r="R74" s="11">
        <f t="shared" si="19">IF(I74="已计入",ROUND(K74*C74,2),"")</f>
        <v>132625.28</v>
      </c>
      <c r="S74" s="11">
        <f t="shared" si="20">IF(I74="已计入",ROUND(R74-Q74,2),"")</f>
        <v>11575.28</v>
      </c>
      <c r="T74" s="12">
        <f t="shared" si="21">IF(I74="已计入",IF(Q74=0,"",S74/Q74),"")</f>
        <v>0.09562395704254441</v>
      </c>
      <c r="U74" s="11">
        <f t="shared" si="29">IF(AA74="正常",U73+IF(AND(I74="已计入",OR(B74="买入",B74="定投",B74="转换转入")),E74,0),"")</f>
        <v>121050</v>
      </c>
      <c r="V74" s="11">
        <f t="shared" si="30">IF(AA74="正常",V73+IF(AND(I74="已计入",OR(B74="卖出",B74="现金分红")),E74,0),"")</f>
        <v>0</v>
      </c>
      <c r="W74" s="11">
        <f t="shared" si="31">IF(AA74="正常",W73+IF(I74="已计入",N74,0),"")</f>
        <v>0</v>
      </c>
      <c r="X74" s="11">
        <f t="shared" si="32">IF(AA74="正常",X73+IF(I74="已计入",P74,0),"")</f>
        <v>0</v>
      </c>
      <c r="Y74" s="11">
        <f t="shared" si="22">IF(I74="已计入",ROUND(R74+V74-U74,2),"")</f>
        <v>11575.28</v>
      </c>
      <c r="Z74" s="13">
        <f t="shared" si="33">IF(AA74="正常",IF(I74="已计入",A74,Z73),"")</f>
        <v>46122</v>
      </c>
      <c r="AA74" s="10" t="str">
        <f t="shared" si="34">IF(OR(AA73="错误",AND(I74&lt;&gt;"",I74&lt;&gt;"已排除",I74&lt;&gt;"待确认",I74&lt;&gt;"已计入")),"错误","正常")</f>
        <v>正常</v>
      </c>
      <c r="AB74" s="14">
        <f t="shared" si="35">IF(AA74="正常",IF(I74="已计入",C74,AB73),"")</f>
        <v>5.4461</v>
      </c>
    </row>
    <row r="75" ht="42" customHeight="1">
      <c r="A75" s="36">
        <v>46125</v>
      </c>
      <c r="B75" s="37" t="inlineStr">
        <is>
          <t>定投</t>
        </is>
      </c>
      <c r="C75" s="38">
        <v>5.5133</v>
      </c>
      <c r="D75" s="39">
        <v>27.16</v>
      </c>
      <c r="E75" s="39">
        <v>150</v>
      </c>
      <c r="F75" s="39">
        <v>0.24</v>
      </c>
      <c r="G75" s="37" t="inlineStr">
        <is>
          <t>历史估算</t>
        </is>
      </c>
      <c r="H75" s="40" t="inlineStr">
        <is>
          <t>原下单 2026-04-13 10:15:34
净值日／份额暂估，手续费按 0.16%</t>
        </is>
      </c>
      <c r="I75" s="10" t="str">
        <f>IF(COUNTA(A75:H75)=0,"",IF(OR(OR(OR(G75="撤单",G75="交易失败",G75="交易关闭"),G75="交易失败",G75="交易关闭"),G75="交易失败",G75="交易关闭"),"已排除",IF(G75="待确认","待确认",IF(NOT(OR(G75="已确认",G75="历史估算")),"请选择确认状态",IF(NOT(ISNUMBER(A75)),"缺少有效净值日期",IF(OR(A75&lt;=0,A75&lt;&gt;INT(A75)),"净值日期无效",IF(NOT(OR(OR(B75="买入",B75="定投",B75="转换转入"),B75="卖出",B75="现金分红",B75="红利再投")),"请选择交易类型",IF(NOT(ISNUMBER(C75)),"缺少成交净值",IF(C75&lt;=0,"成交净值须大于零",IF(NOT(ISNUMBER(D75)),"缺少确认份额（分红填0）",IF(NOT(ISNUMBER(E75)),"缺少确认金额（再投填0）",IF(NOT(ISNUMBER(F75)),"缺少手续费（无费用填0）",IF(OR(D75&lt;0,E75&lt;0,F75&lt;0),"份额金额费用不能为负",IF(AA74="错误","前行待修正",IF(A75&lt;Z74,"日期需按成交顺序递增",IF(AND(B75="现金分红",OR(D75&lt;&gt;0,E75&lt;=0,F75&lt;&gt;0)),"分红填份额0、费用0、正金额",IF(AND(B75="红利再投",OR(D75&lt;=0,E75&lt;&gt;0,F75&lt;&gt;0)),"再投填正份额、金额0、费用0",IF(AND(OR(B75="现金分红",B75="红利再投"),K74&lt;=0),"分红或再投前须有持仓",IF(AND(OR(OR(B75="买入",B75="定投",B75="转换转入"),B75="卖出"),OR(D75&lt;=0,E75&lt;=0)),"买卖须填正份额、正金额",IF(AND(B75="卖出",D75&gt;K74+0.000001),"卖出份额超过持仓",IF(AND(OR(B75="买入",B75="定投",B75="转换转入"),F75&gt;=E75)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75="买入",B75="定投",B75="转换转入"),ABS(E75-F75-C75*D75)&gt;'持仓总览'!$H$6),"买入金额与份额净值不符",IF(AND(B75="卖出",ABS(E75+F75-C75*D75)&gt;'持仓总览'!$H$6),"到账加费用与赎回市值不符","已计入"))))))))))))))))))))))))))</f>
        <v>已计入</v>
      </c>
      <c r="J75" s="11">
        <f t="shared" si="18">IF(AA75="正常",IF(I75="已计入",IF(OR(OR(B75="买入",B75="定投",B75="转换转入"),B75="红利再投"),D75,IF(B75="卖出",-D75,0)),0),"")</f>
        <v>27.16</v>
      </c>
      <c r="K75" s="11">
        <f t="shared" si="23">IF(AA75="正常",ROUND(K74+J75,6),"")</f>
        <v>24379.5</v>
      </c>
      <c r="L75" s="11">
        <f t="shared" si="24">IF(I75="已计入",ROUND(K74*C75,2),"")</f>
        <v>134261.76</v>
      </c>
      <c r="M75" s="11">
        <f t="shared" si="25">IF(I75="已计入",IF(B75="卖出",MAX(0,L75-Q74-F75),IF(B75="现金分红",MAX(0,L75+E75-Q74),0)),"")</f>
        <v>0</v>
      </c>
      <c r="N75" s="11">
        <f>IF(I75="已计入",IF(AND(B75="卖出",'持仓总览'!$C$7="本金优先"),MAX(0,E75-Q74),IF(OR(B75="卖出",B75="现金分红"),MIN(E75,M75),0)),"")</f>
        <v>0</v>
      </c>
      <c r="O75" s="11">
        <f t="shared" si="26">IF(I75="已计入",IF(OR(B75="卖出",B75="现金分红"),MIN(Q74,MAX(0,E75-N75)),0),"")</f>
        <v>0</v>
      </c>
      <c r="P75" s="11">
        <f t="shared" si="27">IF(I75="已计入",IF(AND(B75="卖出",K75=0),MAX(0,Q74-O75),0),"")</f>
        <v>0</v>
      </c>
      <c r="Q75" s="11">
        <f t="shared" si="28">IF(AA75="正常",IF(I75="已计入",ROUND(Q74+IF(OR(B75="买入",B75="定投",B75="转换转入"),E75,0)-O75-P75,2),Q74),"")</f>
        <v>121200</v>
      </c>
      <c r="R75" s="11">
        <f t="shared" si="19">IF(I75="已计入",ROUND(K75*C75,2),"")</f>
        <v>134411.5</v>
      </c>
      <c r="S75" s="11">
        <f t="shared" si="20">IF(I75="已计入",ROUND(R75-Q75,2),"")</f>
        <v>13211.5</v>
      </c>
      <c r="T75" s="12">
        <f t="shared" si="21">IF(I75="已计入",IF(Q75=0,"",S75/Q75),"")</f>
        <v>0.10900577557755775</v>
      </c>
      <c r="U75" s="11">
        <f t="shared" si="29">IF(AA75="正常",U74+IF(AND(I75="已计入",OR(B75="买入",B75="定投",B75="转换转入")),E75,0),"")</f>
        <v>121200</v>
      </c>
      <c r="V75" s="11">
        <f t="shared" si="30">IF(AA75="正常",V74+IF(AND(I75="已计入",OR(B75="卖出",B75="现金分红")),E75,0),"")</f>
        <v>0</v>
      </c>
      <c r="W75" s="11">
        <f t="shared" si="31">IF(AA75="正常",W74+IF(I75="已计入",N75,0),"")</f>
        <v>0</v>
      </c>
      <c r="X75" s="11">
        <f t="shared" si="32">IF(AA75="正常",X74+IF(I75="已计入",P75,0),"")</f>
        <v>0</v>
      </c>
      <c r="Y75" s="11">
        <f t="shared" si="22">IF(I75="已计入",ROUND(R75+V75-U75,2),"")</f>
        <v>13211.5</v>
      </c>
      <c r="Z75" s="13">
        <f t="shared" si="33">IF(AA75="正常",IF(I75="已计入",A75,Z74),"")</f>
        <v>46125</v>
      </c>
      <c r="AA75" s="10" t="str">
        <f t="shared" si="34">IF(OR(AA74="错误",AND(I75&lt;&gt;"",I75&lt;&gt;"已排除",I75&lt;&gt;"待确认",I75&lt;&gt;"已计入")),"错误","正常")</f>
        <v>正常</v>
      </c>
      <c r="AB75" s="14">
        <f t="shared" si="35">IF(AA75="正常",IF(I75="已计入",C75,AB74),"")</f>
        <v>5.5133</v>
      </c>
    </row>
    <row r="76" ht="42" customHeight="1">
      <c r="A76" s="36">
        <v>46126</v>
      </c>
      <c r="B76" s="37" t="inlineStr">
        <is>
          <t>定投</t>
        </is>
      </c>
      <c r="C76" s="38">
        <v>5.6151</v>
      </c>
      <c r="D76" s="39">
        <v>26.67</v>
      </c>
      <c r="E76" s="39">
        <v>150</v>
      </c>
      <c r="F76" s="39">
        <v>0.24</v>
      </c>
      <c r="G76" s="37" t="inlineStr">
        <is>
          <t>历史估算</t>
        </is>
      </c>
      <c r="H76" s="40" t="inlineStr">
        <is>
          <t>原下单 2026-04-14 10:05:33
净值日／份额暂估，手续费按 0.16%</t>
        </is>
      </c>
      <c r="I76" s="10" t="str">
        <f>IF(COUNTA(A76:H76)=0,"",IF(OR(OR(OR(G76="撤单",G76="交易失败",G76="交易关闭"),G76="交易失败",G76="交易关闭"),G76="交易失败",G76="交易关闭"),"已排除",IF(G76="待确认","待确认",IF(NOT(OR(G76="已确认",G76="历史估算")),"请选择确认状态",IF(NOT(ISNUMBER(A76)),"缺少有效净值日期",IF(OR(A76&lt;=0,A76&lt;&gt;INT(A76)),"净值日期无效",IF(NOT(OR(OR(B76="买入",B76="定投",B76="转换转入"),B76="卖出",B76="现金分红",B76="红利再投")),"请选择交易类型",IF(NOT(ISNUMBER(C76)),"缺少成交净值",IF(C76&lt;=0,"成交净值须大于零",IF(NOT(ISNUMBER(D76)),"缺少确认份额（分红填0）",IF(NOT(ISNUMBER(E76)),"缺少确认金额（再投填0）",IF(NOT(ISNUMBER(F76)),"缺少手续费（无费用填0）",IF(OR(D76&lt;0,E76&lt;0,F76&lt;0),"份额金额费用不能为负",IF(AA75="错误","前行待修正",IF(A76&lt;Z75,"日期需按成交顺序递增",IF(AND(B76="现金分红",OR(D76&lt;&gt;0,E76&lt;=0,F76&lt;&gt;0)),"分红填份额0、费用0、正金额",IF(AND(B76="红利再投",OR(D76&lt;=0,E76&lt;&gt;0,F76&lt;&gt;0)),"再投填正份额、金额0、费用0",IF(AND(OR(B76="现金分红",B76="红利再投"),K75&lt;=0),"分红或再投前须有持仓",IF(AND(OR(OR(B76="买入",B76="定投",B76="转换转入"),B76="卖出"),OR(D76&lt;=0,E76&lt;=0)),"买卖须填正份额、正金额",IF(AND(B76="卖出",D76&gt;K75+0.000001),"卖出份额超过持仓",IF(AND(OR(B76="买入",B76="定投",B76="转换转入"),F76&gt;=E76)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76="买入",B76="定投",B76="转换转入"),ABS(E76-F76-C76*D76)&gt;'持仓总览'!$H$6),"买入金额与份额净值不符",IF(AND(B76="卖出",ABS(E76+F76-C76*D76)&gt;'持仓总览'!$H$6),"到账加费用与赎回市值不符","已计入"))))))))))))))))))))))))))</f>
        <v>已计入</v>
      </c>
      <c r="J76" s="11">
        <f t="shared" si="18">IF(AA76="正常",IF(I76="已计入",IF(OR(OR(B76="买入",B76="定投",B76="转换转入"),B76="红利再投"),D76,IF(B76="卖出",-D76,0)),0),"")</f>
        <v>26.67</v>
      </c>
      <c r="K76" s="11">
        <f t="shared" si="23">IF(AA76="正常",ROUND(K75+J76,6),"")</f>
        <v>24406.17</v>
      </c>
      <c r="L76" s="11">
        <f t="shared" si="24">IF(I76="已计入",ROUND(K75*C76,2),"")</f>
        <v>136893.33</v>
      </c>
      <c r="M76" s="11">
        <f t="shared" si="25">IF(I76="已计入",IF(B76="卖出",MAX(0,L76-Q75-F76),IF(B76="现金分红",MAX(0,L76+E76-Q75),0)),"")</f>
        <v>0</v>
      </c>
      <c r="N76" s="11">
        <f>IF(I76="已计入",IF(AND(B76="卖出",'持仓总览'!$C$7="本金优先"),MAX(0,E76-Q75),IF(OR(B76="卖出",B76="现金分红"),MIN(E76,M76),0)),"")</f>
        <v>0</v>
      </c>
      <c r="O76" s="11">
        <f t="shared" si="26">IF(I76="已计入",IF(OR(B76="卖出",B76="现金分红"),MIN(Q75,MAX(0,E76-N76)),0),"")</f>
        <v>0</v>
      </c>
      <c r="P76" s="11">
        <f t="shared" si="27">IF(I76="已计入",IF(AND(B76="卖出",K76=0),MAX(0,Q75-O76),0),"")</f>
        <v>0</v>
      </c>
      <c r="Q76" s="11">
        <f t="shared" si="28">IF(AA76="正常",IF(I76="已计入",ROUND(Q75+IF(OR(B76="买入",B76="定投",B76="转换转入"),E76,0)-O76-P76,2),Q75),"")</f>
        <v>121350</v>
      </c>
      <c r="R76" s="11">
        <f t="shared" si="19">IF(I76="已计入",ROUND(K76*C76,2),"")</f>
        <v>137043.09</v>
      </c>
      <c r="S76" s="11">
        <f t="shared" si="20">IF(I76="已计入",ROUND(R76-Q76,2),"")</f>
        <v>15693.09</v>
      </c>
      <c r="T76" s="12">
        <f t="shared" si="21">IF(I76="已计入",IF(Q76=0,"",S76/Q76),"")</f>
        <v>0.12932088998763905</v>
      </c>
      <c r="U76" s="11">
        <f t="shared" si="29">IF(AA76="正常",U75+IF(AND(I76="已计入",OR(B76="买入",B76="定投",B76="转换转入")),E76,0),"")</f>
        <v>121350</v>
      </c>
      <c r="V76" s="11">
        <f t="shared" si="30">IF(AA76="正常",V75+IF(AND(I76="已计入",OR(B76="卖出",B76="现金分红")),E76,0),"")</f>
        <v>0</v>
      </c>
      <c r="W76" s="11">
        <f t="shared" si="31">IF(AA76="正常",W75+IF(I76="已计入",N76,0),"")</f>
        <v>0</v>
      </c>
      <c r="X76" s="11">
        <f t="shared" si="32">IF(AA76="正常",X75+IF(I76="已计入",P76,0),"")</f>
        <v>0</v>
      </c>
      <c r="Y76" s="11">
        <f t="shared" si="22">IF(I76="已计入",ROUND(R76+V76-U76,2),"")</f>
        <v>15693.09</v>
      </c>
      <c r="Z76" s="13">
        <f t="shared" si="33">IF(AA76="正常",IF(I76="已计入",A76,Z75),"")</f>
        <v>46126</v>
      </c>
      <c r="AA76" s="10" t="str">
        <f t="shared" si="34">IF(OR(AA75="错误",AND(I76&lt;&gt;"",I76&lt;&gt;"已排除",I76&lt;&gt;"待确认",I76&lt;&gt;"已计入")),"错误","正常")</f>
        <v>正常</v>
      </c>
      <c r="AB76" s="14">
        <f t="shared" si="35">IF(AA76="正常",IF(I76="已计入",C76,AB75),"")</f>
        <v>5.6151</v>
      </c>
    </row>
    <row r="77" ht="42" customHeight="1">
      <c r="A77" s="36">
        <v>46127</v>
      </c>
      <c r="B77" s="37" t="inlineStr">
        <is>
          <t>定投</t>
        </is>
      </c>
      <c r="C77" s="38">
        <v>5.5597</v>
      </c>
      <c r="D77" s="39">
        <v>26.94</v>
      </c>
      <c r="E77" s="39">
        <v>150</v>
      </c>
      <c r="F77" s="39">
        <v>0.24</v>
      </c>
      <c r="G77" s="37" t="inlineStr">
        <is>
          <t>历史估算</t>
        </is>
      </c>
      <c r="H77" s="40" t="inlineStr">
        <is>
          <t>原下单 2026-04-15 10:06:44
净值日／份额暂估，手续费按 0.16%</t>
        </is>
      </c>
      <c r="I77" s="10" t="str">
        <f>IF(COUNTA(A77:H77)=0,"",IF(OR(OR(OR(G77="撤单",G77="交易失败",G77="交易关闭"),G77="交易失败",G77="交易关闭"),G77="交易失败",G77="交易关闭"),"已排除",IF(G77="待确认","待确认",IF(NOT(OR(G77="已确认",G77="历史估算")),"请选择确认状态",IF(NOT(ISNUMBER(A77)),"缺少有效净值日期",IF(OR(A77&lt;=0,A77&lt;&gt;INT(A77)),"净值日期无效",IF(NOT(OR(OR(B77="买入",B77="定投",B77="转换转入"),B77="卖出",B77="现金分红",B77="红利再投")),"请选择交易类型",IF(NOT(ISNUMBER(C77)),"缺少成交净值",IF(C77&lt;=0,"成交净值须大于零",IF(NOT(ISNUMBER(D77)),"缺少确认份额（分红填0）",IF(NOT(ISNUMBER(E77)),"缺少确认金额（再投填0）",IF(NOT(ISNUMBER(F77)),"缺少手续费（无费用填0）",IF(OR(D77&lt;0,E77&lt;0,F77&lt;0),"份额金额费用不能为负",IF(AA76="错误","前行待修正",IF(A77&lt;Z76,"日期需按成交顺序递增",IF(AND(B77="现金分红",OR(D77&lt;&gt;0,E77&lt;=0,F77&lt;&gt;0)),"分红填份额0、费用0、正金额",IF(AND(B77="红利再投",OR(D77&lt;=0,E77&lt;&gt;0,F77&lt;&gt;0)),"再投填正份额、金额0、费用0",IF(AND(OR(B77="现金分红",B77="红利再投"),K76&lt;=0),"分红或再投前须有持仓",IF(AND(OR(OR(B77="买入",B77="定投",B77="转换转入"),B77="卖出"),OR(D77&lt;=0,E77&lt;=0)),"买卖须填正份额、正金额",IF(AND(B77="卖出",D77&gt;K76+0.000001),"卖出份额超过持仓",IF(AND(OR(B77="买入",B77="定投",B77="转换转入"),F77&gt;=E77)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77="买入",B77="定投",B77="转换转入"),ABS(E77-F77-C77*D77)&gt;'持仓总览'!$H$6),"买入金额与份额净值不符",IF(AND(B77="卖出",ABS(E77+F77-C77*D77)&gt;'持仓总览'!$H$6),"到账加费用与赎回市值不符","已计入"))))))))))))))))))))))))))</f>
        <v>已计入</v>
      </c>
      <c r="J77" s="11">
        <f t="shared" si="18">IF(AA77="正常",IF(I77="已计入",IF(OR(OR(B77="买入",B77="定投",B77="转换转入"),B77="红利再投"),D77,IF(B77="卖出",-D77,0)),0),"")</f>
        <v>26.94</v>
      </c>
      <c r="K77" s="11">
        <f t="shared" si="23">IF(AA77="正常",ROUND(K76+J77,6),"")</f>
        <v>24433.11</v>
      </c>
      <c r="L77" s="11">
        <f t="shared" si="24">IF(I77="已计入",ROUND(K76*C77,2),"")</f>
        <v>135690.98</v>
      </c>
      <c r="M77" s="11">
        <f t="shared" si="25">IF(I77="已计入",IF(B77="卖出",MAX(0,L77-Q76-F77),IF(B77="现金分红",MAX(0,L77+E77-Q76),0)),"")</f>
        <v>0</v>
      </c>
      <c r="N77" s="11">
        <f>IF(I77="已计入",IF(AND(B77="卖出",'持仓总览'!$C$7="本金优先"),MAX(0,E77-Q76),IF(OR(B77="卖出",B77="现金分红"),MIN(E77,M77),0)),"")</f>
        <v>0</v>
      </c>
      <c r="O77" s="11">
        <f t="shared" si="26">IF(I77="已计入",IF(OR(B77="卖出",B77="现金分红"),MIN(Q76,MAX(0,E77-N77)),0),"")</f>
        <v>0</v>
      </c>
      <c r="P77" s="11">
        <f t="shared" si="27">IF(I77="已计入",IF(AND(B77="卖出",K77=0),MAX(0,Q76-O77),0),"")</f>
        <v>0</v>
      </c>
      <c r="Q77" s="11">
        <f t="shared" si="28">IF(AA77="正常",IF(I77="已计入",ROUND(Q76+IF(OR(B77="买入",B77="定投",B77="转换转入"),E77,0)-O77-P77,2),Q76),"")</f>
        <v>121500</v>
      </c>
      <c r="R77" s="11">
        <f t="shared" si="19">IF(I77="已计入",ROUND(K77*C77,2),"")</f>
        <v>135840.76</v>
      </c>
      <c r="S77" s="11">
        <f t="shared" si="20">IF(I77="已计入",ROUND(R77-Q77,2),"")</f>
        <v>14340.76</v>
      </c>
      <c r="T77" s="12">
        <f t="shared" si="21">IF(I77="已计入",IF(Q77=0,"",S77/Q77),"")</f>
        <v>0.11803094650205762</v>
      </c>
      <c r="U77" s="11">
        <f t="shared" si="29">IF(AA77="正常",U76+IF(AND(I77="已计入",OR(B77="买入",B77="定投",B77="转换转入")),E77,0),"")</f>
        <v>121500</v>
      </c>
      <c r="V77" s="11">
        <f t="shared" si="30">IF(AA77="正常",V76+IF(AND(I77="已计入",OR(B77="卖出",B77="现金分红")),E77,0),"")</f>
        <v>0</v>
      </c>
      <c r="W77" s="11">
        <f t="shared" si="31">IF(AA77="正常",W76+IF(I77="已计入",N77,0),"")</f>
        <v>0</v>
      </c>
      <c r="X77" s="11">
        <f t="shared" si="32">IF(AA77="正常",X76+IF(I77="已计入",P77,0),"")</f>
        <v>0</v>
      </c>
      <c r="Y77" s="11">
        <f t="shared" si="22">IF(I77="已计入",ROUND(R77+V77-U77,2),"")</f>
        <v>14340.76</v>
      </c>
      <c r="Z77" s="13">
        <f t="shared" si="33">IF(AA77="正常",IF(I77="已计入",A77,Z76),"")</f>
        <v>46127</v>
      </c>
      <c r="AA77" s="10" t="str">
        <f t="shared" si="34">IF(OR(AA76="错误",AND(I77&lt;&gt;"",I77&lt;&gt;"已排除",I77&lt;&gt;"待确认",I77&lt;&gt;"已计入")),"错误","正常")</f>
        <v>正常</v>
      </c>
      <c r="AB77" s="14">
        <f t="shared" si="35">IF(AA77="正常",IF(I77="已计入",C77,AB76),"")</f>
        <v>5.5597</v>
      </c>
    </row>
    <row r="78" ht="42" customHeight="1">
      <c r="A78" s="36">
        <v>46128</v>
      </c>
      <c r="B78" s="37" t="inlineStr">
        <is>
          <t>定投</t>
        </is>
      </c>
      <c r="C78" s="38">
        <v>5.613</v>
      </c>
      <c r="D78" s="39">
        <v>26.68</v>
      </c>
      <c r="E78" s="39">
        <v>150</v>
      </c>
      <c r="F78" s="39">
        <v>0.24</v>
      </c>
      <c r="G78" s="37" t="inlineStr">
        <is>
          <t>历史估算</t>
        </is>
      </c>
      <c r="H78" s="40" t="inlineStr">
        <is>
          <t>原下单 2026-04-16 10:09:02
净值日／份额暂估，手续费按 0.16%</t>
        </is>
      </c>
      <c r="I78" s="10" t="str">
        <f>IF(COUNTA(A78:H78)=0,"",IF(OR(OR(OR(G78="撤单",G78="交易失败",G78="交易关闭"),G78="交易失败",G78="交易关闭"),G78="交易失败",G78="交易关闭"),"已排除",IF(G78="待确认","待确认",IF(NOT(OR(G78="已确认",G78="历史估算")),"请选择确认状态",IF(NOT(ISNUMBER(A78)),"缺少有效净值日期",IF(OR(A78&lt;=0,A78&lt;&gt;INT(A78)),"净值日期无效",IF(NOT(OR(OR(B78="买入",B78="定投",B78="转换转入"),B78="卖出",B78="现金分红",B78="红利再投")),"请选择交易类型",IF(NOT(ISNUMBER(C78)),"缺少成交净值",IF(C78&lt;=0,"成交净值须大于零",IF(NOT(ISNUMBER(D78)),"缺少确认份额（分红填0）",IF(NOT(ISNUMBER(E78)),"缺少确认金额（再投填0）",IF(NOT(ISNUMBER(F78)),"缺少手续费（无费用填0）",IF(OR(D78&lt;0,E78&lt;0,F78&lt;0),"份额金额费用不能为负",IF(AA77="错误","前行待修正",IF(A78&lt;Z77,"日期需按成交顺序递增",IF(AND(B78="现金分红",OR(D78&lt;&gt;0,E78&lt;=0,F78&lt;&gt;0)),"分红填份额0、费用0、正金额",IF(AND(B78="红利再投",OR(D78&lt;=0,E78&lt;&gt;0,F78&lt;&gt;0)),"再投填正份额、金额0、费用0",IF(AND(OR(B78="现金分红",B78="红利再投"),K77&lt;=0),"分红或再投前须有持仓",IF(AND(OR(OR(B78="买入",B78="定投",B78="转换转入"),B78="卖出"),OR(D78&lt;=0,E78&lt;=0)),"买卖须填正份额、正金额",IF(AND(B78="卖出",D78&gt;K77+0.000001),"卖出份额超过持仓",IF(AND(OR(B78="买入",B78="定投",B78="转换转入"),F78&gt;=E78)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78="买入",B78="定投",B78="转换转入"),ABS(E78-F78-C78*D78)&gt;'持仓总览'!$H$6),"买入金额与份额净值不符",IF(AND(B78="卖出",ABS(E78+F78-C78*D78)&gt;'持仓总览'!$H$6),"到账加费用与赎回市值不符","已计入"))))))))))))))))))))))))))</f>
        <v>已计入</v>
      </c>
      <c r="J78" s="11">
        <f t="shared" si="18">IF(AA78="正常",IF(I78="已计入",IF(OR(OR(B78="买入",B78="定投",B78="转换转入"),B78="红利再投"),D78,IF(B78="卖出",-D78,0)),0),"")</f>
        <v>26.68</v>
      </c>
      <c r="K78" s="11">
        <f t="shared" si="23">IF(AA78="正常",ROUND(K77+J78,6),"")</f>
        <v>24459.79</v>
      </c>
      <c r="L78" s="11">
        <f t="shared" si="24">IF(I78="已计入",ROUND(K77*C78,2),"")</f>
        <v>137143.05</v>
      </c>
      <c r="M78" s="11">
        <f t="shared" si="25">IF(I78="已计入",IF(B78="卖出",MAX(0,L78-Q77-F78),IF(B78="现金分红",MAX(0,L78+E78-Q77),0)),"")</f>
        <v>0</v>
      </c>
      <c r="N78" s="11">
        <f>IF(I78="已计入",IF(AND(B78="卖出",'持仓总览'!$C$7="本金优先"),MAX(0,E78-Q77),IF(OR(B78="卖出",B78="现金分红"),MIN(E78,M78),0)),"")</f>
        <v>0</v>
      </c>
      <c r="O78" s="11">
        <f t="shared" si="26">IF(I78="已计入",IF(OR(B78="卖出",B78="现金分红"),MIN(Q77,MAX(0,E78-N78)),0),"")</f>
        <v>0</v>
      </c>
      <c r="P78" s="11">
        <f t="shared" si="27">IF(I78="已计入",IF(AND(B78="卖出",K78=0),MAX(0,Q77-O78),0),"")</f>
        <v>0</v>
      </c>
      <c r="Q78" s="11">
        <f t="shared" si="28">IF(AA78="正常",IF(I78="已计入",ROUND(Q77+IF(OR(B78="买入",B78="定投",B78="转换转入"),E78,0)-O78-P78,2),Q77),"")</f>
        <v>121650</v>
      </c>
      <c r="R78" s="11">
        <f t="shared" si="19">IF(I78="已计入",ROUND(K78*C78,2),"")</f>
        <v>137292.8</v>
      </c>
      <c r="S78" s="11">
        <f t="shared" si="20">IF(I78="已计入",ROUND(R78-Q78,2),"")</f>
        <v>15642.8</v>
      </c>
      <c r="T78" s="12">
        <f t="shared" si="21">IF(I78="已计入",IF(Q78=0,"",S78/Q78),"")</f>
        <v>0.12858857377722976</v>
      </c>
      <c r="U78" s="11">
        <f t="shared" si="29">IF(AA78="正常",U77+IF(AND(I78="已计入",OR(B78="买入",B78="定投",B78="转换转入")),E78,0),"")</f>
        <v>121650</v>
      </c>
      <c r="V78" s="11">
        <f t="shared" si="30">IF(AA78="正常",V77+IF(AND(I78="已计入",OR(B78="卖出",B78="现金分红")),E78,0),"")</f>
        <v>0</v>
      </c>
      <c r="W78" s="11">
        <f t="shared" si="31">IF(AA78="正常",W77+IF(I78="已计入",N78,0),"")</f>
        <v>0</v>
      </c>
      <c r="X78" s="11">
        <f t="shared" si="32">IF(AA78="正常",X77+IF(I78="已计入",P78,0),"")</f>
        <v>0</v>
      </c>
      <c r="Y78" s="11">
        <f t="shared" si="22">IF(I78="已计入",ROUND(R78+V78-U78,2),"")</f>
        <v>15642.8</v>
      </c>
      <c r="Z78" s="13">
        <f t="shared" si="33">IF(AA78="正常",IF(I78="已计入",A78,Z77),"")</f>
        <v>46128</v>
      </c>
      <c r="AA78" s="10" t="str">
        <f t="shared" si="34">IF(OR(AA77="错误",AND(I78&lt;&gt;"",I78&lt;&gt;"已排除",I78&lt;&gt;"待确认",I78&lt;&gt;"已计入")),"错误","正常")</f>
        <v>正常</v>
      </c>
      <c r="AB78" s="14">
        <f t="shared" si="35">IF(AA78="正常",IF(I78="已计入",C78,AB77),"")</f>
        <v>5.613</v>
      </c>
    </row>
    <row r="79" ht="42" customHeight="1">
      <c r="A79" s="36">
        <v>46129</v>
      </c>
      <c r="B79" s="37" t="inlineStr">
        <is>
          <t>定投</t>
        </is>
      </c>
      <c r="C79" s="38">
        <v>5.6601</v>
      </c>
      <c r="D79" s="39">
        <v>26.46</v>
      </c>
      <c r="E79" s="39">
        <v>150</v>
      </c>
      <c r="F79" s="39">
        <v>0.24</v>
      </c>
      <c r="G79" s="37" t="inlineStr">
        <is>
          <t>历史估算</t>
        </is>
      </c>
      <c r="H79" s="40" t="inlineStr">
        <is>
          <t>原下单 2026-04-17 10:01:26
净值日／份额暂估，手续费按 0.16%</t>
        </is>
      </c>
      <c r="I79" s="10" t="str">
        <f>IF(COUNTA(A79:H79)=0,"",IF(OR(OR(OR(G79="撤单",G79="交易失败",G79="交易关闭"),G79="交易失败",G79="交易关闭"),G79="交易失败",G79="交易关闭"),"已排除",IF(G79="待确认","待确认",IF(NOT(OR(G79="已确认",G79="历史估算")),"请选择确认状态",IF(NOT(ISNUMBER(A79)),"缺少有效净值日期",IF(OR(A79&lt;=0,A79&lt;&gt;INT(A79)),"净值日期无效",IF(NOT(OR(OR(B79="买入",B79="定投",B79="转换转入"),B79="卖出",B79="现金分红",B79="红利再投")),"请选择交易类型",IF(NOT(ISNUMBER(C79)),"缺少成交净值",IF(C79&lt;=0,"成交净值须大于零",IF(NOT(ISNUMBER(D79)),"缺少确认份额（分红填0）",IF(NOT(ISNUMBER(E79)),"缺少确认金额（再投填0）",IF(NOT(ISNUMBER(F79)),"缺少手续费（无费用填0）",IF(OR(D79&lt;0,E79&lt;0,F79&lt;0),"份额金额费用不能为负",IF(AA78="错误","前行待修正",IF(A79&lt;Z78,"日期需按成交顺序递增",IF(AND(B79="现金分红",OR(D79&lt;&gt;0,E79&lt;=0,F79&lt;&gt;0)),"分红填份额0、费用0、正金额",IF(AND(B79="红利再投",OR(D79&lt;=0,E79&lt;&gt;0,F79&lt;&gt;0)),"再投填正份额、金额0、费用0",IF(AND(OR(B79="现金分红",B79="红利再投"),K78&lt;=0),"分红或再投前须有持仓",IF(AND(OR(OR(B79="买入",B79="定投",B79="转换转入"),B79="卖出"),OR(D79&lt;=0,E79&lt;=0)),"买卖须填正份额、正金额",IF(AND(B79="卖出",D79&gt;K78+0.000001),"卖出份额超过持仓",IF(AND(OR(B79="买入",B79="定投",B79="转换转入"),F79&gt;=E79)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79="买入",B79="定投",B79="转换转入"),ABS(E79-F79-C79*D79)&gt;'持仓总览'!$H$6),"买入金额与份额净值不符",IF(AND(B79="卖出",ABS(E79+F79-C79*D79)&gt;'持仓总览'!$H$6),"到账加费用与赎回市值不符","已计入"))))))))))))))))))))))))))</f>
        <v>已计入</v>
      </c>
      <c r="J79" s="11">
        <f t="shared" si="18">IF(AA79="正常",IF(I79="已计入",IF(OR(OR(B79="买入",B79="定投",B79="转换转入"),B79="红利再投"),D79,IF(B79="卖出",-D79,0)),0),"")</f>
        <v>26.46</v>
      </c>
      <c r="K79" s="11">
        <f t="shared" si="23">IF(AA79="正常",ROUND(K78+J79,6),"")</f>
        <v>24486.25</v>
      </c>
      <c r="L79" s="11">
        <f t="shared" si="24">IF(I79="已计入",ROUND(K78*C79,2),"")</f>
        <v>138444.86</v>
      </c>
      <c r="M79" s="11">
        <f t="shared" si="25">IF(I79="已计入",IF(B79="卖出",MAX(0,L79-Q78-F79),IF(B79="现金分红",MAX(0,L79+E79-Q78),0)),"")</f>
        <v>0</v>
      </c>
      <c r="N79" s="11">
        <f>IF(I79="已计入",IF(AND(B79="卖出",'持仓总览'!$C$7="本金优先"),MAX(0,E79-Q78),IF(OR(B79="卖出",B79="现金分红"),MIN(E79,M79),0)),"")</f>
        <v>0</v>
      </c>
      <c r="O79" s="11">
        <f t="shared" si="26">IF(I79="已计入",IF(OR(B79="卖出",B79="现金分红"),MIN(Q78,MAX(0,E79-N79)),0),"")</f>
        <v>0</v>
      </c>
      <c r="P79" s="11">
        <f t="shared" si="27">IF(I79="已计入",IF(AND(B79="卖出",K79=0),MAX(0,Q78-O79),0),"")</f>
        <v>0</v>
      </c>
      <c r="Q79" s="11">
        <f t="shared" si="28">IF(AA79="正常",IF(I79="已计入",ROUND(Q78+IF(OR(B79="买入",B79="定投",B79="转换转入"),E79,0)-O79-P79,2),Q78),"")</f>
        <v>121800</v>
      </c>
      <c r="R79" s="11">
        <f t="shared" si="19">IF(I79="已计入",ROUND(K79*C79,2),"")</f>
        <v>138594.62</v>
      </c>
      <c r="S79" s="11">
        <f t="shared" si="20">IF(I79="已计入",ROUND(R79-Q79,2),"")</f>
        <v>16794.62</v>
      </c>
      <c r="T79" s="12">
        <f t="shared" si="21">IF(I79="已计入",IF(Q79=0,"",S79/Q79),"")</f>
        <v>0.13788686371100164</v>
      </c>
      <c r="U79" s="11">
        <f t="shared" si="29">IF(AA79="正常",U78+IF(AND(I79="已计入",OR(B79="买入",B79="定投",B79="转换转入")),E79,0),"")</f>
        <v>121800</v>
      </c>
      <c r="V79" s="11">
        <f t="shared" si="30">IF(AA79="正常",V78+IF(AND(I79="已计入",OR(B79="卖出",B79="现金分红")),E79,0),"")</f>
        <v>0</v>
      </c>
      <c r="W79" s="11">
        <f t="shared" si="31">IF(AA79="正常",W78+IF(I79="已计入",N79,0),"")</f>
        <v>0</v>
      </c>
      <c r="X79" s="11">
        <f t="shared" si="32">IF(AA79="正常",X78+IF(I79="已计入",P79,0),"")</f>
        <v>0</v>
      </c>
      <c r="Y79" s="11">
        <f t="shared" si="22">IF(I79="已计入",ROUND(R79+V79-U79,2),"")</f>
        <v>16794.62</v>
      </c>
      <c r="Z79" s="13">
        <f t="shared" si="33">IF(AA79="正常",IF(I79="已计入",A79,Z78),"")</f>
        <v>46129</v>
      </c>
      <c r="AA79" s="10" t="str">
        <f t="shared" si="34">IF(OR(AA78="错误",AND(I79&lt;&gt;"",I79&lt;&gt;"已排除",I79&lt;&gt;"待确认",I79&lt;&gt;"已计入")),"错误","正常")</f>
        <v>正常</v>
      </c>
      <c r="AB79" s="14">
        <f t="shared" si="35">IF(AA79="正常",IF(I79="已计入",C79,AB78),"")</f>
        <v>5.6601</v>
      </c>
    </row>
    <row r="80" ht="42" customHeight="1">
      <c r="A80" s="36">
        <v>46132</v>
      </c>
      <c r="B80" s="37" t="inlineStr">
        <is>
          <t>定投</t>
        </is>
      </c>
      <c r="C80" s="38">
        <v>5.6865</v>
      </c>
      <c r="D80" s="39">
        <v>26.34</v>
      </c>
      <c r="E80" s="39">
        <v>150</v>
      </c>
      <c r="F80" s="39">
        <v>0.24</v>
      </c>
      <c r="G80" s="37" t="inlineStr">
        <is>
          <t>历史估算</t>
        </is>
      </c>
      <c r="H80" s="40" t="inlineStr">
        <is>
          <t>原下单 2026-04-20 10:12:08
净值日／份额暂估，手续费按 0.16%</t>
        </is>
      </c>
      <c r="I80" s="10" t="str">
        <f>IF(COUNTA(A80:H80)=0,"",IF(OR(OR(OR(G80="撤单",G80="交易失败",G80="交易关闭"),G80="交易失败",G80="交易关闭"),G80="交易失败",G80="交易关闭"),"已排除",IF(G80="待确认","待确认",IF(NOT(OR(G80="已确认",G80="历史估算")),"请选择确认状态",IF(NOT(ISNUMBER(A80)),"缺少有效净值日期",IF(OR(A80&lt;=0,A80&lt;&gt;INT(A80)),"净值日期无效",IF(NOT(OR(OR(B80="买入",B80="定投",B80="转换转入"),B80="卖出",B80="现金分红",B80="红利再投")),"请选择交易类型",IF(NOT(ISNUMBER(C80)),"缺少成交净值",IF(C80&lt;=0,"成交净值须大于零",IF(NOT(ISNUMBER(D80)),"缺少确认份额（分红填0）",IF(NOT(ISNUMBER(E80)),"缺少确认金额（再投填0）",IF(NOT(ISNUMBER(F80)),"缺少手续费（无费用填0）",IF(OR(D80&lt;0,E80&lt;0,F80&lt;0),"份额金额费用不能为负",IF(AA79="错误","前行待修正",IF(A80&lt;Z79,"日期需按成交顺序递增",IF(AND(B80="现金分红",OR(D80&lt;&gt;0,E80&lt;=0,F80&lt;&gt;0)),"分红填份额0、费用0、正金额",IF(AND(B80="红利再投",OR(D80&lt;=0,E80&lt;&gt;0,F80&lt;&gt;0)),"再投填正份额、金额0、费用0",IF(AND(OR(B80="现金分红",B80="红利再投"),K79&lt;=0),"分红或再投前须有持仓",IF(AND(OR(OR(B80="买入",B80="定投",B80="转换转入"),B80="卖出"),OR(D80&lt;=0,E80&lt;=0)),"买卖须填正份额、正金额",IF(AND(B80="卖出",D80&gt;K79+0.000001),"卖出份额超过持仓",IF(AND(OR(B80="买入",B80="定投",B80="转换转入"),F80&gt;=E80)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80="买入",B80="定投",B80="转换转入"),ABS(E80-F80-C80*D80)&gt;'持仓总览'!$H$6),"买入金额与份额净值不符",IF(AND(B80="卖出",ABS(E80+F80-C80*D80)&gt;'持仓总览'!$H$6),"到账加费用与赎回市值不符","已计入"))))))))))))))))))))))))))</f>
        <v>已计入</v>
      </c>
      <c r="J80" s="11">
        <f t="shared" si="18">IF(AA80="正常",IF(I80="已计入",IF(OR(OR(B80="买入",B80="定投",B80="转换转入"),B80="红利再投"),D80,IF(B80="卖出",-D80,0)),0),"")</f>
        <v>26.34</v>
      </c>
      <c r="K80" s="11">
        <f t="shared" si="23">IF(AA80="正常",ROUND(K79+J80,6),"")</f>
        <v>24512.59</v>
      </c>
      <c r="L80" s="11">
        <f t="shared" si="24">IF(I80="已计入",ROUND(K79*C80,2),"")</f>
        <v>139241.06</v>
      </c>
      <c r="M80" s="11">
        <f t="shared" si="25">IF(I80="已计入",IF(B80="卖出",MAX(0,L80-Q79-F80),IF(B80="现金分红",MAX(0,L80+E80-Q79),0)),"")</f>
        <v>0</v>
      </c>
      <c r="N80" s="11">
        <f>IF(I80="已计入",IF(AND(B80="卖出",'持仓总览'!$C$7="本金优先"),MAX(0,E80-Q79),IF(OR(B80="卖出",B80="现金分红"),MIN(E80,M80),0)),"")</f>
        <v>0</v>
      </c>
      <c r="O80" s="11">
        <f t="shared" si="26">IF(I80="已计入",IF(OR(B80="卖出",B80="现金分红"),MIN(Q79,MAX(0,E80-N80)),0),"")</f>
        <v>0</v>
      </c>
      <c r="P80" s="11">
        <f t="shared" si="27">IF(I80="已计入",IF(AND(B80="卖出",K80=0),MAX(0,Q79-O80),0),"")</f>
        <v>0</v>
      </c>
      <c r="Q80" s="11">
        <f t="shared" si="28">IF(AA80="正常",IF(I80="已计入",ROUND(Q79+IF(OR(B80="买入",B80="定投",B80="转换转入"),E80,0)-O80-P80,2),Q79),"")</f>
        <v>121950</v>
      </c>
      <c r="R80" s="11">
        <f t="shared" si="19">IF(I80="已计入",ROUND(K80*C80,2),"")</f>
        <v>139390.84</v>
      </c>
      <c r="S80" s="11">
        <f t="shared" si="20">IF(I80="已计入",ROUND(R80-Q80,2),"")</f>
        <v>17440.84</v>
      </c>
      <c r="T80" s="12">
        <f t="shared" si="21">IF(I80="已计入",IF(Q80=0,"",S80/Q80),"")</f>
        <v>0.14301631816318164</v>
      </c>
      <c r="U80" s="11">
        <f t="shared" si="29">IF(AA80="正常",U79+IF(AND(I80="已计入",OR(B80="买入",B80="定投",B80="转换转入")),E80,0),"")</f>
        <v>121950</v>
      </c>
      <c r="V80" s="11">
        <f t="shared" si="30">IF(AA80="正常",V79+IF(AND(I80="已计入",OR(B80="卖出",B80="现金分红")),E80,0),"")</f>
        <v>0</v>
      </c>
      <c r="W80" s="11">
        <f t="shared" si="31">IF(AA80="正常",W79+IF(I80="已计入",N80,0),"")</f>
        <v>0</v>
      </c>
      <c r="X80" s="11">
        <f t="shared" si="32">IF(AA80="正常",X79+IF(I80="已计入",P80,0),"")</f>
        <v>0</v>
      </c>
      <c r="Y80" s="11">
        <f t="shared" si="22">IF(I80="已计入",ROUND(R80+V80-U80,2),"")</f>
        <v>17440.84</v>
      </c>
      <c r="Z80" s="13">
        <f t="shared" si="33">IF(AA80="正常",IF(I80="已计入",A80,Z79),"")</f>
        <v>46132</v>
      </c>
      <c r="AA80" s="10" t="str">
        <f t="shared" si="34">IF(OR(AA79="错误",AND(I80&lt;&gt;"",I80&lt;&gt;"已排除",I80&lt;&gt;"待确认",I80&lt;&gt;"已计入")),"错误","正常")</f>
        <v>正常</v>
      </c>
      <c r="AB80" s="14">
        <f t="shared" si="35">IF(AA80="正常",IF(I80="已计入",C80,AB79),"")</f>
        <v>5.6865</v>
      </c>
    </row>
    <row r="81" ht="42" customHeight="1">
      <c r="A81" s="36">
        <v>46133</v>
      </c>
      <c r="B81" s="37" t="inlineStr">
        <is>
          <t>定投</t>
        </is>
      </c>
      <c r="C81" s="38">
        <v>5.6612</v>
      </c>
      <c r="D81" s="39">
        <v>26.45</v>
      </c>
      <c r="E81" s="39">
        <v>150</v>
      </c>
      <c r="F81" s="39">
        <v>0.24</v>
      </c>
      <c r="G81" s="37" t="inlineStr">
        <is>
          <t>历史估算</t>
        </is>
      </c>
      <c r="H81" s="40" t="inlineStr">
        <is>
          <t>原下单 2026-04-21 10:02:39
净值日／份额暂估，手续费按 0.16%</t>
        </is>
      </c>
      <c r="I81" s="10" t="str">
        <f>IF(COUNTA(A81:H81)=0,"",IF(OR(OR(OR(G81="撤单",G81="交易失败",G81="交易关闭"),G81="交易失败",G81="交易关闭"),G81="交易失败",G81="交易关闭"),"已排除",IF(G81="待确认","待确认",IF(NOT(OR(G81="已确认",G81="历史估算")),"请选择确认状态",IF(NOT(ISNUMBER(A81)),"缺少有效净值日期",IF(OR(A81&lt;=0,A81&lt;&gt;INT(A81)),"净值日期无效",IF(NOT(OR(OR(B81="买入",B81="定投",B81="转换转入"),B81="卖出",B81="现金分红",B81="红利再投")),"请选择交易类型",IF(NOT(ISNUMBER(C81)),"缺少成交净值",IF(C81&lt;=0,"成交净值须大于零",IF(NOT(ISNUMBER(D81)),"缺少确认份额（分红填0）",IF(NOT(ISNUMBER(E81)),"缺少确认金额（再投填0）",IF(NOT(ISNUMBER(F81)),"缺少手续费（无费用填0）",IF(OR(D81&lt;0,E81&lt;0,F81&lt;0),"份额金额费用不能为负",IF(AA80="错误","前行待修正",IF(A81&lt;Z80,"日期需按成交顺序递增",IF(AND(B81="现金分红",OR(D81&lt;&gt;0,E81&lt;=0,F81&lt;&gt;0)),"分红填份额0、费用0、正金额",IF(AND(B81="红利再投",OR(D81&lt;=0,E81&lt;&gt;0,F81&lt;&gt;0)),"再投填正份额、金额0、费用0",IF(AND(OR(B81="现金分红",B81="红利再投"),K80&lt;=0),"分红或再投前须有持仓",IF(AND(OR(OR(B81="买入",B81="定投",B81="转换转入"),B81="卖出"),OR(D81&lt;=0,E81&lt;=0)),"买卖须填正份额、正金额",IF(AND(B81="卖出",D81&gt;K80+0.000001),"卖出份额超过持仓",IF(AND(OR(B81="买入",B81="定投",B81="转换转入"),F81&gt;=E81)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81="买入",B81="定投",B81="转换转入"),ABS(E81-F81-C81*D81)&gt;'持仓总览'!$H$6),"买入金额与份额净值不符",IF(AND(B81="卖出",ABS(E81+F81-C81*D81)&gt;'持仓总览'!$H$6),"到账加费用与赎回市值不符","已计入"))))))))))))))))))))))))))</f>
        <v>已计入</v>
      </c>
      <c r="J81" s="11">
        <f t="shared" si="18">IF(AA81="正常",IF(I81="已计入",IF(OR(OR(B81="买入",B81="定投",B81="转换转入"),B81="红利再投"),D81,IF(B81="卖出",-D81,0)),0),"")</f>
        <v>26.45</v>
      </c>
      <c r="K81" s="11">
        <f t="shared" si="23">IF(AA81="正常",ROUND(K80+J81,6),"")</f>
        <v>24539.04</v>
      </c>
      <c r="L81" s="11">
        <f t="shared" si="24">IF(I81="已计入",ROUND(K80*C81,2),"")</f>
        <v>138770.67</v>
      </c>
      <c r="M81" s="11">
        <f t="shared" si="25">IF(I81="已计入",IF(B81="卖出",MAX(0,L81-Q80-F81),IF(B81="现金分红",MAX(0,L81+E81-Q80),0)),"")</f>
        <v>0</v>
      </c>
      <c r="N81" s="11">
        <f>IF(I81="已计入",IF(AND(B81="卖出",'持仓总览'!$C$7="本金优先"),MAX(0,E81-Q80),IF(OR(B81="卖出",B81="现金分红"),MIN(E81,M81),0)),"")</f>
        <v>0</v>
      </c>
      <c r="O81" s="11">
        <f t="shared" si="26">IF(I81="已计入",IF(OR(B81="卖出",B81="现金分红"),MIN(Q80,MAX(0,E81-N81)),0),"")</f>
        <v>0</v>
      </c>
      <c r="P81" s="11">
        <f t="shared" si="27">IF(I81="已计入",IF(AND(B81="卖出",K81=0),MAX(0,Q80-O81),0),"")</f>
        <v>0</v>
      </c>
      <c r="Q81" s="11">
        <f t="shared" si="28">IF(AA81="正常",IF(I81="已计入",ROUND(Q80+IF(OR(B81="买入",B81="定投",B81="转换转入"),E81,0)-O81-P81,2),Q80),"")</f>
        <v>122100</v>
      </c>
      <c r="R81" s="11">
        <f t="shared" si="19">IF(I81="已计入",ROUND(K81*C81,2),"")</f>
        <v>138920.41</v>
      </c>
      <c r="S81" s="11">
        <f t="shared" si="20">IF(I81="已计入",ROUND(R81-Q81,2),"")</f>
        <v>16820.41</v>
      </c>
      <c r="T81" s="12">
        <f t="shared" si="21">IF(I81="已计入",IF(Q81=0,"",S81/Q81),"")</f>
        <v>0.13775929565929565</v>
      </c>
      <c r="U81" s="11">
        <f t="shared" si="29">IF(AA81="正常",U80+IF(AND(I81="已计入",OR(B81="买入",B81="定投",B81="转换转入")),E81,0),"")</f>
        <v>122100</v>
      </c>
      <c r="V81" s="11">
        <f t="shared" si="30">IF(AA81="正常",V80+IF(AND(I81="已计入",OR(B81="卖出",B81="现金分红")),E81,0),"")</f>
        <v>0</v>
      </c>
      <c r="W81" s="11">
        <f t="shared" si="31">IF(AA81="正常",W80+IF(I81="已计入",N81,0),"")</f>
        <v>0</v>
      </c>
      <c r="X81" s="11">
        <f t="shared" si="32">IF(AA81="正常",X80+IF(I81="已计入",P81,0),"")</f>
        <v>0</v>
      </c>
      <c r="Y81" s="11">
        <f t="shared" si="22">IF(I81="已计入",ROUND(R81+V81-U81,2),"")</f>
        <v>16820.41</v>
      </c>
      <c r="Z81" s="13">
        <f t="shared" si="33">IF(AA81="正常",IF(I81="已计入",A81,Z80),"")</f>
        <v>46133</v>
      </c>
      <c r="AA81" s="10" t="str">
        <f t="shared" si="34">IF(OR(AA80="错误",AND(I81&lt;&gt;"",I81&lt;&gt;"已排除",I81&lt;&gt;"待确认",I81&lt;&gt;"已计入")),"错误","正常")</f>
        <v>正常</v>
      </c>
      <c r="AB81" s="14">
        <f t="shared" si="35">IF(AA81="正常",IF(I81="已计入",C81,AB80),"")</f>
        <v>5.6612</v>
      </c>
    </row>
    <row r="82" ht="42" customHeight="1">
      <c r="A82" s="36">
        <v>46134</v>
      </c>
      <c r="B82" s="37" t="inlineStr">
        <is>
          <t>定投</t>
        </is>
      </c>
      <c r="C82" s="38">
        <v>5.7988</v>
      </c>
      <c r="D82" s="39">
        <v>25.83</v>
      </c>
      <c r="E82" s="39">
        <v>150</v>
      </c>
      <c r="F82" s="39">
        <v>0.24</v>
      </c>
      <c r="G82" s="37" t="inlineStr">
        <is>
          <t>历史估算</t>
        </is>
      </c>
      <c r="H82" s="40" t="inlineStr">
        <is>
          <t>原下单 2026-04-22 10:01:32
净值日／份额暂估，手续费按 0.16%</t>
        </is>
      </c>
      <c r="I82" s="10" t="str">
        <f>IF(COUNTA(A82:H82)=0,"",IF(OR(OR(OR(G82="撤单",G82="交易失败",G82="交易关闭"),G82="交易失败",G82="交易关闭"),G82="交易失败",G82="交易关闭"),"已排除",IF(G82="待确认","待确认",IF(NOT(OR(G82="已确认",G82="历史估算")),"请选择确认状态",IF(NOT(ISNUMBER(A82)),"缺少有效净值日期",IF(OR(A82&lt;=0,A82&lt;&gt;INT(A82)),"净值日期无效",IF(NOT(OR(OR(B82="买入",B82="定投",B82="转换转入"),B82="卖出",B82="现金分红",B82="红利再投")),"请选择交易类型",IF(NOT(ISNUMBER(C82)),"缺少成交净值",IF(C82&lt;=0,"成交净值须大于零",IF(NOT(ISNUMBER(D82)),"缺少确认份额（分红填0）",IF(NOT(ISNUMBER(E82)),"缺少确认金额（再投填0）",IF(NOT(ISNUMBER(F82)),"缺少手续费（无费用填0）",IF(OR(D82&lt;0,E82&lt;0,F82&lt;0),"份额金额费用不能为负",IF(AA81="错误","前行待修正",IF(A82&lt;Z81,"日期需按成交顺序递增",IF(AND(B82="现金分红",OR(D82&lt;&gt;0,E82&lt;=0,F82&lt;&gt;0)),"分红填份额0、费用0、正金额",IF(AND(B82="红利再投",OR(D82&lt;=0,E82&lt;&gt;0,F82&lt;&gt;0)),"再投填正份额、金额0、费用0",IF(AND(OR(B82="现金分红",B82="红利再投"),K81&lt;=0),"分红或再投前须有持仓",IF(AND(OR(OR(B82="买入",B82="定投",B82="转换转入"),B82="卖出"),OR(D82&lt;=0,E82&lt;=0)),"买卖须填正份额、正金额",IF(AND(B82="卖出",D82&gt;K81+0.000001),"卖出份额超过持仓",IF(AND(OR(B82="买入",B82="定投",B82="转换转入"),F82&gt;=E82)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82="买入",B82="定投",B82="转换转入"),ABS(E82-F82-C82*D82)&gt;'持仓总览'!$H$6),"买入金额与份额净值不符",IF(AND(B82="卖出",ABS(E82+F82-C82*D82)&gt;'持仓总览'!$H$6),"到账加费用与赎回市值不符","已计入"))))))))))))))))))))))))))</f>
        <v>已计入</v>
      </c>
      <c r="J82" s="11">
        <f t="shared" si="18">IF(AA82="正常",IF(I82="已计入",IF(OR(OR(B82="买入",B82="定投",B82="转换转入"),B82="红利再投"),D82,IF(B82="卖出",-D82,0)),0),"")</f>
        <v>25.83</v>
      </c>
      <c r="K82" s="11">
        <f t="shared" si="23">IF(AA82="正常",ROUND(K81+J82,6),"")</f>
        <v>24564.87</v>
      </c>
      <c r="L82" s="11">
        <f t="shared" si="24">IF(I82="已计入",ROUND(K81*C82,2),"")</f>
        <v>142296.99</v>
      </c>
      <c r="M82" s="11">
        <f t="shared" si="25">IF(I82="已计入",IF(B82="卖出",MAX(0,L82-Q81-F82),IF(B82="现金分红",MAX(0,L82+E82-Q81),0)),"")</f>
        <v>0</v>
      </c>
      <c r="N82" s="11">
        <f>IF(I82="已计入",IF(AND(B82="卖出",'持仓总览'!$C$7="本金优先"),MAX(0,E82-Q81),IF(OR(B82="卖出",B82="现金分红"),MIN(E82,M82),0)),"")</f>
        <v>0</v>
      </c>
      <c r="O82" s="11">
        <f t="shared" si="26">IF(I82="已计入",IF(OR(B82="卖出",B82="现金分红"),MIN(Q81,MAX(0,E82-N82)),0),"")</f>
        <v>0</v>
      </c>
      <c r="P82" s="11">
        <f t="shared" si="27">IF(I82="已计入",IF(AND(B82="卖出",K82=0),MAX(0,Q81-O82),0),"")</f>
        <v>0</v>
      </c>
      <c r="Q82" s="11">
        <f t="shared" si="28">IF(AA82="正常",IF(I82="已计入",ROUND(Q81+IF(OR(B82="买入",B82="定投",B82="转换转入"),E82,0)-O82-P82,2),Q81),"")</f>
        <v>122250</v>
      </c>
      <c r="R82" s="11">
        <f t="shared" si="19">IF(I82="已计入",ROUND(K82*C82,2),"")</f>
        <v>142446.77</v>
      </c>
      <c r="S82" s="11">
        <f t="shared" si="20">IF(I82="已计入",ROUND(R82-Q82,2),"")</f>
        <v>20196.77</v>
      </c>
      <c r="T82" s="12">
        <f t="shared" si="21">IF(I82="已计入",IF(Q82=0,"",S82/Q82),"")</f>
        <v>0.1652087525562372</v>
      </c>
      <c r="U82" s="11">
        <f t="shared" si="29">IF(AA82="正常",U81+IF(AND(I82="已计入",OR(B82="买入",B82="定投",B82="转换转入")),E82,0),"")</f>
        <v>122250</v>
      </c>
      <c r="V82" s="11">
        <f t="shared" si="30">IF(AA82="正常",V81+IF(AND(I82="已计入",OR(B82="卖出",B82="现金分红")),E82,0),"")</f>
        <v>0</v>
      </c>
      <c r="W82" s="11">
        <f t="shared" si="31">IF(AA82="正常",W81+IF(I82="已计入",N82,0),"")</f>
        <v>0</v>
      </c>
      <c r="X82" s="11">
        <f t="shared" si="32">IF(AA82="正常",X81+IF(I82="已计入",P82,0),"")</f>
        <v>0</v>
      </c>
      <c r="Y82" s="11">
        <f t="shared" si="22">IF(I82="已计入",ROUND(R82+V82-U82,2),"")</f>
        <v>20196.77</v>
      </c>
      <c r="Z82" s="13">
        <f t="shared" si="33">IF(AA82="正常",IF(I82="已计入",A82,Z81),"")</f>
        <v>46134</v>
      </c>
      <c r="AA82" s="10" t="str">
        <f t="shared" si="34">IF(OR(AA81="错误",AND(I82&lt;&gt;"",I82&lt;&gt;"已排除",I82&lt;&gt;"待确认",I82&lt;&gt;"已计入")),"错误","正常")</f>
        <v>正常</v>
      </c>
      <c r="AB82" s="14">
        <f t="shared" si="35">IF(AA82="正常",IF(I82="已计入",C82,AB81),"")</f>
        <v>5.7988</v>
      </c>
    </row>
    <row r="83" ht="42" customHeight="1">
      <c r="A83" s="36">
        <v>46135</v>
      </c>
      <c r="B83" s="37" t="inlineStr">
        <is>
          <t>定投</t>
        </is>
      </c>
      <c r="C83" s="38">
        <v>5.7475</v>
      </c>
      <c r="D83" s="39">
        <v>26.06</v>
      </c>
      <c r="E83" s="39">
        <v>150</v>
      </c>
      <c r="F83" s="39">
        <v>0.24</v>
      </c>
      <c r="G83" s="37" t="inlineStr">
        <is>
          <t>历史估算</t>
        </is>
      </c>
      <c r="H83" s="40" t="inlineStr">
        <is>
          <t>原下单 2026-04-23 10:05:33
净值日／份额暂估，手续费按 0.16%</t>
        </is>
      </c>
      <c r="I83" s="10" t="str">
        <f>IF(COUNTA(A83:H83)=0,"",IF(OR(OR(OR(G83="撤单",G83="交易失败",G83="交易关闭"),G83="交易失败",G83="交易关闭"),G83="交易失败",G83="交易关闭"),"已排除",IF(G83="待确认","待确认",IF(NOT(OR(G83="已确认",G83="历史估算")),"请选择确认状态",IF(NOT(ISNUMBER(A83)),"缺少有效净值日期",IF(OR(A83&lt;=0,A83&lt;&gt;INT(A83)),"净值日期无效",IF(NOT(OR(OR(B83="买入",B83="定投",B83="转换转入"),B83="卖出",B83="现金分红",B83="红利再投")),"请选择交易类型",IF(NOT(ISNUMBER(C83)),"缺少成交净值",IF(C83&lt;=0,"成交净值须大于零",IF(NOT(ISNUMBER(D83)),"缺少确认份额（分红填0）",IF(NOT(ISNUMBER(E83)),"缺少确认金额（再投填0）",IF(NOT(ISNUMBER(F83)),"缺少手续费（无费用填0）",IF(OR(D83&lt;0,E83&lt;0,F83&lt;0),"份额金额费用不能为负",IF(AA82="错误","前行待修正",IF(A83&lt;Z82,"日期需按成交顺序递增",IF(AND(B83="现金分红",OR(D83&lt;&gt;0,E83&lt;=0,F83&lt;&gt;0)),"分红填份额0、费用0、正金额",IF(AND(B83="红利再投",OR(D83&lt;=0,E83&lt;&gt;0,F83&lt;&gt;0)),"再投填正份额、金额0、费用0",IF(AND(OR(B83="现金分红",B83="红利再投"),K82&lt;=0),"分红或再投前须有持仓",IF(AND(OR(OR(B83="买入",B83="定投",B83="转换转入"),B83="卖出"),OR(D83&lt;=0,E83&lt;=0)),"买卖须填正份额、正金额",IF(AND(B83="卖出",D83&gt;K82+0.000001),"卖出份额超过持仓",IF(AND(OR(B83="买入",B83="定投",B83="转换转入"),F83&gt;=E83)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83="买入",B83="定投",B83="转换转入"),ABS(E83-F83-C83*D83)&gt;'持仓总览'!$H$6),"买入金额与份额净值不符",IF(AND(B83="卖出",ABS(E83+F83-C83*D83)&gt;'持仓总览'!$H$6),"到账加费用与赎回市值不符","已计入"))))))))))))))))))))))))))</f>
        <v>已计入</v>
      </c>
      <c r="J83" s="11">
        <f t="shared" si="18">IF(AA83="正常",IF(I83="已计入",IF(OR(OR(B83="买入",B83="定投",B83="转换转入"),B83="红利再投"),D83,IF(B83="卖出",-D83,0)),0),"")</f>
        <v>26.06</v>
      </c>
      <c r="K83" s="11">
        <f t="shared" si="23">IF(AA83="正常",ROUND(K82+J83,6),"")</f>
        <v>24590.93</v>
      </c>
      <c r="L83" s="11">
        <f t="shared" si="24">IF(I83="已计入",ROUND(K82*C83,2),"")</f>
        <v>141186.59</v>
      </c>
      <c r="M83" s="11">
        <f t="shared" si="25">IF(I83="已计入",IF(B83="卖出",MAX(0,L83-Q82-F83),IF(B83="现金分红",MAX(0,L83+E83-Q82),0)),"")</f>
        <v>0</v>
      </c>
      <c r="N83" s="11">
        <f>IF(I83="已计入",IF(AND(B83="卖出",'持仓总览'!$C$7="本金优先"),MAX(0,E83-Q82),IF(OR(B83="卖出",B83="现金分红"),MIN(E83,M83),0)),"")</f>
        <v>0</v>
      </c>
      <c r="O83" s="11">
        <f t="shared" si="26">IF(I83="已计入",IF(OR(B83="卖出",B83="现金分红"),MIN(Q82,MAX(0,E83-N83)),0),"")</f>
        <v>0</v>
      </c>
      <c r="P83" s="11">
        <f t="shared" si="27">IF(I83="已计入",IF(AND(B83="卖出",K83=0),MAX(0,Q82-O83),0),"")</f>
        <v>0</v>
      </c>
      <c r="Q83" s="11">
        <f t="shared" si="28">IF(AA83="正常",IF(I83="已计入",ROUND(Q82+IF(OR(B83="买入",B83="定投",B83="转换转入"),E83,0)-O83-P83,2),Q82),"")</f>
        <v>122400</v>
      </c>
      <c r="R83" s="11">
        <f t="shared" si="19">IF(I83="已计入",ROUND(K83*C83,2),"")</f>
        <v>141336.37</v>
      </c>
      <c r="S83" s="11">
        <f t="shared" si="20">IF(I83="已计入",ROUND(R83-Q83,2),"")</f>
        <v>18936.37</v>
      </c>
      <c r="T83" s="12">
        <f t="shared" si="21">IF(I83="已计入",IF(Q83=0,"",S83/Q83),"")</f>
        <v>0.15470890522875816</v>
      </c>
      <c r="U83" s="11">
        <f t="shared" si="29">IF(AA83="正常",U82+IF(AND(I83="已计入",OR(B83="买入",B83="定投",B83="转换转入")),E83,0),"")</f>
        <v>122400</v>
      </c>
      <c r="V83" s="11">
        <f t="shared" si="30">IF(AA83="正常",V82+IF(AND(I83="已计入",OR(B83="卖出",B83="现金分红")),E83,0),"")</f>
        <v>0</v>
      </c>
      <c r="W83" s="11">
        <f t="shared" si="31">IF(AA83="正常",W82+IF(I83="已计入",N83,0),"")</f>
        <v>0</v>
      </c>
      <c r="X83" s="11">
        <f t="shared" si="32">IF(AA83="正常",X82+IF(I83="已计入",P83,0),"")</f>
        <v>0</v>
      </c>
      <c r="Y83" s="11">
        <f t="shared" si="22">IF(I83="已计入",ROUND(R83+V83-U83,2),"")</f>
        <v>18936.37</v>
      </c>
      <c r="Z83" s="13">
        <f t="shared" si="33">IF(AA83="正常",IF(I83="已计入",A83,Z82),"")</f>
        <v>46135</v>
      </c>
      <c r="AA83" s="10" t="str">
        <f t="shared" si="34">IF(OR(AA82="错误",AND(I83&lt;&gt;"",I83&lt;&gt;"已排除",I83&lt;&gt;"待确认",I83&lt;&gt;"已计入")),"错误","正常")</f>
        <v>正常</v>
      </c>
      <c r="AB83" s="14">
        <f t="shared" si="35">IF(AA83="正常",IF(I83="已计入",C83,AB82),"")</f>
        <v>5.7475</v>
      </c>
    </row>
    <row r="84" ht="42" customHeight="1">
      <c r="A84" s="36">
        <v>46136</v>
      </c>
      <c r="B84" s="37" t="inlineStr">
        <is>
          <t>定投</t>
        </is>
      </c>
      <c r="C84" s="38">
        <v>5.7816</v>
      </c>
      <c r="D84" s="39">
        <v>25.9</v>
      </c>
      <c r="E84" s="39">
        <v>150</v>
      </c>
      <c r="F84" s="39">
        <v>0.24</v>
      </c>
      <c r="G84" s="37" t="inlineStr">
        <is>
          <t>历史估算</t>
        </is>
      </c>
      <c r="H84" s="40" t="inlineStr">
        <is>
          <t>原下单 2026-04-24 10:01:43
净值日／份额暂估，手续费按 0.16%</t>
        </is>
      </c>
      <c r="I84" s="10" t="str">
        <f>IF(COUNTA(A84:H84)=0,"",IF(OR(OR(OR(G84="撤单",G84="交易失败",G84="交易关闭"),G84="交易失败",G84="交易关闭"),G84="交易失败",G84="交易关闭"),"已排除",IF(G84="待确认","待确认",IF(NOT(OR(G84="已确认",G84="历史估算")),"请选择确认状态",IF(NOT(ISNUMBER(A84)),"缺少有效净值日期",IF(OR(A84&lt;=0,A84&lt;&gt;INT(A84)),"净值日期无效",IF(NOT(OR(OR(B84="买入",B84="定投",B84="转换转入"),B84="卖出",B84="现金分红",B84="红利再投")),"请选择交易类型",IF(NOT(ISNUMBER(C84)),"缺少成交净值",IF(C84&lt;=0,"成交净值须大于零",IF(NOT(ISNUMBER(D84)),"缺少确认份额（分红填0）",IF(NOT(ISNUMBER(E84)),"缺少确认金额（再投填0）",IF(NOT(ISNUMBER(F84)),"缺少手续费（无费用填0）",IF(OR(D84&lt;0,E84&lt;0,F84&lt;0),"份额金额费用不能为负",IF(AA83="错误","前行待修正",IF(A84&lt;Z83,"日期需按成交顺序递增",IF(AND(B84="现金分红",OR(D84&lt;&gt;0,E84&lt;=0,F84&lt;&gt;0)),"分红填份额0、费用0、正金额",IF(AND(B84="红利再投",OR(D84&lt;=0,E84&lt;&gt;0,F84&lt;&gt;0)),"再投填正份额、金额0、费用0",IF(AND(OR(B84="现金分红",B84="红利再投"),K83&lt;=0),"分红或再投前须有持仓",IF(AND(OR(OR(B84="买入",B84="定投",B84="转换转入"),B84="卖出"),OR(D84&lt;=0,E84&lt;=0)),"买卖须填正份额、正金额",IF(AND(B84="卖出",D84&gt;K83+0.000001),"卖出份额超过持仓",IF(AND(OR(B84="买入",B84="定投",B84="转换转入"),F84&gt;=E84)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84="买入",B84="定投",B84="转换转入"),ABS(E84-F84-C84*D84)&gt;'持仓总览'!$H$6),"买入金额与份额净值不符",IF(AND(B84="卖出",ABS(E84+F84-C84*D84)&gt;'持仓总览'!$H$6),"到账加费用与赎回市值不符","已计入"))))))))))))))))))))))))))</f>
        <v>已计入</v>
      </c>
      <c r="J84" s="11">
        <f t="shared" si="18">IF(AA84="正常",IF(I84="已计入",IF(OR(OR(B84="买入",B84="定投",B84="转换转入"),B84="红利再投"),D84,IF(B84="卖出",-D84,0)),0),"")</f>
        <v>25.9</v>
      </c>
      <c r="K84" s="11">
        <f t="shared" si="23">IF(AA84="正常",ROUND(K83+J84,6),"")</f>
        <v>24616.83</v>
      </c>
      <c r="L84" s="11">
        <f t="shared" si="24">IF(I84="已计入",ROUND(K83*C84,2),"")</f>
        <v>142174.92</v>
      </c>
      <c r="M84" s="11">
        <f t="shared" si="25">IF(I84="已计入",IF(B84="卖出",MAX(0,L84-Q83-F84),IF(B84="现金分红",MAX(0,L84+E84-Q83),0)),"")</f>
        <v>0</v>
      </c>
      <c r="N84" s="11">
        <f>IF(I84="已计入",IF(AND(B84="卖出",'持仓总览'!$C$7="本金优先"),MAX(0,E84-Q83),IF(OR(B84="卖出",B84="现金分红"),MIN(E84,M84),0)),"")</f>
        <v>0</v>
      </c>
      <c r="O84" s="11">
        <f t="shared" si="26">IF(I84="已计入",IF(OR(B84="卖出",B84="现金分红"),MIN(Q83,MAX(0,E84-N84)),0),"")</f>
        <v>0</v>
      </c>
      <c r="P84" s="11">
        <f t="shared" si="27">IF(I84="已计入",IF(AND(B84="卖出",K84=0),MAX(0,Q83-O84),0),"")</f>
        <v>0</v>
      </c>
      <c r="Q84" s="11">
        <f t="shared" si="28">IF(AA84="正常",IF(I84="已计入",ROUND(Q83+IF(OR(B84="买入",B84="定投",B84="转换转入"),E84,0)-O84-P84,2),Q83),"")</f>
        <v>122550</v>
      </c>
      <c r="R84" s="11">
        <f t="shared" si="19">IF(I84="已计入",ROUND(K84*C84,2),"")</f>
        <v>142324.66</v>
      </c>
      <c r="S84" s="11">
        <f t="shared" si="20">IF(I84="已计入",ROUND(R84-Q84,2),"")</f>
        <v>19774.66</v>
      </c>
      <c r="T84" s="12">
        <f t="shared" si="21">IF(I84="已计入",IF(Q84=0,"",S84/Q84),"")</f>
        <v>0.16135993472052224</v>
      </c>
      <c r="U84" s="11">
        <f t="shared" si="29">IF(AA84="正常",U83+IF(AND(I84="已计入",OR(B84="买入",B84="定投",B84="转换转入")),E84,0),"")</f>
        <v>122550</v>
      </c>
      <c r="V84" s="11">
        <f t="shared" si="30">IF(AA84="正常",V83+IF(AND(I84="已计入",OR(B84="卖出",B84="现金分红")),E84,0),"")</f>
        <v>0</v>
      </c>
      <c r="W84" s="11">
        <f t="shared" si="31">IF(AA84="正常",W83+IF(I84="已计入",N84,0),"")</f>
        <v>0</v>
      </c>
      <c r="X84" s="11">
        <f t="shared" si="32">IF(AA84="正常",X83+IF(I84="已计入",P84,0),"")</f>
        <v>0</v>
      </c>
      <c r="Y84" s="11">
        <f t="shared" si="22">IF(I84="已计入",ROUND(R84+V84-U84,2),"")</f>
        <v>19774.66</v>
      </c>
      <c r="Z84" s="13">
        <f t="shared" si="33">IF(AA84="正常",IF(I84="已计入",A84,Z83),"")</f>
        <v>46136</v>
      </c>
      <c r="AA84" s="10" t="str">
        <f t="shared" si="34">IF(OR(AA83="错误",AND(I84&lt;&gt;"",I84&lt;&gt;"已排除",I84&lt;&gt;"待确认",I84&lt;&gt;"已计入")),"错误","正常")</f>
        <v>正常</v>
      </c>
      <c r="AB84" s="14">
        <f t="shared" si="35">IF(AA84="正常",IF(I84="已计入",C84,AB83),"")</f>
        <v>5.7816</v>
      </c>
    </row>
    <row r="85" ht="42" customHeight="1">
      <c r="A85" s="36">
        <v>46139</v>
      </c>
      <c r="B85" s="37" t="inlineStr">
        <is>
          <t>定投</t>
        </is>
      </c>
      <c r="C85" s="38">
        <v>5.7986</v>
      </c>
      <c r="D85" s="39">
        <v>25.83</v>
      </c>
      <c r="E85" s="39">
        <v>150</v>
      </c>
      <c r="F85" s="39">
        <v>0.24</v>
      </c>
      <c r="G85" s="37" t="inlineStr">
        <is>
          <t>历史估算</t>
        </is>
      </c>
      <c r="H85" s="40" t="inlineStr">
        <is>
          <t>原下单 2026-04-27 10:11:40
净值日／份额暂估，手续费按 0.16%</t>
        </is>
      </c>
      <c r="I85" s="10" t="str">
        <f>IF(COUNTA(A85:H85)=0,"",IF(OR(OR(OR(G85="撤单",G85="交易失败",G85="交易关闭"),G85="交易失败",G85="交易关闭"),G85="交易失败",G85="交易关闭"),"已排除",IF(G85="待确认","待确认",IF(NOT(OR(G85="已确认",G85="历史估算")),"请选择确认状态",IF(NOT(ISNUMBER(A85)),"缺少有效净值日期",IF(OR(A85&lt;=0,A85&lt;&gt;INT(A85)),"净值日期无效",IF(NOT(OR(OR(B85="买入",B85="定投",B85="转换转入"),B85="卖出",B85="现金分红",B85="红利再投")),"请选择交易类型",IF(NOT(ISNUMBER(C85)),"缺少成交净值",IF(C85&lt;=0,"成交净值须大于零",IF(NOT(ISNUMBER(D85)),"缺少确认份额（分红填0）",IF(NOT(ISNUMBER(E85)),"缺少确认金额（再投填0）",IF(NOT(ISNUMBER(F85)),"缺少手续费（无费用填0）",IF(OR(D85&lt;0,E85&lt;0,F85&lt;0),"份额金额费用不能为负",IF(AA84="错误","前行待修正",IF(A85&lt;Z84,"日期需按成交顺序递增",IF(AND(B85="现金分红",OR(D85&lt;&gt;0,E85&lt;=0,F85&lt;&gt;0)),"分红填份额0、费用0、正金额",IF(AND(B85="红利再投",OR(D85&lt;=0,E85&lt;&gt;0,F85&lt;&gt;0)),"再投填正份额、金额0、费用0",IF(AND(OR(B85="现金分红",B85="红利再投"),K84&lt;=0),"分红或再投前须有持仓",IF(AND(OR(OR(B85="买入",B85="定投",B85="转换转入"),B85="卖出"),OR(D85&lt;=0,E85&lt;=0)),"买卖须填正份额、正金额",IF(AND(B85="卖出",D85&gt;K84+0.000001),"卖出份额超过持仓",IF(AND(OR(B85="买入",B85="定投",B85="转换转入"),F85&gt;=E85)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85="买入",B85="定投",B85="转换转入"),ABS(E85-F85-C85*D85)&gt;'持仓总览'!$H$6),"买入金额与份额净值不符",IF(AND(B85="卖出",ABS(E85+F85-C85*D85)&gt;'持仓总览'!$H$6),"到账加费用与赎回市值不符","已计入"))))))))))))))))))))))))))</f>
        <v>已计入</v>
      </c>
      <c r="J85" s="11">
        <f t="shared" si="18">IF(AA85="正常",IF(I85="已计入",IF(OR(OR(B85="买入",B85="定投",B85="转换转入"),B85="红利再投"),D85,IF(B85="卖出",-D85,0)),0),"")</f>
        <v>25.83</v>
      </c>
      <c r="K85" s="11">
        <f t="shared" si="23">IF(AA85="正常",ROUND(K84+J85,6),"")</f>
        <v>24642.66</v>
      </c>
      <c r="L85" s="11">
        <f t="shared" si="24">IF(I85="已计入",ROUND(K84*C85,2),"")</f>
        <v>142743.15</v>
      </c>
      <c r="M85" s="11">
        <f t="shared" si="25">IF(I85="已计入",IF(B85="卖出",MAX(0,L85-Q84-F85),IF(B85="现金分红",MAX(0,L85+E85-Q84),0)),"")</f>
        <v>0</v>
      </c>
      <c r="N85" s="11">
        <f>IF(I85="已计入",IF(AND(B85="卖出",'持仓总览'!$C$7="本金优先"),MAX(0,E85-Q84),IF(OR(B85="卖出",B85="现金分红"),MIN(E85,M85),0)),"")</f>
        <v>0</v>
      </c>
      <c r="O85" s="11">
        <f t="shared" si="26">IF(I85="已计入",IF(OR(B85="卖出",B85="现金分红"),MIN(Q84,MAX(0,E85-N85)),0),"")</f>
        <v>0</v>
      </c>
      <c r="P85" s="11">
        <f t="shared" si="27">IF(I85="已计入",IF(AND(B85="卖出",K85=0),MAX(0,Q84-O85),0),"")</f>
        <v>0</v>
      </c>
      <c r="Q85" s="11">
        <f t="shared" si="28">IF(AA85="正常",IF(I85="已计入",ROUND(Q84+IF(OR(B85="买入",B85="定投",B85="转换转入"),E85,0)-O85-P85,2),Q84),"")</f>
        <v>122700</v>
      </c>
      <c r="R85" s="11">
        <f t="shared" si="19">IF(I85="已计入",ROUND(K85*C85,2),"")</f>
        <v>142892.93</v>
      </c>
      <c r="S85" s="11">
        <f t="shared" si="20">IF(I85="已计入",ROUND(R85-Q85,2),"")</f>
        <v>20192.93</v>
      </c>
      <c r="T85" s="12">
        <f t="shared" si="21">IF(I85="已计入",IF(Q85=0,"",S85/Q85),"")</f>
        <v>0.1645715566422168</v>
      </c>
      <c r="U85" s="11">
        <f t="shared" si="29">IF(AA85="正常",U84+IF(AND(I85="已计入",OR(B85="买入",B85="定投",B85="转换转入")),E85,0),"")</f>
        <v>122700</v>
      </c>
      <c r="V85" s="11">
        <f t="shared" si="30">IF(AA85="正常",V84+IF(AND(I85="已计入",OR(B85="卖出",B85="现金分红")),E85,0),"")</f>
        <v>0</v>
      </c>
      <c r="W85" s="11">
        <f t="shared" si="31">IF(AA85="正常",W84+IF(I85="已计入",N85,0),"")</f>
        <v>0</v>
      </c>
      <c r="X85" s="11">
        <f t="shared" si="32">IF(AA85="正常",X84+IF(I85="已计入",P85,0),"")</f>
        <v>0</v>
      </c>
      <c r="Y85" s="11">
        <f t="shared" si="22">IF(I85="已计入",ROUND(R85+V85-U85,2),"")</f>
        <v>20192.93</v>
      </c>
      <c r="Z85" s="13">
        <f t="shared" si="33">IF(AA85="正常",IF(I85="已计入",A85,Z84),"")</f>
        <v>46139</v>
      </c>
      <c r="AA85" s="10" t="str">
        <f t="shared" si="34">IF(OR(AA84="错误",AND(I85&lt;&gt;"",I85&lt;&gt;"已排除",I85&lt;&gt;"待确认",I85&lt;&gt;"已计入")),"错误","正常")</f>
        <v>正常</v>
      </c>
      <c r="AB85" s="14">
        <f t="shared" si="35">IF(AA85="正常",IF(I85="已计入",C85,AB84),"")</f>
        <v>5.7986</v>
      </c>
    </row>
    <row r="86" ht="42" customHeight="1">
      <c r="A86" s="36">
        <v>46140</v>
      </c>
      <c r="B86" s="37" t="inlineStr">
        <is>
          <t>定投</t>
        </is>
      </c>
      <c r="C86" s="38">
        <v>5.6694</v>
      </c>
      <c r="D86" s="39">
        <v>26.42</v>
      </c>
      <c r="E86" s="39">
        <v>150</v>
      </c>
      <c r="F86" s="39">
        <v>0.24</v>
      </c>
      <c r="G86" s="37" t="inlineStr">
        <is>
          <t>历史估算</t>
        </is>
      </c>
      <c r="H86" s="40" t="inlineStr">
        <is>
          <t>原下单 2026-04-28 10:02:27
净值日／份额暂估，手续费按 0.16%</t>
        </is>
      </c>
      <c r="I86" s="10" t="str">
        <f>IF(COUNTA(A86:H86)=0,"",IF(OR(OR(OR(G86="撤单",G86="交易失败",G86="交易关闭"),G86="交易失败",G86="交易关闭"),G86="交易失败",G86="交易关闭"),"已排除",IF(G86="待确认","待确认",IF(NOT(OR(G86="已确认",G86="历史估算")),"请选择确认状态",IF(NOT(ISNUMBER(A86)),"缺少有效净值日期",IF(OR(A86&lt;=0,A86&lt;&gt;INT(A86)),"净值日期无效",IF(NOT(OR(OR(B86="买入",B86="定投",B86="转换转入"),B86="卖出",B86="现金分红",B86="红利再投")),"请选择交易类型",IF(NOT(ISNUMBER(C86)),"缺少成交净值",IF(C86&lt;=0,"成交净值须大于零",IF(NOT(ISNUMBER(D86)),"缺少确认份额（分红填0）",IF(NOT(ISNUMBER(E86)),"缺少确认金额（再投填0）",IF(NOT(ISNUMBER(F86)),"缺少手续费（无费用填0）",IF(OR(D86&lt;0,E86&lt;0,F86&lt;0),"份额金额费用不能为负",IF(AA85="错误","前行待修正",IF(A86&lt;Z85,"日期需按成交顺序递增",IF(AND(B86="现金分红",OR(D86&lt;&gt;0,E86&lt;=0,F86&lt;&gt;0)),"分红填份额0、费用0、正金额",IF(AND(B86="红利再投",OR(D86&lt;=0,E86&lt;&gt;0,F86&lt;&gt;0)),"再投填正份额、金额0、费用0",IF(AND(OR(B86="现金分红",B86="红利再投"),K85&lt;=0),"分红或再投前须有持仓",IF(AND(OR(OR(B86="买入",B86="定投",B86="转换转入"),B86="卖出"),OR(D86&lt;=0,E86&lt;=0)),"买卖须填正份额、正金额",IF(AND(B86="卖出",D86&gt;K85+0.000001),"卖出份额超过持仓",IF(AND(OR(B86="买入",B86="定投",B86="转换转入"),F86&gt;=E86)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86="买入",B86="定投",B86="转换转入"),ABS(E86-F86-C86*D86)&gt;'持仓总览'!$H$6),"买入金额与份额净值不符",IF(AND(B86="卖出",ABS(E86+F86-C86*D86)&gt;'持仓总览'!$H$6),"到账加费用与赎回市值不符","已计入"))))))))))))))))))))))))))</f>
        <v>已计入</v>
      </c>
      <c r="J86" s="11">
        <f t="shared" si="18">IF(AA86="正常",IF(I86="已计入",IF(OR(OR(B86="买入",B86="定投",B86="转换转入"),B86="红利再投"),D86,IF(B86="卖出",-D86,0)),0),"")</f>
        <v>26.42</v>
      </c>
      <c r="K86" s="11">
        <f t="shared" si="23">IF(AA86="正常",ROUND(K85+J86,6),"")</f>
        <v>24669.08</v>
      </c>
      <c r="L86" s="11">
        <f t="shared" si="24">IF(I86="已计入",ROUND(K85*C86,2),"")</f>
        <v>139709.1</v>
      </c>
      <c r="M86" s="11">
        <f t="shared" si="25">IF(I86="已计入",IF(B86="卖出",MAX(0,L86-Q85-F86),IF(B86="现金分红",MAX(0,L86+E86-Q85),0)),"")</f>
        <v>0</v>
      </c>
      <c r="N86" s="11">
        <f>IF(I86="已计入",IF(AND(B86="卖出",'持仓总览'!$C$7="本金优先"),MAX(0,E86-Q85),IF(OR(B86="卖出",B86="现金分红"),MIN(E86,M86),0)),"")</f>
        <v>0</v>
      </c>
      <c r="O86" s="11">
        <f t="shared" si="26">IF(I86="已计入",IF(OR(B86="卖出",B86="现金分红"),MIN(Q85,MAX(0,E86-N86)),0),"")</f>
        <v>0</v>
      </c>
      <c r="P86" s="11">
        <f t="shared" si="27">IF(I86="已计入",IF(AND(B86="卖出",K86=0),MAX(0,Q85-O86),0),"")</f>
        <v>0</v>
      </c>
      <c r="Q86" s="11">
        <f t="shared" si="28">IF(AA86="正常",IF(I86="已计入",ROUND(Q85+IF(OR(B86="买入",B86="定投",B86="转换转入"),E86,0)-O86-P86,2),Q85),"")</f>
        <v>122850</v>
      </c>
      <c r="R86" s="11">
        <f t="shared" si="19">IF(I86="已计入",ROUND(K86*C86,2),"")</f>
        <v>139858.88</v>
      </c>
      <c r="S86" s="11">
        <f t="shared" si="20">IF(I86="已计入",ROUND(R86-Q86,2),"")</f>
        <v>17008.88</v>
      </c>
      <c r="T86" s="12">
        <f t="shared" si="21">IF(I86="已计入",IF(Q86=0,"",S86/Q86),"")</f>
        <v>0.13845242165242166</v>
      </c>
      <c r="U86" s="11">
        <f t="shared" si="29">IF(AA86="正常",U85+IF(AND(I86="已计入",OR(B86="买入",B86="定投",B86="转换转入")),E86,0),"")</f>
        <v>122850</v>
      </c>
      <c r="V86" s="11">
        <f t="shared" si="30">IF(AA86="正常",V85+IF(AND(I86="已计入",OR(B86="卖出",B86="现金分红")),E86,0),"")</f>
        <v>0</v>
      </c>
      <c r="W86" s="11">
        <f t="shared" si="31">IF(AA86="正常",W85+IF(I86="已计入",N86,0),"")</f>
        <v>0</v>
      </c>
      <c r="X86" s="11">
        <f t="shared" si="32">IF(AA86="正常",X85+IF(I86="已计入",P86,0),"")</f>
        <v>0</v>
      </c>
      <c r="Y86" s="11">
        <f t="shared" si="22">IF(I86="已计入",ROUND(R86+V86-U86,2),"")</f>
        <v>17008.88</v>
      </c>
      <c r="Z86" s="13">
        <f t="shared" si="33">IF(AA86="正常",IF(I86="已计入",A86,Z85),"")</f>
        <v>46140</v>
      </c>
      <c r="AA86" s="10" t="str">
        <f t="shared" si="34">IF(OR(AA85="错误",AND(I86&lt;&gt;"",I86&lt;&gt;"已排除",I86&lt;&gt;"待确认",I86&lt;&gt;"已计入")),"错误","正常")</f>
        <v>正常</v>
      </c>
      <c r="AB86" s="14">
        <f t="shared" si="35">IF(AA86="正常",IF(I86="已计入",C86,AB85),"")</f>
        <v>5.6694</v>
      </c>
    </row>
    <row r="87" ht="42" customHeight="1">
      <c r="A87" s="36">
        <v>46141</v>
      </c>
      <c r="B87" s="37" t="inlineStr">
        <is>
          <t>定投</t>
        </is>
      </c>
      <c r="C87" s="38">
        <v>5.6878</v>
      </c>
      <c r="D87" s="39">
        <v>26.33</v>
      </c>
      <c r="E87" s="39">
        <v>150</v>
      </c>
      <c r="F87" s="39">
        <v>0.24</v>
      </c>
      <c r="G87" s="37" t="inlineStr">
        <is>
          <t>历史估算</t>
        </is>
      </c>
      <c r="H87" s="40" t="inlineStr">
        <is>
          <t>原下单 2026-04-29 11:08:06
净值日／份额暂估，手续费按 0.16%</t>
        </is>
      </c>
      <c r="I87" s="10" t="str">
        <f>IF(COUNTA(A87:H87)=0,"",IF(OR(OR(OR(G87="撤单",G87="交易失败",G87="交易关闭"),G87="交易失败",G87="交易关闭"),G87="交易失败",G87="交易关闭"),"已排除",IF(G87="待确认","待确认",IF(NOT(OR(G87="已确认",G87="历史估算")),"请选择确认状态",IF(NOT(ISNUMBER(A87)),"缺少有效净值日期",IF(OR(A87&lt;=0,A87&lt;&gt;INT(A87)),"净值日期无效",IF(NOT(OR(OR(B87="买入",B87="定投",B87="转换转入"),B87="卖出",B87="现金分红",B87="红利再投")),"请选择交易类型",IF(NOT(ISNUMBER(C87)),"缺少成交净值",IF(C87&lt;=0,"成交净值须大于零",IF(NOT(ISNUMBER(D87)),"缺少确认份额（分红填0）",IF(NOT(ISNUMBER(E87)),"缺少确认金额（再投填0）",IF(NOT(ISNUMBER(F87)),"缺少手续费（无费用填0）",IF(OR(D87&lt;0,E87&lt;0,F87&lt;0),"份额金额费用不能为负",IF(AA86="错误","前行待修正",IF(A87&lt;Z86,"日期需按成交顺序递增",IF(AND(B87="现金分红",OR(D87&lt;&gt;0,E87&lt;=0,F87&lt;&gt;0)),"分红填份额0、费用0、正金额",IF(AND(B87="红利再投",OR(D87&lt;=0,E87&lt;&gt;0,F87&lt;&gt;0)),"再投填正份额、金额0、费用0",IF(AND(OR(B87="现金分红",B87="红利再投"),K86&lt;=0),"分红或再投前须有持仓",IF(AND(OR(OR(B87="买入",B87="定投",B87="转换转入"),B87="卖出"),OR(D87&lt;=0,E87&lt;=0)),"买卖须填正份额、正金额",IF(AND(B87="卖出",D87&gt;K86+0.000001),"卖出份额超过持仓",IF(AND(OR(B87="买入",B87="定投",B87="转换转入"),F87&gt;=E87)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87="买入",B87="定投",B87="转换转入"),ABS(E87-F87-C87*D87)&gt;'持仓总览'!$H$6),"买入金额与份额净值不符",IF(AND(B87="卖出",ABS(E87+F87-C87*D87)&gt;'持仓总览'!$H$6),"到账加费用与赎回市值不符","已计入"))))))))))))))))))))))))))</f>
        <v>已计入</v>
      </c>
      <c r="J87" s="11">
        <f t="shared" si="18">IF(AA87="正常",IF(I87="已计入",IF(OR(OR(B87="买入",B87="定投",B87="转换转入"),B87="红利再投"),D87,IF(B87="卖出",-D87,0)),0),"")</f>
        <v>26.33</v>
      </c>
      <c r="K87" s="11">
        <f t="shared" si="23">IF(AA87="正常",ROUND(K86+J87,6),"")</f>
        <v>24695.41</v>
      </c>
      <c r="L87" s="11">
        <f t="shared" si="24">IF(I87="已计入",ROUND(K86*C87,2),"")</f>
        <v>140312.79</v>
      </c>
      <c r="M87" s="11">
        <f t="shared" si="25">IF(I87="已计入",IF(B87="卖出",MAX(0,L87-Q86-F87),IF(B87="现金分红",MAX(0,L87+E87-Q86),0)),"")</f>
        <v>0</v>
      </c>
      <c r="N87" s="11">
        <f>IF(I87="已计入",IF(AND(B87="卖出",'持仓总览'!$C$7="本金优先"),MAX(0,E87-Q86),IF(OR(B87="卖出",B87="现金分红"),MIN(E87,M87),0)),"")</f>
        <v>0</v>
      </c>
      <c r="O87" s="11">
        <f t="shared" si="26">IF(I87="已计入",IF(OR(B87="卖出",B87="现金分红"),MIN(Q86,MAX(0,E87-N87)),0),"")</f>
        <v>0</v>
      </c>
      <c r="P87" s="11">
        <f t="shared" si="27">IF(I87="已计入",IF(AND(B87="卖出",K87=0),MAX(0,Q86-O87),0),"")</f>
        <v>0</v>
      </c>
      <c r="Q87" s="11">
        <f t="shared" si="28">IF(AA87="正常",IF(I87="已计入",ROUND(Q86+IF(OR(B87="买入",B87="定投",B87="转换转入"),E87,0)-O87-P87,2),Q86),"")</f>
        <v>123000</v>
      </c>
      <c r="R87" s="11">
        <f t="shared" si="19">IF(I87="已计入",ROUND(K87*C87,2),"")</f>
        <v>140462.55</v>
      </c>
      <c r="S87" s="11">
        <f t="shared" si="20">IF(I87="已计入",ROUND(R87-Q87,2),"")</f>
        <v>17462.55</v>
      </c>
      <c r="T87" s="12">
        <f t="shared" si="21">IF(I87="已计入",IF(Q87=0,"",S87/Q87),"")</f>
        <v>0.1419719512195122</v>
      </c>
      <c r="U87" s="11">
        <f t="shared" si="29">IF(AA87="正常",U86+IF(AND(I87="已计入",OR(B87="买入",B87="定投",B87="转换转入")),E87,0),"")</f>
        <v>123000</v>
      </c>
      <c r="V87" s="11">
        <f t="shared" si="30">IF(AA87="正常",V86+IF(AND(I87="已计入",OR(B87="卖出",B87="现金分红")),E87,0),"")</f>
        <v>0</v>
      </c>
      <c r="W87" s="11">
        <f t="shared" si="31">IF(AA87="正常",W86+IF(I87="已计入",N87,0),"")</f>
        <v>0</v>
      </c>
      <c r="X87" s="11">
        <f t="shared" si="32">IF(AA87="正常",X86+IF(I87="已计入",P87,0),"")</f>
        <v>0</v>
      </c>
      <c r="Y87" s="11">
        <f t="shared" si="22">IF(I87="已计入",ROUND(R87+V87-U87,2),"")</f>
        <v>17462.55</v>
      </c>
      <c r="Z87" s="13">
        <f t="shared" si="33">IF(AA87="正常",IF(I87="已计入",A87,Z86),"")</f>
        <v>46141</v>
      </c>
      <c r="AA87" s="10" t="str">
        <f t="shared" si="34">IF(OR(AA86="错误",AND(I87&lt;&gt;"",I87&lt;&gt;"已排除",I87&lt;&gt;"待确认",I87&lt;&gt;"已计入")),"错误","正常")</f>
        <v>正常</v>
      </c>
      <c r="AB87" s="14">
        <f t="shared" si="35">IF(AA87="正常",IF(I87="已计入",C87,AB86),"")</f>
        <v>5.6878</v>
      </c>
    </row>
    <row r="88" ht="42" customHeight="1">
      <c r="A88" s="36">
        <v>46142</v>
      </c>
      <c r="B88" s="37" t="inlineStr">
        <is>
          <t>定投</t>
        </is>
      </c>
      <c r="C88" s="38">
        <v>5.7895</v>
      </c>
      <c r="D88" s="39">
        <v>25.87</v>
      </c>
      <c r="E88" s="39">
        <v>150</v>
      </c>
      <c r="F88" s="39">
        <v>0.24</v>
      </c>
      <c r="G88" s="37" t="inlineStr">
        <is>
          <t>历史估算</t>
        </is>
      </c>
      <c r="H88" s="40" t="inlineStr">
        <is>
          <t>原下单 2026-04-30 11:12:13
净值日／份额暂估，手续费按 0.16%</t>
        </is>
      </c>
      <c r="I88" s="10" t="str">
        <f>IF(COUNTA(A88:H88)=0,"",IF(OR(OR(OR(G88="撤单",G88="交易失败",G88="交易关闭"),G88="交易失败",G88="交易关闭"),G88="交易失败",G88="交易关闭"),"已排除",IF(G88="待确认","待确认",IF(NOT(OR(G88="已确认",G88="历史估算")),"请选择确认状态",IF(NOT(ISNUMBER(A88)),"缺少有效净值日期",IF(OR(A88&lt;=0,A88&lt;&gt;INT(A88)),"净值日期无效",IF(NOT(OR(OR(B88="买入",B88="定投",B88="转换转入"),B88="卖出",B88="现金分红",B88="红利再投")),"请选择交易类型",IF(NOT(ISNUMBER(C88)),"缺少成交净值",IF(C88&lt;=0,"成交净值须大于零",IF(NOT(ISNUMBER(D88)),"缺少确认份额（分红填0）",IF(NOT(ISNUMBER(E88)),"缺少确认金额（再投填0）",IF(NOT(ISNUMBER(F88)),"缺少手续费（无费用填0）",IF(OR(D88&lt;0,E88&lt;0,F88&lt;0),"份额金额费用不能为负",IF(AA87="错误","前行待修正",IF(A88&lt;Z87,"日期需按成交顺序递增",IF(AND(B88="现金分红",OR(D88&lt;&gt;0,E88&lt;=0,F88&lt;&gt;0)),"分红填份额0、费用0、正金额",IF(AND(B88="红利再投",OR(D88&lt;=0,E88&lt;&gt;0,F88&lt;&gt;0)),"再投填正份额、金额0、费用0",IF(AND(OR(B88="现金分红",B88="红利再投"),K87&lt;=0),"分红或再投前须有持仓",IF(AND(OR(OR(B88="买入",B88="定投",B88="转换转入"),B88="卖出"),OR(D88&lt;=0,E88&lt;=0)),"买卖须填正份额、正金额",IF(AND(B88="卖出",D88&gt;K87+0.000001),"卖出份额超过持仓",IF(AND(OR(B88="买入",B88="定投",B88="转换转入"),F88&gt;=E88)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88="买入",B88="定投",B88="转换转入"),ABS(E88-F88-C88*D88)&gt;'持仓总览'!$H$6),"买入金额与份额净值不符",IF(AND(B88="卖出",ABS(E88+F88-C88*D88)&gt;'持仓总览'!$H$6),"到账加费用与赎回市值不符","已计入"))))))))))))))))))))))))))</f>
        <v>已计入</v>
      </c>
      <c r="J88" s="11">
        <f t="shared" si="18">IF(AA88="正常",IF(I88="已计入",IF(OR(OR(B88="买入",B88="定投",B88="转换转入"),B88="红利再投"),D88,IF(B88="卖出",-D88,0)),0),"")</f>
        <v>25.87</v>
      </c>
      <c r="K88" s="11">
        <f t="shared" si="23">IF(AA88="正常",ROUND(K87+J88,6),"")</f>
        <v>24721.28</v>
      </c>
      <c r="L88" s="11">
        <f t="shared" si="24">IF(I88="已计入",ROUND(K87*C88,2),"")</f>
        <v>142974.08</v>
      </c>
      <c r="M88" s="11">
        <f t="shared" si="25">IF(I88="已计入",IF(B88="卖出",MAX(0,L88-Q87-F88),IF(B88="现金分红",MAX(0,L88+E88-Q87),0)),"")</f>
        <v>0</v>
      </c>
      <c r="N88" s="11">
        <f>IF(I88="已计入",IF(AND(B88="卖出",'持仓总览'!$C$7="本金优先"),MAX(0,E88-Q87),IF(OR(B88="卖出",B88="现金分红"),MIN(E88,M88),0)),"")</f>
        <v>0</v>
      </c>
      <c r="O88" s="11">
        <f t="shared" si="26">IF(I88="已计入",IF(OR(B88="卖出",B88="现金分红"),MIN(Q87,MAX(0,E88-N88)),0),"")</f>
        <v>0</v>
      </c>
      <c r="P88" s="11">
        <f t="shared" si="27">IF(I88="已计入",IF(AND(B88="卖出",K88=0),MAX(0,Q87-O88),0),"")</f>
        <v>0</v>
      </c>
      <c r="Q88" s="11">
        <f t="shared" si="28">IF(AA88="正常",IF(I88="已计入",ROUND(Q87+IF(OR(B88="买入",B88="定投",B88="转换转入"),E88,0)-O88-P88,2),Q87),"")</f>
        <v>123150</v>
      </c>
      <c r="R88" s="11">
        <f t="shared" si="19">IF(I88="已计入",ROUND(K88*C88,2),"")</f>
        <v>143123.85</v>
      </c>
      <c r="S88" s="11">
        <f t="shared" si="20">IF(I88="已计入",ROUND(R88-Q88,2),"")</f>
        <v>19973.85</v>
      </c>
      <c r="T88" s="12">
        <f t="shared" si="21">IF(I88="已计入",IF(Q88=0,"",S88/Q88),"")</f>
        <v>0.16219123020706455</v>
      </c>
      <c r="U88" s="11">
        <f t="shared" si="29">IF(AA88="正常",U87+IF(AND(I88="已计入",OR(B88="买入",B88="定投",B88="转换转入")),E88,0),"")</f>
        <v>123150</v>
      </c>
      <c r="V88" s="11">
        <f t="shared" si="30">IF(AA88="正常",V87+IF(AND(I88="已计入",OR(B88="卖出",B88="现金分红")),E88,0),"")</f>
        <v>0</v>
      </c>
      <c r="W88" s="11">
        <f t="shared" si="31">IF(AA88="正常",W87+IF(I88="已计入",N88,0),"")</f>
        <v>0</v>
      </c>
      <c r="X88" s="11">
        <f t="shared" si="32">IF(AA88="正常",X87+IF(I88="已计入",P88,0),"")</f>
        <v>0</v>
      </c>
      <c r="Y88" s="11">
        <f t="shared" si="22">IF(I88="已计入",ROUND(R88+V88-U88,2),"")</f>
        <v>19973.85</v>
      </c>
      <c r="Z88" s="13">
        <f t="shared" si="33">IF(AA88="正常",IF(I88="已计入",A88,Z87),"")</f>
        <v>46142</v>
      </c>
      <c r="AA88" s="10" t="str">
        <f t="shared" si="34">IF(OR(AA87="错误",AND(I88&lt;&gt;"",I88&lt;&gt;"已排除",I88&lt;&gt;"待确认",I88&lt;&gt;"已计入")),"错误","正常")</f>
        <v>正常</v>
      </c>
      <c r="AB88" s="14">
        <f t="shared" si="35">IF(AA88="正常",IF(I88="已计入",C88,AB87),"")</f>
        <v>5.7895</v>
      </c>
    </row>
    <row r="89" ht="42" customHeight="1">
      <c r="A89" s="36">
        <v>46148</v>
      </c>
      <c r="B89" s="37" t="inlineStr">
        <is>
          <t>定投</t>
        </is>
      </c>
      <c r="C89" s="38">
        <v>6.1067</v>
      </c>
      <c r="D89" s="39">
        <v>24.52</v>
      </c>
      <c r="E89" s="39">
        <v>150</v>
      </c>
      <c r="F89" s="39">
        <v>0.24</v>
      </c>
      <c r="G89" s="37" t="inlineStr">
        <is>
          <t>历史估算</t>
        </is>
      </c>
      <c r="H89" s="40" t="inlineStr">
        <is>
          <t>原下单 2026-05-06 11:49:41
净值日／份额暂估，手续费按 0.16%</t>
        </is>
      </c>
      <c r="I89" s="10" t="str">
        <f>IF(COUNTA(A89:H89)=0,"",IF(OR(OR(OR(G89="撤单",G89="交易失败",G89="交易关闭"),G89="交易失败",G89="交易关闭"),G89="交易失败",G89="交易关闭"),"已排除",IF(G89="待确认","待确认",IF(NOT(OR(G89="已确认",G89="历史估算")),"请选择确认状态",IF(NOT(ISNUMBER(A89)),"缺少有效净值日期",IF(OR(A89&lt;=0,A89&lt;&gt;INT(A89)),"净值日期无效",IF(NOT(OR(OR(B89="买入",B89="定投",B89="转换转入"),B89="卖出",B89="现金分红",B89="红利再投")),"请选择交易类型",IF(NOT(ISNUMBER(C89)),"缺少成交净值",IF(C89&lt;=0,"成交净值须大于零",IF(NOT(ISNUMBER(D89)),"缺少确认份额（分红填0）",IF(NOT(ISNUMBER(E89)),"缺少确认金额（再投填0）",IF(NOT(ISNUMBER(F89)),"缺少手续费（无费用填0）",IF(OR(D89&lt;0,E89&lt;0,F89&lt;0),"份额金额费用不能为负",IF(AA88="错误","前行待修正",IF(A89&lt;Z88,"日期需按成交顺序递增",IF(AND(B89="现金分红",OR(D89&lt;&gt;0,E89&lt;=0,F89&lt;&gt;0)),"分红填份额0、费用0、正金额",IF(AND(B89="红利再投",OR(D89&lt;=0,E89&lt;&gt;0,F89&lt;&gt;0)),"再投填正份额、金额0、费用0",IF(AND(OR(B89="现金分红",B89="红利再投"),K88&lt;=0),"分红或再投前须有持仓",IF(AND(OR(OR(B89="买入",B89="定投",B89="转换转入"),B89="卖出"),OR(D89&lt;=0,E89&lt;=0)),"买卖须填正份额、正金额",IF(AND(B89="卖出",D89&gt;K88+0.000001),"卖出份额超过持仓",IF(AND(OR(B89="买入",B89="定投",B89="转换转入"),F89&gt;=E89)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89="买入",B89="定投",B89="转换转入"),ABS(E89-F89-C89*D89)&gt;'持仓总览'!$H$6),"买入金额与份额净值不符",IF(AND(B89="卖出",ABS(E89+F89-C89*D89)&gt;'持仓总览'!$H$6),"到账加费用与赎回市值不符","已计入"))))))))))))))))))))))))))</f>
        <v>已计入</v>
      </c>
      <c r="J89" s="11">
        <f t="shared" si="18">IF(AA89="正常",IF(I89="已计入",IF(OR(OR(B89="买入",B89="定投",B89="转换转入"),B89="红利再投"),D89,IF(B89="卖出",-D89,0)),0),"")</f>
        <v>24.52</v>
      </c>
      <c r="K89" s="11">
        <f t="shared" si="23">IF(AA89="正常",ROUND(K88+J89,6),"")</f>
        <v>24745.8</v>
      </c>
      <c r="L89" s="11">
        <f t="shared" si="24">IF(I89="已计入",ROUND(K88*C89,2),"")</f>
        <v>150965.44</v>
      </c>
      <c r="M89" s="11">
        <f t="shared" si="25">IF(I89="已计入",IF(B89="卖出",MAX(0,L89-Q88-F89),IF(B89="现金分红",MAX(0,L89+E89-Q88),0)),"")</f>
        <v>0</v>
      </c>
      <c r="N89" s="11">
        <f>IF(I89="已计入",IF(AND(B89="卖出",'持仓总览'!$C$7="本金优先"),MAX(0,E89-Q88),IF(OR(B89="卖出",B89="现金分红"),MIN(E89,M89),0)),"")</f>
        <v>0</v>
      </c>
      <c r="O89" s="11">
        <f t="shared" si="26">IF(I89="已计入",IF(OR(B89="卖出",B89="现金分红"),MIN(Q88,MAX(0,E89-N89)),0),"")</f>
        <v>0</v>
      </c>
      <c r="P89" s="11">
        <f t="shared" si="27">IF(I89="已计入",IF(AND(B89="卖出",K89=0),MAX(0,Q88-O89),0),"")</f>
        <v>0</v>
      </c>
      <c r="Q89" s="11">
        <f t="shared" si="28">IF(AA89="正常",IF(I89="已计入",ROUND(Q88+IF(OR(B89="买入",B89="定投",B89="转换转入"),E89,0)-O89-P89,2),Q88),"")</f>
        <v>123300</v>
      </c>
      <c r="R89" s="11">
        <f t="shared" si="19">IF(I89="已计入",ROUND(K89*C89,2),"")</f>
        <v>151115.18</v>
      </c>
      <c r="S89" s="11">
        <f t="shared" si="20">IF(I89="已计入",ROUND(R89-Q89,2),"")</f>
        <v>27815.18</v>
      </c>
      <c r="T89" s="12">
        <f t="shared" si="21">IF(I89="已计入",IF(Q89=0,"",S89/Q89),"")</f>
        <v>0.22558945660989457</v>
      </c>
      <c r="U89" s="11">
        <f t="shared" si="29">IF(AA89="正常",U88+IF(AND(I89="已计入",OR(B89="买入",B89="定投",B89="转换转入")),E89,0),"")</f>
        <v>123300</v>
      </c>
      <c r="V89" s="11">
        <f t="shared" si="30">IF(AA89="正常",V88+IF(AND(I89="已计入",OR(B89="卖出",B89="现金分红")),E89,0),"")</f>
        <v>0</v>
      </c>
      <c r="W89" s="11">
        <f t="shared" si="31">IF(AA89="正常",W88+IF(I89="已计入",N89,0),"")</f>
        <v>0</v>
      </c>
      <c r="X89" s="11">
        <f t="shared" si="32">IF(AA89="正常",X88+IF(I89="已计入",P89,0),"")</f>
        <v>0</v>
      </c>
      <c r="Y89" s="11">
        <f t="shared" si="22">IF(I89="已计入",ROUND(R89+V89-U89,2),"")</f>
        <v>27815.18</v>
      </c>
      <c r="Z89" s="13">
        <f t="shared" si="33">IF(AA89="正常",IF(I89="已计入",A89,Z88),"")</f>
        <v>46148</v>
      </c>
      <c r="AA89" s="10" t="str">
        <f t="shared" si="34">IF(OR(AA88="错误",AND(I89&lt;&gt;"",I89&lt;&gt;"已排除",I89&lt;&gt;"待确认",I89&lt;&gt;"已计入")),"错误","正常")</f>
        <v>正常</v>
      </c>
      <c r="AB89" s="14">
        <f t="shared" si="35">IF(AA89="正常",IF(I89="已计入",C89,AB88),"")</f>
        <v>6.1067</v>
      </c>
    </row>
    <row r="90" ht="42" customHeight="1">
      <c r="A90" s="36">
        <v>46149</v>
      </c>
      <c r="B90" s="37" t="inlineStr">
        <is>
          <t>定投</t>
        </is>
      </c>
      <c r="C90" s="38">
        <v>6.1222</v>
      </c>
      <c r="D90" s="39">
        <v>24.46</v>
      </c>
      <c r="E90" s="39">
        <v>150</v>
      </c>
      <c r="F90" s="39">
        <v>0.24</v>
      </c>
      <c r="G90" s="37" t="inlineStr">
        <is>
          <t>历史估算</t>
        </is>
      </c>
      <c r="H90" s="40" t="inlineStr">
        <is>
          <t>原下单 2026-05-07 11:09:38
净值日／份额暂估，手续费按 0.16%</t>
        </is>
      </c>
      <c r="I90" s="10" t="str">
        <f>IF(COUNTA(A90:H90)=0,"",IF(OR(OR(OR(G90="撤单",G90="交易失败",G90="交易关闭"),G90="交易失败",G90="交易关闭"),G90="交易失败",G90="交易关闭"),"已排除",IF(G90="待确认","待确认",IF(NOT(OR(G90="已确认",G90="历史估算")),"请选择确认状态",IF(NOT(ISNUMBER(A90)),"缺少有效净值日期",IF(OR(A90&lt;=0,A90&lt;&gt;INT(A90)),"净值日期无效",IF(NOT(OR(OR(B90="买入",B90="定投",B90="转换转入"),B90="卖出",B90="现金分红",B90="红利再投")),"请选择交易类型",IF(NOT(ISNUMBER(C90)),"缺少成交净值",IF(C90&lt;=0,"成交净值须大于零",IF(NOT(ISNUMBER(D90)),"缺少确认份额（分红填0）",IF(NOT(ISNUMBER(E90)),"缺少确认金额（再投填0）",IF(NOT(ISNUMBER(F90)),"缺少手续费（无费用填0）",IF(OR(D90&lt;0,E90&lt;0,F90&lt;0),"份额金额费用不能为负",IF(AA89="错误","前行待修正",IF(A90&lt;Z89,"日期需按成交顺序递增",IF(AND(B90="现金分红",OR(D90&lt;&gt;0,E90&lt;=0,F90&lt;&gt;0)),"分红填份额0、费用0、正金额",IF(AND(B90="红利再投",OR(D90&lt;=0,E90&lt;&gt;0,F90&lt;&gt;0)),"再投填正份额、金额0、费用0",IF(AND(OR(B90="现金分红",B90="红利再投"),K89&lt;=0),"分红或再投前须有持仓",IF(AND(OR(OR(B90="买入",B90="定投",B90="转换转入"),B90="卖出"),OR(D90&lt;=0,E90&lt;=0)),"买卖须填正份额、正金额",IF(AND(B90="卖出",D90&gt;K89+0.000001),"卖出份额超过持仓",IF(AND(OR(B90="买入",B90="定投",B90="转换转入"),F90&gt;=E90)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90="买入",B90="定投",B90="转换转入"),ABS(E90-F90-C90*D90)&gt;'持仓总览'!$H$6),"买入金额与份额净值不符",IF(AND(B90="卖出",ABS(E90+F90-C90*D90)&gt;'持仓总览'!$H$6),"到账加费用与赎回市值不符","已计入"))))))))))))))))))))))))))</f>
        <v>已计入</v>
      </c>
      <c r="J90" s="11">
        <f t="shared" si="18">IF(AA90="正常",IF(I90="已计入",IF(OR(OR(B90="买入",B90="定投",B90="转换转入"),B90="红利再投"),D90,IF(B90="卖出",-D90,0)),0),"")</f>
        <v>24.46</v>
      </c>
      <c r="K90" s="11">
        <f t="shared" si="23">IF(AA90="正常",ROUND(K89+J90,6),"")</f>
        <v>24770.26</v>
      </c>
      <c r="L90" s="11">
        <f t="shared" si="24">IF(I90="已计入",ROUND(K89*C90,2),"")</f>
        <v>151498.74</v>
      </c>
      <c r="M90" s="11">
        <f t="shared" si="25">IF(I90="已计入",IF(B90="卖出",MAX(0,L90-Q89-F90),IF(B90="现金分红",MAX(0,L90+E90-Q89),0)),"")</f>
        <v>0</v>
      </c>
      <c r="N90" s="11">
        <f>IF(I90="已计入",IF(AND(B90="卖出",'持仓总览'!$C$7="本金优先"),MAX(0,E90-Q89),IF(OR(B90="卖出",B90="现金分红"),MIN(E90,M90),0)),"")</f>
        <v>0</v>
      </c>
      <c r="O90" s="11">
        <f t="shared" si="26">IF(I90="已计入",IF(OR(B90="卖出",B90="现金分红"),MIN(Q89,MAX(0,E90-N90)),0),"")</f>
        <v>0</v>
      </c>
      <c r="P90" s="11">
        <f t="shared" si="27">IF(I90="已计入",IF(AND(B90="卖出",K90=0),MAX(0,Q89-O90),0),"")</f>
        <v>0</v>
      </c>
      <c r="Q90" s="11">
        <f t="shared" si="28">IF(AA90="正常",IF(I90="已计入",ROUND(Q89+IF(OR(B90="买入",B90="定投",B90="转换转入"),E90,0)-O90-P90,2),Q89),"")</f>
        <v>123450</v>
      </c>
      <c r="R90" s="11">
        <f t="shared" si="19">IF(I90="已计入",ROUND(K90*C90,2),"")</f>
        <v>151648.49</v>
      </c>
      <c r="S90" s="11">
        <f t="shared" si="20">IF(I90="已计入",ROUND(R90-Q90,2),"")</f>
        <v>28198.49</v>
      </c>
      <c r="T90" s="12">
        <f t="shared" si="21">IF(I90="已计入",IF(Q90=0,"",S90/Q90),"")</f>
        <v>0.2284203321182665</v>
      </c>
      <c r="U90" s="11">
        <f t="shared" si="29">IF(AA90="正常",U89+IF(AND(I90="已计入",OR(B90="买入",B90="定投",B90="转换转入")),E90,0),"")</f>
        <v>123450</v>
      </c>
      <c r="V90" s="11">
        <f t="shared" si="30">IF(AA90="正常",V89+IF(AND(I90="已计入",OR(B90="卖出",B90="现金分红")),E90,0),"")</f>
        <v>0</v>
      </c>
      <c r="W90" s="11">
        <f t="shared" si="31">IF(AA90="正常",W89+IF(I90="已计入",N90,0),"")</f>
        <v>0</v>
      </c>
      <c r="X90" s="11">
        <f t="shared" si="32">IF(AA90="正常",X89+IF(I90="已计入",P90,0),"")</f>
        <v>0</v>
      </c>
      <c r="Y90" s="11">
        <f t="shared" si="22">IF(I90="已计入",ROUND(R90+V90-U90,2),"")</f>
        <v>28198.49</v>
      </c>
      <c r="Z90" s="13">
        <f t="shared" si="33">IF(AA90="正常",IF(I90="已计入",A90,Z89),"")</f>
        <v>46149</v>
      </c>
      <c r="AA90" s="10" t="str">
        <f t="shared" si="34">IF(OR(AA89="错误",AND(I90&lt;&gt;"",I90&lt;&gt;"已排除",I90&lt;&gt;"待确认",I90&lt;&gt;"已计入")),"错误","正常")</f>
        <v>正常</v>
      </c>
      <c r="AB90" s="14">
        <f t="shared" si="35">IF(AA90="正常",IF(I90="已计入",C90,AB89),"")</f>
        <v>6.1222</v>
      </c>
    </row>
    <row r="91" ht="42" customHeight="1">
      <c r="A91" s="36">
        <v>46150</v>
      </c>
      <c r="B91" s="37" t="inlineStr">
        <is>
          <t>定投</t>
        </is>
      </c>
      <c r="C91" s="38">
        <v>6.2601</v>
      </c>
      <c r="D91" s="39">
        <v>15.95</v>
      </c>
      <c r="E91" s="39">
        <v>100</v>
      </c>
      <c r="F91" s="39">
        <v>0.16</v>
      </c>
      <c r="G91" s="37" t="inlineStr">
        <is>
          <t>历史估算</t>
        </is>
      </c>
      <c r="H91" s="40" t="inlineStr">
        <is>
          <t>原下单 2026-05-08 11:16:04
净值日／份额暂估，手续费按 0.16%</t>
        </is>
      </c>
      <c r="I91" s="10" t="str">
        <f>IF(COUNTA(A91:H91)=0,"",IF(OR(OR(OR(G91="撤单",G91="交易失败",G91="交易关闭"),G91="交易失败",G91="交易关闭"),G91="交易失败",G91="交易关闭"),"已排除",IF(G91="待确认","待确认",IF(NOT(OR(G91="已确认",G91="历史估算")),"请选择确认状态",IF(NOT(ISNUMBER(A91)),"缺少有效净值日期",IF(OR(A91&lt;=0,A91&lt;&gt;INT(A91)),"净值日期无效",IF(NOT(OR(OR(B91="买入",B91="定投",B91="转换转入"),B91="卖出",B91="现金分红",B91="红利再投")),"请选择交易类型",IF(NOT(ISNUMBER(C91)),"缺少成交净值",IF(C91&lt;=0,"成交净值须大于零",IF(NOT(ISNUMBER(D91)),"缺少确认份额（分红填0）",IF(NOT(ISNUMBER(E91)),"缺少确认金额（再投填0）",IF(NOT(ISNUMBER(F91)),"缺少手续费（无费用填0）",IF(OR(D91&lt;0,E91&lt;0,F91&lt;0),"份额金额费用不能为负",IF(AA90="错误","前行待修正",IF(A91&lt;Z90,"日期需按成交顺序递增",IF(AND(B91="现金分红",OR(D91&lt;&gt;0,E91&lt;=0,F91&lt;&gt;0)),"分红填份额0、费用0、正金额",IF(AND(B91="红利再投",OR(D91&lt;=0,E91&lt;&gt;0,F91&lt;&gt;0)),"再投填正份额、金额0、费用0",IF(AND(OR(B91="现金分红",B91="红利再投"),K90&lt;=0),"分红或再投前须有持仓",IF(AND(OR(OR(B91="买入",B91="定投",B91="转换转入"),B91="卖出"),OR(D91&lt;=0,E91&lt;=0)),"买卖须填正份额、正金额",IF(AND(B91="卖出",D91&gt;K90+0.000001),"卖出份额超过持仓",IF(AND(OR(B91="买入",B91="定投",B91="转换转入"),F91&gt;=E91)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91="买入",B91="定投",B91="转换转入"),ABS(E91-F91-C91*D91)&gt;'持仓总览'!$H$6),"买入金额与份额净值不符",IF(AND(B91="卖出",ABS(E91+F91-C91*D91)&gt;'持仓总览'!$H$6),"到账加费用与赎回市值不符","已计入"))))))))))))))))))))))))))</f>
        <v>已计入</v>
      </c>
      <c r="J91" s="11">
        <f t="shared" si="18">IF(AA91="正常",IF(I91="已计入",IF(OR(OR(B91="买入",B91="定投",B91="转换转入"),B91="红利再投"),D91,IF(B91="卖出",-D91,0)),0),"")</f>
        <v>15.95</v>
      </c>
      <c r="K91" s="11">
        <f t="shared" si="23">IF(AA91="正常",ROUND(K90+J91,6),"")</f>
        <v>24786.21</v>
      </c>
      <c r="L91" s="11">
        <f t="shared" si="24">IF(I91="已计入",ROUND(K90*C91,2),"")</f>
        <v>155064.3</v>
      </c>
      <c r="M91" s="11">
        <f t="shared" si="25">IF(I91="已计入",IF(B91="卖出",MAX(0,L91-Q90-F91),IF(B91="现金分红",MAX(0,L91+E91-Q90),0)),"")</f>
        <v>0</v>
      </c>
      <c r="N91" s="11">
        <f>IF(I91="已计入",IF(AND(B91="卖出",'持仓总览'!$C$7="本金优先"),MAX(0,E91-Q90),IF(OR(B91="卖出",B91="现金分红"),MIN(E91,M91),0)),"")</f>
        <v>0</v>
      </c>
      <c r="O91" s="11">
        <f t="shared" si="26">IF(I91="已计入",IF(OR(B91="卖出",B91="现金分红"),MIN(Q90,MAX(0,E91-N91)),0),"")</f>
        <v>0</v>
      </c>
      <c r="P91" s="11">
        <f t="shared" si="27">IF(I91="已计入",IF(AND(B91="卖出",K91=0),MAX(0,Q90-O91),0),"")</f>
        <v>0</v>
      </c>
      <c r="Q91" s="11">
        <f t="shared" si="28">IF(AA91="正常",IF(I91="已计入",ROUND(Q90+IF(OR(B91="买入",B91="定投",B91="转换转入"),E91,0)-O91-P91,2),Q90),"")</f>
        <v>123550</v>
      </c>
      <c r="R91" s="11">
        <f t="shared" si="19">IF(I91="已计入",ROUND(K91*C91,2),"")</f>
        <v>155164.15</v>
      </c>
      <c r="S91" s="11">
        <f t="shared" si="20">IF(I91="已计入",ROUND(R91-Q91,2),"")</f>
        <v>31614.15</v>
      </c>
      <c r="T91" s="12">
        <f t="shared" si="21">IF(I91="已计入",IF(Q91=0,"",S91/Q91),"")</f>
        <v>0.25588142452448404</v>
      </c>
      <c r="U91" s="11">
        <f t="shared" si="29">IF(AA91="正常",U90+IF(AND(I91="已计入",OR(B91="买入",B91="定投",B91="转换转入")),E91,0),"")</f>
        <v>123550</v>
      </c>
      <c r="V91" s="11">
        <f t="shared" si="30">IF(AA91="正常",V90+IF(AND(I91="已计入",OR(B91="卖出",B91="现金分红")),E91,0),"")</f>
        <v>0</v>
      </c>
      <c r="W91" s="11">
        <f t="shared" si="31">IF(AA91="正常",W90+IF(I91="已计入",N91,0),"")</f>
        <v>0</v>
      </c>
      <c r="X91" s="11">
        <f t="shared" si="32">IF(AA91="正常",X90+IF(I91="已计入",P91,0),"")</f>
        <v>0</v>
      </c>
      <c r="Y91" s="11">
        <f t="shared" si="22">IF(I91="已计入",ROUND(R91+V91-U91,2),"")</f>
        <v>31614.15</v>
      </c>
      <c r="Z91" s="13">
        <f t="shared" si="33">IF(AA91="正常",IF(I91="已计入",A91,Z90),"")</f>
        <v>46150</v>
      </c>
      <c r="AA91" s="10" t="str">
        <f t="shared" si="34">IF(OR(AA90="错误",AND(I91&lt;&gt;"",I91&lt;&gt;"已排除",I91&lt;&gt;"待确认",I91&lt;&gt;"已计入")),"错误","正常")</f>
        <v>正常</v>
      </c>
      <c r="AB91" s="14">
        <f t="shared" si="35">IF(AA91="正常",IF(I91="已计入",C91,AB90),"")</f>
        <v>6.2601</v>
      </c>
    </row>
    <row r="92" ht="42" customHeight="1">
      <c r="A92" s="36">
        <v>46153</v>
      </c>
      <c r="B92" s="37" t="inlineStr">
        <is>
          <t>定投</t>
        </is>
      </c>
      <c r="C92" s="38">
        <v>6.3643</v>
      </c>
      <c r="D92" s="39">
        <v>15.69</v>
      </c>
      <c r="E92" s="39">
        <v>100</v>
      </c>
      <c r="F92" s="39">
        <v>0.16</v>
      </c>
      <c r="G92" s="37" t="inlineStr">
        <is>
          <t>历史估算</t>
        </is>
      </c>
      <c r="H92" s="40" t="inlineStr">
        <is>
          <t>原下单 2026-05-11 11:25:22
净值日／份额暂估，手续费按 0.16%</t>
        </is>
      </c>
      <c r="I92" s="10" t="str">
        <f>IF(COUNTA(A92:H92)=0,"",IF(OR(OR(OR(G92="撤单",G92="交易失败",G92="交易关闭"),G92="交易失败",G92="交易关闭"),G92="交易失败",G92="交易关闭"),"已排除",IF(G92="待确认","待确认",IF(NOT(OR(G92="已确认",G92="历史估算")),"请选择确认状态",IF(NOT(ISNUMBER(A92)),"缺少有效净值日期",IF(OR(A92&lt;=0,A92&lt;&gt;INT(A92)),"净值日期无效",IF(NOT(OR(OR(B92="买入",B92="定投",B92="转换转入"),B92="卖出",B92="现金分红",B92="红利再投")),"请选择交易类型",IF(NOT(ISNUMBER(C92)),"缺少成交净值",IF(C92&lt;=0,"成交净值须大于零",IF(NOT(ISNUMBER(D92)),"缺少确认份额（分红填0）",IF(NOT(ISNUMBER(E92)),"缺少确认金额（再投填0）",IF(NOT(ISNUMBER(F92)),"缺少手续费（无费用填0）",IF(OR(D92&lt;0,E92&lt;0,F92&lt;0),"份额金额费用不能为负",IF(AA91="错误","前行待修正",IF(A92&lt;Z91,"日期需按成交顺序递增",IF(AND(B92="现金分红",OR(D92&lt;&gt;0,E92&lt;=0,F92&lt;&gt;0)),"分红填份额0、费用0、正金额",IF(AND(B92="红利再投",OR(D92&lt;=0,E92&lt;&gt;0,F92&lt;&gt;0)),"再投填正份额、金额0、费用0",IF(AND(OR(B92="现金分红",B92="红利再投"),K91&lt;=0),"分红或再投前须有持仓",IF(AND(OR(OR(B92="买入",B92="定投",B92="转换转入"),B92="卖出"),OR(D92&lt;=0,E92&lt;=0)),"买卖须填正份额、正金额",IF(AND(B92="卖出",D92&gt;K91+0.000001),"卖出份额超过持仓",IF(AND(OR(B92="买入",B92="定投",B92="转换转入"),F92&gt;=E92)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92="买入",B92="定投",B92="转换转入"),ABS(E92-F92-C92*D92)&gt;'持仓总览'!$H$6),"买入金额与份额净值不符",IF(AND(B92="卖出",ABS(E92+F92-C92*D92)&gt;'持仓总览'!$H$6),"到账加费用与赎回市值不符","已计入"))))))))))))))))))))))))))</f>
        <v>已计入</v>
      </c>
      <c r="J92" s="11">
        <f t="shared" si="18">IF(AA92="正常",IF(I92="已计入",IF(OR(OR(B92="买入",B92="定投",B92="转换转入"),B92="红利再投"),D92,IF(B92="卖出",-D92,0)),0),"")</f>
        <v>15.69</v>
      </c>
      <c r="K92" s="11">
        <f t="shared" si="23">IF(AA92="正常",ROUND(K91+J92,6),"")</f>
        <v>24801.9</v>
      </c>
      <c r="L92" s="11">
        <f t="shared" si="24">IF(I92="已计入",ROUND(K91*C92,2),"")</f>
        <v>157746.88</v>
      </c>
      <c r="M92" s="11">
        <f t="shared" si="25">IF(I92="已计入",IF(B92="卖出",MAX(0,L92-Q91-F92),IF(B92="现金分红",MAX(0,L92+E92-Q91),0)),"")</f>
        <v>0</v>
      </c>
      <c r="N92" s="11">
        <f>IF(I92="已计入",IF(AND(B92="卖出",'持仓总览'!$C$7="本金优先"),MAX(0,E92-Q91),IF(OR(B92="卖出",B92="现金分红"),MIN(E92,M92),0)),"")</f>
        <v>0</v>
      </c>
      <c r="O92" s="11">
        <f t="shared" si="26">IF(I92="已计入",IF(OR(B92="卖出",B92="现金分红"),MIN(Q91,MAX(0,E92-N92)),0),"")</f>
        <v>0</v>
      </c>
      <c r="P92" s="11">
        <f t="shared" si="27">IF(I92="已计入",IF(AND(B92="卖出",K92=0),MAX(0,Q91-O92),0),"")</f>
        <v>0</v>
      </c>
      <c r="Q92" s="11">
        <f t="shared" si="28">IF(AA92="正常",IF(I92="已计入",ROUND(Q91+IF(OR(B92="买入",B92="定投",B92="转换转入"),E92,0)-O92-P92,2),Q91),"")</f>
        <v>123650</v>
      </c>
      <c r="R92" s="11">
        <f t="shared" si="19">IF(I92="已计入",ROUND(K92*C92,2),"")</f>
        <v>157846.73</v>
      </c>
      <c r="S92" s="11">
        <f t="shared" si="20">IF(I92="已计入",ROUND(R92-Q92,2),"")</f>
        <v>34196.73</v>
      </c>
      <c r="T92" s="12">
        <f t="shared" si="21">IF(I92="已计入",IF(Q92=0,"",S92/Q92),"")</f>
        <v>0.2765606955115245</v>
      </c>
      <c r="U92" s="11">
        <f t="shared" si="29">IF(AA92="正常",U91+IF(AND(I92="已计入",OR(B92="买入",B92="定投",B92="转换转入")),E92,0),"")</f>
        <v>123650</v>
      </c>
      <c r="V92" s="11">
        <f t="shared" si="30">IF(AA92="正常",V91+IF(AND(I92="已计入",OR(B92="卖出",B92="现金分红")),E92,0),"")</f>
        <v>0</v>
      </c>
      <c r="W92" s="11">
        <f t="shared" si="31">IF(AA92="正常",W91+IF(I92="已计入",N92,0),"")</f>
        <v>0</v>
      </c>
      <c r="X92" s="11">
        <f t="shared" si="32">IF(AA92="正常",X91+IF(I92="已计入",P92,0),"")</f>
        <v>0</v>
      </c>
      <c r="Y92" s="11">
        <f t="shared" si="22">IF(I92="已计入",ROUND(R92+V92-U92,2),"")</f>
        <v>34196.73</v>
      </c>
      <c r="Z92" s="13">
        <f t="shared" si="33">IF(AA92="正常",IF(I92="已计入",A92,Z91),"")</f>
        <v>46153</v>
      </c>
      <c r="AA92" s="10" t="str">
        <f t="shared" si="34">IF(OR(AA91="错误",AND(I92&lt;&gt;"",I92&lt;&gt;"已排除",I92&lt;&gt;"待确认",I92&lt;&gt;"已计入")),"错误","正常")</f>
        <v>正常</v>
      </c>
      <c r="AB92" s="14">
        <f t="shared" si="35">IF(AA92="正常",IF(I92="已计入",C92,AB91),"")</f>
        <v>6.3643</v>
      </c>
    </row>
    <row r="93" ht="42" customHeight="1">
      <c r="A93" s="36">
        <v>46154</v>
      </c>
      <c r="B93" s="37" t="inlineStr">
        <is>
          <t>定投</t>
        </is>
      </c>
      <c r="C93" s="38">
        <v>6.287</v>
      </c>
      <c r="D93" s="39">
        <v>15.88</v>
      </c>
      <c r="E93" s="39">
        <v>100</v>
      </c>
      <c r="F93" s="39">
        <v>0.16</v>
      </c>
      <c r="G93" s="37" t="inlineStr">
        <is>
          <t>历史估算</t>
        </is>
      </c>
      <c r="H93" s="40" t="inlineStr">
        <is>
          <t>原下单 2026-05-12 11:12:47
净值日／份额暂估，手续费按 0.16%</t>
        </is>
      </c>
      <c r="I93" s="10" t="str">
        <f>IF(COUNTA(A93:H93)=0,"",IF(OR(OR(OR(G93="撤单",G93="交易失败",G93="交易关闭"),G93="交易失败",G93="交易关闭"),G93="交易失败",G93="交易关闭"),"已排除",IF(G93="待确认","待确认",IF(NOT(OR(G93="已确认",G93="历史估算")),"请选择确认状态",IF(NOT(ISNUMBER(A93)),"缺少有效净值日期",IF(OR(A93&lt;=0,A93&lt;&gt;INT(A93)),"净值日期无效",IF(NOT(OR(OR(B93="买入",B93="定投",B93="转换转入"),B93="卖出",B93="现金分红",B93="红利再投")),"请选择交易类型",IF(NOT(ISNUMBER(C93)),"缺少成交净值",IF(C93&lt;=0,"成交净值须大于零",IF(NOT(ISNUMBER(D93)),"缺少确认份额（分红填0）",IF(NOT(ISNUMBER(E93)),"缺少确认金额（再投填0）",IF(NOT(ISNUMBER(F93)),"缺少手续费（无费用填0）",IF(OR(D93&lt;0,E93&lt;0,F93&lt;0),"份额金额费用不能为负",IF(AA92="错误","前行待修正",IF(A93&lt;Z92,"日期需按成交顺序递增",IF(AND(B93="现金分红",OR(D93&lt;&gt;0,E93&lt;=0,F93&lt;&gt;0)),"分红填份额0、费用0、正金额",IF(AND(B93="红利再投",OR(D93&lt;=0,E93&lt;&gt;0,F93&lt;&gt;0)),"再投填正份额、金额0、费用0",IF(AND(OR(B93="现金分红",B93="红利再投"),K92&lt;=0),"分红或再投前须有持仓",IF(AND(OR(OR(B93="买入",B93="定投",B93="转换转入"),B93="卖出"),OR(D93&lt;=0,E93&lt;=0)),"买卖须填正份额、正金额",IF(AND(B93="卖出",D93&gt;K92+0.000001),"卖出份额超过持仓",IF(AND(OR(B93="买入",B93="定投",B93="转换转入"),F93&gt;=E93)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93="买入",B93="定投",B93="转换转入"),ABS(E93-F93-C93*D93)&gt;'持仓总览'!$H$6),"买入金额与份额净值不符",IF(AND(B93="卖出",ABS(E93+F93-C93*D93)&gt;'持仓总览'!$H$6),"到账加费用与赎回市值不符","已计入"))))))))))))))))))))))))))</f>
        <v>已计入</v>
      </c>
      <c r="J93" s="11">
        <f t="shared" si="18">IF(AA93="正常",IF(I93="已计入",IF(OR(OR(B93="买入",B93="定投",B93="转换转入"),B93="红利再投"),D93,IF(B93="卖出",-D93,0)),0),"")</f>
        <v>15.88</v>
      </c>
      <c r="K93" s="11">
        <f t="shared" si="23">IF(AA93="正常",ROUND(K92+J93,6),"")</f>
        <v>24817.78</v>
      </c>
      <c r="L93" s="11">
        <f t="shared" si="24">IF(I93="已计入",ROUND(K92*C93,2),"")</f>
        <v>155929.55</v>
      </c>
      <c r="M93" s="11">
        <f t="shared" si="25">IF(I93="已计入",IF(B93="卖出",MAX(0,L93-Q92-F93),IF(B93="现金分红",MAX(0,L93+E93-Q92),0)),"")</f>
        <v>0</v>
      </c>
      <c r="N93" s="11">
        <f>IF(I93="已计入",IF(AND(B93="卖出",'持仓总览'!$C$7="本金优先"),MAX(0,E93-Q92),IF(OR(B93="卖出",B93="现金分红"),MIN(E93,M93),0)),"")</f>
        <v>0</v>
      </c>
      <c r="O93" s="11">
        <f t="shared" si="26">IF(I93="已计入",IF(OR(B93="卖出",B93="现金分红"),MIN(Q92,MAX(0,E93-N93)),0),"")</f>
        <v>0</v>
      </c>
      <c r="P93" s="11">
        <f t="shared" si="27">IF(I93="已计入",IF(AND(B93="卖出",K93=0),MAX(0,Q92-O93),0),"")</f>
        <v>0</v>
      </c>
      <c r="Q93" s="11">
        <f t="shared" si="28">IF(AA93="正常",IF(I93="已计入",ROUND(Q92+IF(OR(B93="买入",B93="定投",B93="转换转入"),E93,0)-O93-P93,2),Q92),"")</f>
        <v>123750</v>
      </c>
      <c r="R93" s="11">
        <f t="shared" si="19">IF(I93="已计入",ROUND(K93*C93,2),"")</f>
        <v>156029.38</v>
      </c>
      <c r="S93" s="11">
        <f t="shared" si="20">IF(I93="已计入",ROUND(R93-Q93,2),"")</f>
        <v>32279.38</v>
      </c>
      <c r="T93" s="12">
        <f t="shared" si="21">IF(I93="已计入",IF(Q93=0,"",S93/Q93),"")</f>
        <v>0.26084347474747477</v>
      </c>
      <c r="U93" s="11">
        <f t="shared" si="29">IF(AA93="正常",U92+IF(AND(I93="已计入",OR(B93="买入",B93="定投",B93="转换转入")),E93,0),"")</f>
        <v>123750</v>
      </c>
      <c r="V93" s="11">
        <f t="shared" si="30">IF(AA93="正常",V92+IF(AND(I93="已计入",OR(B93="卖出",B93="现金分红")),E93,0),"")</f>
        <v>0</v>
      </c>
      <c r="W93" s="11">
        <f t="shared" si="31">IF(AA93="正常",W92+IF(I93="已计入",N93,0),"")</f>
        <v>0</v>
      </c>
      <c r="X93" s="11">
        <f t="shared" si="32">IF(AA93="正常",X92+IF(I93="已计入",P93,0),"")</f>
        <v>0</v>
      </c>
      <c r="Y93" s="11">
        <f t="shared" si="22">IF(I93="已计入",ROUND(R93+V93-U93,2),"")</f>
        <v>32279.38</v>
      </c>
      <c r="Z93" s="13">
        <f t="shared" si="33">IF(AA93="正常",IF(I93="已计入",A93,Z92),"")</f>
        <v>46154</v>
      </c>
      <c r="AA93" s="10" t="str">
        <f t="shared" si="34">IF(OR(AA92="错误",AND(I93&lt;&gt;"",I93&lt;&gt;"已排除",I93&lt;&gt;"待确认",I93&lt;&gt;"已计入")),"错误","正常")</f>
        <v>正常</v>
      </c>
      <c r="AB93" s="14">
        <f t="shared" si="35">IF(AA93="正常",IF(I93="已计入",C93,AB92),"")</f>
        <v>6.287</v>
      </c>
    </row>
    <row r="94" ht="42" customHeight="1">
      <c r="A94" s="36">
        <v>46155</v>
      </c>
      <c r="B94" s="37" t="inlineStr">
        <is>
          <t>定投</t>
        </is>
      </c>
      <c r="C94" s="38">
        <v>6.5187</v>
      </c>
      <c r="D94" s="39">
        <v>15.32</v>
      </c>
      <c r="E94" s="39">
        <v>100</v>
      </c>
      <c r="F94" s="39">
        <v>0.16</v>
      </c>
      <c r="G94" s="37" t="inlineStr">
        <is>
          <t>历史估算</t>
        </is>
      </c>
      <c r="H94" s="40" t="inlineStr">
        <is>
          <t>原下单 2026-05-13 11:11:01
净值日／份额暂估，手续费按 0.16%</t>
        </is>
      </c>
      <c r="I94" s="10" t="str">
        <f>IF(COUNTA(A94:H94)=0,"",IF(OR(OR(OR(G94="撤单",G94="交易失败",G94="交易关闭"),G94="交易失败",G94="交易关闭"),G94="交易失败",G94="交易关闭"),"已排除",IF(G94="待确认","待确认",IF(NOT(OR(G94="已确认",G94="历史估算")),"请选择确认状态",IF(NOT(ISNUMBER(A94)),"缺少有效净值日期",IF(OR(A94&lt;=0,A94&lt;&gt;INT(A94)),"净值日期无效",IF(NOT(OR(OR(B94="买入",B94="定投",B94="转换转入"),B94="卖出",B94="现金分红",B94="红利再投")),"请选择交易类型",IF(NOT(ISNUMBER(C94)),"缺少成交净值",IF(C94&lt;=0,"成交净值须大于零",IF(NOT(ISNUMBER(D94)),"缺少确认份额（分红填0）",IF(NOT(ISNUMBER(E94)),"缺少确认金额（再投填0）",IF(NOT(ISNUMBER(F94)),"缺少手续费（无费用填0）",IF(OR(D94&lt;0,E94&lt;0,F94&lt;0),"份额金额费用不能为负",IF(AA93="错误","前行待修正",IF(A94&lt;Z93,"日期需按成交顺序递增",IF(AND(B94="现金分红",OR(D94&lt;&gt;0,E94&lt;=0,F94&lt;&gt;0)),"分红填份额0、费用0、正金额",IF(AND(B94="红利再投",OR(D94&lt;=0,E94&lt;&gt;0,F94&lt;&gt;0)),"再投填正份额、金额0、费用0",IF(AND(OR(B94="现金分红",B94="红利再投"),K93&lt;=0),"分红或再投前须有持仓",IF(AND(OR(OR(B94="买入",B94="定投",B94="转换转入"),B94="卖出"),OR(D94&lt;=0,E94&lt;=0)),"买卖须填正份额、正金额",IF(AND(B94="卖出",D94&gt;K93+0.000001),"卖出份额超过持仓",IF(AND(OR(B94="买入",B94="定投",B94="转换转入"),F94&gt;=E94)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94="买入",B94="定投",B94="转换转入"),ABS(E94-F94-C94*D94)&gt;'持仓总览'!$H$6),"买入金额与份额净值不符",IF(AND(B94="卖出",ABS(E94+F94-C94*D94)&gt;'持仓总览'!$H$6),"到账加费用与赎回市值不符","已计入"))))))))))))))))))))))))))</f>
        <v>已计入</v>
      </c>
      <c r="J94" s="11">
        <f t="shared" si="18">IF(AA94="正常",IF(I94="已计入",IF(OR(OR(B94="买入",B94="定投",B94="转换转入"),B94="红利再投"),D94,IF(B94="卖出",-D94,0)),0),"")</f>
        <v>15.32</v>
      </c>
      <c r="K94" s="11">
        <f t="shared" si="23">IF(AA94="正常",ROUND(K93+J94,6),"")</f>
        <v>24833.1</v>
      </c>
      <c r="L94" s="11">
        <f t="shared" si="24">IF(I94="已计入",ROUND(K93*C94,2),"")</f>
        <v>161779.66</v>
      </c>
      <c r="M94" s="11">
        <f t="shared" si="25">IF(I94="已计入",IF(B94="卖出",MAX(0,L94-Q93-F94),IF(B94="现金分红",MAX(0,L94+E94-Q93),0)),"")</f>
        <v>0</v>
      </c>
      <c r="N94" s="11">
        <f>IF(I94="已计入",IF(AND(B94="卖出",'持仓总览'!$C$7="本金优先"),MAX(0,E94-Q93),IF(OR(B94="卖出",B94="现金分红"),MIN(E94,M94),0)),"")</f>
        <v>0</v>
      </c>
      <c r="O94" s="11">
        <f t="shared" si="26">IF(I94="已计入",IF(OR(B94="卖出",B94="现金分红"),MIN(Q93,MAX(0,E94-N94)),0),"")</f>
        <v>0</v>
      </c>
      <c r="P94" s="11">
        <f t="shared" si="27">IF(I94="已计入",IF(AND(B94="卖出",K94=0),MAX(0,Q93-O94),0),"")</f>
        <v>0</v>
      </c>
      <c r="Q94" s="11">
        <f t="shared" si="28">IF(AA94="正常",IF(I94="已计入",ROUND(Q93+IF(OR(B94="买入",B94="定投",B94="转换转入"),E94,0)-O94-P94,2),Q93),"")</f>
        <v>123850</v>
      </c>
      <c r="R94" s="11">
        <f t="shared" si="19">IF(I94="已计入",ROUND(K94*C94,2),"")</f>
        <v>161879.53</v>
      </c>
      <c r="S94" s="11">
        <f t="shared" si="20">IF(I94="已计入",ROUND(R94-Q94,2),"")</f>
        <v>38029.53</v>
      </c>
      <c r="T94" s="12">
        <f t="shared" si="21">IF(I94="已计入",IF(Q94=0,"",S94/Q94),"")</f>
        <v>0.3070612030682277</v>
      </c>
      <c r="U94" s="11">
        <f t="shared" si="29">IF(AA94="正常",U93+IF(AND(I94="已计入",OR(B94="买入",B94="定投",B94="转换转入")),E94,0),"")</f>
        <v>123850</v>
      </c>
      <c r="V94" s="11">
        <f t="shared" si="30">IF(AA94="正常",V93+IF(AND(I94="已计入",OR(B94="卖出",B94="现金分红")),E94,0),"")</f>
        <v>0</v>
      </c>
      <c r="W94" s="11">
        <f t="shared" si="31">IF(AA94="正常",W93+IF(I94="已计入",N94,0),"")</f>
        <v>0</v>
      </c>
      <c r="X94" s="11">
        <f t="shared" si="32">IF(AA94="正常",X93+IF(I94="已计入",P94,0),"")</f>
        <v>0</v>
      </c>
      <c r="Y94" s="11">
        <f t="shared" si="22">IF(I94="已计入",ROUND(R94+V94-U94,2),"")</f>
        <v>38029.53</v>
      </c>
      <c r="Z94" s="13">
        <f t="shared" si="33">IF(AA94="正常",IF(I94="已计入",A94,Z93),"")</f>
        <v>46155</v>
      </c>
      <c r="AA94" s="10" t="str">
        <f t="shared" si="34">IF(OR(AA93="错误",AND(I94&lt;&gt;"",I94&lt;&gt;"已排除",I94&lt;&gt;"待确认",I94&lt;&gt;"已计入")),"错误","正常")</f>
        <v>正常</v>
      </c>
      <c r="AB94" s="14">
        <f t="shared" si="35">IF(AA94="正常",IF(I94="已计入",C94,AB93),"")</f>
        <v>6.5187</v>
      </c>
    </row>
    <row r="95" ht="42" customHeight="1">
      <c r="A95" s="36">
        <v>46156</v>
      </c>
      <c r="B95" s="37" t="inlineStr">
        <is>
          <t>定投</t>
        </is>
      </c>
      <c r="C95" s="38">
        <v>6.4554</v>
      </c>
      <c r="D95" s="39">
        <v>15.47</v>
      </c>
      <c r="E95" s="39">
        <v>100</v>
      </c>
      <c r="F95" s="39">
        <v>0.16</v>
      </c>
      <c r="G95" s="37" t="inlineStr">
        <is>
          <t>历史估算</t>
        </is>
      </c>
      <c r="H95" s="40" t="inlineStr">
        <is>
          <t>原下单 2026-05-14 11:09:36
净值日／份额暂估，手续费按 0.16%</t>
        </is>
      </c>
      <c r="I95" s="10" t="str">
        <f>IF(COUNTA(A95:H95)=0,"",IF(OR(OR(OR(G95="撤单",G95="交易失败",G95="交易关闭"),G95="交易失败",G95="交易关闭"),G95="交易失败",G95="交易关闭"),"已排除",IF(G95="待确认","待确认",IF(NOT(OR(G95="已确认",G95="历史估算")),"请选择确认状态",IF(NOT(ISNUMBER(A95)),"缺少有效净值日期",IF(OR(A95&lt;=0,A95&lt;&gt;INT(A95)),"净值日期无效",IF(NOT(OR(OR(B95="买入",B95="定投",B95="转换转入"),B95="卖出",B95="现金分红",B95="红利再投")),"请选择交易类型",IF(NOT(ISNUMBER(C95)),"缺少成交净值",IF(C95&lt;=0,"成交净值须大于零",IF(NOT(ISNUMBER(D95)),"缺少确认份额（分红填0）",IF(NOT(ISNUMBER(E95)),"缺少确认金额（再投填0）",IF(NOT(ISNUMBER(F95)),"缺少手续费（无费用填0）",IF(OR(D95&lt;0,E95&lt;0,F95&lt;0),"份额金额费用不能为负",IF(AA94="错误","前行待修正",IF(A95&lt;Z94,"日期需按成交顺序递增",IF(AND(B95="现金分红",OR(D95&lt;&gt;0,E95&lt;=0,F95&lt;&gt;0)),"分红填份额0、费用0、正金额",IF(AND(B95="红利再投",OR(D95&lt;=0,E95&lt;&gt;0,F95&lt;&gt;0)),"再投填正份额、金额0、费用0",IF(AND(OR(B95="现金分红",B95="红利再投"),K94&lt;=0),"分红或再投前须有持仓",IF(AND(OR(OR(B95="买入",B95="定投",B95="转换转入"),B95="卖出"),OR(D95&lt;=0,E95&lt;=0)),"买卖须填正份额、正金额",IF(AND(B95="卖出",D95&gt;K94+0.000001),"卖出份额超过持仓",IF(AND(OR(B95="买入",B95="定投",B95="转换转入"),F95&gt;=E95)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95="买入",B95="定投",B95="转换转入"),ABS(E95-F95-C95*D95)&gt;'持仓总览'!$H$6),"买入金额与份额净值不符",IF(AND(B95="卖出",ABS(E95+F95-C95*D95)&gt;'持仓总览'!$H$6),"到账加费用与赎回市值不符","已计入"))))))))))))))))))))))))))</f>
        <v>已计入</v>
      </c>
      <c r="J95" s="11">
        <f t="shared" si="18">IF(AA95="正常",IF(I95="已计入",IF(OR(OR(B95="买入",B95="定投",B95="转换转入"),B95="红利再投"),D95,IF(B95="卖出",-D95,0)),0),"")</f>
        <v>15.47</v>
      </c>
      <c r="K95" s="11">
        <f t="shared" si="23">IF(AA95="正常",ROUND(K94+J95,6),"")</f>
        <v>24848.57</v>
      </c>
      <c r="L95" s="11">
        <f t="shared" si="24">IF(I95="已计入",ROUND(K94*C95,2),"")</f>
        <v>160307.59</v>
      </c>
      <c r="M95" s="11">
        <f t="shared" si="25">IF(I95="已计入",IF(B95="卖出",MAX(0,L95-Q94-F95),IF(B95="现金分红",MAX(0,L95+E95-Q94),0)),"")</f>
        <v>0</v>
      </c>
      <c r="N95" s="11">
        <f>IF(I95="已计入",IF(AND(B95="卖出",'持仓总览'!$C$7="本金优先"),MAX(0,E95-Q94),IF(OR(B95="卖出",B95="现金分红"),MIN(E95,M95),0)),"")</f>
        <v>0</v>
      </c>
      <c r="O95" s="11">
        <f t="shared" si="26">IF(I95="已计入",IF(OR(B95="卖出",B95="现金分红"),MIN(Q94,MAX(0,E95-N95)),0),"")</f>
        <v>0</v>
      </c>
      <c r="P95" s="11">
        <f t="shared" si="27">IF(I95="已计入",IF(AND(B95="卖出",K95=0),MAX(0,Q94-O95),0),"")</f>
        <v>0</v>
      </c>
      <c r="Q95" s="11">
        <f t="shared" si="28">IF(AA95="正常",IF(I95="已计入",ROUND(Q94+IF(OR(B95="买入",B95="定投",B95="转换转入"),E95,0)-O95-P95,2),Q94),"")</f>
        <v>123950</v>
      </c>
      <c r="R95" s="11">
        <f t="shared" si="19">IF(I95="已计入",ROUND(K95*C95,2),"")</f>
        <v>160407.46</v>
      </c>
      <c r="S95" s="11">
        <f t="shared" si="20">IF(I95="已计入",ROUND(R95-Q95,2),"")</f>
        <v>36457.46</v>
      </c>
      <c r="T95" s="12">
        <f t="shared" si="21">IF(I95="已计入",IF(Q95=0,"",S95/Q95),"")</f>
        <v>0.29413037515127066</v>
      </c>
      <c r="U95" s="11">
        <f t="shared" si="29">IF(AA95="正常",U94+IF(AND(I95="已计入",OR(B95="买入",B95="定投",B95="转换转入")),E95,0),"")</f>
        <v>123950</v>
      </c>
      <c r="V95" s="11">
        <f t="shared" si="30">IF(AA95="正常",V94+IF(AND(I95="已计入",OR(B95="卖出",B95="现金分红")),E95,0),"")</f>
        <v>0</v>
      </c>
      <c r="W95" s="11">
        <f t="shared" si="31">IF(AA95="正常",W94+IF(I95="已计入",N95,0),"")</f>
        <v>0</v>
      </c>
      <c r="X95" s="11">
        <f t="shared" si="32">IF(AA95="正常",X94+IF(I95="已计入",P95,0),"")</f>
        <v>0</v>
      </c>
      <c r="Y95" s="11">
        <f t="shared" si="22">IF(I95="已计入",ROUND(R95+V95-U95,2),"")</f>
        <v>36457.46</v>
      </c>
      <c r="Z95" s="13">
        <f t="shared" si="33">IF(AA95="正常",IF(I95="已计入",A95,Z94),"")</f>
        <v>46156</v>
      </c>
      <c r="AA95" s="10" t="str">
        <f t="shared" si="34">IF(OR(AA94="错误",AND(I95&lt;&gt;"",I95&lt;&gt;"已排除",I95&lt;&gt;"待确认",I95&lt;&gt;"已计入")),"错误","正常")</f>
        <v>正常</v>
      </c>
      <c r="AB95" s="14">
        <f t="shared" si="35">IF(AA95="正常",IF(I95="已计入",C95,AB94),"")</f>
        <v>6.4554</v>
      </c>
    </row>
    <row r="96" ht="42" customHeight="1">
      <c r="A96" s="36">
        <v>46157</v>
      </c>
      <c r="B96" s="37" t="inlineStr">
        <is>
          <t>定投</t>
        </is>
      </c>
      <c r="C96" s="38">
        <v>6.2804</v>
      </c>
      <c r="D96" s="39">
        <v>15.9</v>
      </c>
      <c r="E96" s="39">
        <v>100</v>
      </c>
      <c r="F96" s="39">
        <v>0.16</v>
      </c>
      <c r="G96" s="37" t="inlineStr">
        <is>
          <t>历史估算</t>
        </is>
      </c>
      <c r="H96" s="40" t="inlineStr">
        <is>
          <t>原下单 2026-05-15 11:04:33
净值日／份额暂估，手续费按 0.16%</t>
        </is>
      </c>
      <c r="I96" s="10" t="str">
        <f>IF(COUNTA(A96:H96)=0,"",IF(OR(OR(OR(G96="撤单",G96="交易失败",G96="交易关闭"),G96="交易失败",G96="交易关闭"),G96="交易失败",G96="交易关闭"),"已排除",IF(G96="待确认","待确认",IF(NOT(OR(G96="已确认",G96="历史估算")),"请选择确认状态",IF(NOT(ISNUMBER(A96)),"缺少有效净值日期",IF(OR(A96&lt;=0,A96&lt;&gt;INT(A96)),"净值日期无效",IF(NOT(OR(OR(B96="买入",B96="定投",B96="转换转入"),B96="卖出",B96="现金分红",B96="红利再投")),"请选择交易类型",IF(NOT(ISNUMBER(C96)),"缺少成交净值",IF(C96&lt;=0,"成交净值须大于零",IF(NOT(ISNUMBER(D96)),"缺少确认份额（分红填0）",IF(NOT(ISNUMBER(E96)),"缺少确认金额（再投填0）",IF(NOT(ISNUMBER(F96)),"缺少手续费（无费用填0）",IF(OR(D96&lt;0,E96&lt;0,F96&lt;0),"份额金额费用不能为负",IF(AA95="错误","前行待修正",IF(A96&lt;Z95,"日期需按成交顺序递增",IF(AND(B96="现金分红",OR(D96&lt;&gt;0,E96&lt;=0,F96&lt;&gt;0)),"分红填份额0、费用0、正金额",IF(AND(B96="红利再投",OR(D96&lt;=0,E96&lt;&gt;0,F96&lt;&gt;0)),"再投填正份额、金额0、费用0",IF(AND(OR(B96="现金分红",B96="红利再投"),K95&lt;=0),"分红或再投前须有持仓",IF(AND(OR(OR(B96="买入",B96="定投",B96="转换转入"),B96="卖出"),OR(D96&lt;=0,E96&lt;=0)),"买卖须填正份额、正金额",IF(AND(B96="卖出",D96&gt;K95+0.000001),"卖出份额超过持仓",IF(AND(OR(B96="买入",B96="定投",B96="转换转入"),F96&gt;=E96)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96="买入",B96="定投",B96="转换转入"),ABS(E96-F96-C96*D96)&gt;'持仓总览'!$H$6),"买入金额与份额净值不符",IF(AND(B96="卖出",ABS(E96+F96-C96*D96)&gt;'持仓总览'!$H$6),"到账加费用与赎回市值不符","已计入"))))))))))))))))))))))))))</f>
        <v>已计入</v>
      </c>
      <c r="J96" s="11">
        <f t="shared" si="18">IF(AA96="正常",IF(I96="已计入",IF(OR(OR(B96="买入",B96="定投",B96="转换转入"),B96="红利再投"),D96,IF(B96="卖出",-D96,0)),0),"")</f>
        <v>15.9</v>
      </c>
      <c r="K96" s="11">
        <f t="shared" si="23">IF(AA96="正常",ROUND(K95+J96,6),"")</f>
        <v>24864.47</v>
      </c>
      <c r="L96" s="11">
        <f t="shared" si="24">IF(I96="已计入",ROUND(K95*C96,2),"")</f>
        <v>156058.96</v>
      </c>
      <c r="M96" s="11">
        <f t="shared" si="25">IF(I96="已计入",IF(B96="卖出",MAX(0,L96-Q95-F96),IF(B96="现金分红",MAX(0,L96+E96-Q95),0)),"")</f>
        <v>0</v>
      </c>
      <c r="N96" s="11">
        <f>IF(I96="已计入",IF(AND(B96="卖出",'持仓总览'!$C$7="本金优先"),MAX(0,E96-Q95),IF(OR(B96="卖出",B96="现金分红"),MIN(E96,M96),0)),"")</f>
        <v>0</v>
      </c>
      <c r="O96" s="11">
        <f t="shared" si="26">IF(I96="已计入",IF(OR(B96="卖出",B96="现金分红"),MIN(Q95,MAX(0,E96-N96)),0),"")</f>
        <v>0</v>
      </c>
      <c r="P96" s="11">
        <f t="shared" si="27">IF(I96="已计入",IF(AND(B96="卖出",K96=0),MAX(0,Q95-O96),0),"")</f>
        <v>0</v>
      </c>
      <c r="Q96" s="11">
        <f t="shared" si="28">IF(AA96="正常",IF(I96="已计入",ROUND(Q95+IF(OR(B96="买入",B96="定投",B96="转换转入"),E96,0)-O96-P96,2),Q95),"")</f>
        <v>124050</v>
      </c>
      <c r="R96" s="11">
        <f t="shared" si="19">IF(I96="已计入",ROUND(K96*C96,2),"")</f>
        <v>156158.82</v>
      </c>
      <c r="S96" s="11">
        <f t="shared" si="20">IF(I96="已计入",ROUND(R96-Q96,2),"")</f>
        <v>32108.82</v>
      </c>
      <c r="T96" s="12">
        <f t="shared" si="21">IF(I96="已计入",IF(Q96=0,"",S96/Q96),"")</f>
        <v>0.2588377267230955</v>
      </c>
      <c r="U96" s="11">
        <f t="shared" si="29">IF(AA96="正常",U95+IF(AND(I96="已计入",OR(B96="买入",B96="定投",B96="转换转入")),E96,0),"")</f>
        <v>124050</v>
      </c>
      <c r="V96" s="11">
        <f t="shared" si="30">IF(AA96="正常",V95+IF(AND(I96="已计入",OR(B96="卖出",B96="现金分红")),E96,0),"")</f>
        <v>0</v>
      </c>
      <c r="W96" s="11">
        <f t="shared" si="31">IF(AA96="正常",W95+IF(I96="已计入",N96,0),"")</f>
        <v>0</v>
      </c>
      <c r="X96" s="11">
        <f t="shared" si="32">IF(AA96="正常",X95+IF(I96="已计入",P96,0),"")</f>
        <v>0</v>
      </c>
      <c r="Y96" s="11">
        <f t="shared" si="22">IF(I96="已计入",ROUND(R96+V96-U96,2),"")</f>
        <v>32108.82</v>
      </c>
      <c r="Z96" s="13">
        <f t="shared" si="33">IF(AA96="正常",IF(I96="已计入",A96,Z95),"")</f>
        <v>46157</v>
      </c>
      <c r="AA96" s="10" t="str">
        <f t="shared" si="34">IF(OR(AA95="错误",AND(I96&lt;&gt;"",I96&lt;&gt;"已排除",I96&lt;&gt;"待确认",I96&lt;&gt;"已计入")),"错误","正常")</f>
        <v>正常</v>
      </c>
      <c r="AB96" s="14">
        <f t="shared" si="35">IF(AA96="正常",IF(I96="已计入",C96,AB95),"")</f>
        <v>6.2804</v>
      </c>
    </row>
    <row r="97" ht="42" customHeight="1">
      <c r="A97" s="36">
        <v>46160</v>
      </c>
      <c r="B97" s="37" t="inlineStr">
        <is>
          <t>定投</t>
        </is>
      </c>
      <c r="C97" s="38">
        <v>6.2525</v>
      </c>
      <c r="D97" s="39">
        <v>15.97</v>
      </c>
      <c r="E97" s="39">
        <v>100</v>
      </c>
      <c r="F97" s="39">
        <v>0.16</v>
      </c>
      <c r="G97" s="37" t="inlineStr">
        <is>
          <t>历史估算</t>
        </is>
      </c>
      <c r="H97" s="40" t="inlineStr">
        <is>
          <t>原下单 2026-05-18 11:15:19
净值日／份额暂估，手续费按 0.16%</t>
        </is>
      </c>
      <c r="I97" s="10" t="str">
        <f>IF(COUNTA(A97:H97)=0,"",IF(OR(OR(OR(G97="撤单",G97="交易失败",G97="交易关闭"),G97="交易失败",G97="交易关闭"),G97="交易失败",G97="交易关闭"),"已排除",IF(G97="待确认","待确认",IF(NOT(OR(G97="已确认",G97="历史估算")),"请选择确认状态",IF(NOT(ISNUMBER(A97)),"缺少有效净值日期",IF(OR(A97&lt;=0,A97&lt;&gt;INT(A97)),"净值日期无效",IF(NOT(OR(OR(B97="买入",B97="定投",B97="转换转入"),B97="卖出",B97="现金分红",B97="红利再投")),"请选择交易类型",IF(NOT(ISNUMBER(C97)),"缺少成交净值",IF(C97&lt;=0,"成交净值须大于零",IF(NOT(ISNUMBER(D97)),"缺少确认份额（分红填0）",IF(NOT(ISNUMBER(E97)),"缺少确认金额（再投填0）",IF(NOT(ISNUMBER(F97)),"缺少手续费（无费用填0）",IF(OR(D97&lt;0,E97&lt;0,F97&lt;0),"份额金额费用不能为负",IF(AA96="错误","前行待修正",IF(A97&lt;Z96,"日期需按成交顺序递增",IF(AND(B97="现金分红",OR(D97&lt;&gt;0,E97&lt;=0,F97&lt;&gt;0)),"分红填份额0、费用0、正金额",IF(AND(B97="红利再投",OR(D97&lt;=0,E97&lt;&gt;0,F97&lt;&gt;0)),"再投填正份额、金额0、费用0",IF(AND(OR(B97="现金分红",B97="红利再投"),K96&lt;=0),"分红或再投前须有持仓",IF(AND(OR(OR(B97="买入",B97="定投",B97="转换转入"),B97="卖出"),OR(D97&lt;=0,E97&lt;=0)),"买卖须填正份额、正金额",IF(AND(B97="卖出",D97&gt;K96+0.000001),"卖出份额超过持仓",IF(AND(OR(B97="买入",B97="定投",B97="转换转入"),F97&gt;=E97)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97="买入",B97="定投",B97="转换转入"),ABS(E97-F97-C97*D97)&gt;'持仓总览'!$H$6),"买入金额与份额净值不符",IF(AND(B97="卖出",ABS(E97+F97-C97*D97)&gt;'持仓总览'!$H$6),"到账加费用与赎回市值不符","已计入"))))))))))))))))))))))))))</f>
        <v>已计入</v>
      </c>
      <c r="J97" s="11">
        <f t="shared" si="18">IF(AA97="正常",IF(I97="已计入",IF(OR(OR(B97="买入",B97="定投",B97="转换转入"),B97="红利再投"),D97,IF(B97="卖出",-D97,0)),0),"")</f>
        <v>15.97</v>
      </c>
      <c r="K97" s="11">
        <f t="shared" si="23">IF(AA97="正常",ROUND(K96+J97,6),"")</f>
        <v>24880.44</v>
      </c>
      <c r="L97" s="11">
        <f t="shared" si="24">IF(I97="已计入",ROUND(K96*C97,2),"")</f>
        <v>155465.1</v>
      </c>
      <c r="M97" s="11">
        <f t="shared" si="25">IF(I97="已计入",IF(B97="卖出",MAX(0,L97-Q96-F97),IF(B97="现金分红",MAX(0,L97+E97-Q96),0)),"")</f>
        <v>0</v>
      </c>
      <c r="N97" s="11">
        <f>IF(I97="已计入",IF(AND(B97="卖出",'持仓总览'!$C$7="本金优先"),MAX(0,E97-Q96),IF(OR(B97="卖出",B97="现金分红"),MIN(E97,M97),0)),"")</f>
        <v>0</v>
      </c>
      <c r="O97" s="11">
        <f t="shared" si="26">IF(I97="已计入",IF(OR(B97="卖出",B97="现金分红"),MIN(Q96,MAX(0,E97-N97)),0),"")</f>
        <v>0</v>
      </c>
      <c r="P97" s="11">
        <f t="shared" si="27">IF(I97="已计入",IF(AND(B97="卖出",K97=0),MAX(0,Q96-O97),0),"")</f>
        <v>0</v>
      </c>
      <c r="Q97" s="11">
        <f t="shared" si="28">IF(AA97="正常",IF(I97="已计入",ROUND(Q96+IF(OR(B97="买入",B97="定投",B97="转换转入"),E97,0)-O97-P97,2),Q96),"")</f>
        <v>124150</v>
      </c>
      <c r="R97" s="11">
        <f t="shared" si="19">IF(I97="已计入",ROUND(K97*C97,2),"")</f>
        <v>155564.95</v>
      </c>
      <c r="S97" s="11">
        <f t="shared" si="20">IF(I97="已计入",ROUND(R97-Q97,2),"")</f>
        <v>31414.95</v>
      </c>
      <c r="T97" s="12">
        <f t="shared" si="21">IF(I97="已计入",IF(Q97=0,"",S97/Q97),"")</f>
        <v>0.2530402738622634</v>
      </c>
      <c r="U97" s="11">
        <f t="shared" si="29">IF(AA97="正常",U96+IF(AND(I97="已计入",OR(B97="买入",B97="定投",B97="转换转入")),E97,0),"")</f>
        <v>124150</v>
      </c>
      <c r="V97" s="11">
        <f t="shared" si="30">IF(AA97="正常",V96+IF(AND(I97="已计入",OR(B97="卖出",B97="现金分红")),E97,0),"")</f>
        <v>0</v>
      </c>
      <c r="W97" s="11">
        <f t="shared" si="31">IF(AA97="正常",W96+IF(I97="已计入",N97,0),"")</f>
        <v>0</v>
      </c>
      <c r="X97" s="11">
        <f t="shared" si="32">IF(AA97="正常",X96+IF(I97="已计入",P97,0),"")</f>
        <v>0</v>
      </c>
      <c r="Y97" s="11">
        <f t="shared" si="22">IF(I97="已计入",ROUND(R97+V97-U97,2),"")</f>
        <v>31414.95</v>
      </c>
      <c r="Z97" s="13">
        <f t="shared" si="33">IF(AA97="正常",IF(I97="已计入",A97,Z96),"")</f>
        <v>46160</v>
      </c>
      <c r="AA97" s="10" t="str">
        <f t="shared" si="34">IF(OR(AA96="错误",AND(I97&lt;&gt;"",I97&lt;&gt;"已排除",I97&lt;&gt;"待确认",I97&lt;&gt;"已计入")),"错误","正常")</f>
        <v>正常</v>
      </c>
      <c r="AB97" s="14">
        <f t="shared" si="35">IF(AA97="正常",IF(I97="已计入",C97,AB96),"")</f>
        <v>6.2525</v>
      </c>
    </row>
    <row r="98" ht="42" customHeight="1">
      <c r="A98" s="36">
        <v>46161</v>
      </c>
      <c r="B98" s="37" t="inlineStr">
        <is>
          <t>定投</t>
        </is>
      </c>
      <c r="C98" s="38">
        <v>6.1855</v>
      </c>
      <c r="D98" s="39">
        <v>16.14</v>
      </c>
      <c r="E98" s="39">
        <v>100</v>
      </c>
      <c r="F98" s="39">
        <v>0.16</v>
      </c>
      <c r="G98" s="37" t="inlineStr">
        <is>
          <t>历史估算</t>
        </is>
      </c>
      <c r="H98" s="40" t="inlineStr">
        <is>
          <t>原下单 2026-05-19 11:03:11
净值日／份额暂估，手续费按 0.16%</t>
        </is>
      </c>
      <c r="I98" s="10" t="str">
        <f>IF(COUNTA(A98:H98)=0,"",IF(OR(OR(OR(G98="撤单",G98="交易失败",G98="交易关闭"),G98="交易失败",G98="交易关闭"),G98="交易失败",G98="交易关闭"),"已排除",IF(G98="待确认","待确认",IF(NOT(OR(G98="已确认",G98="历史估算")),"请选择确认状态",IF(NOT(ISNUMBER(A98)),"缺少有效净值日期",IF(OR(A98&lt;=0,A98&lt;&gt;INT(A98)),"净值日期无效",IF(NOT(OR(OR(B98="买入",B98="定投",B98="转换转入"),B98="卖出",B98="现金分红",B98="红利再投")),"请选择交易类型",IF(NOT(ISNUMBER(C98)),"缺少成交净值",IF(C98&lt;=0,"成交净值须大于零",IF(NOT(ISNUMBER(D98)),"缺少确认份额（分红填0）",IF(NOT(ISNUMBER(E98)),"缺少确认金额（再投填0）",IF(NOT(ISNUMBER(F98)),"缺少手续费（无费用填0）",IF(OR(D98&lt;0,E98&lt;0,F98&lt;0),"份额金额费用不能为负",IF(AA97="错误","前行待修正",IF(A98&lt;Z97,"日期需按成交顺序递增",IF(AND(B98="现金分红",OR(D98&lt;&gt;0,E98&lt;=0,F98&lt;&gt;0)),"分红填份额0、费用0、正金额",IF(AND(B98="红利再投",OR(D98&lt;=0,E98&lt;&gt;0,F98&lt;&gt;0)),"再投填正份额、金额0、费用0",IF(AND(OR(B98="现金分红",B98="红利再投"),K97&lt;=0),"分红或再投前须有持仓",IF(AND(OR(OR(B98="买入",B98="定投",B98="转换转入"),B98="卖出"),OR(D98&lt;=0,E98&lt;=0)),"买卖须填正份额、正金额",IF(AND(B98="卖出",D98&gt;K97+0.000001),"卖出份额超过持仓",IF(AND(OR(B98="买入",B98="定投",B98="转换转入"),F98&gt;=E98)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98="买入",B98="定投",B98="转换转入"),ABS(E98-F98-C98*D98)&gt;'持仓总览'!$H$6),"买入金额与份额净值不符",IF(AND(B98="卖出",ABS(E98+F98-C98*D98)&gt;'持仓总览'!$H$6),"到账加费用与赎回市值不符","已计入"))))))))))))))))))))))))))</f>
        <v>已计入</v>
      </c>
      <c r="J98" s="11">
        <f t="shared" si="18">IF(AA98="正常",IF(I98="已计入",IF(OR(OR(B98="买入",B98="定投",B98="转换转入"),B98="红利再投"),D98,IF(B98="卖出",-D98,0)),0),"")</f>
        <v>16.14</v>
      </c>
      <c r="K98" s="11">
        <f t="shared" si="23">IF(AA98="正常",ROUND(K97+J98,6),"")</f>
        <v>24896.58</v>
      </c>
      <c r="L98" s="11">
        <f t="shared" si="24">IF(I98="已计入",ROUND(K97*C98,2),"")</f>
        <v>153897.96</v>
      </c>
      <c r="M98" s="11">
        <f t="shared" si="25">IF(I98="已计入",IF(B98="卖出",MAX(0,L98-Q97-F98),IF(B98="现金分红",MAX(0,L98+E98-Q97),0)),"")</f>
        <v>0</v>
      </c>
      <c r="N98" s="11">
        <f>IF(I98="已计入",IF(AND(B98="卖出",'持仓总览'!$C$7="本金优先"),MAX(0,E98-Q97),IF(OR(B98="卖出",B98="现金分红"),MIN(E98,M98),0)),"")</f>
        <v>0</v>
      </c>
      <c r="O98" s="11">
        <f t="shared" si="26">IF(I98="已计入",IF(OR(B98="卖出",B98="现金分红"),MIN(Q97,MAX(0,E98-N98)),0),"")</f>
        <v>0</v>
      </c>
      <c r="P98" s="11">
        <f t="shared" si="27">IF(I98="已计入",IF(AND(B98="卖出",K98=0),MAX(0,Q97-O98),0),"")</f>
        <v>0</v>
      </c>
      <c r="Q98" s="11">
        <f t="shared" si="28">IF(AA98="正常",IF(I98="已计入",ROUND(Q97+IF(OR(B98="买入",B98="定投",B98="转换转入"),E98,0)-O98-P98,2),Q97),"")</f>
        <v>124250</v>
      </c>
      <c r="R98" s="11">
        <f t="shared" si="19">IF(I98="已计入",ROUND(K98*C98,2),"")</f>
        <v>153997.8</v>
      </c>
      <c r="S98" s="11">
        <f t="shared" si="20">IF(I98="已计入",ROUND(R98-Q98,2),"")</f>
        <v>29747.8</v>
      </c>
      <c r="T98" s="12">
        <f t="shared" si="21">IF(I98="已计入",IF(Q98=0,"",S98/Q98),"")</f>
        <v>0.23941891348088531</v>
      </c>
      <c r="U98" s="11">
        <f t="shared" si="29">IF(AA98="正常",U97+IF(AND(I98="已计入",OR(B98="买入",B98="定投",B98="转换转入")),E98,0),"")</f>
        <v>124250</v>
      </c>
      <c r="V98" s="11">
        <f t="shared" si="30">IF(AA98="正常",V97+IF(AND(I98="已计入",OR(B98="卖出",B98="现金分红")),E98,0),"")</f>
        <v>0</v>
      </c>
      <c r="W98" s="11">
        <f t="shared" si="31">IF(AA98="正常",W97+IF(I98="已计入",N98,0),"")</f>
        <v>0</v>
      </c>
      <c r="X98" s="11">
        <f t="shared" si="32">IF(AA98="正常",X97+IF(I98="已计入",P98,0),"")</f>
        <v>0</v>
      </c>
      <c r="Y98" s="11">
        <f t="shared" si="22">IF(I98="已计入",ROUND(R98+V98-U98,2),"")</f>
        <v>29747.8</v>
      </c>
      <c r="Z98" s="13">
        <f t="shared" si="33">IF(AA98="正常",IF(I98="已计入",A98,Z97),"")</f>
        <v>46161</v>
      </c>
      <c r="AA98" s="10" t="str">
        <f t="shared" si="34">IF(OR(AA97="错误",AND(I98&lt;&gt;"",I98&lt;&gt;"已排除",I98&lt;&gt;"待确认",I98&lt;&gt;"已计入")),"错误","正常")</f>
        <v>正常</v>
      </c>
      <c r="AB98" s="14">
        <f t="shared" si="35">IF(AA98="正常",IF(I98="已计入",C98,AB97),"")</f>
        <v>6.1855</v>
      </c>
    </row>
    <row r="99" ht="42" customHeight="1">
      <c r="A99" s="36">
        <v>46162</v>
      </c>
      <c r="B99" s="37" t="inlineStr">
        <is>
          <t>定投</t>
        </is>
      </c>
      <c r="C99" s="38">
        <v>6.3169</v>
      </c>
      <c r="D99" s="39">
        <v>15.81</v>
      </c>
      <c r="E99" s="39">
        <v>100</v>
      </c>
      <c r="F99" s="39">
        <v>0.16</v>
      </c>
      <c r="G99" s="37" t="inlineStr">
        <is>
          <t>历史估算</t>
        </is>
      </c>
      <c r="H99" s="40" t="inlineStr">
        <is>
          <t>原下单 2026-05-20 11:04:17
净值日／份额暂估，手续费按 0.16%</t>
        </is>
      </c>
      <c r="I99" s="10" t="str">
        <f>IF(COUNTA(A99:H99)=0,"",IF(OR(OR(OR(G99="撤单",G99="交易失败",G99="交易关闭"),G99="交易失败",G99="交易关闭"),G99="交易失败",G99="交易关闭"),"已排除",IF(G99="待确认","待确认",IF(NOT(OR(G99="已确认",G99="历史估算")),"请选择确认状态",IF(NOT(ISNUMBER(A99)),"缺少有效净值日期",IF(OR(A99&lt;=0,A99&lt;&gt;INT(A99)),"净值日期无效",IF(NOT(OR(OR(B99="买入",B99="定投",B99="转换转入"),B99="卖出",B99="现金分红",B99="红利再投")),"请选择交易类型",IF(NOT(ISNUMBER(C99)),"缺少成交净值",IF(C99&lt;=0,"成交净值须大于零",IF(NOT(ISNUMBER(D99)),"缺少确认份额（分红填0）",IF(NOT(ISNUMBER(E99)),"缺少确认金额（再投填0）",IF(NOT(ISNUMBER(F99)),"缺少手续费（无费用填0）",IF(OR(D99&lt;0,E99&lt;0,F99&lt;0),"份额金额费用不能为负",IF(AA98="错误","前行待修正",IF(A99&lt;Z98,"日期需按成交顺序递增",IF(AND(B99="现金分红",OR(D99&lt;&gt;0,E99&lt;=0,F99&lt;&gt;0)),"分红填份额0、费用0、正金额",IF(AND(B99="红利再投",OR(D99&lt;=0,E99&lt;&gt;0,F99&lt;&gt;0)),"再投填正份额、金额0、费用0",IF(AND(OR(B99="现金分红",B99="红利再投"),K98&lt;=0),"分红或再投前须有持仓",IF(AND(OR(OR(B99="买入",B99="定投",B99="转换转入"),B99="卖出"),OR(D99&lt;=0,E99&lt;=0)),"买卖须填正份额、正金额",IF(AND(B99="卖出",D99&gt;K98+0.000001),"卖出份额超过持仓",IF(AND(OR(B99="买入",B99="定投",B99="转换转入"),F99&gt;=E99)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99="买入",B99="定投",B99="转换转入"),ABS(E99-F99-C99*D99)&gt;'持仓总览'!$H$6),"买入金额与份额净值不符",IF(AND(B99="卖出",ABS(E99+F99-C99*D99)&gt;'持仓总览'!$H$6),"到账加费用与赎回市值不符","已计入"))))))))))))))))))))))))))</f>
        <v>已计入</v>
      </c>
      <c r="J99" s="11">
        <f t="shared" si="18">IF(AA99="正常",IF(I99="已计入",IF(OR(OR(B99="买入",B99="定投",B99="转换转入"),B99="红利再投"),D99,IF(B99="卖出",-D99,0)),0),"")</f>
        <v>15.81</v>
      </c>
      <c r="K99" s="11">
        <f t="shared" si="23">IF(AA99="正常",ROUND(K98+J99,6),"")</f>
        <v>24912.39</v>
      </c>
      <c r="L99" s="11">
        <f t="shared" si="24">IF(I99="已计入",ROUND(K98*C99,2),"")</f>
        <v>157269.21</v>
      </c>
      <c r="M99" s="11">
        <f t="shared" si="25">IF(I99="已计入",IF(B99="卖出",MAX(0,L99-Q98-F99),IF(B99="现金分红",MAX(0,L99+E99-Q98),0)),"")</f>
        <v>0</v>
      </c>
      <c r="N99" s="11">
        <f>IF(I99="已计入",IF(AND(B99="卖出",'持仓总览'!$C$7="本金优先"),MAX(0,E99-Q98),IF(OR(B99="卖出",B99="现金分红"),MIN(E99,M99),0)),"")</f>
        <v>0</v>
      </c>
      <c r="O99" s="11">
        <f t="shared" si="26">IF(I99="已计入",IF(OR(B99="卖出",B99="现金分红"),MIN(Q98,MAX(0,E99-N99)),0),"")</f>
        <v>0</v>
      </c>
      <c r="P99" s="11">
        <f t="shared" si="27">IF(I99="已计入",IF(AND(B99="卖出",K99=0),MAX(0,Q98-O99),0),"")</f>
        <v>0</v>
      </c>
      <c r="Q99" s="11">
        <f t="shared" si="28">IF(AA99="正常",IF(I99="已计入",ROUND(Q98+IF(OR(B99="买入",B99="定投",B99="转换转入"),E99,0)-O99-P99,2),Q98),"")</f>
        <v>124350</v>
      </c>
      <c r="R99" s="11">
        <f t="shared" si="19">IF(I99="已计入",ROUND(K99*C99,2),"")</f>
        <v>157369.08</v>
      </c>
      <c r="S99" s="11">
        <f t="shared" si="20">IF(I99="已计入",ROUND(R99-Q99,2),"")</f>
        <v>33019.08</v>
      </c>
      <c r="T99" s="12">
        <f t="shared" si="21">IF(I99="已计入",IF(Q99=0,"",S99/Q99),"")</f>
        <v>0.26553341375150785</v>
      </c>
      <c r="U99" s="11">
        <f t="shared" si="29">IF(AA99="正常",U98+IF(AND(I99="已计入",OR(B99="买入",B99="定投",B99="转换转入")),E99,0),"")</f>
        <v>124350</v>
      </c>
      <c r="V99" s="11">
        <f t="shared" si="30">IF(AA99="正常",V98+IF(AND(I99="已计入",OR(B99="卖出",B99="现金分红")),E99,0),"")</f>
        <v>0</v>
      </c>
      <c r="W99" s="11">
        <f t="shared" si="31">IF(AA99="正常",W98+IF(I99="已计入",N99,0),"")</f>
        <v>0</v>
      </c>
      <c r="X99" s="11">
        <f t="shared" si="32">IF(AA99="正常",X98+IF(I99="已计入",P99,0),"")</f>
        <v>0</v>
      </c>
      <c r="Y99" s="11">
        <f t="shared" si="22">IF(I99="已计入",ROUND(R99+V99-U99,2),"")</f>
        <v>33019.08</v>
      </c>
      <c r="Z99" s="13">
        <f t="shared" si="33">IF(AA99="正常",IF(I99="已计入",A99,Z98),"")</f>
        <v>46162</v>
      </c>
      <c r="AA99" s="10" t="str">
        <f t="shared" si="34">IF(OR(AA98="错误",AND(I99&lt;&gt;"",I99&lt;&gt;"已排除",I99&lt;&gt;"待确认",I99&lt;&gt;"已计入")),"错误","正常")</f>
        <v>正常</v>
      </c>
      <c r="AB99" s="14">
        <f t="shared" si="35">IF(AA99="正常",IF(I99="已计入",C99,AB98),"")</f>
        <v>6.3169</v>
      </c>
    </row>
    <row r="100" ht="42" customHeight="1">
      <c r="A100" s="36">
        <v>46163</v>
      </c>
      <c r="B100" s="37" t="inlineStr">
        <is>
          <t>定投</t>
        </is>
      </c>
      <c r="C100" s="38">
        <v>6.3839</v>
      </c>
      <c r="D100" s="39">
        <v>1.56</v>
      </c>
      <c r="E100" s="39">
        <v>10</v>
      </c>
      <c r="F100" s="39">
        <v>0.02</v>
      </c>
      <c r="G100" s="37" t="inlineStr">
        <is>
          <t>历史估算</t>
        </is>
      </c>
      <c r="H100" s="40" t="inlineStr">
        <is>
          <t>原下单 2026-05-21 11:41:44
净值日／份额暂估，手续费按 0.16%</t>
        </is>
      </c>
      <c r="I100" s="10" t="str">
        <f>IF(COUNTA(A100:H100)=0,"",IF(OR(OR(OR(G100="撤单",G100="交易失败",G100="交易关闭"),G100="交易失败",G100="交易关闭"),G100="交易失败",G100="交易关闭"),"已排除",IF(G100="待确认","待确认",IF(NOT(OR(G100="已确认",G100="历史估算")),"请选择确认状态",IF(NOT(ISNUMBER(A100)),"缺少有效净值日期",IF(OR(A100&lt;=0,A100&lt;&gt;INT(A100)),"净值日期无效",IF(NOT(OR(OR(B100="买入",B100="定投",B100="转换转入"),B100="卖出",B100="现金分红",B100="红利再投")),"请选择交易类型",IF(NOT(ISNUMBER(C100)),"缺少成交净值",IF(C100&lt;=0,"成交净值须大于零",IF(NOT(ISNUMBER(D100)),"缺少确认份额（分红填0）",IF(NOT(ISNUMBER(E100)),"缺少确认金额（再投填0）",IF(NOT(ISNUMBER(F100)),"缺少手续费（无费用填0）",IF(OR(D100&lt;0,E100&lt;0,F100&lt;0),"份额金额费用不能为负",IF(AA99="错误","前行待修正",IF(A100&lt;Z99,"日期需按成交顺序递增",IF(AND(B100="现金分红",OR(D100&lt;&gt;0,E100&lt;=0,F100&lt;&gt;0)),"分红填份额0、费用0、正金额",IF(AND(B100="红利再投",OR(D100&lt;=0,E100&lt;&gt;0,F100&lt;&gt;0)),"再投填正份额、金额0、费用0",IF(AND(OR(B100="现金分红",B100="红利再投"),K99&lt;=0),"分红或再投前须有持仓",IF(AND(OR(OR(B100="买入",B100="定投",B100="转换转入"),B100="卖出"),OR(D100&lt;=0,E100&lt;=0)),"买卖须填正份额、正金额",IF(AND(B100="卖出",D100&gt;K99+0.000001),"卖出份额超过持仓",IF(AND(OR(B100="买入",B100="定投",B100="转换转入"),F100&gt;=E100)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100="买入",B100="定投",B100="转换转入"),ABS(E100-F100-C100*D100)&gt;'持仓总览'!$H$6),"买入金额与份额净值不符",IF(AND(B100="卖出",ABS(E100+F100-C100*D100)&gt;'持仓总览'!$H$6),"到账加费用与赎回市值不符","已计入"))))))))))))))))))))))))))</f>
        <v>已计入</v>
      </c>
      <c r="J100" s="11">
        <f t="shared" si="18">IF(AA100="正常",IF(I100="已计入",IF(OR(OR(B100="买入",B100="定投",B100="转换转入"),B100="红利再投"),D100,IF(B100="卖出",-D100,0)),0),"")</f>
        <v>1.56</v>
      </c>
      <c r="K100" s="11">
        <f t="shared" si="23">IF(AA100="正常",ROUND(K99+J100,6),"")</f>
        <v>24913.95</v>
      </c>
      <c r="L100" s="11">
        <f t="shared" si="24">IF(I100="已计入",ROUND(K99*C100,2),"")</f>
        <v>159038.21</v>
      </c>
      <c r="M100" s="11">
        <f t="shared" si="25">IF(I100="已计入",IF(B100="卖出",MAX(0,L100-Q99-F100),IF(B100="现金分红",MAX(0,L100+E100-Q99),0)),"")</f>
        <v>0</v>
      </c>
      <c r="N100" s="11">
        <f>IF(I100="已计入",IF(AND(B100="卖出",'持仓总览'!$C$7="本金优先"),MAX(0,E100-Q99),IF(OR(B100="卖出",B100="现金分红"),MIN(E100,M100),0)),"")</f>
        <v>0</v>
      </c>
      <c r="O100" s="11">
        <f t="shared" si="26">IF(I100="已计入",IF(OR(B100="卖出",B100="现金分红"),MIN(Q99,MAX(0,E100-N100)),0),"")</f>
        <v>0</v>
      </c>
      <c r="P100" s="11">
        <f t="shared" si="27">IF(I100="已计入",IF(AND(B100="卖出",K100=0),MAX(0,Q99-O100),0),"")</f>
        <v>0</v>
      </c>
      <c r="Q100" s="11">
        <f t="shared" si="28">IF(AA100="正常",IF(I100="已计入",ROUND(Q99+IF(OR(B100="买入",B100="定投",B100="转换转入"),E100,0)-O100-P100,2),Q99),"")</f>
        <v>124360</v>
      </c>
      <c r="R100" s="11">
        <f t="shared" si="19">IF(I100="已计入",ROUND(K100*C100,2),"")</f>
        <v>159048.17</v>
      </c>
      <c r="S100" s="11">
        <f t="shared" si="20">IF(I100="已计入",ROUND(R100-Q100,2),"")</f>
        <v>34688.17</v>
      </c>
      <c r="T100" s="12">
        <f t="shared" si="21">IF(I100="已计入",IF(Q100=0,"",S100/Q100),"")</f>
        <v>0.2789334995175297</v>
      </c>
      <c r="U100" s="11">
        <f t="shared" si="29">IF(AA100="正常",U99+IF(AND(I100="已计入",OR(B100="买入",B100="定投",B100="转换转入")),E100,0),"")</f>
        <v>124360</v>
      </c>
      <c r="V100" s="11">
        <f t="shared" si="30">IF(AA100="正常",V99+IF(AND(I100="已计入",OR(B100="卖出",B100="现金分红")),E100,0),"")</f>
        <v>0</v>
      </c>
      <c r="W100" s="11">
        <f t="shared" si="31">IF(AA100="正常",W99+IF(I100="已计入",N100,0),"")</f>
        <v>0</v>
      </c>
      <c r="X100" s="11">
        <f t="shared" si="32">IF(AA100="正常",X99+IF(I100="已计入",P100,0),"")</f>
        <v>0</v>
      </c>
      <c r="Y100" s="11">
        <f t="shared" si="22">IF(I100="已计入",ROUND(R100+V100-U100,2),"")</f>
        <v>34688.17</v>
      </c>
      <c r="Z100" s="13">
        <f t="shared" si="33">IF(AA100="正常",IF(I100="已计入",A100,Z99),"")</f>
        <v>46163</v>
      </c>
      <c r="AA100" s="10" t="str">
        <f t="shared" si="34">IF(OR(AA99="错误",AND(I100&lt;&gt;"",I100&lt;&gt;"已排除",I100&lt;&gt;"待确认",I100&lt;&gt;"已计入")),"错误","正常")</f>
        <v>正常</v>
      </c>
      <c r="AB100" s="14">
        <f t="shared" si="35">IF(AA100="正常",IF(I100="已计入",C100,AB99),"")</f>
        <v>6.3839</v>
      </c>
    </row>
    <row r="101" ht="42" customHeight="1">
      <c r="A101" s="36">
        <v>46164</v>
      </c>
      <c r="B101" s="37" t="inlineStr">
        <is>
          <t>定投</t>
        </is>
      </c>
      <c r="C101" s="38">
        <v>6.5402</v>
      </c>
      <c r="D101" s="39">
        <v>7.63</v>
      </c>
      <c r="E101" s="39">
        <v>50</v>
      </c>
      <c r="F101" s="39">
        <v>0.08</v>
      </c>
      <c r="G101" s="37" t="inlineStr">
        <is>
          <t>历史估算</t>
        </is>
      </c>
      <c r="H101" s="40" t="inlineStr">
        <is>
          <t>原下单 2026-05-22 11:38:07
净值日／份额暂估，手续费按 0.16%</t>
        </is>
      </c>
      <c r="I101" s="10" t="str">
        <f>IF(COUNTA(A101:H101)=0,"",IF(OR(OR(OR(G101="撤单",G101="交易失败",G101="交易关闭"),G101="交易失败",G101="交易关闭"),G101="交易失败",G101="交易关闭"),"已排除",IF(G101="待确认","待确认",IF(NOT(OR(G101="已确认",G101="历史估算")),"请选择确认状态",IF(NOT(ISNUMBER(A101)),"缺少有效净值日期",IF(OR(A101&lt;=0,A101&lt;&gt;INT(A101)),"净值日期无效",IF(NOT(OR(OR(B101="买入",B101="定投",B101="转换转入"),B101="卖出",B101="现金分红",B101="红利再投")),"请选择交易类型",IF(NOT(ISNUMBER(C101)),"缺少成交净值",IF(C101&lt;=0,"成交净值须大于零",IF(NOT(ISNUMBER(D101)),"缺少确认份额（分红填0）",IF(NOT(ISNUMBER(E101)),"缺少确认金额（再投填0）",IF(NOT(ISNUMBER(F101)),"缺少手续费（无费用填0）",IF(OR(D101&lt;0,E101&lt;0,F101&lt;0),"份额金额费用不能为负",IF(AA100="错误","前行待修正",IF(A101&lt;Z100,"日期需按成交顺序递增",IF(AND(B101="现金分红",OR(D101&lt;&gt;0,E101&lt;=0,F101&lt;&gt;0)),"分红填份额0、费用0、正金额",IF(AND(B101="红利再投",OR(D101&lt;=0,E101&lt;&gt;0,F101&lt;&gt;0)),"再投填正份额、金额0、费用0",IF(AND(OR(B101="现金分红",B101="红利再投"),K100&lt;=0),"分红或再投前须有持仓",IF(AND(OR(OR(B101="买入",B101="定投",B101="转换转入"),B101="卖出"),OR(D101&lt;=0,E101&lt;=0)),"买卖须填正份额、正金额",IF(AND(B101="卖出",D101&gt;K100+0.000001),"卖出份额超过持仓",IF(AND(OR(B101="买入",B101="定投",B101="转换转入"),F101&gt;=E101)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101="买入",B101="定投",B101="转换转入"),ABS(E101-F101-C101*D101)&gt;'持仓总览'!$H$6),"买入金额与份额净值不符",IF(AND(B101="卖出",ABS(E101+F101-C101*D101)&gt;'持仓总览'!$H$6),"到账加费用与赎回市值不符","已计入"))))))))))))))))))))))))))</f>
        <v>已计入</v>
      </c>
      <c r="J101" s="11">
        <f t="shared" si="18">IF(AA101="正常",IF(I101="已计入",IF(OR(OR(B101="买入",B101="定投",B101="转换转入"),B101="红利再投"),D101,IF(B101="卖出",-D101,0)),0),"")</f>
        <v>7.63</v>
      </c>
      <c r="K101" s="11">
        <f t="shared" si="23">IF(AA101="正常",ROUND(K100+J101,6),"")</f>
        <v>24921.58</v>
      </c>
      <c r="L101" s="11">
        <f t="shared" si="24">IF(I101="已计入",ROUND(K100*C101,2),"")</f>
        <v>162942.22</v>
      </c>
      <c r="M101" s="11">
        <f t="shared" si="25">IF(I101="已计入",IF(B101="卖出",MAX(0,L101-Q100-F101),IF(B101="现金分红",MAX(0,L101+E101-Q100),0)),"")</f>
        <v>0</v>
      </c>
      <c r="N101" s="11">
        <f>IF(I101="已计入",IF(AND(B101="卖出",'持仓总览'!$C$7="本金优先"),MAX(0,E101-Q100),IF(OR(B101="卖出",B101="现金分红"),MIN(E101,M101),0)),"")</f>
        <v>0</v>
      </c>
      <c r="O101" s="11">
        <f t="shared" si="26">IF(I101="已计入",IF(OR(B101="卖出",B101="现金分红"),MIN(Q100,MAX(0,E101-N101)),0),"")</f>
        <v>0</v>
      </c>
      <c r="P101" s="11">
        <f t="shared" si="27">IF(I101="已计入",IF(AND(B101="卖出",K101=0),MAX(0,Q100-O101),0),"")</f>
        <v>0</v>
      </c>
      <c r="Q101" s="11">
        <f t="shared" si="28">IF(AA101="正常",IF(I101="已计入",ROUND(Q100+IF(OR(B101="买入",B101="定投",B101="转换转入"),E101,0)-O101-P101,2),Q100),"")</f>
        <v>124410</v>
      </c>
      <c r="R101" s="11">
        <f t="shared" si="19">IF(I101="已计入",ROUND(K101*C101,2),"")</f>
        <v>162992.12</v>
      </c>
      <c r="S101" s="11">
        <f t="shared" si="20">IF(I101="已计入",ROUND(R101-Q101,2),"")</f>
        <v>38582.12</v>
      </c>
      <c r="T101" s="12">
        <f t="shared" si="21">IF(I101="已计入",IF(Q101=0,"",S101/Q101),"")</f>
        <v>0.31012072984486777</v>
      </c>
      <c r="U101" s="11">
        <f t="shared" si="29">IF(AA101="正常",U100+IF(AND(I101="已计入",OR(B101="买入",B101="定投",B101="转换转入")),E101,0),"")</f>
        <v>124410</v>
      </c>
      <c r="V101" s="11">
        <f t="shared" si="30">IF(AA101="正常",V100+IF(AND(I101="已计入",OR(B101="卖出",B101="现金分红")),E101,0),"")</f>
        <v>0</v>
      </c>
      <c r="W101" s="11">
        <f t="shared" si="31">IF(AA101="正常",W100+IF(I101="已计入",N101,0),"")</f>
        <v>0</v>
      </c>
      <c r="X101" s="11">
        <f t="shared" si="32">IF(AA101="正常",X100+IF(I101="已计入",P101,0),"")</f>
        <v>0</v>
      </c>
      <c r="Y101" s="11">
        <f t="shared" si="22">IF(I101="已计入",ROUND(R101+V101-U101,2),"")</f>
        <v>38582.12</v>
      </c>
      <c r="Z101" s="13">
        <f t="shared" si="33">IF(AA101="正常",IF(I101="已计入",A101,Z100),"")</f>
        <v>46164</v>
      </c>
      <c r="AA101" s="10" t="str">
        <f t="shared" si="34">IF(OR(AA100="错误",AND(I101&lt;&gt;"",I101&lt;&gt;"已排除",I101&lt;&gt;"待确认",I101&lt;&gt;"已计入")),"错误","正常")</f>
        <v>正常</v>
      </c>
      <c r="AB101" s="14">
        <f t="shared" si="35">IF(AA101="正常",IF(I101="已计入",C101,AB100),"")</f>
        <v>6.5402</v>
      </c>
    </row>
    <row r="102" ht="42" customHeight="1">
      <c r="A102" s="36">
        <v>46168</v>
      </c>
      <c r="B102" s="37" t="inlineStr">
        <is>
          <t>定投</t>
        </is>
      </c>
      <c r="C102" s="38">
        <v>6.758</v>
      </c>
      <c r="D102" s="39">
        <v>7.39</v>
      </c>
      <c r="E102" s="39">
        <v>50</v>
      </c>
      <c r="F102" s="39">
        <v>0.08</v>
      </c>
      <c r="G102" s="37" t="inlineStr">
        <is>
          <t>历史估算</t>
        </is>
      </c>
      <c r="H102" s="40" t="inlineStr">
        <is>
          <t>原下单 2026-05-26 10:56:48
净值日／份额暂估，手续费按 0.16%</t>
        </is>
      </c>
      <c r="I102" s="10" t="str">
        <f>IF(COUNTA(A102:H102)=0,"",IF(OR(OR(OR(G102="撤单",G102="交易失败",G102="交易关闭"),G102="交易失败",G102="交易关闭"),G102="交易失败",G102="交易关闭"),"已排除",IF(G102="待确认","待确认",IF(NOT(OR(G102="已确认",G102="历史估算")),"请选择确认状态",IF(NOT(ISNUMBER(A102)),"缺少有效净值日期",IF(OR(A102&lt;=0,A102&lt;&gt;INT(A102)),"净值日期无效",IF(NOT(OR(OR(B102="买入",B102="定投",B102="转换转入"),B102="卖出",B102="现金分红",B102="红利再投")),"请选择交易类型",IF(NOT(ISNUMBER(C102)),"缺少成交净值",IF(C102&lt;=0,"成交净值须大于零",IF(NOT(ISNUMBER(D102)),"缺少确认份额（分红填0）",IF(NOT(ISNUMBER(E102)),"缺少确认金额（再投填0）",IF(NOT(ISNUMBER(F102)),"缺少手续费（无费用填0）",IF(OR(D102&lt;0,E102&lt;0,F102&lt;0),"份额金额费用不能为负",IF(AA101="错误","前行待修正",IF(A102&lt;Z101,"日期需按成交顺序递增",IF(AND(B102="现金分红",OR(D102&lt;&gt;0,E102&lt;=0,F102&lt;&gt;0)),"分红填份额0、费用0、正金额",IF(AND(B102="红利再投",OR(D102&lt;=0,E102&lt;&gt;0,F102&lt;&gt;0)),"再投填正份额、金额0、费用0",IF(AND(OR(B102="现金分红",B102="红利再投"),K101&lt;=0),"分红或再投前须有持仓",IF(AND(OR(OR(B102="买入",B102="定投",B102="转换转入"),B102="卖出"),OR(D102&lt;=0,E102&lt;=0)),"买卖须填正份额、正金额",IF(AND(B102="卖出",D102&gt;K101+0.000001),"卖出份额超过持仓",IF(AND(OR(B102="买入",B102="定投",B102="转换转入"),F102&gt;=E102)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102="买入",B102="定投",B102="转换转入"),ABS(E102-F102-C102*D102)&gt;'持仓总览'!$H$6),"买入金额与份额净值不符",IF(AND(B102="卖出",ABS(E102+F102-C102*D102)&gt;'持仓总览'!$H$6),"到账加费用与赎回市值不符","已计入"))))))))))))))))))))))))))</f>
        <v>已计入</v>
      </c>
      <c r="J102" s="11">
        <f t="shared" si="18">IF(AA102="正常",IF(I102="已计入",IF(OR(OR(B102="买入",B102="定投",B102="转换转入"),B102="红利再投"),D102,IF(B102="卖出",-D102,0)),0),"")</f>
        <v>7.39</v>
      </c>
      <c r="K102" s="11">
        <f t="shared" si="23">IF(AA102="正常",ROUND(K101+J102,6),"")</f>
        <v>24928.97</v>
      </c>
      <c r="L102" s="11">
        <f t="shared" si="24">IF(I102="已计入",ROUND(K101*C102,2),"")</f>
        <v>168420.04</v>
      </c>
      <c r="M102" s="11">
        <f t="shared" si="25">IF(I102="已计入",IF(B102="卖出",MAX(0,L102-Q101-F102),IF(B102="现金分红",MAX(0,L102+E102-Q101),0)),"")</f>
        <v>0</v>
      </c>
      <c r="N102" s="11">
        <f>IF(I102="已计入",IF(AND(B102="卖出",'持仓总览'!$C$7="本金优先"),MAX(0,E102-Q101),IF(OR(B102="卖出",B102="现金分红"),MIN(E102,M102),0)),"")</f>
        <v>0</v>
      </c>
      <c r="O102" s="11">
        <f t="shared" si="26">IF(I102="已计入",IF(OR(B102="卖出",B102="现金分红"),MIN(Q101,MAX(0,E102-N102)),0),"")</f>
        <v>0</v>
      </c>
      <c r="P102" s="11">
        <f t="shared" si="27">IF(I102="已计入",IF(AND(B102="卖出",K102=0),MAX(0,Q101-O102),0),"")</f>
        <v>0</v>
      </c>
      <c r="Q102" s="11">
        <f t="shared" si="28">IF(AA102="正常",IF(I102="已计入",ROUND(Q101+IF(OR(B102="买入",B102="定投",B102="转换转入"),E102,0)-O102-P102,2),Q101),"")</f>
        <v>124460</v>
      </c>
      <c r="R102" s="11">
        <f t="shared" si="19">IF(I102="已计入",ROUND(K102*C102,2),"")</f>
        <v>168469.98</v>
      </c>
      <c r="S102" s="11">
        <f t="shared" si="20">IF(I102="已计入",ROUND(R102-Q102,2),"")</f>
        <v>44009.98</v>
      </c>
      <c r="T102" s="12">
        <f t="shared" si="21">IF(I102="已计入",IF(Q102=0,"",S102/Q102),"")</f>
        <v>0.35360742407199103</v>
      </c>
      <c r="U102" s="11">
        <f t="shared" si="29">IF(AA102="正常",U101+IF(AND(I102="已计入",OR(B102="买入",B102="定投",B102="转换转入")),E102,0),"")</f>
        <v>124460</v>
      </c>
      <c r="V102" s="11">
        <f t="shared" si="30">IF(AA102="正常",V101+IF(AND(I102="已计入",OR(B102="卖出",B102="现金分红")),E102,0),"")</f>
        <v>0</v>
      </c>
      <c r="W102" s="11">
        <f t="shared" si="31">IF(AA102="正常",W101+IF(I102="已计入",N102,0),"")</f>
        <v>0</v>
      </c>
      <c r="X102" s="11">
        <f t="shared" si="32">IF(AA102="正常",X101+IF(I102="已计入",P102,0),"")</f>
        <v>0</v>
      </c>
      <c r="Y102" s="11">
        <f t="shared" si="22">IF(I102="已计入",ROUND(R102+V102-U102,2),"")</f>
        <v>44009.98</v>
      </c>
      <c r="Z102" s="13">
        <f t="shared" si="33">IF(AA102="正常",IF(I102="已计入",A102,Z101),"")</f>
        <v>46168</v>
      </c>
      <c r="AA102" s="10" t="str">
        <f t="shared" si="34">IF(OR(AA101="错误",AND(I102&lt;&gt;"",I102&lt;&gt;"已排除",I102&lt;&gt;"待确认",I102&lt;&gt;"已计入")),"错误","正常")</f>
        <v>正常</v>
      </c>
      <c r="AB102" s="14">
        <f t="shared" si="35">IF(AA102="正常",IF(I102="已计入",C102,AB101),"")</f>
        <v>6.758</v>
      </c>
    </row>
    <row r="103" ht="42" customHeight="1">
      <c r="A103" s="36">
        <v>46169</v>
      </c>
      <c r="B103" s="37" t="inlineStr">
        <is>
          <t>定投</t>
        </is>
      </c>
      <c r="C103" s="38">
        <v>6.7582</v>
      </c>
      <c r="D103" s="39">
        <v>7.39</v>
      </c>
      <c r="E103" s="39">
        <v>50</v>
      </c>
      <c r="F103" s="39">
        <v>0.08</v>
      </c>
      <c r="G103" s="37" t="inlineStr">
        <is>
          <t>历史估算</t>
        </is>
      </c>
      <c r="H103" s="40" t="inlineStr">
        <is>
          <t>原下单 2026-05-27 10:47:32
净值日／份额暂估，手续费按 0.16%</t>
        </is>
      </c>
      <c r="I103" s="10" t="str">
        <f>IF(COUNTA(A103:H103)=0,"",IF(OR(OR(OR(G103="撤单",G103="交易失败",G103="交易关闭"),G103="交易失败",G103="交易关闭"),G103="交易失败",G103="交易关闭"),"已排除",IF(G103="待确认","待确认",IF(NOT(OR(G103="已确认",G103="历史估算")),"请选择确认状态",IF(NOT(ISNUMBER(A103)),"缺少有效净值日期",IF(OR(A103&lt;=0,A103&lt;&gt;INT(A103)),"净值日期无效",IF(NOT(OR(OR(B103="买入",B103="定投",B103="转换转入"),B103="卖出",B103="现金分红",B103="红利再投")),"请选择交易类型",IF(NOT(ISNUMBER(C103)),"缺少成交净值",IF(C103&lt;=0,"成交净值须大于零",IF(NOT(ISNUMBER(D103)),"缺少确认份额（分红填0）",IF(NOT(ISNUMBER(E103)),"缺少确认金额（再投填0）",IF(NOT(ISNUMBER(F103)),"缺少手续费（无费用填0）",IF(OR(D103&lt;0,E103&lt;0,F103&lt;0),"份额金额费用不能为负",IF(AA102="错误","前行待修正",IF(A103&lt;Z102,"日期需按成交顺序递增",IF(AND(B103="现金分红",OR(D103&lt;&gt;0,E103&lt;=0,F103&lt;&gt;0)),"分红填份额0、费用0、正金额",IF(AND(B103="红利再投",OR(D103&lt;=0,E103&lt;&gt;0,F103&lt;&gt;0)),"再投填正份额、金额0、费用0",IF(AND(OR(B103="现金分红",B103="红利再投"),K102&lt;=0),"分红或再投前须有持仓",IF(AND(OR(OR(B103="买入",B103="定投",B103="转换转入"),B103="卖出"),OR(D103&lt;=0,E103&lt;=0)),"买卖须填正份额、正金额",IF(AND(B103="卖出",D103&gt;K102+0.000001),"卖出份额超过持仓",IF(AND(OR(B103="买入",B103="定投",B103="转换转入"),F103&gt;=E103)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103="买入",B103="定投",B103="转换转入"),ABS(E103-F103-C103*D103)&gt;'持仓总览'!$H$6),"买入金额与份额净值不符",IF(AND(B103="卖出",ABS(E103+F103-C103*D103)&gt;'持仓总览'!$H$6),"到账加费用与赎回市值不符","已计入"))))))))))))))))))))))))))</f>
        <v>已计入</v>
      </c>
      <c r="J103" s="11">
        <f t="shared" si="18">IF(AA103="正常",IF(I103="已计入",IF(OR(OR(B103="买入",B103="定投",B103="转换转入"),B103="红利再投"),D103,IF(B103="卖出",-D103,0)),0),"")</f>
        <v>7.39</v>
      </c>
      <c r="K103" s="11">
        <f t="shared" si="23">IF(AA103="正常",ROUND(K102+J103,6),"")</f>
        <v>24936.36</v>
      </c>
      <c r="L103" s="11">
        <f t="shared" si="24">IF(I103="已计入",ROUND(K102*C103,2),"")</f>
        <v>168474.97</v>
      </c>
      <c r="M103" s="11">
        <f t="shared" si="25">IF(I103="已计入",IF(B103="卖出",MAX(0,L103-Q102-F103),IF(B103="现金分红",MAX(0,L103+E103-Q102),0)),"")</f>
        <v>0</v>
      </c>
      <c r="N103" s="11">
        <f>IF(I103="已计入",IF(AND(B103="卖出",'持仓总览'!$C$7="本金优先"),MAX(0,E103-Q102),IF(OR(B103="卖出",B103="现金分红"),MIN(E103,M103),0)),"")</f>
        <v>0</v>
      </c>
      <c r="O103" s="11">
        <f t="shared" si="26">IF(I103="已计入",IF(OR(B103="卖出",B103="现金分红"),MIN(Q102,MAX(0,E103-N103)),0),"")</f>
        <v>0</v>
      </c>
      <c r="P103" s="11">
        <f t="shared" si="27">IF(I103="已计入",IF(AND(B103="卖出",K103=0),MAX(0,Q102-O103),0),"")</f>
        <v>0</v>
      </c>
      <c r="Q103" s="11">
        <f t="shared" si="28">IF(AA103="正常",IF(I103="已计入",ROUND(Q102+IF(OR(B103="买入",B103="定投",B103="转换转入"),E103,0)-O103-P103,2),Q102),"")</f>
        <v>124510</v>
      </c>
      <c r="R103" s="11">
        <f t="shared" si="19">IF(I103="已计入",ROUND(K103*C103,2),"")</f>
        <v>168524.91</v>
      </c>
      <c r="S103" s="11">
        <f t="shared" si="20">IF(I103="已计入",ROUND(R103-Q103,2),"")</f>
        <v>44014.91</v>
      </c>
      <c r="T103" s="12">
        <f t="shared" si="21">IF(I103="已计入",IF(Q103=0,"",S103/Q103),"")</f>
        <v>0.3535050196771344</v>
      </c>
      <c r="U103" s="11">
        <f t="shared" si="29">IF(AA103="正常",U102+IF(AND(I103="已计入",OR(B103="买入",B103="定投",B103="转换转入")),E103,0),"")</f>
        <v>124510</v>
      </c>
      <c r="V103" s="11">
        <f t="shared" si="30">IF(AA103="正常",V102+IF(AND(I103="已计入",OR(B103="卖出",B103="现金分红")),E103,0),"")</f>
        <v>0</v>
      </c>
      <c r="W103" s="11">
        <f t="shared" si="31">IF(AA103="正常",W102+IF(I103="已计入",N103,0),"")</f>
        <v>0</v>
      </c>
      <c r="X103" s="11">
        <f t="shared" si="32">IF(AA103="正常",X102+IF(I103="已计入",P103,0),"")</f>
        <v>0</v>
      </c>
      <c r="Y103" s="11">
        <f t="shared" si="22">IF(I103="已计入",ROUND(R103+V103-U103,2),"")</f>
        <v>44014.91</v>
      </c>
      <c r="Z103" s="13">
        <f t="shared" si="33">IF(AA103="正常",IF(I103="已计入",A103,Z102),"")</f>
        <v>46169</v>
      </c>
      <c r="AA103" s="10" t="str">
        <f t="shared" si="34">IF(OR(AA102="错误",AND(I103&lt;&gt;"",I103&lt;&gt;"已排除",I103&lt;&gt;"待确认",I103&lt;&gt;"已计入")),"错误","正常")</f>
        <v>正常</v>
      </c>
      <c r="AB103" s="14">
        <f t="shared" si="35">IF(AA103="正常",IF(I103="已计入",C103,AB102),"")</f>
        <v>6.7582</v>
      </c>
    </row>
    <row r="104" ht="42" customHeight="1">
      <c r="A104" s="36">
        <v>46176</v>
      </c>
      <c r="B104" s="37" t="inlineStr">
        <is>
          <t>买入</t>
        </is>
      </c>
      <c r="C104" s="38">
        <v>6.9623</v>
      </c>
      <c r="D104" s="39">
        <v>14.34</v>
      </c>
      <c r="E104" s="39">
        <v>100</v>
      </c>
      <c r="F104" s="39">
        <v>0.16</v>
      </c>
      <c r="G104" s="37" t="inlineStr">
        <is>
          <t>历史估算</t>
        </is>
      </c>
      <c r="H104" s="40" t="inlineStr">
        <is>
          <t>原下单 2026-06-03 09:33:23
净值日／份额暂估，手续费按 0.16%</t>
        </is>
      </c>
      <c r="I104" s="10" t="str">
        <f>IF(COUNTA(A104:H104)=0,"",IF(OR(OR(OR(G104="撤单",G104="交易失败",G104="交易关闭"),G104="交易失败",G104="交易关闭"),G104="交易失败",G104="交易关闭"),"已排除",IF(G104="待确认","待确认",IF(NOT(OR(G104="已确认",G104="历史估算")),"请选择确认状态",IF(NOT(ISNUMBER(A104)),"缺少有效净值日期",IF(OR(A104&lt;=0,A104&lt;&gt;INT(A104)),"净值日期无效",IF(NOT(OR(OR(B104="买入",B104="定投",B104="转换转入"),B104="卖出",B104="现金分红",B104="红利再投")),"请选择交易类型",IF(NOT(ISNUMBER(C104)),"缺少成交净值",IF(C104&lt;=0,"成交净值须大于零",IF(NOT(ISNUMBER(D104)),"缺少确认份额（分红填0）",IF(NOT(ISNUMBER(E104)),"缺少确认金额（再投填0）",IF(NOT(ISNUMBER(F104)),"缺少手续费（无费用填0）",IF(OR(D104&lt;0,E104&lt;0,F104&lt;0),"份额金额费用不能为负",IF(AA103="错误","前行待修正",IF(A104&lt;Z103,"日期需按成交顺序递增",IF(AND(B104="现金分红",OR(D104&lt;&gt;0,E104&lt;=0,F104&lt;&gt;0)),"分红填份额0、费用0、正金额",IF(AND(B104="红利再投",OR(D104&lt;=0,E104&lt;&gt;0,F104&lt;&gt;0)),"再投填正份额、金额0、费用0",IF(AND(OR(B104="现金分红",B104="红利再投"),K103&lt;=0),"分红或再投前须有持仓",IF(AND(OR(OR(B104="买入",B104="定投",B104="转换转入"),B104="卖出"),OR(D104&lt;=0,E104&lt;=0)),"买卖须填正份额、正金额",IF(AND(B104="卖出",D104&gt;K103+0.000001),"卖出份额超过持仓",IF(AND(OR(B104="买入",B104="定投",B104="转换转入"),F104&gt;=E104)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104="买入",B104="定投",B104="转换转入"),ABS(E104-F104-C104*D104)&gt;'持仓总览'!$H$6),"买入金额与份额净值不符",IF(AND(B104="卖出",ABS(E104+F104-C104*D104)&gt;'持仓总览'!$H$6),"到账加费用与赎回市值不符","已计入"))))))))))))))))))))))))))</f>
        <v>已计入</v>
      </c>
      <c r="J104" s="11">
        <f t="shared" si="18">IF(AA104="正常",IF(I104="已计入",IF(OR(OR(B104="买入",B104="定投",B104="转换转入"),B104="红利再投"),D104,IF(B104="卖出",-D104,0)),0),"")</f>
        <v>14.34</v>
      </c>
      <c r="K104" s="11">
        <f t="shared" si="23">IF(AA104="正常",ROUND(K103+J104,6),"")</f>
        <v>24950.7</v>
      </c>
      <c r="L104" s="11">
        <f t="shared" si="24">IF(I104="已计入",ROUND(K103*C104,2),"")</f>
        <v>173614.42</v>
      </c>
      <c r="M104" s="11">
        <f t="shared" si="25">IF(I104="已计入",IF(B104="卖出",MAX(0,L104-Q103-F104),IF(B104="现金分红",MAX(0,L104+E104-Q103),0)),"")</f>
        <v>0</v>
      </c>
      <c r="N104" s="11">
        <f>IF(I104="已计入",IF(AND(B104="卖出",'持仓总览'!$C$7="本金优先"),MAX(0,E104-Q103),IF(OR(B104="卖出",B104="现金分红"),MIN(E104,M104),0)),"")</f>
        <v>0</v>
      </c>
      <c r="O104" s="11">
        <f t="shared" si="26">IF(I104="已计入",IF(OR(B104="卖出",B104="现金分红"),MIN(Q103,MAX(0,E104-N104)),0),"")</f>
        <v>0</v>
      </c>
      <c r="P104" s="11">
        <f t="shared" si="27">IF(I104="已计入",IF(AND(B104="卖出",K104=0),MAX(0,Q103-O104),0),"")</f>
        <v>0</v>
      </c>
      <c r="Q104" s="11">
        <f t="shared" si="28">IF(AA104="正常",IF(I104="已计入",ROUND(Q103+IF(OR(B104="买入",B104="定投",B104="转换转入"),E104,0)-O104-P104,2),Q103),"")</f>
        <v>124610</v>
      </c>
      <c r="R104" s="11">
        <f t="shared" si="19">IF(I104="已计入",ROUND(K104*C104,2),"")</f>
        <v>173714.26</v>
      </c>
      <c r="S104" s="11">
        <f t="shared" si="20">IF(I104="已计入",ROUND(R104-Q104,2),"")</f>
        <v>49104.26</v>
      </c>
      <c r="T104" s="12">
        <f t="shared" si="21">IF(I104="已计入",IF(Q104=0,"",S104/Q104),"")</f>
        <v>0.39406355830190193</v>
      </c>
      <c r="U104" s="11">
        <f t="shared" si="29">IF(AA104="正常",U103+IF(AND(I104="已计入",OR(B104="买入",B104="定投",B104="转换转入")),E104,0),"")</f>
        <v>124610</v>
      </c>
      <c r="V104" s="11">
        <f t="shared" si="30">IF(AA104="正常",V103+IF(AND(I104="已计入",OR(B104="卖出",B104="现金分红")),E104,0),"")</f>
        <v>0</v>
      </c>
      <c r="W104" s="11">
        <f t="shared" si="31">IF(AA104="正常",W103+IF(I104="已计入",N104,0),"")</f>
        <v>0</v>
      </c>
      <c r="X104" s="11">
        <f t="shared" si="32">IF(AA104="正常",X103+IF(I104="已计入",P104,0),"")</f>
        <v>0</v>
      </c>
      <c r="Y104" s="11">
        <f t="shared" si="22">IF(I104="已计入",ROUND(R104+V104-U104,2),"")</f>
        <v>49104.26</v>
      </c>
      <c r="Z104" s="13">
        <f t="shared" si="33">IF(AA104="正常",IF(I104="已计入",A104,Z103),"")</f>
        <v>46176</v>
      </c>
      <c r="AA104" s="10" t="str">
        <f t="shared" si="34">IF(OR(AA103="错误",AND(I104&lt;&gt;"",I104&lt;&gt;"已排除",I104&lt;&gt;"待确认",I104&lt;&gt;"已计入")),"错误","正常")</f>
        <v>正常</v>
      </c>
      <c r="AB104" s="14">
        <f t="shared" si="35">IF(AA104="正常",IF(I104="已计入",C104,AB103),"")</f>
        <v>6.9623</v>
      </c>
    </row>
    <row r="105" ht="42" customHeight="1">
      <c r="A105" s="36">
        <v>46181</v>
      </c>
      <c r="B105" s="37" t="inlineStr">
        <is>
          <t>定投</t>
        </is>
      </c>
      <c r="C105" s="38">
        <v>6.544</v>
      </c>
      <c r="D105" s="39">
        <v>7.63</v>
      </c>
      <c r="E105" s="39">
        <v>50</v>
      </c>
      <c r="F105" s="39">
        <v>0.08</v>
      </c>
      <c r="G105" s="37" t="inlineStr">
        <is>
          <t>历史估算</t>
        </is>
      </c>
      <c r="H105" s="40" t="inlineStr">
        <is>
          <t>原下单 2026-06-08 12:22:07
净值日／份额暂估，手续费按 0.16%</t>
        </is>
      </c>
      <c r="I105" s="10" t="str">
        <f>IF(COUNTA(A105:H105)=0,"",IF(OR(OR(OR(G105="撤单",G105="交易失败",G105="交易关闭"),G105="交易失败",G105="交易关闭"),G105="交易失败",G105="交易关闭"),"已排除",IF(G105="待确认","待确认",IF(NOT(OR(G105="已确认",G105="历史估算")),"请选择确认状态",IF(NOT(ISNUMBER(A105)),"缺少有效净值日期",IF(OR(A105&lt;=0,A105&lt;&gt;INT(A105)),"净值日期无效",IF(NOT(OR(OR(B105="买入",B105="定投",B105="转换转入"),B105="卖出",B105="现金分红",B105="红利再投")),"请选择交易类型",IF(NOT(ISNUMBER(C105)),"缺少成交净值",IF(C105&lt;=0,"成交净值须大于零",IF(NOT(ISNUMBER(D105)),"缺少确认份额（分红填0）",IF(NOT(ISNUMBER(E105)),"缺少确认金额（再投填0）",IF(NOT(ISNUMBER(F105)),"缺少手续费（无费用填0）",IF(OR(D105&lt;0,E105&lt;0,F105&lt;0),"份额金额费用不能为负",IF(AA104="错误","前行待修正",IF(A105&lt;Z104,"日期需按成交顺序递增",IF(AND(B105="现金分红",OR(D105&lt;&gt;0,E105&lt;=0,F105&lt;&gt;0)),"分红填份额0、费用0、正金额",IF(AND(B105="红利再投",OR(D105&lt;=0,E105&lt;&gt;0,F105&lt;&gt;0)),"再投填正份额、金额0、费用0",IF(AND(OR(B105="现金分红",B105="红利再投"),K104&lt;=0),"分红或再投前须有持仓",IF(AND(OR(OR(B105="买入",B105="定投",B105="转换转入"),B105="卖出"),OR(D105&lt;=0,E105&lt;=0)),"买卖须填正份额、正金额",IF(AND(B105="卖出",D105&gt;K104+0.000001),"卖出份额超过持仓",IF(AND(OR(B105="买入",B105="定投",B105="转换转入"),F105&gt;=E105)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105="买入",B105="定投",B105="转换转入"),ABS(E105-F105-C105*D105)&gt;'持仓总览'!$H$6),"买入金额与份额净值不符",IF(AND(B105="卖出",ABS(E105+F105-C105*D105)&gt;'持仓总览'!$H$6),"到账加费用与赎回市值不符","已计入"))))))))))))))))))))))))))</f>
        <v>已计入</v>
      </c>
      <c r="J105" s="11">
        <f t="shared" si="18">IF(AA105="正常",IF(I105="已计入",IF(OR(OR(B105="买入",B105="定投",B105="转换转入"),B105="红利再投"),D105,IF(B105="卖出",-D105,0)),0),"")</f>
        <v>7.63</v>
      </c>
      <c r="K105" s="11">
        <f t="shared" si="23">IF(AA105="正常",ROUND(K104+J105,6),"")</f>
        <v>24958.33</v>
      </c>
      <c r="L105" s="11">
        <f t="shared" si="24">IF(I105="已计入",ROUND(K104*C105,2),"")</f>
        <v>163277.38</v>
      </c>
      <c r="M105" s="11">
        <f t="shared" si="25">IF(I105="已计入",IF(B105="卖出",MAX(0,L105-Q104-F105),IF(B105="现金分红",MAX(0,L105+E105-Q104),0)),"")</f>
        <v>0</v>
      </c>
      <c r="N105" s="11">
        <f>IF(I105="已计入",IF(AND(B105="卖出",'持仓总览'!$C$7="本金优先"),MAX(0,E105-Q104),IF(OR(B105="卖出",B105="现金分红"),MIN(E105,M105),0)),"")</f>
        <v>0</v>
      </c>
      <c r="O105" s="11">
        <f t="shared" si="26">IF(I105="已计入",IF(OR(B105="卖出",B105="现金分红"),MIN(Q104,MAX(0,E105-N105)),0),"")</f>
        <v>0</v>
      </c>
      <c r="P105" s="11">
        <f t="shared" si="27">IF(I105="已计入",IF(AND(B105="卖出",K105=0),MAX(0,Q104-O105),0),"")</f>
        <v>0</v>
      </c>
      <c r="Q105" s="11">
        <f t="shared" si="28">IF(AA105="正常",IF(I105="已计入",ROUND(Q104+IF(OR(B105="买入",B105="定投",B105="转换转入"),E105,0)-O105-P105,2),Q104),"")</f>
        <v>124660</v>
      </c>
      <c r="R105" s="11">
        <f t="shared" si="19">IF(I105="已计入",ROUND(K105*C105,2),"")</f>
        <v>163327.31</v>
      </c>
      <c r="S105" s="11">
        <f t="shared" si="20">IF(I105="已计入",ROUND(R105-Q105,2),"")</f>
        <v>38667.31</v>
      </c>
      <c r="T105" s="12">
        <f t="shared" si="21">IF(I105="已计入",IF(Q105=0,"",S105/Q105),"")</f>
        <v>0.31018217551740734</v>
      </c>
      <c r="U105" s="11">
        <f t="shared" si="29">IF(AA105="正常",U104+IF(AND(I105="已计入",OR(B105="买入",B105="定投",B105="转换转入")),E105,0),"")</f>
        <v>124660</v>
      </c>
      <c r="V105" s="11">
        <f t="shared" si="30">IF(AA105="正常",V104+IF(AND(I105="已计入",OR(B105="卖出",B105="现金分红")),E105,0),"")</f>
        <v>0</v>
      </c>
      <c r="W105" s="11">
        <f t="shared" si="31">IF(AA105="正常",W104+IF(I105="已计入",N105,0),"")</f>
        <v>0</v>
      </c>
      <c r="X105" s="11">
        <f t="shared" si="32">IF(AA105="正常",X104+IF(I105="已计入",P105,0),"")</f>
        <v>0</v>
      </c>
      <c r="Y105" s="11">
        <f t="shared" si="22">IF(I105="已计入",ROUND(R105+V105-U105,2),"")</f>
        <v>38667.31</v>
      </c>
      <c r="Z105" s="13">
        <f t="shared" si="33">IF(AA105="正常",IF(I105="已计入",A105,Z104),"")</f>
        <v>46181</v>
      </c>
      <c r="AA105" s="10" t="str">
        <f t="shared" si="34">IF(OR(AA104="错误",AND(I105&lt;&gt;"",I105&lt;&gt;"已排除",I105&lt;&gt;"待确认",I105&lt;&gt;"已计入")),"错误","正常")</f>
        <v>正常</v>
      </c>
      <c r="AB105" s="14">
        <f t="shared" si="35">IF(AA105="正常",IF(I105="已计入",C105,AB104),"")</f>
        <v>6.544</v>
      </c>
    </row>
    <row r="106" ht="42" customHeight="1">
      <c r="A106" s="36">
        <v>46182</v>
      </c>
      <c r="B106" s="37" t="inlineStr">
        <is>
          <t>定投</t>
        </is>
      </c>
      <c r="C106" s="38">
        <v>6.5295</v>
      </c>
      <c r="D106" s="39">
        <v>7.65</v>
      </c>
      <c r="E106" s="39">
        <v>50</v>
      </c>
      <c r="F106" s="39">
        <v>0.08</v>
      </c>
      <c r="G106" s="37" t="inlineStr">
        <is>
          <t>历史估算</t>
        </is>
      </c>
      <c r="H106" s="40" t="inlineStr">
        <is>
          <t>原下单 2026-06-09 12:05:37
净值日／份额暂估，手续费按 0.16%</t>
        </is>
      </c>
      <c r="I106" s="10" t="str">
        <f>IF(COUNTA(A106:H106)=0,"",IF(OR(OR(OR(G106="撤单",G106="交易失败",G106="交易关闭"),G106="交易失败",G106="交易关闭"),G106="交易失败",G106="交易关闭"),"已排除",IF(G106="待确认","待确认",IF(NOT(OR(G106="已确认",G106="历史估算")),"请选择确认状态",IF(NOT(ISNUMBER(A106)),"缺少有效净值日期",IF(OR(A106&lt;=0,A106&lt;&gt;INT(A106)),"净值日期无效",IF(NOT(OR(OR(B106="买入",B106="定投",B106="转换转入"),B106="卖出",B106="现金分红",B106="红利再投")),"请选择交易类型",IF(NOT(ISNUMBER(C106)),"缺少成交净值",IF(C106&lt;=0,"成交净值须大于零",IF(NOT(ISNUMBER(D106)),"缺少确认份额（分红填0）",IF(NOT(ISNUMBER(E106)),"缺少确认金额（再投填0）",IF(NOT(ISNUMBER(F106)),"缺少手续费（无费用填0）",IF(OR(D106&lt;0,E106&lt;0,F106&lt;0),"份额金额费用不能为负",IF(AA105="错误","前行待修正",IF(A106&lt;Z105,"日期需按成交顺序递增",IF(AND(B106="现金分红",OR(D106&lt;&gt;0,E106&lt;=0,F106&lt;&gt;0)),"分红填份额0、费用0、正金额",IF(AND(B106="红利再投",OR(D106&lt;=0,E106&lt;&gt;0,F106&lt;&gt;0)),"再投填正份额、金额0、费用0",IF(AND(OR(B106="现金分红",B106="红利再投"),K105&lt;=0),"分红或再投前须有持仓",IF(AND(OR(OR(B106="买入",B106="定投",B106="转换转入"),B106="卖出"),OR(D106&lt;=0,E106&lt;=0)),"买卖须填正份额、正金额",IF(AND(B106="卖出",D106&gt;K105+0.000001),"卖出份额超过持仓",IF(AND(OR(B106="买入",B106="定投",B106="转换转入"),F106&gt;=E106)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106="买入",B106="定投",B106="转换转入"),ABS(E106-F106-C106*D106)&gt;'持仓总览'!$H$6),"买入金额与份额净值不符",IF(AND(B106="卖出",ABS(E106+F106-C106*D106)&gt;'持仓总览'!$H$6),"到账���费用与赎回市值不符","已计入"))))))))))))))))))))))))))</f>
        <v>已计入</v>
      </c>
      <c r="J106" s="11">
        <f t="shared" si="18">IF(AA106="正常",IF(I106="已计入",IF(OR(OR(B106="买入",B106="定投",B106="转换转入"),B106="红利再投"),D106,IF(B106="卖出",-D106,0)),0),"")</f>
        <v>7.65</v>
      </c>
      <c r="K106" s="11">
        <f t="shared" si="23">IF(AA106="正常",ROUND(K105+J106,6),"")</f>
        <v>24965.98</v>
      </c>
      <c r="L106" s="11">
        <f t="shared" si="24">IF(I106="已计入",ROUND(K105*C106,2),"")</f>
        <v>162965.42</v>
      </c>
      <c r="M106" s="11">
        <f t="shared" si="25">IF(I106="已计入",IF(B106="卖出",MAX(0,L106-Q105-F106),IF(B106="现金分红",MAX(0,L106+E106-Q105),0)),"")</f>
        <v>0</v>
      </c>
      <c r="N106" s="11">
        <f>IF(I106="已计入",IF(AND(B106="卖出",'持仓总览'!$C$7="本金优先"),MAX(0,E106-Q105),IF(OR(B106="卖出",B106="现金分红"),MIN(E106,M106),0)),"")</f>
        <v>0</v>
      </c>
      <c r="O106" s="11">
        <f t="shared" si="26">IF(I106="已计入",IF(OR(B106="卖出",B106="现金分红"),MIN(Q105,MAX(0,E106-N106)),0),"")</f>
        <v>0</v>
      </c>
      <c r="P106" s="11">
        <f t="shared" si="27">IF(I106="已计入",IF(AND(B106="卖出",K106=0),MAX(0,Q105-O106),0),"")</f>
        <v>0</v>
      </c>
      <c r="Q106" s="11">
        <f t="shared" si="28">IF(AA106="正常",IF(I106="已计入",ROUND(Q105+IF(OR(B106="买入",B106="定投",B106="转换转入"),E106,0)-O106-P106,2),Q105),"")</f>
        <v>124710</v>
      </c>
      <c r="R106" s="11">
        <f t="shared" si="19">IF(I106="已计入",ROUND(K106*C106,2),"")</f>
        <v>163015.37</v>
      </c>
      <c r="S106" s="11">
        <f t="shared" si="20">IF(I106="已计入",ROUND(R106-Q106,2),"")</f>
        <v>38305.37</v>
      </c>
      <c r="T106" s="12">
        <f t="shared" si="21">IF(I106="已计入",IF(Q106=0,"",S106/Q106),"")</f>
        <v>0.30715556090129104</v>
      </c>
      <c r="U106" s="11">
        <f t="shared" si="29">IF(AA106="正常",U105+IF(AND(I106="已计入",OR(B106="买入",B106="定投",B106="转换转入")),E106,0),"")</f>
        <v>124710</v>
      </c>
      <c r="V106" s="11">
        <f t="shared" si="30">IF(AA106="正常",V105+IF(AND(I106="已计入",OR(B106="卖出",B106="现金分红")),E106,0),"")</f>
        <v>0</v>
      </c>
      <c r="W106" s="11">
        <f t="shared" si="31">IF(AA106="正常",W105+IF(I106="已计入",N106,0),"")</f>
        <v>0</v>
      </c>
      <c r="X106" s="11">
        <f t="shared" si="32">IF(AA106="正常",X105+IF(I106="已计入",P106,0),"")</f>
        <v>0</v>
      </c>
      <c r="Y106" s="11">
        <f t="shared" si="22">IF(I106="已计入",ROUND(R106+V106-U106,2),"")</f>
        <v>38305.37</v>
      </c>
      <c r="Z106" s="13">
        <f t="shared" si="33">IF(AA106="正常",IF(I106="已计入",A106,Z105),"")</f>
        <v>46182</v>
      </c>
      <c r="AA106" s="10" t="str">
        <f t="shared" si="34">IF(OR(AA105="错误",AND(I106&lt;&gt;"",I106&lt;&gt;"已排除",I106&lt;&gt;"待确认",I106&lt;&gt;"已计入")),"错误","正常")</f>
        <v>正常</v>
      </c>
      <c r="AB106" s="14">
        <f t="shared" si="35">IF(AA106="正常",IF(I106="已计入",C106,AB105),"")</f>
        <v>6.5295</v>
      </c>
    </row>
    <row r="107" ht="42" customHeight="1">
      <c r="A107" s="36">
        <v>46183</v>
      </c>
      <c r="B107" s="37" t="inlineStr">
        <is>
          <t>定投</t>
        </is>
      </c>
      <c r="C107" s="38">
        <v>6.342</v>
      </c>
      <c r="D107" s="39">
        <v>7.87</v>
      </c>
      <c r="E107" s="39">
        <v>50</v>
      </c>
      <c r="F107" s="39">
        <v>0.08</v>
      </c>
      <c r="G107" s="37" t="inlineStr">
        <is>
          <t>历史估算</t>
        </is>
      </c>
      <c r="H107" s="40" t="inlineStr">
        <is>
          <t>原下单 2026-06-10 12:03:19
净值日／份额暂估，手续费按 0.16%</t>
        </is>
      </c>
      <c r="I107" s="10" t="str">
        <f>IF(COUNTA(A107:H107)=0,"",IF(OR(OR(OR(G107="撤单",G107="交易失败",G107="交易关闭"),G107="交易失败",G107="交易关闭"),G107="交易失败",G107="交易关闭"),"已排除",IF(G107="待确认","待确认",IF(NOT(OR(G107="已确认",G107="历史估算")),"请选择确认状态",IF(NOT(ISNUMBER(A107)),"缺少有效净值日期",IF(OR(A107&lt;=0,A107&lt;&gt;INT(A107)),"净值日期无效",IF(NOT(OR(OR(B107="买入",B107="定投",B107="转换转入"),B107="卖出",B107="现金分红",B107="红利再投")),"请选择交易类型",IF(NOT(ISNUMBER(C107)),"缺少成交净值",IF(C107&lt;=0,"成交净值须大于零",IF(NOT(ISNUMBER(D107)),"缺少确认份额（分红填0）",IF(NOT(ISNUMBER(E107)),"缺少确认金额（再投填0）",IF(NOT(ISNUMBER(F107)),"缺少手续费（无费用填0）",IF(OR(D107&lt;0,E107&lt;0,F107&lt;0),"份额金额费用不能为负",IF(AA106="错误","前行待修正",IF(A107&lt;Z106,"日期需按成交顺序递增",IF(AND(B107="现金分红",OR(D107&lt;&gt;0,E107&lt;=0,F107&lt;&gt;0)),"分红填份额0、费用0、正金额",IF(AND(B107="红利再投",OR(D107&lt;=0,E107&lt;&gt;0,F107&lt;&gt;0)),"再投填正份额、金额0、费用0",IF(AND(OR(B107="现金分红",B107="红利再投"),K106&lt;=0),"分红或再投前须有持仓",IF(AND(OR(OR(B107="买入",B107="定投",B107="转换转入"),B107="卖出"),OR(D107&lt;=0,E107&lt;=0)),"买卖须填正份额、正金额",IF(AND(B107="卖出",D107&gt;K106+0.000001),"卖出份额超过持仓",IF(AND(OR(B107="买入",B107="定投",B107="转换转入"),F107&gt;=E107)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107="买入",B107="定投",B107="转换转入"),ABS(E107-F107-C107*D107)&gt;'持仓总览'!$H$6),"买入金额与份额净值不符",IF(AND(B107="卖出",ABS(E107+F107-C107*D107)&gt;'持仓总览'!$H$6),"到账加费用与赎回市值不符","已计入"))))))))))))))))))))))))))</f>
        <v>已计入</v>
      </c>
      <c r="J107" s="11">
        <f t="shared" si="18">IF(AA107="正常",IF(I107="已计入",IF(OR(OR(B107="买入",B107="定投",B107="转换转入"),B107="红利再投"),D107,IF(B107="卖出",-D107,0)),0),"")</f>
        <v>7.87</v>
      </c>
      <c r="K107" s="11">
        <f t="shared" si="23">IF(AA107="正常",ROUND(K106+J107,6),"")</f>
        <v>24973.85</v>
      </c>
      <c r="L107" s="11">
        <f t="shared" si="24">IF(I107="已计入",ROUND(K106*C107,2),"")</f>
        <v>158334.25</v>
      </c>
      <c r="M107" s="11">
        <f t="shared" si="25">IF(I107="已计入",IF(B107="卖出",MAX(0,L107-Q106-F107),IF(B107="现金分红",MAX(0,L107+E107-Q106),0)),"")</f>
        <v>0</v>
      </c>
      <c r="N107" s="11">
        <f>IF(I107="已计入",IF(AND(B107="卖出",'持仓总览'!$C$7="本金优先"),MAX(0,E107-Q106),IF(OR(B107="卖出",B107="现金分红"),MIN(E107,M107),0)),"")</f>
        <v>0</v>
      </c>
      <c r="O107" s="11">
        <f t="shared" si="26">IF(I107="已计入",IF(OR(B107="卖出",B107="现金分红"),MIN(Q106,MAX(0,E107-N107)),0),"")</f>
        <v>0</v>
      </c>
      <c r="P107" s="11">
        <f t="shared" si="27">IF(I107="已计入",IF(AND(B107="卖出",K107=0),MAX(0,Q106-O107),0),"")</f>
        <v>0</v>
      </c>
      <c r="Q107" s="11">
        <f t="shared" si="28">IF(AA107="正常",IF(I107="已计入",ROUND(Q106+IF(OR(B107="买入",B107="定投",B107="转换转入"),E107,0)-O107-P107,2),Q106),"")</f>
        <v>124760</v>
      </c>
      <c r="R107" s="11">
        <f t="shared" si="19">IF(I107="已计入",ROUND(K107*C107,2),"")</f>
        <v>158384.16</v>
      </c>
      <c r="S107" s="11">
        <f t="shared" si="20">IF(I107="已计入",ROUND(R107-Q107,2),"")</f>
        <v>33624.16</v>
      </c>
      <c r="T107" s="12">
        <f t="shared" si="21">IF(I107="已计入",IF(Q107=0,"",S107/Q107),"")</f>
        <v>0.26951074062199426</v>
      </c>
      <c r="U107" s="11">
        <f t="shared" si="29">IF(AA107="正常",U106+IF(AND(I107="已计入",OR(B107="买入",B107="定投",B107="转换转入")),E107,0),"")</f>
        <v>124760</v>
      </c>
      <c r="V107" s="11">
        <f t="shared" si="30">IF(AA107="正常",V106+IF(AND(I107="已计入",OR(B107="卖出",B107="现金分红")),E107,0),"")</f>
        <v>0</v>
      </c>
      <c r="W107" s="11">
        <f t="shared" si="31">IF(AA107="正常",W106+IF(I107="已计入",N107,0),"")</f>
        <v>0</v>
      </c>
      <c r="X107" s="11">
        <f t="shared" si="32">IF(AA107="正常",X106+IF(I107="已计入",P107,0),"")</f>
        <v>0</v>
      </c>
      <c r="Y107" s="11">
        <f t="shared" si="22">IF(I107="已计入",ROUND(R107+V107-U107,2),"")</f>
        <v>33624.16</v>
      </c>
      <c r="Z107" s="13">
        <f t="shared" si="33">IF(AA107="正常",IF(I107="已计入",A107,Z106),"")</f>
        <v>46183</v>
      </c>
      <c r="AA107" s="10" t="str">
        <f t="shared" si="34">IF(OR(AA106="错误",AND(I107&lt;&gt;"",I107&lt;&gt;"已排除",I107&lt;&gt;"待确认",I107&lt;&gt;"已计入")),"错误","正常")</f>
        <v>正常</v>
      </c>
      <c r="AB107" s="14">
        <f t="shared" si="35">IF(AA107="正常",IF(I107="已计入",C107,AB106),"")</f>
        <v>6.342</v>
      </c>
    </row>
    <row r="108" ht="42" customHeight="1">
      <c r="A108" s="36">
        <v>46184</v>
      </c>
      <c r="B108" s="37" t="inlineStr">
        <is>
          <t>定投</t>
        </is>
      </c>
      <c r="C108" s="38">
        <v>6.6019</v>
      </c>
      <c r="D108" s="39">
        <v>15.12</v>
      </c>
      <c r="E108" s="39">
        <v>100</v>
      </c>
      <c r="F108" s="39">
        <v>0.16</v>
      </c>
      <c r="G108" s="37" t="inlineStr">
        <is>
          <t>历史估算</t>
        </is>
      </c>
      <c r="H108" s="40" t="inlineStr">
        <is>
          <t>原下单 2026-06-11 12:17:58
净值日／份额暂估，手续费按 0.16%</t>
        </is>
      </c>
      <c r="I108" s="10" t="str">
        <f>IF(COUNTA(A108:H108)=0,"",IF(OR(OR(OR(G108="撤单",G108="交易失败",G108="交易关闭"),G108="交易失败",G108="交易关闭"),G108="交易失败",G108="交易关闭"),"已排除",IF(G108="待确认","待确认",IF(NOT(OR(G108="已确认",G108="历史估算")),"请选择确认状态",IF(NOT(ISNUMBER(A108)),"缺少有效净值日期",IF(OR(A108&lt;=0,A108&lt;&gt;INT(A108)),"净值日期无效",IF(NOT(OR(OR(B108="买入",B108="定投",B108="转换转入"),B108="卖出",B108="现金分红",B108="红利再投")),"请选择交易类型",IF(NOT(ISNUMBER(C108)),"缺少成交净值",IF(C108&lt;=0,"成交净值须大于零",IF(NOT(ISNUMBER(D108)),"缺少确认份额（分红填0）",IF(NOT(ISNUMBER(E108)),"缺少确认金额（再投填0）",IF(NOT(ISNUMBER(F108)),"缺少手续费（无费用填0）",IF(OR(D108&lt;0,E108&lt;0,F108&lt;0),"份额金额费用不能为负",IF(AA107="错误","前行待修正",IF(A108&lt;Z107,"日期需按成交顺序递增",IF(AND(B108="现金分红",OR(D108&lt;&gt;0,E108&lt;=0,F108&lt;&gt;0)),"分红填份额0、费用0、正金额",IF(AND(B108="红利再投",OR(D108&lt;=0,E108&lt;&gt;0,F108&lt;&gt;0)),"再投填正份额、金额0、费用0",IF(AND(OR(B108="现金分红",B108="红利再投"),K107&lt;=0),"分红或再投前须有持仓",IF(AND(OR(OR(B108="买入",B108="定投",B108="转换转入"),B108="卖出"),OR(D108&lt;=0,E108&lt;=0)),"买卖须填正份额、正金额",IF(AND(B108="卖出",D108&gt;K107+0.000001),"卖出份额超过持仓",IF(AND(OR(B108="买入",B108="定投",B108="转换转入"),F108&gt;=E108)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108="买入",B108="定投",B108="转换转入"),ABS(E108-F108-C108*D108)&gt;'持仓总览'!$H$6),"买入金额与份额净值不符",IF(AND(B108="卖出",ABS(E108+F108-C108*D108)&gt;'持仓总览'!$H$6),"到账加费用与赎回市值不符","已计入"))))))))))))))))))))))))))</f>
        <v>已计入</v>
      </c>
      <c r="J108" s="11">
        <f t="shared" si="18">IF(AA108="正常",IF(I108="已计入",IF(OR(OR(B108="买入",B108="定投",B108="转换转入"),B108="红利再投"),D108,IF(B108="卖出",-D108,0)),0),"")</f>
        <v>15.12</v>
      </c>
      <c r="K108" s="11">
        <f t="shared" si="23">IF(AA108="正常",ROUND(K107+J108,6),"")</f>
        <v>24988.97</v>
      </c>
      <c r="L108" s="11">
        <f t="shared" si="24">IF(I108="已计入",ROUND(K107*C108,2),"")</f>
        <v>164874.86</v>
      </c>
      <c r="M108" s="11">
        <f t="shared" si="25">IF(I108="已计入",IF(B108="卖出",MAX(0,L108-Q107-F108),IF(B108="现金分红",MAX(0,L108+E108-Q107),0)),"")</f>
        <v>0</v>
      </c>
      <c r="N108" s="11">
        <f>IF(I108="已计入",IF(AND(B108="卖出",'持仓总览'!$C$7="本金优先"),MAX(0,E108-Q107),IF(OR(B108="卖出",B108="现金分红"),MIN(E108,M108),0)),"")</f>
        <v>0</v>
      </c>
      <c r="O108" s="11">
        <f t="shared" si="26">IF(I108="已计入",IF(OR(B108="卖出",B108="现金分红"),MIN(Q107,MAX(0,E108-N108)),0),"")</f>
        <v>0</v>
      </c>
      <c r="P108" s="11">
        <f t="shared" si="27">IF(I108="已计入",IF(AND(B108="卖出",K108=0),MAX(0,Q107-O108),0),"")</f>
        <v>0</v>
      </c>
      <c r="Q108" s="11">
        <f t="shared" si="28">IF(AA108="正常",IF(I108="已计入",ROUND(Q107+IF(OR(B108="买入",B108="定投",B108="转换转入"),E108,0)-O108-P108,2),Q107),"")</f>
        <v>124860</v>
      </c>
      <c r="R108" s="11">
        <f t="shared" si="19">IF(I108="已计入",ROUND(K108*C108,2),"")</f>
        <v>164974.68</v>
      </c>
      <c r="S108" s="11">
        <f t="shared" si="20">IF(I108="已计入",ROUND(R108-Q108,2),"")</f>
        <v>40114.68</v>
      </c>
      <c r="T108" s="12">
        <f t="shared" si="21">IF(I108="已计入",IF(Q108=0,"",S108/Q108),"")</f>
        <v>0.3212772705430082</v>
      </c>
      <c r="U108" s="11">
        <f t="shared" si="29">IF(AA108="正常",U107+IF(AND(I108="已计入",OR(B108="买入",B108="定投",B108="转换转入")),E108,0),"")</f>
        <v>124860</v>
      </c>
      <c r="V108" s="11">
        <f t="shared" si="30">IF(AA108="正常",V107+IF(AND(I108="已计入",OR(B108="卖出",B108="现金分红")),E108,0),"")</f>
        <v>0</v>
      </c>
      <c r="W108" s="11">
        <f t="shared" si="31">IF(AA108="正常",W107+IF(I108="已计入",N108,0),"")</f>
        <v>0</v>
      </c>
      <c r="X108" s="11">
        <f t="shared" si="32">IF(AA108="正常",X107+IF(I108="已计入",P108,0),"")</f>
        <v>0</v>
      </c>
      <c r="Y108" s="11">
        <f t="shared" si="22">IF(I108="已计入",ROUND(R108+V108-U108,2),"")</f>
        <v>40114.68</v>
      </c>
      <c r="Z108" s="13">
        <f t="shared" si="33">IF(AA108="正常",IF(I108="已计入",A108,Z107),"")</f>
        <v>46184</v>
      </c>
      <c r="AA108" s="10" t="str">
        <f t="shared" si="34">IF(OR(AA107="错误",AND(I108&lt;&gt;"",I108&lt;&gt;"已排除",I108&lt;&gt;"待确认",I108&lt;&gt;"已计入")),"错误","正常")</f>
        <v>正常</v>
      </c>
      <c r="AB108" s="14">
        <f t="shared" si="35">IF(AA108="正常",IF(I108="已计入",C108,AB107),"")</f>
        <v>6.6019</v>
      </c>
    </row>
    <row r="109" ht="42" customHeight="1">
      <c r="A109" s="36">
        <v>46185</v>
      </c>
      <c r="B109" s="37" t="inlineStr">
        <is>
          <t>定投</t>
        </is>
      </c>
      <c r="C109" s="38">
        <v>6.6909</v>
      </c>
      <c r="D109" s="39">
        <v>14.92</v>
      </c>
      <c r="E109" s="39">
        <v>100</v>
      </c>
      <c r="F109" s="39">
        <v>0.16</v>
      </c>
      <c r="G109" s="37" t="inlineStr">
        <is>
          <t>历史估算</t>
        </is>
      </c>
      <c r="H109" s="40" t="inlineStr">
        <is>
          <t>原下单 2026-06-12 12:04:37
净值日／份额暂估，手续费按 0.16%</t>
        </is>
      </c>
      <c r="I109" s="10" t="str">
        <f>IF(COUNTA(A109:H109)=0,"",IF(OR(OR(OR(G109="撤单",G109="交易失败",G109="交易关闭"),G109="交易失败",G109="交易关闭"),G109="交易失败",G109="交易关闭"),"已排除",IF(G109="待确认","待确认",IF(NOT(OR(G109="已确认",G109="历史估算")),"请选择确认状态",IF(NOT(ISNUMBER(A109)),"缺少有效净值日期",IF(OR(A109&lt;=0,A109&lt;&gt;INT(A109)),"净值日期无效",IF(NOT(OR(OR(B109="买入",B109="定投",B109="转换转入"),B109="卖出",B109="现金分红",B109="红利再投")),"请选择交易类型",IF(NOT(ISNUMBER(C109)),"缺少成交净值",IF(C109&lt;=0,"成交净值须大于零",IF(NOT(ISNUMBER(D109)),"缺少确认份额（分红填0）",IF(NOT(ISNUMBER(E109)),"缺少确认金额（再投填0）",IF(NOT(ISNUMBER(F109)),"缺少手续费（无费用填0）",IF(OR(D109&lt;0,E109&lt;0,F109&lt;0),"份额金额费用不能为负",IF(AA108="错误","前行待修正",IF(A109&lt;Z108,"日期需按成交顺序递增",IF(AND(B109="现金分红",OR(D109&lt;&gt;0,E109&lt;=0,F109&lt;&gt;0)),"分红填份额0、费用0、正金额",IF(AND(B109="红利再投",OR(D109&lt;=0,E109&lt;&gt;0,F109&lt;&gt;0)),"再投填正份额、金额0、费用0",IF(AND(OR(B109="现金分红",B109="红利再投"),K108&lt;=0),"分红或再投前须有持仓",IF(AND(OR(OR(B109="买入",B109="定投",B109="转换转入"),B109="卖出"),OR(D109&lt;=0,E109&lt;=0)),"买卖须填正份额、正金额",IF(AND(B109="卖出",D109&gt;K108+0.000001),"卖出份额超过持仓",IF(AND(OR(B109="买入",B109="定投",B109="转换转入"),F109&gt;=E109)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109="买入",B109="定投",B109="转换转入"),ABS(E109-F109-C109*D109)&gt;'持仓总览'!$H$6),"买入金额与份额净值不符",IF(AND(B109="卖出",ABS(E109+F109-C109*D109)&gt;'持仓总览'!$H$6),"到账加费用与赎回市值不符","已计入"))))))))))))))))))))))))))</f>
        <v>已计入</v>
      </c>
      <c r="J109" s="11">
        <f t="shared" si="18">IF(AA109="正常",IF(I109="已计入",IF(OR(OR(B109="买入",B109="定投",B109="转换转入"),B109="红利再投"),D109,IF(B109="卖出",-D109,0)),0),"")</f>
        <v>14.92</v>
      </c>
      <c r="K109" s="11">
        <f t="shared" si="23">IF(AA109="正常",ROUND(K108+J109,6),"")</f>
        <v>25003.89</v>
      </c>
      <c r="L109" s="11">
        <f t="shared" si="24">IF(I109="已计入",ROUND(K108*C109,2),"")</f>
        <v>167198.7</v>
      </c>
      <c r="M109" s="11">
        <f t="shared" si="25">IF(I109="已计入",IF(B109="卖出",MAX(0,L109-Q108-F109),IF(B109="现金分红",MAX(0,L109+E109-Q108),0)),"")</f>
        <v>0</v>
      </c>
      <c r="N109" s="11">
        <f>IF(I109="已计入",IF(AND(B109="卖出",'持仓总览'!$C$7="本金优先"),MAX(0,E109-Q108),IF(OR(B109="卖出",B109="现金分红"),MIN(E109,M109),0)),"")</f>
        <v>0</v>
      </c>
      <c r="O109" s="11">
        <f t="shared" si="26">IF(I109="已计入",IF(OR(B109="卖出",B109="现金分红"),MIN(Q108,MAX(0,E109-N109)),0),"")</f>
        <v>0</v>
      </c>
      <c r="P109" s="11">
        <f t="shared" si="27">IF(I109="已计入",IF(AND(B109="卖出",K109=0),MAX(0,Q108-O109),0),"")</f>
        <v>0</v>
      </c>
      <c r="Q109" s="11">
        <f t="shared" si="28">IF(AA109="正常",IF(I109="已计入",ROUND(Q108+IF(OR(B109="买入",B109="定投",B109="转换转入"),E109,0)-O109-P109,2),Q108),"")</f>
        <v>124960</v>
      </c>
      <c r="R109" s="11">
        <f t="shared" si="19">IF(I109="已计入",ROUND(K109*C109,2),"")</f>
        <v>167298.53</v>
      </c>
      <c r="S109" s="11">
        <f t="shared" si="20">IF(I109="已计入",ROUND(R109-Q109,2),"")</f>
        <v>42338.53</v>
      </c>
      <c r="T109" s="12">
        <f t="shared" si="21">IF(I109="已计入",IF(Q109=0,"",S109/Q109),"")</f>
        <v>0.33881666133162613</v>
      </c>
      <c r="U109" s="11">
        <f t="shared" si="29">IF(AA109="正常",U108+IF(AND(I109="已计入",OR(B109="买入",B109="定投",B109="转换转入")),E109,0),"")</f>
        <v>124960</v>
      </c>
      <c r="V109" s="11">
        <f t="shared" si="30">IF(AA109="正常",V108+IF(AND(I109="已计入",OR(B109="卖出",B109="现金分红")),E109,0),"")</f>
        <v>0</v>
      </c>
      <c r="W109" s="11">
        <f t="shared" si="31">IF(AA109="正常",W108+IF(I109="已计入",N109,0),"")</f>
        <v>0</v>
      </c>
      <c r="X109" s="11">
        <f t="shared" si="32">IF(AA109="正常",X108+IF(I109="已计入",P109,0),"")</f>
        <v>0</v>
      </c>
      <c r="Y109" s="11">
        <f t="shared" si="22">IF(I109="已计入",ROUND(R109+V109-U109,2),"")</f>
        <v>42338.53</v>
      </c>
      <c r="Z109" s="13">
        <f t="shared" si="33">IF(AA109="正常",IF(I109="已计入",A109,Z108),"")</f>
        <v>46185</v>
      </c>
      <c r="AA109" s="10" t="str">
        <f t="shared" si="34">IF(OR(AA108="错误",AND(I109&lt;&gt;"",I109&lt;&gt;"已排除",I109&lt;&gt;"待确认",I109&lt;&gt;"已计入")),"错误","正常")</f>
        <v>正常</v>
      </c>
      <c r="AB109" s="14">
        <f t="shared" si="35">IF(AA109="正常",IF(I109="已计入",C109,AB108),"")</f>
        <v>6.6909</v>
      </c>
    </row>
    <row r="110" ht="42" customHeight="1">
      <c r="A110" s="36">
        <v>46204</v>
      </c>
      <c r="B110" s="37" t="inlineStr">
        <is>
          <t>定投</t>
        </is>
      </c>
      <c r="C110" s="38">
        <v>7.3264</v>
      </c>
      <c r="D110" s="39">
        <v>13.63</v>
      </c>
      <c r="E110" s="39">
        <v>100</v>
      </c>
      <c r="F110" s="39">
        <v>0.16</v>
      </c>
      <c r="G110" s="37" t="inlineStr">
        <is>
          <t>历史估算</t>
        </is>
      </c>
      <c r="H110" s="40" t="inlineStr">
        <is>
          <t>原下单 2026-07-01 11:52:24
净值日／份额暂估，手续费按 0.16%</t>
        </is>
      </c>
      <c r="I110" s="10" t="str">
        <f>IF(COUNTA(A110:H110)=0,"",IF(OR(OR(OR(G110="撤单",G110="交易失败",G110="交易关闭"),G110="交易失败",G110="交易关闭"),G110="交易失败",G110="交易关闭"),"已排除",IF(G110="待确认","待确认",IF(NOT(OR(G110="已确认",G110="历史估算")),"请选择确认状态",IF(NOT(ISNUMBER(A110)),"缺少有效净值日期",IF(OR(A110&lt;=0,A110&lt;&gt;INT(A110)),"净值日期无效",IF(NOT(OR(OR(B110="买入",B110="定投",B110="转换转入"),B110="卖出",B110="现金分红",B110="红利再投")),"请选择交易类型",IF(NOT(ISNUMBER(C110)),"缺少成交净值",IF(C110&lt;=0,"成交净值须大于零",IF(NOT(ISNUMBER(D110)),"缺少确认份额（分红填0）",IF(NOT(ISNUMBER(E110)),"缺少确认金额（再投填0）",IF(NOT(ISNUMBER(F110)),"缺少手续费（无费用填0）",IF(OR(D110&lt;0,E110&lt;0,F110&lt;0),"份额金额费用不能为负",IF(AA109="错误","前行待修正",IF(A110&lt;Z109,"日期需按成交顺序递增",IF(AND(B110="现金分红",OR(D110&lt;&gt;0,E110&lt;=0,F110&lt;&gt;0)),"分红填份额0、费用0、正金额",IF(AND(B110="红利再投",OR(D110&lt;=0,E110&lt;&gt;0,F110&lt;&gt;0)),"再投填正份额、金额0、费用0",IF(AND(OR(B110="现金分红",B110="红利再投"),K109&lt;=0),"分红或再投前须有持仓",IF(AND(OR(OR(B110="买入",B110="定投",B110="转换转入"),B110="卖出"),OR(D110&lt;=0,E110&lt;=0)),"买卖须填正份额、正金额",IF(AND(B110="卖出",D110&gt;K109+0.000001),"卖出份额超过持仓",IF(AND(OR(B110="买入",B110="定投",B110="转换转入"),F110&gt;=E110)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110="买入",B110="定投",B110="转换转入"),ABS(E110-F110-C110*D110)&gt;'持仓总览'!$H$6),"买入金额与份额净值不符",IF(AND(B110="卖出",ABS(E110+F110-C110*D110)&gt;'持仓总览'!$H$6),"到账加费用与赎回市值不符","已计入"))))))))))))))))))))))))))</f>
        <v>已计入</v>
      </c>
      <c r="J110" s="11">
        <f t="shared" si="18">IF(AA110="正常",IF(I110="已计入",IF(OR(OR(B110="买入",B110="定投",B110="转换转入"),B110="红利再投"),D110,IF(B110="卖出",-D110,0)),0),"")</f>
        <v>13.63</v>
      </c>
      <c r="K110" s="11">
        <f t="shared" si="23">IF(AA110="正常",ROUND(K109+J110,6),"")</f>
        <v>25017.52</v>
      </c>
      <c r="L110" s="11">
        <f t="shared" si="24">IF(I110="已计入",ROUND(K109*C110,2),"")</f>
        <v>183188.5</v>
      </c>
      <c r="M110" s="11">
        <f t="shared" si="25">IF(I110="已计入",IF(B110="卖出",MAX(0,L110-Q109-F110),IF(B110="现金分红",MAX(0,L110+E110-Q109),0)),"")</f>
        <v>0</v>
      </c>
      <c r="N110" s="11">
        <f>IF(I110="已计入",IF(AND(B110="卖出",'持仓总览'!$C$7="本金优先"),MAX(0,E110-Q109),IF(OR(B110="卖出",B110="现金分红"),MIN(E110,M110),0)),"")</f>
        <v>0</v>
      </c>
      <c r="O110" s="11">
        <f t="shared" si="26">IF(I110="已计入",IF(OR(B110="卖出",B110="现金分红"),MIN(Q109,MAX(0,E110-N110)),0),"")</f>
        <v>0</v>
      </c>
      <c r="P110" s="11">
        <f t="shared" si="27">IF(I110="已计入",IF(AND(B110="卖出",K110=0),MAX(0,Q109-O110),0),"")</f>
        <v>0</v>
      </c>
      <c r="Q110" s="11">
        <f t="shared" si="28">IF(AA110="正常",IF(I110="已计入",ROUND(Q109+IF(OR(B110="买入",B110="定投",B110="转换转入"),E110,0)-O110-P110,2),Q109),"")</f>
        <v>125060</v>
      </c>
      <c r="R110" s="11">
        <f t="shared" si="19">IF(I110="已计入",ROUND(K110*C110,2),"")</f>
        <v>183288.36</v>
      </c>
      <c r="S110" s="11">
        <f t="shared" si="20">IF(I110="已计入",ROUND(R110-Q110,2),"")</f>
        <v>58228.36</v>
      </c>
      <c r="T110" s="12">
        <f t="shared" si="21">IF(I110="已计入",IF(Q110=0,"",S110/Q110),"")</f>
        <v>0.46560339037262116</v>
      </c>
      <c r="U110" s="11">
        <f t="shared" si="29">IF(AA110="正常",U109+IF(AND(I110="已计入",OR(B110="买入",B110="定投",B110="转换转入")),E110,0),"")</f>
        <v>125060</v>
      </c>
      <c r="V110" s="11">
        <f t="shared" si="30">IF(AA110="正常",V109+IF(AND(I110="已计入",OR(B110="卖出",B110="现金分红")),E110,0),"")</f>
        <v>0</v>
      </c>
      <c r="W110" s="11">
        <f t="shared" si="31">IF(AA110="正常",W109+IF(I110="已计入",N110,0),"")</f>
        <v>0</v>
      </c>
      <c r="X110" s="11">
        <f t="shared" si="32">IF(AA110="正常",X109+IF(I110="已计入",P110,0),"")</f>
        <v>0</v>
      </c>
      <c r="Y110" s="11">
        <f t="shared" si="22">IF(I110="已计入",ROUND(R110+V110-U110,2),"")</f>
        <v>58228.36</v>
      </c>
      <c r="Z110" s="13">
        <f t="shared" si="33">IF(AA110="正常",IF(I110="已计入",A110,Z109),"")</f>
        <v>46204</v>
      </c>
      <c r="AA110" s="10" t="str">
        <f t="shared" si="34">IF(OR(AA109="错误",AND(I110&lt;&gt;"",I110&lt;&gt;"已排除",I110&lt;&gt;"待确认",I110&lt;&gt;"已计入")),"错误","正常")</f>
        <v>正常</v>
      </c>
      <c r="AB110" s="14">
        <f t="shared" si="35">IF(AA110="正常",IF(I110="已计入",C110,AB109),"")</f>
        <v>7.3264</v>
      </c>
    </row>
    <row r="111" ht="42" customHeight="1">
      <c r="A111" s="36">
        <v>46205</v>
      </c>
      <c r="B111" s="37" t="inlineStr">
        <is>
          <t>定投</t>
        </is>
      </c>
      <c r="C111" s="38">
        <v>6.8688</v>
      </c>
      <c r="D111" s="39">
        <v>14.54</v>
      </c>
      <c r="E111" s="39">
        <v>100</v>
      </c>
      <c r="F111" s="39">
        <v>0.16</v>
      </c>
      <c r="G111" s="37" t="inlineStr">
        <is>
          <t>历史估算</t>
        </is>
      </c>
      <c r="H111" s="40" t="inlineStr">
        <is>
          <t>原下单 2026-07-02 12:41:28
净值日／份额暂估，手续费按 0.16%</t>
        </is>
      </c>
      <c r="I111" s="10" t="str">
        <f>IF(COUNTA(A111:H111)=0,"",IF(OR(OR(OR(G111="撤单",G111="交易失败",G111="交易关闭"),G111="交易失败",G111="交易关闭"),G111="交易失败",G111="交易关闭"),"已排除",IF(G111="待确认","待确认",IF(NOT(OR(G111="已确认",G111="历史估算")),"请选择确认状态",IF(NOT(ISNUMBER(A111)),"缺少有效净值日期",IF(OR(A111&lt;=0,A111&lt;&gt;INT(A111)),"净值日期无效",IF(NOT(OR(OR(B111="买入",B111="定投",B111="转换转入"),B111="卖出",B111="现金分红",B111="红利再投")),"请选择交易类型",IF(NOT(ISNUMBER(C111)),"缺少成交净值",IF(C111&lt;=0,"成交净值须大于零",IF(NOT(ISNUMBER(D111)),"缺少确认份额（分红填0）",IF(NOT(ISNUMBER(E111)),"缺少确认金额（再投填0）",IF(NOT(ISNUMBER(F111)),"缺少手续费（无费用填0）",IF(OR(D111&lt;0,E111&lt;0,F111&lt;0),"份额金额费用不能为负",IF(AA110="错误","前行待修正",IF(A111&lt;Z110,"日期需按成交顺序递增",IF(AND(B111="现金分红",OR(D111&lt;&gt;0,E111&lt;=0,F111&lt;&gt;0)),"分红填份额0、费用0、正金额",IF(AND(B111="红利再投",OR(D111&lt;=0,E111&lt;&gt;0,F111&lt;&gt;0)),"再投填正份额、金额0、费用0",IF(AND(OR(B111="现金分红",B111="红利再投"),K110&lt;=0),"分红或再投前须有持仓",IF(AND(OR(OR(B111="买入",B111="定投",B111="转换转入"),B111="卖出"),OR(D111&lt;=0,E111&lt;=0)),"买卖须填正份额、正金额",IF(AND(B111="卖出",D111&gt;K110+0.000001),"卖出份额超过持仓",IF(AND(OR(B111="买入",B111="定投",B111="转换转入"),F111&gt;=E111)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111="买入",B111="定投",B111="转换转入"),ABS(E111-F111-C111*D111)&gt;'持仓总览'!$H$6),"买入金额与份额净值不符",IF(AND(B111="卖出",ABS(E111+F111-C111*D111)&gt;'持仓总览'!$H$6),"到账加费用与赎回市值不符","已计入"))))))))))))))))))))))))))</f>
        <v>已计入</v>
      </c>
      <c r="J111" s="11">
        <f t="shared" si="18">IF(AA111="正常",IF(I111="已计入",IF(OR(OR(B111="买入",B111="定投",B111="转换转入"),B111="红利再投"),D111,IF(B111="卖出",-D111,0)),0),"")</f>
        <v>14.54</v>
      </c>
      <c r="K111" s="11">
        <f t="shared" si="23">IF(AA111="正常",ROUND(K110+J111,6),"")</f>
        <v>25032.06</v>
      </c>
      <c r="L111" s="11">
        <f t="shared" si="24">IF(I111="已计入",ROUND(K110*C111,2),"")</f>
        <v>171840.34</v>
      </c>
      <c r="M111" s="11">
        <f t="shared" si="25">IF(I111="已计入",IF(B111="卖出",MAX(0,L111-Q110-F111),IF(B111="现金分红",MAX(0,L111+E111-Q110),0)),"")</f>
        <v>0</v>
      </c>
      <c r="N111" s="11">
        <f>IF(I111="已计入",IF(AND(B111="卖出",'持仓总览'!$C$7="本金优先"),MAX(0,E111-Q110),IF(OR(B111="卖出",B111="现金分红"),MIN(E111,M111),0)),"")</f>
        <v>0</v>
      </c>
      <c r="O111" s="11">
        <f t="shared" si="26">IF(I111="已计入",IF(OR(B111="卖出",B111="现金分红"),MIN(Q110,MAX(0,E111-N111)),0),"")</f>
        <v>0</v>
      </c>
      <c r="P111" s="11">
        <f t="shared" si="27">IF(I111="已计入",IF(AND(B111="卖出",K111=0),MAX(0,Q110-O111),0),"")</f>
        <v>0</v>
      </c>
      <c r="Q111" s="11">
        <f t="shared" si="28">IF(AA111="正常",IF(I111="已计入",ROUND(Q110+IF(OR(B111="买入",B111="定投",B111="转换转入"),E111,0)-O111-P111,2),Q110),"")</f>
        <v>125160</v>
      </c>
      <c r="R111" s="11">
        <f t="shared" si="19">IF(I111="已计入",ROUND(K111*C111,2),"")</f>
        <v>171940.21</v>
      </c>
      <c r="S111" s="11">
        <f t="shared" si="20">IF(I111="已计入",ROUND(R111-Q111,2),"")</f>
        <v>46780.21</v>
      </c>
      <c r="T111" s="12">
        <f t="shared" si="21">IF(I111="已计入",IF(Q111=0,"",S111/Q111),"")</f>
        <v>0.37376326302333013</v>
      </c>
      <c r="U111" s="11">
        <f t="shared" si="29">IF(AA111="正常",U110+IF(AND(I111="已计入",OR(B111="买入",B111="定投",B111="转换转入")),E111,0),"")</f>
        <v>125160</v>
      </c>
      <c r="V111" s="11">
        <f t="shared" si="30">IF(AA111="正常",V110+IF(AND(I111="已计入",OR(B111="卖出",B111="现金分红")),E111,0),"")</f>
        <v>0</v>
      </c>
      <c r="W111" s="11">
        <f t="shared" si="31">IF(AA111="正常",W110+IF(I111="已计入",N111,0),"")</f>
        <v>0</v>
      </c>
      <c r="X111" s="11">
        <f t="shared" si="32">IF(AA111="正常",X110+IF(I111="已计入",P111,0),"")</f>
        <v>0</v>
      </c>
      <c r="Y111" s="11">
        <f t="shared" si="22">IF(I111="已计入",ROUND(R111+V111-U111,2),"")</f>
        <v>46780.21</v>
      </c>
      <c r="Z111" s="13">
        <f t="shared" si="33">IF(AA111="正常",IF(I111="已计入",A111,Z110),"")</f>
        <v>46205</v>
      </c>
      <c r="AA111" s="10" t="str">
        <f t="shared" si="34">IF(OR(AA110="错误",AND(I111&lt;&gt;"",I111&lt;&gt;"已排除",I111&lt;&gt;"待确认",I111&lt;&gt;"已计入")),"错误","正常")</f>
        <v>正常</v>
      </c>
      <c r="AB111" s="14">
        <f t="shared" si="35">IF(AA111="正常",IF(I111="已计入",C111,AB110),"")</f>
        <v>6.8688</v>
      </c>
    </row>
    <row r="112" ht="42" customHeight="1">
      <c r="A112" s="36">
        <v>46209</v>
      </c>
      <c r="B112" s="37" t="inlineStr">
        <is>
          <t>买入</t>
        </is>
      </c>
      <c r="C112" s="38">
        <v>6.8681</v>
      </c>
      <c r="D112" s="39">
        <v>29.07</v>
      </c>
      <c r="E112" s="39">
        <v>200</v>
      </c>
      <c r="F112" s="39">
        <v>0.32</v>
      </c>
      <c r="G112" s="37" t="inlineStr">
        <is>
          <t>历史估算</t>
        </is>
      </c>
      <c r="H112" s="40" t="inlineStr">
        <is>
          <t>原下单 2026-07-06 13:30:45
净值日／份额暂估，手续费按 0.16%</t>
        </is>
      </c>
      <c r="I112" s="10" t="str">
        <f>IF(COUNTA(A112:H112)=0,"",IF(OR(OR(OR(G112="撤单",G112="交易失败",G112="交易关闭"),G112="交易失败",G112="交易关闭"),G112="交易失败",G112="交易关闭"),"已排除",IF(G112="待确认","待确认",IF(NOT(OR(G112="已确认",G112="历史估算")),"请选择确认状态",IF(NOT(ISNUMBER(A112)),"缺少有效净值日期",IF(OR(A112&lt;=0,A112&lt;&gt;INT(A112)),"净值日期无效",IF(NOT(OR(OR(B112="买入",B112="定投",B112="转换转入"),B112="卖出",B112="现金分红",B112="红利再投")),"请选择交易类型",IF(NOT(ISNUMBER(C112)),"缺少成交净值",IF(C112&lt;=0,"成交净值须大于零",IF(NOT(ISNUMBER(D112)),"缺少确认份额（分红填0）",IF(NOT(ISNUMBER(E112)),"缺少确认金额（再投填0）",IF(NOT(ISNUMBER(F112)),"缺少手续费（无费用填0）",IF(OR(D112&lt;0,E112&lt;0,F112&lt;0),"份额金额费用不能为负",IF(AA111="错误","前行待修正",IF(A112&lt;Z111,"日期需按成交顺序递增",IF(AND(B112="现金分红",OR(D112&lt;&gt;0,E112&lt;=0,F112&lt;&gt;0)),"分红填份额0、费用0、正金额",IF(AND(B112="红利再投",OR(D112&lt;=0,E112&lt;&gt;0,F112&lt;&gt;0)),"再投填正份额、金额0、费用0",IF(AND(OR(B112="现金分红",B112="红利再投"),K111&lt;=0),"分红或再投前须有持仓",IF(AND(OR(OR(B112="买入",B112="定投",B112="转换转入"),B112="卖出"),OR(D112&lt;=0,E112&lt;=0)),"买卖须填正份额、正金额",IF(AND(B112="卖出",D112&gt;K111+0.000001),"卖出份额超过持仓",IF(AND(OR(B112="买入",B112="定投",B112="转换转入"),F112&gt;=E112)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112="买入",B112="定投",B112="转换转入"),ABS(E112-F112-C112*D112)&gt;'持仓总览'!$H$6),"买入金额与份额净值不符",IF(AND(B112="卖出",ABS(E112+F112-C112*D112)&gt;'持仓总览'!$H$6),"到账加费用与赎回市值不符","已计入"))))))))))))))))))))))))))</f>
        <v>已计入</v>
      </c>
      <c r="J112" s="11">
        <f t="shared" si="18">IF(AA112="正常",IF(I112="已计入",IF(OR(OR(B112="买入",B112="定投",B112="转换转入"),B112="红利再投"),D112,IF(B112="卖出",-D112,0)),0),"")</f>
        <v>29.07</v>
      </c>
      <c r="K112" s="11">
        <f t="shared" si="23">IF(AA112="正常",ROUND(K111+J112,6),"")</f>
        <v>25061.13</v>
      </c>
      <c r="L112" s="11">
        <f t="shared" si="24">IF(I112="已计入",ROUND(K111*C112,2),"")</f>
        <v>171922.69</v>
      </c>
      <c r="M112" s="11">
        <f t="shared" si="25">IF(I112="已计入",IF(B112="卖出",MAX(0,L112-Q111-F112),IF(B112="现金分红",MAX(0,L112+E112-Q111),0)),"")</f>
        <v>0</v>
      </c>
      <c r="N112" s="11">
        <f>IF(I112="已计入",IF(AND(B112="卖出",'持仓总览'!$C$7="本金优先"),MAX(0,E112-Q111),IF(OR(B112="卖出",B112="现金分红"),MIN(E112,M112),0)),"")</f>
        <v>0</v>
      </c>
      <c r="O112" s="11">
        <f t="shared" si="26">IF(I112="已计入",IF(OR(B112="卖出",B112="现金分红"),MIN(Q111,MAX(0,E112-N112)),0),"")</f>
        <v>0</v>
      </c>
      <c r="P112" s="11">
        <f t="shared" si="27">IF(I112="已计入",IF(AND(B112="卖出",K112=0),MAX(0,Q111-O112),0),"")</f>
        <v>0</v>
      </c>
      <c r="Q112" s="11">
        <f t="shared" si="28">IF(AA112="正常",IF(I112="已计入",ROUND(Q111+IF(OR(B112="买入",B112="定投",B112="转换转入"),E112,0)-O112-P112,2),Q111),"")</f>
        <v>125360</v>
      </c>
      <c r="R112" s="11">
        <f t="shared" si="19">IF(I112="已计入",ROUND(K112*C112,2),"")</f>
        <v>172122.35</v>
      </c>
      <c r="S112" s="11">
        <f t="shared" si="20">IF(I112="已计入",ROUND(R112-Q112,2),"")</f>
        <v>46762.35</v>
      </c>
      <c r="T112" s="12">
        <f t="shared" si="21">IF(I112="已计入",IF(Q112=0,"",S112/Q112),"")</f>
        <v>0.37302448947032546</v>
      </c>
      <c r="U112" s="11">
        <f t="shared" si="29">IF(AA112="正常",U111+IF(AND(I112="已计入",OR(B112="买入",B112="定投",B112="转换转入")),E112,0),"")</f>
        <v>125360</v>
      </c>
      <c r="V112" s="11">
        <f t="shared" si="30">IF(AA112="正常",V111+IF(AND(I112="已计入",OR(B112="卖出",B112="现金分红")),E112,0),"")</f>
        <v>0</v>
      </c>
      <c r="W112" s="11">
        <f t="shared" si="31">IF(AA112="正常",W111+IF(I112="已计入",N112,0),"")</f>
        <v>0</v>
      </c>
      <c r="X112" s="11">
        <f t="shared" si="32">IF(AA112="正常",X111+IF(I112="已计入",P112,0),"")</f>
        <v>0</v>
      </c>
      <c r="Y112" s="11">
        <f t="shared" si="22">IF(I112="已计入",ROUND(R112+V112-U112,2),"")</f>
        <v>46762.35</v>
      </c>
      <c r="Z112" s="13">
        <f t="shared" si="33">IF(AA112="正常",IF(I112="已计入",A112,Z111),"")</f>
        <v>46209</v>
      </c>
      <c r="AA112" s="10" t="str">
        <f t="shared" si="34">IF(OR(AA111="错误",AND(I112&lt;&gt;"",I112&lt;&gt;"已排除",I112&lt;&gt;"待确认",I112&lt;&gt;"已计入")),"错误","正常")</f>
        <v>正常</v>
      </c>
      <c r="AB112" s="14">
        <f t="shared" si="35">IF(AA112="正常",IF(I112="已计入",C112,AB111),"")</f>
        <v>6.8681</v>
      </c>
    </row>
    <row r="113" ht="42" customHeight="1">
      <c r="A113" s="36">
        <v>46210</v>
      </c>
      <c r="B113" s="37" t="inlineStr">
        <is>
          <t>定投</t>
        </is>
      </c>
      <c r="C113" s="38">
        <v>6.6953</v>
      </c>
      <c r="D113" s="39">
        <v>29.82</v>
      </c>
      <c r="E113" s="39">
        <v>200</v>
      </c>
      <c r="F113" s="39">
        <v>0.32</v>
      </c>
      <c r="G113" s="37" t="inlineStr">
        <is>
          <t>历史估算</t>
        </is>
      </c>
      <c r="H113" s="40" t="inlineStr">
        <is>
          <t>原下单 2026-07-07 12:34:39
净值日／份额暂估，手续费按 0.16%</t>
        </is>
      </c>
      <c r="I113" s="10" t="str">
        <f>IF(COUNTA(A113:H113)=0,"",IF(OR(OR(OR(G113="撤单",G113="交易失败",G113="交易关闭"),G113="交易失败",G113="交易关闭"),G113="交易失败",G113="交易关闭"),"已排除",IF(G113="待确认","待确认",IF(NOT(OR(G113="已确认",G113="历史估算")),"请选择确认状态",IF(NOT(ISNUMBER(A113)),"缺少有效净值日期",IF(OR(A113&lt;=0,A113&lt;&gt;INT(A113)),"净值日期无效",IF(NOT(OR(OR(B113="买入",B113="定投",B113="转换转入"),B113="卖出",B113="现金分红",B113="红利再投")),"请选择交易类型",IF(NOT(ISNUMBER(C113)),"缺少成交净值",IF(C113&lt;=0,"成交净值须大于零",IF(NOT(ISNUMBER(D113)),"缺少确认份额（分红填0）",IF(NOT(ISNUMBER(E113)),"缺少确认金额（再投填0）",IF(NOT(ISNUMBER(F113)),"缺少手续费（无费用填0）",IF(OR(D113&lt;0,E113&lt;0,F113&lt;0),"份额金额费用不能为负",IF(AA112="错误","前行待修正",IF(A113&lt;Z112,"日期需按成交顺序递增",IF(AND(B113="现金分红",OR(D113&lt;&gt;0,E113&lt;=0,F113&lt;&gt;0)),"分红填份额0、费用0、正金额",IF(AND(B113="红利再投",OR(D113&lt;=0,E113&lt;&gt;0,F113&lt;&gt;0)),"再投填正份额、金额0、费用0",IF(AND(OR(B113="现金分红",B113="红利再投"),K112&lt;=0),"分红或再投前须有持仓",IF(AND(OR(OR(B113="买入",B113="定投",B113="转换转入"),B113="卖出"),OR(D113&lt;=0,E113&lt;=0)),"买卖须填正份额、正金额",IF(AND(B113="卖出",D113&gt;K112+0.000001),"卖出份额超过持仓",IF(AND(OR(B113="买入",B113="定投",B113="转换转入"),F113&gt;=E113)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113="买入",B113="定投",B113="转换转入"),ABS(E113-F113-C113*D113)&gt;'持仓总览'!$H$6),"买入金额与份额净值不符",IF(AND(B113="卖出",ABS(E113+F113-C113*D113)&gt;'持仓总览'!$H$6),"到账加费用与赎回市值不符","已计入"))))))))))))))))))))))))))</f>
        <v>已计入</v>
      </c>
      <c r="J113" s="11">
        <f t="shared" si="18">IF(AA113="正常",IF(I113="已计入",IF(OR(OR(B113="买入",B113="定投",B113="转换转入"),B113="红利再投"),D113,IF(B113="卖出",-D113,0)),0),"")</f>
        <v>29.82</v>
      </c>
      <c r="K113" s="11">
        <f t="shared" si="23">IF(AA113="正常",ROUND(K112+J113,6),"")</f>
        <v>25090.95</v>
      </c>
      <c r="L113" s="11">
        <f t="shared" si="24">IF(I113="已计入",ROUND(K112*C113,2),"")</f>
        <v>167791.78</v>
      </c>
      <c r="M113" s="11">
        <f t="shared" si="25">IF(I113="已计入",IF(B113="卖出",MAX(0,L113-Q112-F113),IF(B113="现金分红",MAX(0,L113+E113-Q112),0)),"")</f>
        <v>0</v>
      </c>
      <c r="N113" s="11">
        <f>IF(I113="已计入",IF(AND(B113="卖出",'持仓总览'!$C$7="本金优先"),MAX(0,E113-Q112),IF(OR(B113="卖出",B113="现金分红"),MIN(E113,M113),0)),"")</f>
        <v>0</v>
      </c>
      <c r="O113" s="11">
        <f t="shared" si="26">IF(I113="已计入",IF(OR(B113="卖出",B113="现金分红"),MIN(Q112,MAX(0,E113-N113)),0),"")</f>
        <v>0</v>
      </c>
      <c r="P113" s="11">
        <f t="shared" si="27">IF(I113="已计入",IF(AND(B113="卖出",K113=0),MAX(0,Q112-O113),0),"")</f>
        <v>0</v>
      </c>
      <c r="Q113" s="11">
        <f t="shared" si="28">IF(AA113="正常",IF(I113="已计入",ROUND(Q112+IF(OR(B113="买入",B113="定投",B113="转换转入"),E113,0)-O113-P113,2),Q112),"")</f>
        <v>125560</v>
      </c>
      <c r="R113" s="11">
        <f t="shared" si="19">IF(I113="已计入",ROUND(K113*C113,2),"")</f>
        <v>167991.44</v>
      </c>
      <c r="S113" s="11">
        <f t="shared" si="20">IF(I113="已计入",ROUND(R113-Q113,2),"")</f>
        <v>42431.44</v>
      </c>
      <c r="T113" s="12">
        <f t="shared" si="21">IF(I113="已计入",IF(Q113=0,"",S113/Q113),"")</f>
        <v>0.33793755973239886</v>
      </c>
      <c r="U113" s="11">
        <f t="shared" si="29">IF(AA113="正常",U112+IF(AND(I113="已计入",OR(B113="买入",B113="定投",B113="转换转入")),E113,0),"")</f>
        <v>125560</v>
      </c>
      <c r="V113" s="11">
        <f t="shared" si="30">IF(AA113="正常",V112+IF(AND(I113="已计入",OR(B113="卖出",B113="现金分红")),E113,0),"")</f>
        <v>0</v>
      </c>
      <c r="W113" s="11">
        <f t="shared" si="31">IF(AA113="正常",W112+IF(I113="已计入",N113,0),"")</f>
        <v>0</v>
      </c>
      <c r="X113" s="11">
        <f t="shared" si="32">IF(AA113="正常",X112+IF(I113="已计入",P113,0),"")</f>
        <v>0</v>
      </c>
      <c r="Y113" s="11">
        <f t="shared" si="22">IF(I113="已计入",ROUND(R113+V113-U113,2),"")</f>
        <v>42431.44</v>
      </c>
      <c r="Z113" s="13">
        <f t="shared" si="33">IF(AA113="正常",IF(I113="已计入",A113,Z112),"")</f>
        <v>46210</v>
      </c>
      <c r="AA113" s="10" t="str">
        <f t="shared" si="34">IF(OR(AA112="错误",AND(I113&lt;&gt;"",I113&lt;&gt;"已排除",I113&lt;&gt;"待确认",I113&lt;&gt;"已计入")),"错误","正常")</f>
        <v>正常</v>
      </c>
      <c r="AB113" s="14">
        <f t="shared" si="35">IF(AA113="正常",IF(I113="已计入",C113,AB112),"")</f>
        <v>6.6953</v>
      </c>
    </row>
    <row r="114" ht="42" customHeight="1">
      <c r="A114" s="36">
        <v>46211</v>
      </c>
      <c r="B114" s="37" t="inlineStr">
        <is>
          <t>定投</t>
        </is>
      </c>
      <c r="C114" s="38">
        <v>6.7747</v>
      </c>
      <c r="D114" s="39">
        <v>29.47</v>
      </c>
      <c r="E114" s="39">
        <v>200</v>
      </c>
      <c r="F114" s="39">
        <v>0.32</v>
      </c>
      <c r="G114" s="37" t="inlineStr">
        <is>
          <t>历史估算</t>
        </is>
      </c>
      <c r="H114" s="40" t="inlineStr">
        <is>
          <t>原下单 2026-07-08 12:31:51
净值日／份额暂估，手续费按 0.16%</t>
        </is>
      </c>
      <c r="I114" s="10" t="str">
        <f>IF(COUNTA(A114:H114)=0,"",IF(OR(OR(OR(G114="撤单",G114="交易失败",G114="交易关闭"),G114="交易失败",G114="交易关闭"),G114="交易失败",G114="交易关闭"),"已排除",IF(G114="待确认","待确认",IF(NOT(OR(G114="已确认",G114="历史估算")),"请选择确认状态",IF(NOT(ISNUMBER(A114)),"缺少有效净值日期",IF(OR(A114&lt;=0,A114&lt;&gt;INT(A114)),"净值日期无效",IF(NOT(OR(OR(B114="买入",B114="定投",B114="转换转入"),B114="卖出",B114="现金分红",B114="红利再投")),"请选择交易类型",IF(NOT(ISNUMBER(C114)),"缺少成交净值",IF(C114&lt;=0,"成交净值须大于零",IF(NOT(ISNUMBER(D114)),"缺少确认份额（分红填0）",IF(NOT(ISNUMBER(E114)),"缺少确认金额（再投填0）",IF(NOT(ISNUMBER(F114)),"缺少手续费（无费用填0）",IF(OR(D114&lt;0,E114&lt;0,F114&lt;0),"份额金额费用不能为负",IF(AA113="错误","前行待修正",IF(A114&lt;Z113,"日期需按成交顺序递增",IF(AND(B114="现金分红",OR(D114&lt;&gt;0,E114&lt;=0,F114&lt;&gt;0)),"分红填份额0、费用0、正金额",IF(AND(B114="红利再投",OR(D114&lt;=0,E114&lt;&gt;0,F114&lt;&gt;0)),"再投填正份额、金额0、费用0",IF(AND(OR(B114="现金分红",B114="红利再投"),K113&lt;=0),"分红或再投前须有持仓",IF(AND(OR(OR(B114="买入",B114="定投",B114="转换转入"),B114="卖出"),OR(D114&lt;=0,E114&lt;=0)),"买卖须填正份额、正金额",IF(AND(B114="卖出",D114&gt;K113+0.000001),"卖出份额超过持仓",IF(AND(OR(B114="买入",B114="定投",B114="转换转入"),F114&gt;=E114)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114="买入",B114="定投",B114="转换转入"),ABS(E114-F114-C114*D114)&gt;'持仓总览'!$H$6),"买入金额与份额净值不符",IF(AND(B114="卖出",ABS(E114+F114-C114*D114)&gt;'持仓总览'!$H$6),"到账加费用与赎回市值不符","已计入"))))))))))))))))))))))))))</f>
        <v>已计入</v>
      </c>
      <c r="J114" s="11">
        <f t="shared" si="18">IF(AA114="正常",IF(I114="已计入",IF(OR(OR(B114="买入",B114="定投",B114="转换转入"),B114="红利再投"),D114,IF(B114="卖出",-D114,0)),0),"")</f>
        <v>29.47</v>
      </c>
      <c r="K114" s="11">
        <f t="shared" si="23">IF(AA114="正常",ROUND(K113+J114,6),"")</f>
        <v>25120.42</v>
      </c>
      <c r="L114" s="11">
        <f t="shared" si="24">IF(I114="已计入",ROUND(K113*C114,2),"")</f>
        <v>169983.66</v>
      </c>
      <c r="M114" s="11">
        <f t="shared" si="25">IF(I114="已计入",IF(B114="卖出",MAX(0,L114-Q113-F114),IF(B114="现金分红",MAX(0,L114+E114-Q113),0)),"")</f>
        <v>0</v>
      </c>
      <c r="N114" s="11">
        <f>IF(I114="已计入",IF(AND(B114="卖出",'持仓总览'!$C$7="本金优先"),MAX(0,E114-Q113),IF(OR(B114="卖出",B114="现金分红"),MIN(E114,M114),0)),"")</f>
        <v>0</v>
      </c>
      <c r="O114" s="11">
        <f t="shared" si="26">IF(I114="已计入",IF(OR(B114="卖出",B114="现金分红"),MIN(Q113,MAX(0,E114-N114)),0),"")</f>
        <v>0</v>
      </c>
      <c r="P114" s="11">
        <f t="shared" si="27">IF(I114="已计入",IF(AND(B114="卖出",K114=0),MAX(0,Q113-O114),0),"")</f>
        <v>0</v>
      </c>
      <c r="Q114" s="11">
        <f t="shared" si="28">IF(AA114="正常",IF(I114="已计入",ROUND(Q113+IF(OR(B114="买入",B114="定投",B114="转换转入"),E114,0)-O114-P114,2),Q113),"")</f>
        <v>125760</v>
      </c>
      <c r="R114" s="11">
        <f t="shared" si="19">IF(I114="已计入",ROUND(K114*C114,2),"")</f>
        <v>170183.31</v>
      </c>
      <c r="S114" s="11">
        <f t="shared" si="20">IF(I114="已计入",ROUND(R114-Q114,2),"")</f>
        <v>44423.31</v>
      </c>
      <c r="T114" s="12">
        <f t="shared" si="21">IF(I114="已计入",IF(Q114=0,"",S114/Q114),"")</f>
        <v>0.3532387881679389</v>
      </c>
      <c r="U114" s="11">
        <f t="shared" si="29">IF(AA114="正常",U113+IF(AND(I114="已计入",OR(B114="买入",B114="定投",B114="转换转入")),E114,0),"")</f>
        <v>125760</v>
      </c>
      <c r="V114" s="11">
        <f t="shared" si="30">IF(AA114="正常",V113+IF(AND(I114="已计入",OR(B114="卖出",B114="现金分红")),E114,0),"")</f>
        <v>0</v>
      </c>
      <c r="W114" s="11">
        <f t="shared" si="31">IF(AA114="正常",W113+IF(I114="已计入",N114,0),"")</f>
        <v>0</v>
      </c>
      <c r="X114" s="11">
        <f t="shared" si="32">IF(AA114="正常",X113+IF(I114="已计入",P114,0),"")</f>
        <v>0</v>
      </c>
      <c r="Y114" s="11">
        <f t="shared" si="22">IF(I114="已计入",ROUND(R114+V114-U114,2),"")</f>
        <v>44423.31</v>
      </c>
      <c r="Z114" s="13">
        <f t="shared" si="33">IF(AA114="正常",IF(I114="已计入",A114,Z113),"")</f>
        <v>46211</v>
      </c>
      <c r="AA114" s="10" t="str">
        <f t="shared" si="34">IF(OR(AA113="错误",AND(I114&lt;&gt;"",I114&lt;&gt;"已排除",I114&lt;&gt;"待确认",I114&lt;&gt;"已计入")),"错误","正常")</f>
        <v>正常</v>
      </c>
      <c r="AB114" s="14">
        <f t="shared" si="35">IF(AA114="正常",IF(I114="已计入",C114,AB113),"")</f>
        <v>6.7747</v>
      </c>
    </row>
    <row r="115" ht="42" customHeight="1">
      <c r="A115" s="36">
        <v>46212</v>
      </c>
      <c r="B115" s="37" t="inlineStr">
        <is>
          <t>定投</t>
        </is>
      </c>
      <c r="C115" s="38">
        <v>7.0152</v>
      </c>
      <c r="D115" s="39">
        <v>28.46</v>
      </c>
      <c r="E115" s="39">
        <v>200</v>
      </c>
      <c r="F115" s="39">
        <v>0.32</v>
      </c>
      <c r="G115" s="37" t="inlineStr">
        <is>
          <t>历史估算</t>
        </is>
      </c>
      <c r="H115" s="40" t="inlineStr">
        <is>
          <t>原下单 2026-07-09 12:30:02
净值日／份额暂估，手续费按 0.16%</t>
        </is>
      </c>
      <c r="I115" s="10" t="str">
        <f>IF(COUNTA(A115:H115)=0,"",IF(OR(OR(OR(G115="撤单",G115="交易失败",G115="交易关闭"),G115="交易失败",G115="交易关闭"),G115="交易失败",G115="交易关闭"),"已排除",IF(G115="待确认","待确认",IF(NOT(OR(G115="已确认",G115="历史估算")),"请选择确认状态",IF(NOT(ISNUMBER(A115)),"缺少有效净值日期",IF(OR(A115&lt;=0,A115&lt;&gt;INT(A115)),"净值日期无效",IF(NOT(OR(OR(B115="买入",B115="定投",B115="转换转入"),B115="卖出",B115="现金分红",B115="红利再投")),"请选择交易类型",IF(NOT(ISNUMBER(C115)),"缺少成交净值",IF(C115&lt;=0,"成交净值须大于零",IF(NOT(ISNUMBER(D115)),"缺少确认份额（分红填0）",IF(NOT(ISNUMBER(E115)),"缺少确认金额（再投填0）",IF(NOT(ISNUMBER(F115)),"缺少手续费（无费用填0）",IF(OR(D115&lt;0,E115&lt;0,F115&lt;0),"份额金额费用不能为负",IF(AA114="错误","前行待修正",IF(A115&lt;Z114,"日期需按成交顺序递增",IF(AND(B115="现金分红",OR(D115&lt;&gt;0,E115&lt;=0,F115&lt;&gt;0)),"分红填份额0、费用0、正金额",IF(AND(B115="红利再投",OR(D115&lt;=0,E115&lt;&gt;0,F115&lt;&gt;0)),"再投填正份额、金额0、费用0",IF(AND(OR(B115="现金分红",B115="红利再投"),K114&lt;=0),"分红或再投前须有持仓",IF(AND(OR(OR(B115="买入",B115="定投",B115="转换转入"),B115="卖出"),OR(D115&lt;=0,E115&lt;=0)),"买卖须填正份额、正金额",IF(AND(B115="卖出",D115&gt;K114+0.000001),"卖出份额超过持仓",IF(AND(OR(B115="买入",B115="定投",B115="转换转入"),F115&gt;=E115)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115="买入",B115="定投",B115="转换转入"),ABS(E115-F115-C115*D115)&gt;'持仓总览'!$H$6),"买入金额与份额净值不符",IF(AND(B115="卖出",ABS(E115+F115-C115*D115)&gt;'持仓总览'!$H$6),"到账加费用与赎回市值不符","已计入"))))))))))))))))))))))))))</f>
        <v>已计入</v>
      </c>
      <c r="J115" s="11">
        <f t="shared" si="18">IF(AA115="正常",IF(I115="已计入",IF(OR(OR(B115="买入",B115="定投",B115="转换转入"),B115="红利再投"),D115,IF(B115="卖出",-D115,0)),0),"")</f>
        <v>28.46</v>
      </c>
      <c r="K115" s="11">
        <f t="shared" si="23">IF(AA115="正常",ROUND(K114+J115,6),"")</f>
        <v>25148.88</v>
      </c>
      <c r="L115" s="11">
        <f t="shared" si="24">IF(I115="已计入",ROUND(K114*C115,2),"")</f>
        <v>176224.77</v>
      </c>
      <c r="M115" s="11">
        <f t="shared" si="25">IF(I115="已计入",IF(B115="卖出",MAX(0,L115-Q114-F115),IF(B115="现金分红",MAX(0,L115+E115-Q114),0)),"")</f>
        <v>0</v>
      </c>
      <c r="N115" s="11">
        <f>IF(I115="已计入",IF(AND(B115="卖出",'持仓总览'!$C$7="本金优先"),MAX(0,E115-Q114),IF(OR(B115="卖出",B115="现金分红"),MIN(E115,M115),0)),"")</f>
        <v>0</v>
      </c>
      <c r="O115" s="11">
        <f t="shared" si="26">IF(I115="已计入",IF(OR(B115="卖出",B115="现金分红"),MIN(Q114,MAX(0,E115-N115)),0),"")</f>
        <v>0</v>
      </c>
      <c r="P115" s="11">
        <f t="shared" si="27">IF(I115="已计入",IF(AND(B115="卖出",K115=0),MAX(0,Q114-O115),0),"")</f>
        <v>0</v>
      </c>
      <c r="Q115" s="11">
        <f t="shared" si="28">IF(AA115="正常",IF(I115="已计入",ROUND(Q114+IF(OR(B115="买入",B115="定投",B115="转换转入"),E115,0)-O115-P115,2),Q114),"")</f>
        <v>125960</v>
      </c>
      <c r="R115" s="11">
        <f t="shared" si="19">IF(I115="已计入",ROUND(K115*C115,2),"")</f>
        <v>176424.42</v>
      </c>
      <c r="S115" s="11">
        <f t="shared" si="20">IF(I115="已计入",ROUND(R115-Q115,2),"")</f>
        <v>50464.42</v>
      </c>
      <c r="T115" s="12">
        <f t="shared" si="21">IF(I115="已计入",IF(Q115=0,"",S115/Q115),"")</f>
        <v>0.40063845665290565</v>
      </c>
      <c r="U115" s="11">
        <f t="shared" si="29">IF(AA115="正常",U114+IF(AND(I115="已计入",OR(B115="买入",B115="定投",B115="转换转入")),E115,0),"")</f>
        <v>125960</v>
      </c>
      <c r="V115" s="11">
        <f t="shared" si="30">IF(AA115="正常",V114+IF(AND(I115="已计入",OR(B115="卖出",B115="现金分红")),E115,0),"")</f>
        <v>0</v>
      </c>
      <c r="W115" s="11">
        <f t="shared" si="31">IF(AA115="正常",W114+IF(I115="已计入",N115,0),"")</f>
        <v>0</v>
      </c>
      <c r="X115" s="11">
        <f t="shared" si="32">IF(AA115="正常",X114+IF(I115="已计入",P115,0),"")</f>
        <v>0</v>
      </c>
      <c r="Y115" s="11">
        <f t="shared" si="22">IF(I115="已计入",ROUND(R115+V115-U115,2),"")</f>
        <v>50464.42</v>
      </c>
      <c r="Z115" s="13">
        <f t="shared" si="33">IF(AA115="正常",IF(I115="已计入",A115,Z114),"")</f>
        <v>46212</v>
      </c>
      <c r="AA115" s="10" t="str">
        <f t="shared" si="34">IF(OR(AA114="错误",AND(I115&lt;&gt;"",I115&lt;&gt;"已排除",I115&lt;&gt;"待确认",I115&lt;&gt;"已计入")),"错误","正常")</f>
        <v>正常</v>
      </c>
      <c r="AB115" s="14">
        <f t="shared" si="35">IF(AA115="正常",IF(I115="已计入",C115,AB114),"")</f>
        <v>7.0152</v>
      </c>
    </row>
    <row r="116" ht="42" customHeight="1">
      <c r="A116" s="36">
        <v>46213</v>
      </c>
      <c r="B116" s="37" t="inlineStr">
        <is>
          <t>买入</t>
        </is>
      </c>
      <c r="C116" s="38">
        <v>6.8796</v>
      </c>
      <c r="D116" s="39">
        <v>29.02</v>
      </c>
      <c r="E116" s="39">
        <v>200</v>
      </c>
      <c r="F116" s="39">
        <v>0.32</v>
      </c>
      <c r="G116" s="37" t="inlineStr">
        <is>
          <t>历史估算</t>
        </is>
      </c>
      <c r="H116" s="40" t="inlineStr">
        <is>
          <t>原下单 2026-07-10 14:29:13
净值日／份额暂估，手续费按 0.16%</t>
        </is>
      </c>
      <c r="I116" s="10" t="str">
        <f>IF(COUNTA(A116:H116)=0,"",IF(OR(OR(OR(G116="撤单",G116="交易失败",G116="交易关闭"),G116="交易失败",G116="交易关闭"),G116="交易失败",G116="交易关闭"),"已排除",IF(G116="待确认","待确认",IF(NOT(OR(G116="已确认",G116="历史估算")),"请选择确认状态",IF(NOT(ISNUMBER(A116)),"缺少有效净值日期",IF(OR(A116&lt;=0,A116&lt;&gt;INT(A116)),"净值日期无效",IF(NOT(OR(OR(B116="买入",B116="定投",B116="转换转入"),B116="卖出",B116="现金分红",B116="红利再投")),"请选择交易类型",IF(NOT(ISNUMBER(C116)),"缺少成交净值",IF(C116&lt;=0,"成交净值须大于零",IF(NOT(ISNUMBER(D116)),"缺少确认份额（分红填0）",IF(NOT(ISNUMBER(E116)),"缺少确认金额（再投填0）",IF(NOT(ISNUMBER(F116)),"缺少手续费（无费用填0）",IF(OR(D116&lt;0,E116&lt;0,F116&lt;0),"份额金额费用不能为负",IF(AA115="错误","前行待修正",IF(A116&lt;Z115,"日期需按成交顺序递增",IF(AND(B116="现金分红",OR(D116&lt;&gt;0,E116&lt;=0,F116&lt;&gt;0)),"分红填份额0、费用0、正金额",IF(AND(B116="红利再投",OR(D116&lt;=0,E116&lt;&gt;0,F116&lt;&gt;0)),"再投填正份额、金额0、费用0",IF(AND(OR(B116="现金分红",B116="红利再投"),K115&lt;=0),"分红或再投前须有持仓",IF(AND(OR(OR(B116="买入",B116="定投",B116="转换转入"),B116="卖出"),OR(D116&lt;=0,E116&lt;=0)),"买卖须填正份额、正金额",IF(AND(B116="卖出",D116&gt;K115+0.000001),"卖出份额超过持仓",IF(AND(OR(B116="买入",B116="定投",B116="转换转入"),F116&gt;=E116)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116="买入",B116="定投",B116="转换转入"),ABS(E116-F116-C116*D116)&gt;'持仓总览'!$H$6),"买入金额与份额净值不符",IF(AND(B116="卖出",ABS(E116+F116-C116*D116)&gt;'持仓总览'!$H$6),"到账加费用与赎回市值不符","已计入"))))))))))))))))))))))))))</f>
        <v>已计入</v>
      </c>
      <c r="J116" s="11">
        <f t="shared" si="18">IF(AA116="正常",IF(I116="已计入",IF(OR(OR(B116="买入",B116="定投",B116="转换转入"),B116="红利再投"),D116,IF(B116="卖出",-D116,0)),0),"")</f>
        <v>29.02</v>
      </c>
      <c r="K116" s="11">
        <f t="shared" si="23">IF(AA116="正常",ROUND(K115+J116,6),"")</f>
        <v>25177.9</v>
      </c>
      <c r="L116" s="11">
        <f t="shared" si="24">IF(I116="已计入",ROUND(K115*C116,2),"")</f>
        <v>173014.23</v>
      </c>
      <c r="M116" s="11">
        <f t="shared" si="25">IF(I116="已计入",IF(B116="卖出",MAX(0,L116-Q115-F116),IF(B116="现金分红",MAX(0,L116+E116-Q115),0)),"")</f>
        <v>0</v>
      </c>
      <c r="N116" s="11">
        <f>IF(I116="已计入",IF(AND(B116="卖出",'持仓总览'!$C$7="本金优先"),MAX(0,E116-Q115),IF(OR(B116="卖出",B116="现金分红"),MIN(E116,M116),0)),"")</f>
        <v>0</v>
      </c>
      <c r="O116" s="11">
        <f t="shared" si="26">IF(I116="已计入",IF(OR(B116="卖出",B116="现金分红"),MIN(Q115,MAX(0,E116-N116)),0),"")</f>
        <v>0</v>
      </c>
      <c r="P116" s="11">
        <f t="shared" si="27">IF(I116="已计入",IF(AND(B116="卖出",K116=0),MAX(0,Q115-O116),0),"")</f>
        <v>0</v>
      </c>
      <c r="Q116" s="11">
        <f t="shared" si="28">IF(AA116="正常",IF(I116="已计入",ROUND(Q115+IF(OR(B116="买入",B116="定投",B116="转换转入"),E116,0)-O116-P116,2),Q115),"")</f>
        <v>126160</v>
      </c>
      <c r="R116" s="11">
        <f t="shared" si="19">IF(I116="已计入",ROUND(K116*C116,2),"")</f>
        <v>173213.88</v>
      </c>
      <c r="S116" s="11">
        <f t="shared" si="20">IF(I116="已计入",ROUND(R116-Q116,2),"")</f>
        <v>47053.88</v>
      </c>
      <c r="T116" s="12">
        <f t="shared" si="21">IF(I116="已计入",IF(Q116=0,"",S116/Q116),"")</f>
        <v>0.37296987951807226</v>
      </c>
      <c r="U116" s="11">
        <f t="shared" si="29">IF(AA116="正常",U115+IF(AND(I116="已计入",OR(B116="买入",B116="定投",B116="转换转入")),E116,0),"")</f>
        <v>126160</v>
      </c>
      <c r="V116" s="11">
        <f t="shared" si="30">IF(AA116="正常",V115+IF(AND(I116="已计入",OR(B116="卖出",B116="现金分红")),E116,0),"")</f>
        <v>0</v>
      </c>
      <c r="W116" s="11">
        <f t="shared" si="31">IF(AA116="正常",W115+IF(I116="已计入",N116,0),"")</f>
        <v>0</v>
      </c>
      <c r="X116" s="11">
        <f t="shared" si="32">IF(AA116="正常",X115+IF(I116="已计入",P116,0),"")</f>
        <v>0</v>
      </c>
      <c r="Y116" s="11">
        <f t="shared" si="22">IF(I116="已计入",ROUND(R116+V116-U116,2),"")</f>
        <v>47053.88</v>
      </c>
      <c r="Z116" s="13">
        <f t="shared" si="33">IF(AA116="正常",IF(I116="已计入",A116,Z115),"")</f>
        <v>46213</v>
      </c>
      <c r="AA116" s="10" t="str">
        <f t="shared" si="34">IF(OR(AA115="错误",AND(I116&lt;&gt;"",I116&lt;&gt;"已排除",I116&lt;&gt;"待确认",I116&lt;&gt;"已计入")),"错误","正常")</f>
        <v>正常</v>
      </c>
      <c r="AB116" s="14">
        <f t="shared" si="35">IF(AA116="正常",IF(I116="已计入",C116,AB115),"")</f>
        <v>6.8796</v>
      </c>
    </row>
    <row r="117" ht="42" customHeight="1">
      <c r="A117" s="36">
        <v>46216</v>
      </c>
      <c r="B117" s="37" t="inlineStr">
        <is>
          <t>定投</t>
        </is>
      </c>
      <c r="C117" s="38">
        <v>6.6103</v>
      </c>
      <c r="D117" s="39">
        <v>30.21</v>
      </c>
      <c r="E117" s="39">
        <v>200</v>
      </c>
      <c r="F117" s="39">
        <v>0.32</v>
      </c>
      <c r="G117" s="37" t="inlineStr">
        <is>
          <t>历史估算</t>
        </is>
      </c>
      <c r="H117" s="40" t="inlineStr">
        <is>
          <t>原下单 2026-07-13 12:38:32
净值日／份额暂估，手续费按 0.16%</t>
        </is>
      </c>
      <c r="I117" s="10" t="str">
        <f>IF(COUNTA(A117:H117)=0,"",IF(OR(OR(OR(G117="撤单",G117="交易失败",G117="交易关闭"),G117="交易失败",G117="交易关闭"),G117="交易失败",G117="交易关闭"),"已排除",IF(G117="待确认","待确认",IF(NOT(OR(G117="已确认",G117="历史估算")),"请选择确认状态",IF(NOT(ISNUMBER(A117)),"缺少有效净值日期",IF(OR(A117&lt;=0,A117&lt;&gt;INT(A117)),"净值日期无效",IF(NOT(OR(OR(B117="买入",B117="定投",B117="转换转入"),B117="卖出",B117="现金分红",B117="红利再投")),"请选择交易类型",IF(NOT(ISNUMBER(C117)),"缺少成交净值",IF(C117&lt;=0,"成交净值须大于零",IF(NOT(ISNUMBER(D117)),"缺少确认份额（分红填0）",IF(NOT(ISNUMBER(E117)),"缺少确认金额（再投填0）",IF(NOT(ISNUMBER(F117)),"缺少手续费（无费用填0）",IF(OR(D117&lt;0,E117&lt;0,F117&lt;0),"份额金额费用不能为负",IF(AA116="错误","前行待修正",IF(A117&lt;Z116,"日期需按成交顺序递增",IF(AND(B117="现金分红",OR(D117&lt;&gt;0,E117&lt;=0,F117&lt;&gt;0)),"分红填份额0、费用0、正金额",IF(AND(B117="红利再投",OR(D117&lt;=0,E117&lt;&gt;0,F117&lt;&gt;0)),"再投填正份额、金额0、费用0",IF(AND(OR(B117="现金分红",B117="红利再投"),K116&lt;=0),"分红或再投前须有持仓",IF(AND(OR(OR(B117="买入",B117="定投",B117="转换转入"),B117="卖出"),OR(D117&lt;=0,E117&lt;=0)),"买卖须填正份额、正金额",IF(AND(B117="卖出",D117&gt;K116+0.000001),"卖出份额超过持仓",IF(AND(OR(B117="买入",B117="定投",B117="转换转入"),F117&gt;=E117)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117="买入",B117="定投",B117="转换转入"),ABS(E117-F117-C117*D117)&gt;'持仓总览'!$H$6),"买入金额与份额净值不符",IF(AND(B117="卖出",ABS(E117+F117-C117*D117)&gt;'持仓总览'!$H$6),"到账加费用与赎回市值不符","已计入"))))))))))))))))))))))))))</f>
        <v>已计入</v>
      </c>
      <c r="J117" s="11">
        <f t="shared" si="18">IF(AA117="正常",IF(I117="已计入",IF(OR(OR(B117="买入",B117="定投",B117="转换转入"),B117="红利再投"),D117,IF(B117="卖出",-D117,0)),0),"")</f>
        <v>30.21</v>
      </c>
      <c r="K117" s="11">
        <f t="shared" si="23">IF(AA117="正常",ROUND(K116+J117,6),"")</f>
        <v>25208.11</v>
      </c>
      <c r="L117" s="11">
        <f t="shared" si="24">IF(I117="已计入",ROUND(K116*C117,2),"")</f>
        <v>166433.47</v>
      </c>
      <c r="M117" s="11">
        <f t="shared" si="25">IF(I117="已计入",IF(B117="卖出",MAX(0,L117-Q116-F117),IF(B117="现金分红",MAX(0,L117+E117-Q116),0)),"")</f>
        <v>0</v>
      </c>
      <c r="N117" s="11">
        <f>IF(I117="已计入",IF(AND(B117="卖出",'持仓总览'!$C$7="本金优先"),MAX(0,E117-Q116),IF(OR(B117="卖出",B117="现金分红"),MIN(E117,M117),0)),"")</f>
        <v>0</v>
      </c>
      <c r="O117" s="11">
        <f t="shared" si="26">IF(I117="已计入",IF(OR(B117="卖出",B117="现金分红"),MIN(Q116,MAX(0,E117-N117)),0),"")</f>
        <v>0</v>
      </c>
      <c r="P117" s="11">
        <f t="shared" si="27">IF(I117="已计入",IF(AND(B117="卖出",K117=0),MAX(0,Q116-O117),0),"")</f>
        <v>0</v>
      </c>
      <c r="Q117" s="11">
        <f t="shared" si="28">IF(AA117="正常",IF(I117="已计入",ROUND(Q116+IF(OR(B117="买入",B117="定投",B117="转换转入"),E117,0)-O117-P117,2),Q116),"")</f>
        <v>126360</v>
      </c>
      <c r="R117" s="11">
        <f t="shared" si="19">IF(I117="已计入",ROUND(K117*C117,2),"")</f>
        <v>166633.17</v>
      </c>
      <c r="S117" s="11">
        <f t="shared" si="20">IF(I117="已计入",ROUND(R117-Q117,2),"")</f>
        <v>40273.17</v>
      </c>
      <c r="T117" s="12">
        <f t="shared" si="21">IF(I117="已计入",IF(Q117=0,"",S117/Q117),"")</f>
        <v>0.31871771130104465</v>
      </c>
      <c r="U117" s="11">
        <f t="shared" si="29">IF(AA117="正常",U116+IF(AND(I117="已计入",OR(B117="买入",B117="定投",B117="转换转入")),E117,0),"")</f>
        <v>126360</v>
      </c>
      <c r="V117" s="11">
        <f t="shared" si="30">IF(AA117="正常",V116+IF(AND(I117="已计入",OR(B117="卖出",B117="现金分红")),E117,0),"")</f>
        <v>0</v>
      </c>
      <c r="W117" s="11">
        <f t="shared" si="31">IF(AA117="正常",W116+IF(I117="已计入",N117,0),"")</f>
        <v>0</v>
      </c>
      <c r="X117" s="11">
        <f t="shared" si="32">IF(AA117="正常",X116+IF(I117="已计入",P117,0),"")</f>
        <v>0</v>
      </c>
      <c r="Y117" s="11">
        <f t="shared" si="22">IF(I117="已计入",ROUND(R117+V117-U117,2),"")</f>
        <v>40273.17</v>
      </c>
      <c r="Z117" s="13">
        <f t="shared" si="33">IF(AA117="正常",IF(I117="已计入",A117,Z116),"")</f>
        <v>46216</v>
      </c>
      <c r="AA117" s="10" t="str">
        <f t="shared" si="34">IF(OR(AA116="错误",AND(I117&lt;&gt;"",I117&lt;&gt;"已排除",I117&lt;&gt;"待确认",I117&lt;&gt;"已计入")),"错误","正常")</f>
        <v>正常</v>
      </c>
      <c r="AB117" s="14">
        <f t="shared" si="35">IF(AA117="正常",IF(I117="已计入",C117,AB116),"")</f>
        <v>6.6103</v>
      </c>
    </row>
    <row r="118" ht="42" customHeight="1">
      <c r="A118" s="36">
        <v>46217</v>
      </c>
      <c r="B118" s="37" t="inlineStr">
        <is>
          <t>定投</t>
        </is>
      </c>
      <c r="C118" s="38">
        <v>6.7454</v>
      </c>
      <c r="D118" s="39">
        <v>29.6</v>
      </c>
      <c r="E118" s="39">
        <v>200</v>
      </c>
      <c r="F118" s="39">
        <v>0.32</v>
      </c>
      <c r="G118" s="37" t="inlineStr">
        <is>
          <t>历史估算</t>
        </is>
      </c>
      <c r="H118" s="40" t="inlineStr">
        <is>
          <t>原下单 2026-07-14 12:22:48
净值日／份额暂估，手续费按 0.16%</t>
        </is>
      </c>
      <c r="I118" s="10" t="str">
        <f>IF(COUNTA(A118:H118)=0,"",IF(OR(OR(OR(G118="撤单",G118="交易失败",G118="交易关闭"),G118="交易失败",G118="交易关闭"),G118="交易失败",G118="交易关闭"),"已排除",IF(G118="待确认","待确认",IF(NOT(OR(G118="已确认",G118="历史估算")),"请选择确认状态",IF(NOT(ISNUMBER(A118)),"缺少有效净值日期",IF(OR(A118&lt;=0,A118&lt;&gt;INT(A118)),"净值日期无效",IF(NOT(OR(OR(B118="买入",B118="定投",B118="转换转入"),B118="卖出",B118="现金分红",B118="红利再投")),"请选择交易类型",IF(NOT(ISNUMBER(C118)),"缺少成交净值",IF(C118&lt;=0,"成交净值须大于零",IF(NOT(ISNUMBER(D118)),"缺少确认份额（分红填0）",IF(NOT(ISNUMBER(E118)),"缺少确认金额（再投填0）",IF(NOT(ISNUMBER(F118)),"缺少手续费（无费用填0）",IF(OR(D118&lt;0,E118&lt;0,F118&lt;0),"份额金额费用不能为负",IF(AA117="错误","前行待修正",IF(A118&lt;Z117,"日期需按成交顺序递增",IF(AND(B118="现金分红",OR(D118&lt;&gt;0,E118&lt;=0,F118&lt;&gt;0)),"分红填份额0、费用0、正金额",IF(AND(B118="红利再投",OR(D118&lt;=0,E118&lt;&gt;0,F118&lt;&gt;0)),"再投填正份额、金额0、费用0",IF(AND(OR(B118="现金分红",B118="红利再投"),K117&lt;=0),"分红或再投前须有持仓",IF(AND(OR(OR(B118="买入",B118="定投",B118="转换转入"),B118="卖出"),OR(D118&lt;=0,E118&lt;=0)),"买卖须填正份额、正金额",IF(AND(B118="卖出",D118&gt;K117+0.000001),"卖出份额超过持仓",IF(AND(OR(B118="买入",B118="定投",B118="转换转入"),F118&gt;=E118)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118="买入",B118="定投",B118="转换转入"),ABS(E118-F118-C118*D118)&gt;'持仓总览'!$H$6),"买入金额与份额净值不符",IF(AND(B118="卖出",ABS(E118+F118-C118*D118)&gt;'持仓总览'!$H$6),"到账加费用与赎回市值不符","已计入"))))))))))))))))))))))))))</f>
        <v>已计入</v>
      </c>
      <c r="J118" s="11">
        <f t="shared" si="18">IF(AA118="正常",IF(I118="已计入",IF(OR(OR(B118="买入",B118="定投",B118="转换转入"),B118="红利再投"),D118,IF(B118="卖出",-D118,0)),0),"")</f>
        <v>29.6</v>
      </c>
      <c r="K118" s="11">
        <f t="shared" si="23">IF(AA118="正常",ROUND(K117+J118,6),"")</f>
        <v>25237.71</v>
      </c>
      <c r="L118" s="11">
        <f t="shared" si="24">IF(I118="已计入",ROUND(K117*C118,2),"")</f>
        <v>170038.79</v>
      </c>
      <c r="M118" s="11">
        <f t="shared" si="25">IF(I118="已计入",IF(B118="卖出",MAX(0,L118-Q117-F118),IF(B118="现金分红",MAX(0,L118+E118-Q117),0)),"")</f>
        <v>0</v>
      </c>
      <c r="N118" s="11">
        <f>IF(I118="已计入",IF(AND(B118="卖出",'持仓总览'!$C$7="本金优先"),MAX(0,E118-Q117),IF(OR(B118="卖出",B118="现金分红"),MIN(E118,M118),0)),"")</f>
        <v>0</v>
      </c>
      <c r="O118" s="11">
        <f t="shared" si="26">IF(I118="已计入",IF(OR(B118="卖出",B118="现金分红"),MIN(Q117,MAX(0,E118-N118)),0),"")</f>
        <v>0</v>
      </c>
      <c r="P118" s="11">
        <f t="shared" si="27">IF(I118="已计入",IF(AND(B118="卖出",K118=0),MAX(0,Q117-O118),0),"")</f>
        <v>0</v>
      </c>
      <c r="Q118" s="11">
        <f t="shared" si="28">IF(AA118="正常",IF(I118="已计入",ROUND(Q117+IF(OR(B118="买入",B118="定投",B118="转换转入"),E118,0)-O118-P118,2),Q117),"")</f>
        <v>126560</v>
      </c>
      <c r="R118" s="11">
        <f t="shared" si="19">IF(I118="已计入",ROUND(K118*C118,2),"")</f>
        <v>170238.45</v>
      </c>
      <c r="S118" s="11">
        <f t="shared" si="20">IF(I118="已计入",ROUND(R118-Q118,2),"")</f>
        <v>43678.45</v>
      </c>
      <c r="T118" s="12">
        <f t="shared" si="21">IF(I118="已计入",IF(Q118=0,"",S118/Q118),"")</f>
        <v>0.3451204962073325</v>
      </c>
      <c r="U118" s="11">
        <f t="shared" si="29">IF(AA118="正常",U117+IF(AND(I118="已计入",OR(B118="买入",B118="定投",B118="转换转入")),E118,0),"")</f>
        <v>126560</v>
      </c>
      <c r="V118" s="11">
        <f t="shared" si="30">IF(AA118="正常",V117+IF(AND(I118="已计入",OR(B118="卖出",B118="现金分红")),E118,0),"")</f>
        <v>0</v>
      </c>
      <c r="W118" s="11">
        <f t="shared" si="31">IF(AA118="正常",W117+IF(I118="已计入",N118,0),"")</f>
        <v>0</v>
      </c>
      <c r="X118" s="11">
        <f t="shared" si="32">IF(AA118="正常",X117+IF(I118="已计入",P118,0),"")</f>
        <v>0</v>
      </c>
      <c r="Y118" s="11">
        <f t="shared" si="22">IF(I118="已计入",ROUND(R118+V118-U118,2),"")</f>
        <v>43678.45</v>
      </c>
      <c r="Z118" s="13">
        <f t="shared" si="33">IF(AA118="正常",IF(I118="已计入",A118,Z117),"")</f>
        <v>46217</v>
      </c>
      <c r="AA118" s="10" t="str">
        <f t="shared" si="34">IF(OR(AA117="错误",AND(I118&lt;&gt;"",I118&lt;&gt;"已排除",I118&lt;&gt;"待确认",I118&lt;&gt;"已计入")),"错误","正常")</f>
        <v>正常</v>
      </c>
      <c r="AB118" s="14">
        <f t="shared" si="35">IF(AA118="正常",IF(I118="已计入",C118,AB117),"")</f>
        <v>6.7454</v>
      </c>
    </row>
    <row r="119" ht="42" customHeight="1">
      <c r="A119" s="36">
        <v>46218</v>
      </c>
      <c r="B119" s="37" t="inlineStr">
        <is>
          <t>定投</t>
        </is>
      </c>
      <c r="C119" s="38">
        <v>6.7304</v>
      </c>
      <c r="D119" s="39">
        <v>29.67</v>
      </c>
      <c r="E119" s="39">
        <v>200</v>
      </c>
      <c r="F119" s="39">
        <v>0.32</v>
      </c>
      <c r="G119" s="37" t="inlineStr">
        <is>
          <t>历史估算</t>
        </is>
      </c>
      <c r="H119" s="40" t="inlineStr">
        <is>
          <t>原下单 2026-07-15 12:18:45
净值日／份额暂估，手续费按 0.16%</t>
        </is>
      </c>
      <c r="I119" s="10" t="str">
        <f>IF(COUNTA(A119:H119)=0,"",IF(OR(OR(OR(G119="撤单",G119="交易失败",G119="交易关闭"),G119="交易失败",G119="交易关闭"),G119="交易失败",G119="交易关闭"),"已排除",IF(G119="待确认","待确认",IF(NOT(OR(G119="已确认",G119="历史估算")),"请选择确认状态",IF(NOT(ISNUMBER(A119)),"缺少有效净值日期",IF(OR(A119&lt;=0,A119&lt;&gt;INT(A119)),"净值日期无效",IF(NOT(OR(OR(B119="买入",B119="定投",B119="转换转入"),B119="卖出",B119="现金分红",B119="红利再投")),"请选择交易类型",IF(NOT(ISNUMBER(C119)),"缺少成交净值",IF(C119&lt;=0,"成交净值须大于零",IF(NOT(ISNUMBER(D119)),"缺少确认份额（分红填0）",IF(NOT(ISNUMBER(E119)),"缺少确认金额（再投填0）",IF(NOT(ISNUMBER(F119)),"缺少手续费（无费用填0）",IF(OR(D119&lt;0,E119&lt;0,F119&lt;0),"份额金额费用不能为负",IF(AA118="错误","前行待修正",IF(A119&lt;Z118,"日期需按成交顺序递增",IF(AND(B119="现金分红",OR(D119&lt;&gt;0,E119&lt;=0,F119&lt;&gt;0)),"分红填份额0、费用0、正金额",IF(AND(B119="红利再投",OR(D119&lt;=0,E119&lt;&gt;0,F119&lt;&gt;0)),"再投填正份额、金额0、费用0",IF(AND(OR(B119="现金分红",B119="红利再投"),K118&lt;=0),"分红或再投前须有持仓",IF(AND(OR(OR(B119="买入",B119="定投",B119="转换转入"),B119="卖出"),OR(D119&lt;=0,E119&lt;=0)),"买卖须填正份额、正金额",IF(AND(B119="卖出",D119&gt;K118+0.000001),"卖出份额超过持仓",IF(AND(OR(B119="买入",B119="定投",B119="转换转入"),F119&gt;=E119)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119="买入",B119="定投",B119="转换转入"),ABS(E119-F119-C119*D119)&gt;'持仓总览'!$H$6),"买入金额与份额净值不符",IF(AND(B119="卖出",ABS(E119+F119-C119*D119)&gt;'持仓总览'!$H$6),"到账加费用与赎回市值不符","已计入"))))))))))))))))))))))))))</f>
        <v>已计入</v>
      </c>
      <c r="J119" s="11">
        <f t="shared" si="18">IF(AA119="正常",IF(I119="已计入",IF(OR(OR(B119="买入",B119="定投",B119="转换转入"),B119="红利再投"),D119,IF(B119="卖出",-D119,0)),0),"")</f>
        <v>29.67</v>
      </c>
      <c r="K119" s="11">
        <f t="shared" si="23">IF(AA119="正常",ROUND(K118+J119,6),"")</f>
        <v>25267.38</v>
      </c>
      <c r="L119" s="11">
        <f t="shared" si="24">IF(I119="已计入",ROUND(K118*C119,2),"")</f>
        <v>169859.88</v>
      </c>
      <c r="M119" s="11">
        <f t="shared" si="25">IF(I119="已计入",IF(B119="卖出",MAX(0,L119-Q118-F119),IF(B119="现金分红",MAX(0,L119+E119-Q118),0)),"")</f>
        <v>0</v>
      </c>
      <c r="N119" s="11">
        <f>IF(I119="已计入",IF(AND(B119="卖出",'持仓总览'!$C$7="本金优先"),MAX(0,E119-Q118),IF(OR(B119="卖出",B119="现金分红"),MIN(E119,M119),0)),"")</f>
        <v>0</v>
      </c>
      <c r="O119" s="11">
        <f t="shared" si="26">IF(I119="已计入",IF(OR(B119="卖出",B119="现金分红"),MIN(Q118,MAX(0,E119-N119)),0),"")</f>
        <v>0</v>
      </c>
      <c r="P119" s="11">
        <f t="shared" si="27">IF(I119="已计入",IF(AND(B119="卖出",K119=0),MAX(0,Q118-O119),0),"")</f>
        <v>0</v>
      </c>
      <c r="Q119" s="11">
        <f t="shared" si="28">IF(AA119="正常",IF(I119="已计入",ROUND(Q118+IF(OR(B119="买入",B119="定投",B119="转换转入"),E119,0)-O119-P119,2),Q118),"")</f>
        <v>126760</v>
      </c>
      <c r="R119" s="11">
        <f t="shared" si="19">IF(I119="已计入",ROUND(K119*C119,2),"")</f>
        <v>170059.57</v>
      </c>
      <c r="S119" s="11">
        <f t="shared" si="20">IF(I119="已计入",ROUND(R119-Q119,2),"")</f>
        <v>43299.57</v>
      </c>
      <c r="T119" s="12">
        <f t="shared" si="21">IF(I119="已计入",IF(Q119=0,"",S119/Q119),"")</f>
        <v>0.34158701483117704</v>
      </c>
      <c r="U119" s="11">
        <f t="shared" si="29">IF(AA119="正常",U118+IF(AND(I119="已计入",OR(B119="买入",B119="定投",B119="转换转入")),E119,0),"")</f>
        <v>126760</v>
      </c>
      <c r="V119" s="11">
        <f t="shared" si="30">IF(AA119="正常",V118+IF(AND(I119="已计入",OR(B119="卖出",B119="现金分红")),E119,0),"")</f>
        <v>0</v>
      </c>
      <c r="W119" s="11">
        <f t="shared" si="31">IF(AA119="正常",W118+IF(I119="已计入",N119,0),"")</f>
        <v>0</v>
      </c>
      <c r="X119" s="11">
        <f t="shared" si="32">IF(AA119="正常",X118+IF(I119="已计入",P119,0),"")</f>
        <v>0</v>
      </c>
      <c r="Y119" s="11">
        <f t="shared" si="22">IF(I119="已计入",ROUND(R119+V119-U119,2),"")</f>
        <v>43299.57</v>
      </c>
      <c r="Z119" s="13">
        <f t="shared" si="33">IF(AA119="正常",IF(I119="已计入",A119,Z118),"")</f>
        <v>46218</v>
      </c>
      <c r="AA119" s="10" t="str">
        <f t="shared" si="34">IF(OR(AA118="错误",AND(I119&lt;&gt;"",I119&lt;&gt;"已排除",I119&lt;&gt;"待确认",I119&lt;&gt;"已计入")),"错误","正常")</f>
        <v>正常</v>
      </c>
      <c r="AB119" s="14">
        <f t="shared" si="35">IF(AA119="正常",IF(I119="已计入",C119,AB118),"")</f>
        <v>6.7304</v>
      </c>
    </row>
    <row r="120" ht="42" customHeight="1">
      <c r="A120" s="36">
        <v>46219</v>
      </c>
      <c r="B120" s="37" t="inlineStr">
        <is>
          <t>定投</t>
        </is>
      </c>
      <c r="C120" s="38">
        <v>6.4282</v>
      </c>
      <c r="D120" s="39">
        <v>31.06</v>
      </c>
      <c r="E120" s="39">
        <v>200</v>
      </c>
      <c r="F120" s="39">
        <v>0.32</v>
      </c>
      <c r="G120" s="37" t="inlineStr">
        <is>
          <t>历史估算</t>
        </is>
      </c>
      <c r="H120" s="40" t="inlineStr">
        <is>
          <t>原下单 2026-07-16 12:19:54
净值日／份额暂估，手续费按 0.16%</t>
        </is>
      </c>
      <c r="I120" s="10" t="str">
        <f>IF(COUNTA(A120:H120)=0,"",IF(OR(OR(OR(G120="撤单",G120="交易失败",G120="交易关闭"),G120="交易失败",G120="交易关闭"),G120="交易失败",G120="交易关闭"),"已排除",IF(G120="待确认","待确认",IF(NOT(OR(G120="已确认",G120="历史估算")),"请选择确认状态",IF(NOT(ISNUMBER(A120)),"缺少有效净值日期",IF(OR(A120&lt;=0,A120&lt;&gt;INT(A120)),"净值日期无效",IF(NOT(OR(OR(B120="买入",B120="定投",B120="转换转入"),B120="卖出",B120="现金分红",B120="红利再投")),"请选择交易类型",IF(NOT(ISNUMBER(C120)),"缺少成交净值",IF(C120&lt;=0,"成交净值须大于零",IF(NOT(ISNUMBER(D120)),"缺少确认份额（分红填0）",IF(NOT(ISNUMBER(E120)),"缺少确认金额（再投填0）",IF(NOT(ISNUMBER(F120)),"缺少手续费（无费用填0）",IF(OR(D120&lt;0,E120&lt;0,F120&lt;0),"份额金额费用不能为负",IF(AA119="错误","前行待修正",IF(A120&lt;Z119,"日期需按成交顺序递增",IF(AND(B120="现金分红",OR(D120&lt;&gt;0,E120&lt;=0,F120&lt;&gt;0)),"分红填份额0、费用0、正金额",IF(AND(B120="红利再投",OR(D120&lt;=0,E120&lt;&gt;0,F120&lt;&gt;0)),"再投填正份额、金额0、费用0",IF(AND(OR(B120="现金分红",B120="红利再投"),K119&lt;=0),"分红或再投前须有持仓",IF(AND(OR(OR(B120="买入",B120="定投",B120="转换转入"),B120="卖出"),OR(D120&lt;=0,E120&lt;=0)),"买卖须填正份额、正金额",IF(AND(B120="卖出",D120&gt;K119+0.000001),"卖出份额超过持仓",IF(AND(OR(B120="买入",B120="定投",B120="转换转入"),F120&gt;=E120)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120="买入",B120="定投",B120="转换转入"),ABS(E120-F120-C120*D120)&gt;'持仓总览'!$H$6),"买入金额与份额净值不符",IF(AND(B120="卖出",ABS(E120+F120-C120*D120)&gt;'持仓总览'!$H$6),"到账加费用与赎回市值不符","已计入"))))))))))))))))))))))))))</f>
        <v>已计入</v>
      </c>
      <c r="J120" s="11">
        <f t="shared" si="18">IF(AA120="正常",IF(I120="已计入",IF(OR(OR(B120="买入",B120="定投",B120="转换转入"),B120="红利再投"),D120,IF(B120="卖出",-D120,0)),0),"")</f>
        <v>31.06</v>
      </c>
      <c r="K120" s="11">
        <f t="shared" si="23">IF(AA120="正常",ROUND(K119+J120,6),"")</f>
        <v>25298.44</v>
      </c>
      <c r="L120" s="11">
        <f t="shared" si="24">IF(I120="已计入",ROUND(K119*C120,2),"")</f>
        <v>162423.77</v>
      </c>
      <c r="M120" s="11">
        <f t="shared" si="25">IF(I120="已计入",IF(B120="卖出",MAX(0,L120-Q119-F120),IF(B120="现金分红",MAX(0,L120+E120-Q119),0)),"")</f>
        <v>0</v>
      </c>
      <c r="N120" s="11">
        <f>IF(I120="已计入",IF(AND(B120="卖出",'持仓总览'!$C$7="本金优先"),MAX(0,E120-Q119),IF(OR(B120="卖出",B120="现金分红"),MIN(E120,M120),0)),"")</f>
        <v>0</v>
      </c>
      <c r="O120" s="11">
        <f t="shared" si="26">IF(I120="已计入",IF(OR(B120="卖出",B120="现金分红"),MIN(Q119,MAX(0,E120-N120)),0),"")</f>
        <v>0</v>
      </c>
      <c r="P120" s="11">
        <f t="shared" si="27">IF(I120="已计入",IF(AND(B120="卖出",K120=0),MAX(0,Q119-O120),0),"")</f>
        <v>0</v>
      </c>
      <c r="Q120" s="11">
        <f t="shared" si="28">IF(AA120="正常",IF(I120="已计入",ROUND(Q119+IF(OR(B120="买入",B120="定投",B120="转换转入"),E120,0)-O120-P120,2),Q119),"")</f>
        <v>126960</v>
      </c>
      <c r="R120" s="11">
        <f t="shared" si="19">IF(I120="已计入",ROUND(K120*C120,2),"")</f>
        <v>162623.43</v>
      </c>
      <c r="S120" s="11">
        <f t="shared" si="20">IF(I120="已计入",ROUND(R120-Q120,2),"")</f>
        <v>35663.43</v>
      </c>
      <c r="T120" s="12">
        <f t="shared" si="21">IF(I120="已计入",IF(Q120=0,"",S120/Q120),"")</f>
        <v>0.28090288279773157</v>
      </c>
      <c r="U120" s="11">
        <f t="shared" si="29">IF(AA120="正常",U119+IF(AND(I120="已计入",OR(B120="买入",B120="定投",B120="转换转入")),E120,0),"")</f>
        <v>126960</v>
      </c>
      <c r="V120" s="11">
        <f t="shared" si="30">IF(AA120="正常",V119+IF(AND(I120="已计入",OR(B120="卖出",B120="现金分红")),E120,0),"")</f>
        <v>0</v>
      </c>
      <c r="W120" s="11">
        <f t="shared" si="31">IF(AA120="正常",W119+IF(I120="已计入",N120,0),"")</f>
        <v>0</v>
      </c>
      <c r="X120" s="11">
        <f t="shared" si="32">IF(AA120="正常",X119+IF(I120="已计入",P120,0),"")</f>
        <v>0</v>
      </c>
      <c r="Y120" s="11">
        <f t="shared" si="22">IF(I120="已计入",ROUND(R120+V120-U120,2),"")</f>
        <v>35663.43</v>
      </c>
      <c r="Z120" s="13">
        <f t="shared" si="33">IF(AA120="正常",IF(I120="已计入",A120,Z119),"")</f>
        <v>46219</v>
      </c>
      <c r="AA120" s="10" t="str">
        <f t="shared" si="34">IF(OR(AA119="错误",AND(I120&lt;&gt;"",I120&lt;&gt;"已排除",I120&lt;&gt;"待确认",I120&lt;&gt;"已计入")),"错误","正常")</f>
        <v>正常</v>
      </c>
      <c r="AB120" s="14">
        <f t="shared" si="35">IF(AA120="正常",IF(I120="已计入",C120,AB119),"")</f>
        <v>6.4282</v>
      </c>
    </row>
    <row r="121" ht="42" customHeight="1">
      <c r="A121" s="36">
        <v>46220</v>
      </c>
      <c r="B121" s="37" t="inlineStr">
        <is>
          <t>定投</t>
        </is>
      </c>
      <c r="C121" s="38">
        <v>6.1645</v>
      </c>
      <c r="D121" s="39">
        <v>32.39</v>
      </c>
      <c r="E121" s="39">
        <v>200</v>
      </c>
      <c r="F121" s="39">
        <v>0.32</v>
      </c>
      <c r="G121" s="37" t="inlineStr">
        <is>
          <t>历史估算</t>
        </is>
      </c>
      <c r="H121" s="40" t="inlineStr">
        <is>
          <t>原下单 2026-07-17 12:10:02
净值日／份额暂估，手续费按 0.16%</t>
        </is>
      </c>
      <c r="I121" s="10" t="str">
        <f>IF(COUNTA(A121:H121)=0,"",IF(OR(OR(OR(G121="撤单",G121="交易失败",G121="交易关闭"),G121="交易失败",G121="交易关闭"),G121="交易失败",G121="交易关闭"),"已排除",IF(G121="待确认","待确认",IF(NOT(OR(G121="已确认",G121="历史估算")),"请选择确认状态",IF(NOT(ISNUMBER(A121)),"缺少有效净值日期",IF(OR(A121&lt;=0,A121&lt;&gt;INT(A121)),"净值日期无效",IF(NOT(OR(OR(B121="买入",B121="定投",B121="转换转入"),B121="卖出",B121="现金分红",B121="红利再投")),"请选择交易类型",IF(NOT(ISNUMBER(C121)),"缺少成交净值",IF(C121&lt;=0,"成交净值须大于零",IF(NOT(ISNUMBER(D121)),"缺少确认份额（分红填0）",IF(NOT(ISNUMBER(E121)),"缺少确认金额（再投填0）",IF(NOT(ISNUMBER(F121)),"缺少手续费（无费用填0）",IF(OR(D121&lt;0,E121&lt;0,F121&lt;0),"份额金额费用不能为负",IF(AA120="错误","前行待修正",IF(A121&lt;Z120,"日期需按成交顺序递增",IF(AND(B121="现金分红",OR(D121&lt;&gt;0,E121&lt;=0,F121&lt;&gt;0)),"分红填份额0、费用0、正金额",IF(AND(B121="红利再投",OR(D121&lt;=0,E121&lt;&gt;0,F121&lt;&gt;0)),"再投填正份额、金额0、费用0",IF(AND(OR(B121="现金分红",B121="红利再投"),K120&lt;=0),"分红或再投前须有持仓",IF(AND(OR(OR(B121="买入",B121="定投",B121="转换转入"),B121="卖出"),OR(D121&lt;=0,E121&lt;=0)),"买卖须填正份额、正金额",IF(AND(B121="卖出",D121&gt;K120+0.000001),"卖出份额超过持仓",IF(AND(OR(B121="买入",B121="定投",B121="转换转入"),F121&gt;=E121)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121="买入",B121="定投",B121="转换转入"),ABS(E121-F121-C121*D121)&gt;'持仓总览'!$H$6),"买入金额与份额净值不符",IF(AND(B121="卖出",ABS(E121+F121-C121*D121)&gt;'持仓总览'!$H$6),"到账加费用与赎回市值不符","已计入"))))))))))))))))))))))))))</f>
        <v>已计入</v>
      </c>
      <c r="J121" s="11">
        <f t="shared" si="18">IF(AA121="正常",IF(I121="已计入",IF(OR(OR(B121="买入",B121="定投",B121="转换转入"),B121="红利再投"),D121,IF(B121="卖出",-D121,0)),0),"")</f>
        <v>32.39</v>
      </c>
      <c r="K121" s="11">
        <f t="shared" si="23">IF(AA121="正常",ROUND(K120+J121,6),"")</f>
        <v>25330.83</v>
      </c>
      <c r="L121" s="11">
        <f t="shared" si="24">IF(I121="已计入",ROUND(K120*C121,2),"")</f>
        <v>155952.23</v>
      </c>
      <c r="M121" s="11">
        <f t="shared" si="25">IF(I121="已计入",IF(B121="卖出",MAX(0,L121-Q120-F121),IF(B121="现金分红",MAX(0,L121+E121-Q120),0)),"")</f>
        <v>0</v>
      </c>
      <c r="N121" s="11">
        <f>IF(I121="已计入",IF(AND(B121="卖出",'持仓总览'!$C$7="本金优先"),MAX(0,E121-Q120),IF(OR(B121="卖出",B121="现金分红"),MIN(E121,M121),0)),"")</f>
        <v>0</v>
      </c>
      <c r="O121" s="11">
        <f t="shared" si="26">IF(I121="已计入",IF(OR(B121="卖出",B121="现金分红"),MIN(Q120,MAX(0,E121-N121)),0),"")</f>
        <v>0</v>
      </c>
      <c r="P121" s="11">
        <f t="shared" si="27">IF(I121="已计入",IF(AND(B121="卖出",K121=0),MAX(0,Q120-O121),0),"")</f>
        <v>0</v>
      </c>
      <c r="Q121" s="11">
        <f t="shared" si="28">IF(AA121="正常",IF(I121="已计入",ROUND(Q120+IF(OR(B121="买入",B121="定投",B121="转换转入"),E121,0)-O121-P121,2),Q120),"")</f>
        <v>127160</v>
      </c>
      <c r="R121" s="11">
        <f t="shared" si="19">IF(I121="已计入",ROUND(K121*C121,2),"")</f>
        <v>156151.9</v>
      </c>
      <c r="S121" s="11">
        <f t="shared" si="20">IF(I121="已计入",ROUND(R121-Q121,2),"")</f>
        <v>28991.9</v>
      </c>
      <c r="T121" s="12">
        <f t="shared" si="21">IF(I121="已计入",IF(Q121=0,"",S121/Q121),"")</f>
        <v>0.22799543881723813</v>
      </c>
      <c r="U121" s="11">
        <f t="shared" si="29">IF(AA121="正常",U120+IF(AND(I121="已计入",OR(B121="买入",B121="定投",B121="转换转入")),E121,0),"")</f>
        <v>127160</v>
      </c>
      <c r="V121" s="11">
        <f t="shared" si="30">IF(AA121="正常",V120+IF(AND(I121="已计入",OR(B121="卖出",B121="现金分红")),E121,0),"")</f>
        <v>0</v>
      </c>
      <c r="W121" s="11">
        <f t="shared" si="31">IF(AA121="正常",W120+IF(I121="已计入",N121,0),"")</f>
        <v>0</v>
      </c>
      <c r="X121" s="11">
        <f t="shared" si="32">IF(AA121="正常",X120+IF(I121="已计入",P121,0),"")</f>
        <v>0</v>
      </c>
      <c r="Y121" s="11">
        <f t="shared" si="22">IF(I121="已计入",ROUND(R121+V121-U121,2),"")</f>
        <v>28991.9</v>
      </c>
      <c r="Z121" s="13">
        <f t="shared" si="33">IF(AA121="正常",IF(I121="已计入",A121,Z120),"")</f>
        <v>46220</v>
      </c>
      <c r="AA121" s="10" t="str">
        <f t="shared" si="34">IF(OR(AA120="错误",AND(I121&lt;&gt;"",I121&lt;&gt;"已排除",I121&lt;&gt;"待确认",I121&lt;&gt;"已计入")),"错误","正常")</f>
        <v>正常</v>
      </c>
      <c r="AB121" s="14">
        <f t="shared" si="35">IF(AA121="正常",IF(I121="已计入",C121,AB120),"")</f>
        <v>6.1645</v>
      </c>
    </row>
    <row r="122" ht="42" customHeight="1">
      <c r="A122" s="36">
        <v>46223</v>
      </c>
      <c r="B122" s="37" t="inlineStr">
        <is>
          <t>定投</t>
        </is>
      </c>
      <c r="C122" s="38">
        <v>6.1173</v>
      </c>
      <c r="D122" s="39">
        <v>32.64</v>
      </c>
      <c r="E122" s="39">
        <v>200</v>
      </c>
      <c r="F122" s="39">
        <v>0.32</v>
      </c>
      <c r="G122" s="37" t="inlineStr">
        <is>
          <t>历史估算</t>
        </is>
      </c>
      <c r="H122" s="40" t="inlineStr">
        <is>
          <t>原下单 2026-07-20 12:15:24
净值日／份额暂估，手续费按 0.16%</t>
        </is>
      </c>
      <c r="I122" s="10" t="str">
        <f>IF(COUNTA(A122:H122)=0,"",IF(OR(OR(OR(G122="撤单",G122="交易失败",G122="交易关闭"),G122="交易失败",G122="交易关闭"),G122="交易失败",G122="交易关闭"),"已排除",IF(G122="待确认","待确认",IF(NOT(OR(G122="已确认",G122="历史估算")),"请选择确认状态",IF(NOT(ISNUMBER(A122)),"缺少有效净值日期",IF(OR(A122&lt;=0,A122&lt;&gt;INT(A122)),"净值日期无效",IF(NOT(OR(OR(B122="买入",B122="定投",B122="转换转入"),B122="卖出",B122="现金分红",B122="红利再投")),"请选择交易类型",IF(NOT(ISNUMBER(C122)),"缺少成交净值",IF(C122&lt;=0,"成交净值须大于零",IF(NOT(ISNUMBER(D122)),"缺少确认份额（分红填0）",IF(NOT(ISNUMBER(E122)),"缺少确认金额（再投填0）",IF(NOT(ISNUMBER(F122)),"缺少手续费（无费用填0）",IF(OR(D122&lt;0,E122&lt;0,F122&lt;0),"份额金额费用不能为负",IF(AA121="错误","前行待修正",IF(A122&lt;Z121,"日期需按成交顺序递增",IF(AND(B122="现金分红",OR(D122&lt;&gt;0,E122&lt;=0,F122&lt;&gt;0)),"分红填份额0、费用0、正金额",IF(AND(B122="红利再投",OR(D122&lt;=0,E122&lt;&gt;0,F122&lt;&gt;0)),"再投填正份额、金额0、费用0",IF(AND(OR(B122="现金分红",B122="红利再投"),K121&lt;=0),"分红或再投前须有持仓",IF(AND(OR(OR(B122="买入",B122="定投",B122="转换转入"),B122="卖出"),OR(D122&lt;=0,E122&lt;=0)),"买卖须填正份额、正金额",IF(AND(B122="卖出",D122&gt;K121+0.000001),"卖出份额超过持仓",IF(AND(OR(B122="买入",B122="定投",B122="转换转入"),F122&gt;=E122)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122="买入",B122="定投",B122="转换转入"),ABS(E122-F122-C122*D122)&gt;'持仓总览'!$H$6),"买入金额与份额净值不符",IF(AND(B122="卖出",ABS(E122+F122-C122*D122)&gt;'持仓总览'!$H$6),"到账加费用与赎回市值不符","已计入"))))))))))))))))))))))))))</f>
        <v>已计入</v>
      </c>
      <c r="J122" s="11">
        <f t="shared" si="18">IF(AA122="正常",IF(I122="已计入",IF(OR(OR(B122="买入",B122="定投",B122="转换转入"),B122="红利再投"),D122,IF(B122="卖出",-D122,0)),0),"")</f>
        <v>32.64</v>
      </c>
      <c r="K122" s="11">
        <f t="shared" si="23">IF(AA122="正常",ROUND(K121+J122,6),"")</f>
        <v>25363.47</v>
      </c>
      <c r="L122" s="11">
        <f t="shared" si="24">IF(I122="已计入",ROUND(K121*C122,2),"")</f>
        <v>154956.29</v>
      </c>
      <c r="M122" s="11">
        <f t="shared" si="25">IF(I122="已计入",IF(B122="卖出",MAX(0,L122-Q121-F122),IF(B122="现金分红",MAX(0,L122+E122-Q121),0)),"")</f>
        <v>0</v>
      </c>
      <c r="N122" s="11">
        <f>IF(I122="已计入",IF(AND(B122="卖出",'持仓总览'!$C$7="本金优先"),MAX(0,E122-Q121),IF(OR(B122="卖出",B122="现金分红"),MIN(E122,M122),0)),"")</f>
        <v>0</v>
      </c>
      <c r="O122" s="11">
        <f t="shared" si="26">IF(I122="已计入",IF(OR(B122="卖出",B122="现金分红"),MIN(Q121,MAX(0,E122-N122)),0),"")</f>
        <v>0</v>
      </c>
      <c r="P122" s="11">
        <f t="shared" si="27">IF(I122="已计入",IF(AND(B122="卖出",K122=0),MAX(0,Q121-O122),0),"")</f>
        <v>0</v>
      </c>
      <c r="Q122" s="11">
        <f t="shared" si="28">IF(AA122="正常",IF(I122="已计入",ROUND(Q121+IF(OR(B122="买入",B122="定投",B122="转换转入"),E122,0)-O122-P122,2),Q121),"")</f>
        <v>127360</v>
      </c>
      <c r="R122" s="11">
        <f t="shared" si="19">IF(I122="已计入",ROUND(K122*C122,2),"")</f>
        <v>155155.96</v>
      </c>
      <c r="S122" s="11">
        <f t="shared" si="20">IF(I122="已计入",ROUND(R122-Q122,2),"")</f>
        <v>27795.96</v>
      </c>
      <c r="T122" s="12">
        <f t="shared" si="21">IF(I122="已计入",IF(Q122=0,"",S122/Q122),"")</f>
        <v>0.21824717336683416</v>
      </c>
      <c r="U122" s="11">
        <f t="shared" si="29">IF(AA122="正常",U121+IF(AND(I122="已计入",OR(B122="买入",B122="定投",B122="转换转入")),E122,0),"")</f>
        <v>127360</v>
      </c>
      <c r="V122" s="11">
        <f t="shared" si="30">IF(AA122="正常",V121+IF(AND(I122="已计入",OR(B122="卖出",B122="现金分红")),E122,0),"")</f>
        <v>0</v>
      </c>
      <c r="W122" s="11">
        <f t="shared" si="31">IF(AA122="正常",W121+IF(I122="已计入",N122,0),"")</f>
        <v>0</v>
      </c>
      <c r="X122" s="11">
        <f t="shared" si="32">IF(AA122="正常",X121+IF(I122="已计入",P122,0),"")</f>
        <v>0</v>
      </c>
      <c r="Y122" s="11">
        <f t="shared" si="22">IF(I122="已计入",ROUND(R122+V122-U122,2),"")</f>
        <v>27795.96</v>
      </c>
      <c r="Z122" s="13">
        <f t="shared" si="33">IF(AA122="正常",IF(I122="已计入",A122,Z121),"")</f>
        <v>46223</v>
      </c>
      <c r="AA122" s="10" t="str">
        <f t="shared" si="34">IF(OR(AA121="错误",AND(I122&lt;&gt;"",I122&lt;&gt;"已排除",I122&lt;&gt;"待确认",I122&lt;&gt;"已计入")),"错误","正常")</f>
        <v>正常</v>
      </c>
      <c r="AB122" s="14">
        <f t="shared" si="35">IF(AA122="正常",IF(I122="已计入",C122,AB121),"")</f>
        <v>6.1173</v>
      </c>
    </row>
    <row r="123" ht="42" customHeight="1">
      <c r="A123" s="36">
        <v>46224</v>
      </c>
      <c r="B123" s="37" t="inlineStr">
        <is>
          <t>定投</t>
        </is>
      </c>
      <c r="C123" s="38">
        <v>6.4399</v>
      </c>
      <c r="D123" s="39">
        <v>31.01</v>
      </c>
      <c r="E123" s="39">
        <v>200</v>
      </c>
      <c r="F123" s="39">
        <v>0.32</v>
      </c>
      <c r="G123" s="37" t="inlineStr">
        <is>
          <t>历史估算</t>
        </is>
      </c>
      <c r="H123" s="40" t="inlineStr">
        <is>
          <t>原下单 2026-07-21 12:00:02
净值日／份额暂估，手续费按 0.16%</t>
        </is>
      </c>
      <c r="I123" s="10" t="str">
        <f>IF(COUNTA(A123:H123)=0,"",IF(OR(OR(OR(G123="撤单",G123="交易失败",G123="交易关闭"),G123="交易失败",G123="交易关闭"),G123="交易失败",G123="交易关闭"),"已排除",IF(G123="待确认","待确认",IF(NOT(OR(G123="已确认",G123="历史估算")),"请选择确认状态",IF(NOT(ISNUMBER(A123)),"缺少有效净值日期",IF(OR(A123&lt;=0,A123&lt;&gt;INT(A123)),"净值日期无效",IF(NOT(OR(OR(B123="买入",B123="定投",B123="转换转入"),B123="卖出",B123="现金分红",B123="红利再投")),"请选择交易类型",IF(NOT(ISNUMBER(C123)),"缺少成交净值",IF(C123&lt;=0,"成交净值须大于零",IF(NOT(ISNUMBER(D123)),"缺少确认份额（分红填0）",IF(NOT(ISNUMBER(E123)),"缺少确认金额（再投填0）",IF(NOT(ISNUMBER(F123)),"缺少手续费（无费用填0）",IF(OR(D123&lt;0,E123&lt;0,F123&lt;0),"份额金额费用不能为负",IF(AA122="错误","前行待修正",IF(A123&lt;Z122,"日期需按成交顺序递增",IF(AND(B123="现金分红",OR(D123&lt;&gt;0,E123&lt;=0,F123&lt;&gt;0)),"分红填份额0、费用0、正金额",IF(AND(B123="红利再投",OR(D123&lt;=0,E123&lt;&gt;0,F123&lt;&gt;0)),"再投填正份额、金额0、费用0",IF(AND(OR(B123="现金分红",B123="红利再投"),K122&lt;=0),"分红或再投前须有持仓",IF(AND(OR(OR(B123="买入",B123="定投",B123="转换转入"),B123="卖出"),OR(D123&lt;=0,E123&lt;=0)),"买卖须填正份额、正金额",IF(AND(B123="卖出",D123&gt;K122+0.000001),"卖出份额超过持仓",IF(AND(OR(B123="买入",B123="定投",B123="转换转入"),F123&gt;=E123)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123="买入",B123="定投",B123="转换转入"),ABS(E123-F123-C123*D123)&gt;'持仓总览'!$H$6),"买入金额与份额净值不符",IF(AND(B123="卖出",ABS(E123+F123-C123*D123)&gt;'持仓总览'!$H$6),"到账加费用与赎回市值不符","已计入"))))))))))))))))))))))))))</f>
        <v>已计入</v>
      </c>
      <c r="J123" s="11">
        <f t="shared" si="18">IF(AA123="正常",IF(I123="已计入",IF(OR(OR(B123="买入",B123="定投",B123="转换转入"),B123="红利再投"),D123,IF(B123="卖出",-D123,0)),0),"")</f>
        <v>31.01</v>
      </c>
      <c r="K123" s="11">
        <f t="shared" si="23">IF(AA123="正常",ROUND(K122+J123,6),"")</f>
        <v>25394.48</v>
      </c>
      <c r="L123" s="11">
        <f t="shared" si="24">IF(I123="已计入",ROUND(K122*C123,2),"")</f>
        <v>163338.21</v>
      </c>
      <c r="M123" s="11">
        <f t="shared" si="25">IF(I123="已计入",IF(B123="卖出",MAX(0,L123-Q122-F123),IF(B123="现金分红",MAX(0,L123+E123-Q122),0)),"")</f>
        <v>0</v>
      </c>
      <c r="N123" s="11">
        <f>IF(I123="已计入",IF(AND(B123="卖出",'持仓总览'!$C$7="本金优先"),MAX(0,E123-Q122),IF(OR(B123="卖出",B123="现金分红"),MIN(E123,M123),0)),"")</f>
        <v>0</v>
      </c>
      <c r="O123" s="11">
        <f t="shared" si="26">IF(I123="已计入",IF(OR(B123="卖出",B123="现金分红"),MIN(Q122,MAX(0,E123-N123)),0),"")</f>
        <v>0</v>
      </c>
      <c r="P123" s="11">
        <f t="shared" si="27">IF(I123="已计入",IF(AND(B123="卖出",K123=0),MAX(0,Q122-O123),0),"")</f>
        <v>0</v>
      </c>
      <c r="Q123" s="11">
        <f t="shared" si="28">IF(AA123="正常",IF(I123="已计入",ROUND(Q122+IF(OR(B123="买入",B123="定投",B123="转换转入"),E123,0)-O123-P123,2),Q122),"")</f>
        <v>127560</v>
      </c>
      <c r="R123" s="11">
        <f t="shared" si="19">IF(I123="已计入",ROUND(K123*C123,2),"")</f>
        <v>163537.91</v>
      </c>
      <c r="S123" s="11">
        <f t="shared" si="20">IF(I123="已计入",ROUND(R123-Q123,2),"")</f>
        <v>35977.91</v>
      </c>
      <c r="T123" s="12">
        <f t="shared" si="21">IF(I123="已计入",IF(Q123=0,"",S123/Q123),"")</f>
        <v>0.2820469582941361</v>
      </c>
      <c r="U123" s="11">
        <f t="shared" si="29">IF(AA123="正常",U122+IF(AND(I123="已计入",OR(B123="买入",B123="定投",B123="转换转入")),E123,0),"")</f>
        <v>127560</v>
      </c>
      <c r="V123" s="11">
        <f t="shared" si="30">IF(AA123="正常",V122+IF(AND(I123="已计入",OR(B123="卖出",B123="现金分红")),E123,0),"")</f>
        <v>0</v>
      </c>
      <c r="W123" s="11">
        <f t="shared" si="31">IF(AA123="正常",W122+IF(I123="已计入",N123,0),"")</f>
        <v>0</v>
      </c>
      <c r="X123" s="11">
        <f t="shared" si="32">IF(AA123="正常",X122+IF(I123="已计入",P123,0),"")</f>
        <v>0</v>
      </c>
      <c r="Y123" s="11">
        <f t="shared" si="22">IF(I123="已计入",ROUND(R123+V123-U123,2),"")</f>
        <v>35977.91</v>
      </c>
      <c r="Z123" s="13">
        <f t="shared" si="33">IF(AA123="正常",IF(I123="已计入",A123,Z122),"")</f>
        <v>46224</v>
      </c>
      <c r="AA123" s="10" t="str">
        <f t="shared" si="34">IF(OR(AA122="错误",AND(I123&lt;&gt;"",I123&lt;&gt;"已排除",I123&lt;&gt;"待确认",I123&lt;&gt;"已计入")),"错误","正常")</f>
        <v>正常</v>
      </c>
      <c r="AB123" s="14">
        <f t="shared" si="35">IF(AA123="正常",IF(I123="已计入",C123,AB122),"")</f>
        <v>6.4399</v>
      </c>
    </row>
    <row r="124" ht="42" customHeight="1">
      <c r="A124" s="36">
        <v>46225</v>
      </c>
      <c r="B124" s="37" t="inlineStr">
        <is>
          <t>定投</t>
        </is>
      </c>
      <c r="C124" s="38">
        <v>6.4324</v>
      </c>
      <c r="D124" s="39">
        <v>31.04</v>
      </c>
      <c r="E124" s="39">
        <v>200</v>
      </c>
      <c r="F124" s="39">
        <v>0.32</v>
      </c>
      <c r="G124" s="37" t="inlineStr">
        <is>
          <t>历史估算</t>
        </is>
      </c>
      <c r="H124" s="40" t="inlineStr">
        <is>
          <t>原下单 2026-07-22 11:54:51
净值日／份额暂估，手续费按 0.16%</t>
        </is>
      </c>
      <c r="I124" s="10" t="str">
        <f>IF(COUNTA(A124:H124)=0,"",IF(OR(OR(OR(G124="撤单",G124="交易失败",G124="交易关闭"),G124="交易失败",G124="交易关闭"),G124="交易失败",G124="交易关闭"),"已排除",IF(G124="待确认","待确认",IF(NOT(OR(G124="已确认",G124="历史估算")),"请选择确认状态",IF(NOT(ISNUMBER(A124)),"缺少有效净值日期",IF(OR(A124&lt;=0,A124&lt;&gt;INT(A124)),"净值日期无效",IF(NOT(OR(OR(B124="买入",B124="定投",B124="转换转入"),B124="卖出",B124="现金分红",B124="红利再投")),"请选择交易类型",IF(NOT(ISNUMBER(C124)),"缺少成交净值",IF(C124&lt;=0,"成交净值须大于零",IF(NOT(ISNUMBER(D124)),"缺少确认份额（分红填0）",IF(NOT(ISNUMBER(E124)),"缺少确认金额（再投填0）",IF(NOT(ISNUMBER(F124)),"缺少手续费（无费用填0）",IF(OR(D124&lt;0,E124&lt;0,F124&lt;0),"份额金额费用不能为负",IF(AA123="错误","前行待修正",IF(A124&lt;Z123,"日期需按成交顺序递增",IF(AND(B124="现金分红",OR(D124&lt;&gt;0,E124&lt;=0,F124&lt;&gt;0)),"分红填份额0、费用0、正金额",IF(AND(B124="红利再投",OR(D124&lt;=0,E124&lt;&gt;0,F124&lt;&gt;0)),"再投填正份额、金额0、费用0",IF(AND(OR(B124="现金分红",B124="红利再投"),K123&lt;=0),"分红或再投前须有持仓",IF(AND(OR(OR(B124="买入",B124="定投",B124="转换转入"),B124="卖出"),OR(D124&lt;=0,E124&lt;=0)),"买卖须填正份额、正金额",IF(AND(B124="卖出",D124&gt;K123+0.000001),"卖出份额超过持仓",IF(AND(OR(B124="买入",B124="定投",B124="转换转入"),F124&gt;=E124)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124="买入",B124="定投",B124="转换转入"),ABS(E124-F124-C124*D124)&gt;'持仓总览'!$H$6),"买入金额与份额净值不符",IF(AND(B124="卖出",ABS(E124+F124-C124*D124)&gt;'持仓总览'!$H$6),"到账加费用与赎回市值不符","已计入"))))))))))))))))))))))))))</f>
        <v>已计入</v>
      </c>
      <c r="J124" s="11">
        <f t="shared" si="18">IF(AA124="正常",IF(I124="已计入",IF(OR(OR(B124="买入",B124="定投",B124="转换转入"),B124="红利再投"),D124,IF(B124="卖出",-D124,0)),0),"")</f>
        <v>31.04</v>
      </c>
      <c r="K124" s="11">
        <f t="shared" si="23">IF(AA124="正常",ROUND(K123+J124,6),"")</f>
        <v>25425.52</v>
      </c>
      <c r="L124" s="11">
        <f t="shared" si="24">IF(I124="已计入",ROUND(K123*C124,2),"")</f>
        <v>163347.45</v>
      </c>
      <c r="M124" s="11">
        <f t="shared" si="25">IF(I124="已计入",IF(B124="卖出",MAX(0,L124-Q123-F124),IF(B124="现金分红",MAX(0,L124+E124-Q123),0)),"")</f>
        <v>0</v>
      </c>
      <c r="N124" s="11">
        <f>IF(I124="已计入",IF(AND(B124="卖出",'持仓总览'!$C$7="本金优先"),MAX(0,E124-Q123),IF(OR(B124="卖出",B124="现金分红"),MIN(E124,M124),0)),"")</f>
        <v>0</v>
      </c>
      <c r="O124" s="11">
        <f t="shared" si="26">IF(I124="已计入",IF(OR(B124="卖出",B124="现金分红"),MIN(Q123,MAX(0,E124-N124)),0),"")</f>
        <v>0</v>
      </c>
      <c r="P124" s="11">
        <f t="shared" si="27">IF(I124="已计入",IF(AND(B124="卖出",K124=0),MAX(0,Q123-O124),0),"")</f>
        <v>0</v>
      </c>
      <c r="Q124" s="11">
        <f t="shared" si="28">IF(AA124="正常",IF(I124="已计入",ROUND(Q123+IF(OR(B124="买入",B124="定投",B124="转换转入"),E124,0)-O124-P124,2),Q123),"")</f>
        <v>127760</v>
      </c>
      <c r="R124" s="11">
        <f t="shared" si="19">IF(I124="已计入",ROUND(K124*C124,2),"")</f>
        <v>163547.11</v>
      </c>
      <c r="S124" s="11">
        <f t="shared" si="20">IF(I124="已计入",ROUND(R124-Q124,2),"")</f>
        <v>35787.11</v>
      </c>
      <c r="T124" s="12">
        <f t="shared" si="21">IF(I124="已计入",IF(Q124=0,"",S124/Q124),"")</f>
        <v>0.2801120068879148</v>
      </c>
      <c r="U124" s="11">
        <f t="shared" si="29">IF(AA124="正常",U123+IF(AND(I124="已计入",OR(B124="买入",B124="定投",B124="转换转入")),E124,0),"")</f>
        <v>127760</v>
      </c>
      <c r="V124" s="11">
        <f t="shared" si="30">IF(AA124="正常",V123+IF(AND(I124="已计入",OR(B124="卖出",B124="现金分红")),E124,0),"")</f>
        <v>0</v>
      </c>
      <c r="W124" s="11">
        <f t="shared" si="31">IF(AA124="正常",W123+IF(I124="已计入",N124,0),"")</f>
        <v>0</v>
      </c>
      <c r="X124" s="11">
        <f t="shared" si="32">IF(AA124="正常",X123+IF(I124="已计入",P124,0),"")</f>
        <v>0</v>
      </c>
      <c r="Y124" s="11">
        <f t="shared" si="22">IF(I124="已计入",ROUND(R124+V124-U124,2),"")</f>
        <v>35787.11</v>
      </c>
      <c r="Z124" s="13">
        <f t="shared" si="33">IF(AA124="正常",IF(I124="已计入",A124,Z123),"")</f>
        <v>46225</v>
      </c>
      <c r="AA124" s="10" t="str">
        <f t="shared" si="34">IF(OR(AA123="错误",AND(I124&lt;&gt;"",I124&lt;&gt;"已排除",I124&lt;&gt;"待确认",I124&lt;&gt;"已计入")),"错误","正常")</f>
        <v>正常</v>
      </c>
      <c r="AB124" s="14">
        <f t="shared" si="35">IF(AA124="正常",IF(I124="已计入",C124,AB123),"")</f>
        <v>6.4324</v>
      </c>
    </row>
    <row r="125" ht="42" customHeight="1">
      <c r="A125" s="36">
        <v>46226</v>
      </c>
      <c r="B125" s="37" t="inlineStr">
        <is>
          <t>定投</t>
        </is>
      </c>
      <c r="C125" s="38">
        <v>6.3974</v>
      </c>
      <c r="D125" s="39">
        <v>31.21</v>
      </c>
      <c r="E125" s="39">
        <v>200</v>
      </c>
      <c r="F125" s="39">
        <v>0.32</v>
      </c>
      <c r="G125" s="37" t="inlineStr">
        <is>
          <t>历史估算</t>
        </is>
      </c>
      <c r="H125" s="40" t="inlineStr">
        <is>
          <t>原下单 2026-07-23 11:57:20
净值日／份额暂估，手续费按 0.16%</t>
        </is>
      </c>
      <c r="I125" s="10" t="str">
        <f>IF(COUNTA(A125:H125)=0,"",IF(OR(OR(OR(G125="撤单",G125="交易失败",G125="交易关闭"),G125="交易失败",G125="交易关闭"),G125="交易失败",G125="交易关闭"),"已排除",IF(G125="待确认","待确认",IF(NOT(OR(G125="已确认",G125="历史估算")),"请选择确认状态",IF(NOT(ISNUMBER(A125)),"缺少有效净值日期",IF(OR(A125&lt;=0,A125&lt;&gt;INT(A125)),"净值日期无效",IF(NOT(OR(OR(B125="买入",B125="定投",B125="转换转入"),B125="卖出",B125="现金分红",B125="红利再投")),"请选择交易类型",IF(NOT(ISNUMBER(C125)),"缺少成交净值",IF(C125&lt;=0,"成交净值须大于零",IF(NOT(ISNUMBER(D125)),"缺少确认份额（分红填0）",IF(NOT(ISNUMBER(E125)),"缺少确认金额（再投填0）",IF(NOT(ISNUMBER(F125)),"缺少手续费（无费用填0）",IF(OR(D125&lt;0,E125&lt;0,F125&lt;0),"份额金额费用不能为负",IF(AA124="错误","前行待修正",IF(A125&lt;Z124,"日期需按成交顺序递增",IF(AND(B125="现金分红",OR(D125&lt;&gt;0,E125&lt;=0,F125&lt;&gt;0)),"分红填份额0、费用0、正金额",IF(AND(B125="红利再投",OR(D125&lt;=0,E125&lt;&gt;0,F125&lt;&gt;0)),"再投填正份额、金额0、费用0",IF(AND(OR(B125="现金分红",B125="红利再投"),K124&lt;=0),"分红或再投前须有持仓",IF(AND(OR(OR(B125="买入",B125="定投",B125="转换转入"),B125="卖出"),OR(D125&lt;=0,E125&lt;=0)),"买卖须填正份额、正金额",IF(AND(B125="卖出",D125&gt;K124+0.000001),"卖出份额超过持仓",IF(AND(OR(B125="买入",B125="定投",B125="转换转入"),F125&gt;=E125)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125="买入",B125="定投",B125="转换转入"),ABS(E125-F125-C125*D125)&gt;'持仓总览'!$H$6),"买入金额与份额净值不符",IF(AND(B125="卖出",ABS(E125+F125-C125*D125)&gt;'持仓总览'!$H$6),"到账加费用与赎回市值不符","已计入"))))))))))))))))))))))))))</f>
        <v>已计入</v>
      </c>
      <c r="J125" s="11">
        <f t="shared" si="18">IF(AA125="正常",IF(I125="已计入",IF(OR(OR(B125="买入",B125="定投",B125="转换转入"),B125="红利再投"),D125,IF(B125="卖出",-D125,0)),0),"")</f>
        <v>31.21</v>
      </c>
      <c r="K125" s="11">
        <f t="shared" si="23">IF(AA125="正常",ROUND(K124+J125,6),"")</f>
        <v>25456.73</v>
      </c>
      <c r="L125" s="11">
        <f t="shared" si="24">IF(I125="已计入",ROUND(K124*C125,2),"")</f>
        <v>162657.22</v>
      </c>
      <c r="M125" s="11">
        <f t="shared" si="25">IF(I125="已计入",IF(B125="卖出",MAX(0,L125-Q124-F125),IF(B125="现金分红",MAX(0,L125+E125-Q124),0)),"")</f>
        <v>0</v>
      </c>
      <c r="N125" s="11">
        <f>IF(I125="已计入",IF(AND(B125="卖出",'持仓总览'!$C$7="本金优先"),MAX(0,E125-Q124),IF(OR(B125="卖出",B125="现金分红"),MIN(E125,M125),0)),"")</f>
        <v>0</v>
      </c>
      <c r="O125" s="11">
        <f t="shared" si="26">IF(I125="已计入",IF(OR(B125="卖出",B125="现金分红"),MIN(Q124,MAX(0,E125-N125)),0),"")</f>
        <v>0</v>
      </c>
      <c r="P125" s="11">
        <f t="shared" si="27">IF(I125="已计入",IF(AND(B125="卖出",K125=0),MAX(0,Q124-O125),0),"")</f>
        <v>0</v>
      </c>
      <c r="Q125" s="11">
        <f t="shared" si="28">IF(AA125="正常",IF(I125="已计入",ROUND(Q124+IF(OR(B125="买入",B125="定投",B125="转换转入"),E125,0)-O125-P125,2),Q124),"")</f>
        <v>127960</v>
      </c>
      <c r="R125" s="11">
        <f t="shared" si="19">IF(I125="已计入",ROUND(K125*C125,2),"")</f>
        <v>162856.88</v>
      </c>
      <c r="S125" s="11">
        <f t="shared" si="20">IF(I125="已计入",ROUND(R125-Q125,2),"")</f>
        <v>34896.88</v>
      </c>
      <c r="T125" s="12">
        <f t="shared" si="21">IF(I125="已计入",IF(Q125=0,"",S125/Q125),"")</f>
        <v>0.2727170990934667</v>
      </c>
      <c r="U125" s="11">
        <f t="shared" si="29">IF(AA125="正常",U124+IF(AND(I125="已计入",OR(B125="买入",B125="定投",B125="转换转入")),E125,0),"")</f>
        <v>127960</v>
      </c>
      <c r="V125" s="11">
        <f t="shared" si="30">IF(AA125="正常",V124+IF(AND(I125="已计入",OR(B125="卖出",B125="现金分红")),E125,0),"")</f>
        <v>0</v>
      </c>
      <c r="W125" s="11">
        <f t="shared" si="31">IF(AA125="正常",W124+IF(I125="已计入",N125,0),"")</f>
        <v>0</v>
      </c>
      <c r="X125" s="11">
        <f t="shared" si="32">IF(AA125="正常",X124+IF(I125="已计入",P125,0),"")</f>
        <v>0</v>
      </c>
      <c r="Y125" s="11">
        <f t="shared" si="22">IF(I125="已计入",ROUND(R125+V125-U125,2),"")</f>
        <v>34896.88</v>
      </c>
      <c r="Z125" s="13">
        <f t="shared" si="33">IF(AA125="正常",IF(I125="已计入",A125,Z124),"")</f>
        <v>46226</v>
      </c>
      <c r="AA125" s="10" t="str">
        <f t="shared" si="34">IF(OR(AA124="错误",AND(I125&lt;&gt;"",I125&lt;&gt;"已排除",I125&lt;&gt;"待确认",I125&lt;&gt;"已计入")),"错误","正常")</f>
        <v>正常</v>
      </c>
      <c r="AB125" s="14">
        <f t="shared" si="35">IF(AA125="正常",IF(I125="已计入",C125,AB124),"")</f>
        <v>6.3974</v>
      </c>
    </row>
    <row r="126" ht="42" customHeight="1">
      <c r="A126" s="36">
        <v>46227</v>
      </c>
      <c r="B126" s="37" t="inlineStr">
        <is>
          <t>定投</t>
        </is>
      </c>
      <c r="C126" s="38">
        <v>6.224</v>
      </c>
      <c r="D126" s="39">
        <v>32.08</v>
      </c>
      <c r="E126" s="39">
        <v>200</v>
      </c>
      <c r="F126" s="39">
        <v>0.32</v>
      </c>
      <c r="G126" s="37" t="inlineStr">
        <is>
          <t>历史估算</t>
        </is>
      </c>
      <c r="H126" s="40" t="inlineStr">
        <is>
          <t>原下单 2026-07-24 11:49:59
净值日／份额暂估，手续费按 0.16%</t>
        </is>
      </c>
      <c r="I126" s="10" t="str">
        <f>IF(COUNTA(A126:H126)=0,"",IF(OR(OR(OR(G126="撤单",G126="交易失败",G126="交易关闭"),G126="交易失败",G126="交易关闭"),G126="交易失败",G126="交易关闭"),"已排除",IF(G126="待确认","待确认",IF(NOT(OR(G126="已确认",G126="历史估算")),"请选择确认状态",IF(NOT(ISNUMBER(A126)),"缺少有效净值日期",IF(OR(A126&lt;=0,A126&lt;&gt;INT(A126)),"净值日期无效",IF(NOT(OR(OR(B126="买入",B126="定投",B126="转换转入"),B126="卖出",B126="现金分红",B126="红利再投")),"请选择交易类型",IF(NOT(ISNUMBER(C126)),"缺少成交净值",IF(C126&lt;=0,"成交净值须大于零",IF(NOT(ISNUMBER(D126)),"缺少确认份额（分红填0）",IF(NOT(ISNUMBER(E126)),"缺少确认金额（再投填0）",IF(NOT(ISNUMBER(F126)),"缺少手续费（无费用填0）",IF(OR(D126&lt;0,E126&lt;0,F126&lt;0),"份额金额费用不能为负",IF(AA125="错误","前行待修正",IF(A126&lt;Z125,"日期需按成交顺序递增",IF(AND(B126="现金分红",OR(D126&lt;&gt;0,E126&lt;=0,F126&lt;&gt;0)),"分红填份额0、费用0、正金额",IF(AND(B126="红利再投",OR(D126&lt;=0,E126&lt;&gt;0,F126&lt;&gt;0)),"再投填正份额、金额0、费用0",IF(AND(OR(B126="现金分红",B126="红利再投"),K125&lt;=0),"分红或再投前须有持仓",IF(AND(OR(OR(B126="买入",B126="定投",B126="转换转入"),B126="卖出"),OR(D126&lt;=0,E126&lt;=0)),"买卖须填正份额、正金额",IF(AND(B126="卖出",D126&gt;K125+0.000001),"卖出份额超过持仓",IF(AND(OR(B126="买入",B126="定投",B126="转换转入"),F126&gt;=E126)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126="买入",B126="定投",B126="转换转入"),ABS(E126-F126-C126*D126)&gt;'持仓总览'!$H$6),"买入金额与份额净值不符",IF(AND(B126="卖出",ABS(E126+F126-C126*D126)&gt;'持仓总览'!$H$6),"到账加费用与赎回市值不符","已计入"))))))))))))))))))))))))))</f>
        <v>已计入</v>
      </c>
      <c r="J126" s="11">
        <f t="shared" si="18">IF(AA126="正常",IF(I126="已计入",IF(OR(OR(B126="买入",B126="定投",B126="转换转入"),B126="红利再投"),D126,IF(B126="卖出",-D126,0)),0),"")</f>
        <v>32.08</v>
      </c>
      <c r="K126" s="11">
        <f t="shared" si="23">IF(AA126="正常",ROUND(K125+J126,6),"")</f>
        <v>25488.81</v>
      </c>
      <c r="L126" s="11">
        <f t="shared" si="24">IF(I126="已计入",ROUND(K125*C126,2),"")</f>
        <v>158442.69</v>
      </c>
      <c r="M126" s="11">
        <f t="shared" si="25">IF(I126="已计入",IF(B126="卖出",MAX(0,L126-Q125-F126),IF(B126="现金分红",MAX(0,L126+E126-Q125),0)),"")</f>
        <v>0</v>
      </c>
      <c r="N126" s="11">
        <f>IF(I126="已计入",IF(AND(B126="卖出",'持仓总览'!$C$7="本金优先"),MAX(0,E126-Q125),IF(OR(B126="卖出",B126="现金分红"),MIN(E126,M126),0)),"")</f>
        <v>0</v>
      </c>
      <c r="O126" s="11">
        <f t="shared" si="26">IF(I126="已计入",IF(OR(B126="卖出",B126="现金分红"),MIN(Q125,MAX(0,E126-N126)),0),"")</f>
        <v>0</v>
      </c>
      <c r="P126" s="11">
        <f t="shared" si="27">IF(I126="已计入",IF(AND(B126="卖出",K126=0),MAX(0,Q125-O126),0),"")</f>
        <v>0</v>
      </c>
      <c r="Q126" s="11">
        <f t="shared" si="28">IF(AA126="正常",IF(I126="已计入",ROUND(Q125+IF(OR(B126="买入",B126="定投",B126="转换转入"),E126,0)-O126-P126,2),Q125),"")</f>
        <v>128160</v>
      </c>
      <c r="R126" s="11">
        <f t="shared" si="19">IF(I126="已计入",ROUND(K126*C126,2),"")</f>
        <v>158642.35</v>
      </c>
      <c r="S126" s="11">
        <f t="shared" si="20">IF(I126="已计入",ROUND(R126-Q126,2),"")</f>
        <v>30482.35</v>
      </c>
      <c r="T126" s="12">
        <f t="shared" si="21">IF(I126="已计入",IF(Q126=0,"",S126/Q126),"")</f>
        <v>0.23784605181023719</v>
      </c>
      <c r="U126" s="11">
        <f t="shared" si="29">IF(AA126="正常",U125+IF(AND(I126="已计入",OR(B126="买入",B126="定投",B126="转换转入")),E126,0),"")</f>
        <v>128160</v>
      </c>
      <c r="V126" s="11">
        <f t="shared" si="30">IF(AA126="正常",V125+IF(AND(I126="已计入",OR(B126="卖出",B126="现金分红")),E126,0),"")</f>
        <v>0</v>
      </c>
      <c r="W126" s="11">
        <f t="shared" si="31">IF(AA126="正常",W125+IF(I126="已计入",N126,0),"")</f>
        <v>0</v>
      </c>
      <c r="X126" s="11">
        <f t="shared" si="32">IF(AA126="正常",X125+IF(I126="已计入",P126,0),"")</f>
        <v>0</v>
      </c>
      <c r="Y126" s="11">
        <f t="shared" si="22">IF(I126="已计入",ROUND(R126+V126-U126,2),"")</f>
        <v>30482.35</v>
      </c>
      <c r="Z126" s="13">
        <f t="shared" si="33">IF(AA126="正常",IF(I126="已计入",A126,Z125),"")</f>
        <v>46227</v>
      </c>
      <c r="AA126" s="10" t="str">
        <f t="shared" si="34">IF(OR(AA125="错误",AND(I126&lt;&gt;"",I126&lt;&gt;"已排除",I126&lt;&gt;"待确认",I126&lt;&gt;"已计入")),"错误","正常")</f>
        <v>正常</v>
      </c>
      <c r="AB126" s="14">
        <f t="shared" si="35">IF(AA126="正常",IF(I126="已计入",C126,AB125),"")</f>
        <v>6.224</v>
      </c>
    </row>
    <row r="127" ht="42" customHeight="1">
      <c r="A127" s="36">
        <v>46230</v>
      </c>
      <c r="B127" s="37" t="inlineStr">
        <is>
          <t>定投</t>
        </is>
      </c>
      <c r="C127" s="38">
        <v>6.1678</v>
      </c>
      <c r="D127" s="39">
        <v>32.37</v>
      </c>
      <c r="E127" s="39">
        <v>200</v>
      </c>
      <c r="F127" s="39">
        <v>0.32</v>
      </c>
      <c r="G127" s="37" t="inlineStr">
        <is>
          <t>历史估算</t>
        </is>
      </c>
      <c r="H127" s="40" t="inlineStr">
        <is>
          <t>原下单 2026-07-27 12:00:30
净值日／份额暂估，手续费按 0.16%</t>
        </is>
      </c>
      <c r="I127" s="10" t="str">
        <f>IF(COUNTA(A127:H127)=0,"",IF(OR(OR(OR(G127="撤单",G127="交易失败",G127="交易关闭"),G127="交易失败",G127="交易关闭"),G127="交易失败",G127="交易关闭"),"已排除",IF(G127="待确认","待确认",IF(NOT(OR(G127="已确认",G127="历史估算")),"请选择确认状态",IF(NOT(ISNUMBER(A127)),"缺少有效净值日期",IF(OR(A127&lt;=0,A127&lt;&gt;INT(A127)),"净值日期无效",IF(NOT(OR(OR(B127="买入",B127="定投",B127="转换转入"),B127="卖出",B127="现金分红",B127="红利再投")),"请选择交易类型",IF(NOT(ISNUMBER(C127)),"缺少成交净值",IF(C127&lt;=0,"成交净值须大于零",IF(NOT(ISNUMBER(D127)),"缺少确认份额（分红填0）",IF(NOT(ISNUMBER(E127)),"缺少确认金额（再投填0）",IF(NOT(ISNUMBER(F127)),"缺少手续费（无费用填0）",IF(OR(D127&lt;0,E127&lt;0,F127&lt;0),"份额金额费用不能为负",IF(AA126="错误","前行待修正",IF(A127&lt;Z126,"日期需按成交顺序递增",IF(AND(B127="现金分红",OR(D127&lt;&gt;0,E127&lt;=0,F127&lt;&gt;0)),"分红填份额0、费用0、正金额",IF(AND(B127="红利再投",OR(D127&lt;=0,E127&lt;&gt;0,F127&lt;&gt;0)),"再投填正份额、金额0、费用0",IF(AND(OR(B127="现金分红",B127="红利再投"),K126&lt;=0),"分红或再投前须有持仓",IF(AND(OR(OR(B127="买入",B127="定投",B127="转换转入"),B127="卖出"),OR(D127&lt;=0,E127&lt;=0)),"买卖须填正份额、正金额",IF(AND(B127="卖出",D127&gt;K126+0.000001),"卖出份额超过持仓",IF(AND(OR(B127="买入",B127="定投",B127="转换转入"),F127&gt;=E127)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127="买入",B127="定投",B127="转换转入"),ABS(E127-F127-C127*D127)&gt;'持仓总览'!$H$6),"买入金额与份额净值不符",IF(AND(B127="卖出",ABS(E127+F127-C127*D127)&gt;'持仓总览'!$H$6),"到账加费用与赎回市值不符","已计入"))))))))))))))))))))))))))</f>
        <v>已计入</v>
      </c>
      <c r="J127" s="11">
        <f t="shared" si="18">IF(AA127="正常",IF(I127="已计入",IF(OR(OR(B127="买入",B127="定投",B127="转换转入"),B127="红利再投"),D127,IF(B127="卖出",-D127,0)),0),"")</f>
        <v>32.37</v>
      </c>
      <c r="K127" s="11">
        <f t="shared" si="23">IF(AA127="正常",ROUND(K126+J127,6),"")</f>
        <v>25521.18</v>
      </c>
      <c r="L127" s="11">
        <f t="shared" si="24">IF(I127="已计入",ROUND(K126*C127,2),"")</f>
        <v>157209.88</v>
      </c>
      <c r="M127" s="11">
        <f t="shared" si="25">IF(I127="已计入",IF(B127="卖出",MAX(0,L127-Q126-F127),IF(B127="现金分红",MAX(0,L127+E127-Q126),0)),"")</f>
        <v>0</v>
      </c>
      <c r="N127" s="11">
        <f>IF(I127="已计入",IF(AND(B127="卖出",'持仓总览'!$C$7="本金优先"),MAX(0,E127-Q126),IF(OR(B127="卖出",B127="现金分红"),MIN(E127,M127),0)),"")</f>
        <v>0</v>
      </c>
      <c r="O127" s="11">
        <f t="shared" si="26">IF(I127="已计入",IF(OR(B127="卖出",B127="现金分红"),MIN(Q126,MAX(0,E127-N127)),0),"")</f>
        <v>0</v>
      </c>
      <c r="P127" s="11">
        <f t="shared" si="27">IF(I127="已计入",IF(AND(B127="卖出",K127=0),MAX(0,Q126-O127),0),"")</f>
        <v>0</v>
      </c>
      <c r="Q127" s="11">
        <f t="shared" si="28">IF(AA127="正常",IF(I127="已计入",ROUND(Q126+IF(OR(B127="买入",B127="定投",B127="转换转入"),E127,0)-O127-P127,2),Q126),"")</f>
        <v>128360</v>
      </c>
      <c r="R127" s="11">
        <f t="shared" si="19">IF(I127="已计入",ROUND(K127*C127,2),"")</f>
        <v>157409.53</v>
      </c>
      <c r="S127" s="11">
        <f t="shared" si="20">IF(I127="已计入",ROUND(R127-Q127,2),"")</f>
        <v>29049.53</v>
      </c>
      <c r="T127" s="12">
        <f t="shared" si="21">IF(I127="已计入",IF(Q127=0,"",S127/Q127),"")</f>
        <v>0.22631294795886567</v>
      </c>
      <c r="U127" s="11">
        <f t="shared" si="29">IF(AA127="正常",U126+IF(AND(I127="已计入",OR(B127="买入",B127="定投",B127="转换转入")),E127,0),"")</f>
        <v>128360</v>
      </c>
      <c r="V127" s="11">
        <f t="shared" si="30">IF(AA127="正常",V126+IF(AND(I127="已计入",OR(B127="卖出",B127="现金分红")),E127,0),"")</f>
        <v>0</v>
      </c>
      <c r="W127" s="11">
        <f t="shared" si="31">IF(AA127="正常",W126+IF(I127="已计入",N127,0),"")</f>
        <v>0</v>
      </c>
      <c r="X127" s="11">
        <f t="shared" si="32">IF(AA127="正常",X126+IF(I127="已计入",P127,0),"")</f>
        <v>0</v>
      </c>
      <c r="Y127" s="11">
        <f t="shared" si="22">IF(I127="已计入",ROUND(R127+V127-U127,2),"")</f>
        <v>29049.53</v>
      </c>
      <c r="Z127" s="13">
        <f t="shared" si="33">IF(AA127="正常",IF(I127="已计入",A127,Z126),"")</f>
        <v>46230</v>
      </c>
      <c r="AA127" s="10" t="str">
        <f t="shared" si="34">IF(OR(AA126="错误",AND(I127&lt;&gt;"",I127&lt;&gt;"已排除",I127&lt;&gt;"待确认",I127&lt;&gt;"已计入")),"错误","正常")</f>
        <v>正常</v>
      </c>
      <c r="AB127" s="14">
        <f t="shared" si="35">IF(AA127="正常",IF(I127="已计入",C127,AB126),"")</f>
        <v>6.1678</v>
      </c>
    </row>
    <row r="128" ht="42" customHeight="1">
      <c r="A128" s="36">
        <v>46231</v>
      </c>
      <c r="B128" s="37" t="inlineStr">
        <is>
          <t>定投</t>
        </is>
      </c>
      <c r="C128" s="38">
        <v>5.864</v>
      </c>
      <c r="D128" s="39">
        <v>34.05</v>
      </c>
      <c r="E128" s="39">
        <v>200</v>
      </c>
      <c r="F128" s="39">
        <v>0.32</v>
      </c>
      <c r="G128" s="37" t="inlineStr">
        <is>
          <t>历史估算</t>
        </is>
      </c>
      <c r="H128" s="40" t="inlineStr">
        <is>
          <t>原下单 2026-07-28 11:46:58
净值日／份额暂估，手续费按 0.16%</t>
        </is>
      </c>
      <c r="I128" s="10" t="str">
        <f>IF(COUNTA(A128:H128)=0,"",IF(OR(OR(OR(G128="撤单",G128="交易失败",G128="交易关闭"),G128="交易失败",G128="交易关闭"),G128="交易失败",G128="交易关闭"),"已排除",IF(G128="待确认","待确认",IF(NOT(OR(G128="已确认",G128="历史估算")),"请选择确认状态",IF(NOT(ISNUMBER(A128)),"缺少有效净值日期",IF(OR(A128&lt;=0,A128&lt;&gt;INT(A128)),"净值日期无效",IF(NOT(OR(OR(B128="买入",B128="定投",B128="转换转入"),B128="卖出",B128="现金分红",B128="红利再投")),"请选择交易类型",IF(NOT(ISNUMBER(C128)),"缺少成交净值",IF(C128&lt;=0,"成交净值须大于零",IF(NOT(ISNUMBER(D128)),"缺少确认份额（分红填0）",IF(NOT(ISNUMBER(E128)),"缺少确认金额（再投填0）",IF(NOT(ISNUMBER(F128)),"缺少手续费（无费用填0）",IF(OR(D128&lt;0,E128&lt;0,F128&lt;0),"份额金额费用不能为负",IF(AA127="错误","前行待修正",IF(A128&lt;Z127,"日期需按成交顺序递增",IF(AND(B128="现金分红",OR(D128&lt;&gt;0,E128&lt;=0,F128&lt;&gt;0)),"分红填份额0、费用0、正金额",IF(AND(B128="红利再投",OR(D128&lt;=0,E128&lt;&gt;0,F128&lt;&gt;0)),"再投填正份额、金额0、费用0",IF(AND(OR(B128="现金分红",B128="红利再投"),K127&lt;=0),"分红或再投前须有持仓",IF(AND(OR(OR(B128="买入",B128="定投",B128="转换转入"),B128="卖出"),OR(D128&lt;=0,E128&lt;=0)),"买卖须填正份额、正金额",IF(AND(B128="卖出",D128&gt;K127+0.000001),"卖出份额超过持仓",IF(AND(OR(B128="买入",B128="定投",B128="转换转入"),F128&gt;=E128)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128="买入",B128="定投",B128="转换转入"),ABS(E128-F128-C128*D128)&gt;'持仓总览'!$H$6),"买入金额与份额净值不符",IF(AND(B128="卖出",ABS(E128+F128-C128*D128)&gt;'持仓总览'!$H$6),"到账加费用与赎回市值不符","已计入"))))))))))))))))))))))))))</f>
        <v>已计入</v>
      </c>
      <c r="J128" s="11">
        <f t="shared" si="18">IF(AA128="正常",IF(I128="已计入",IF(OR(OR(B128="买入",B128="定投",B128="转换转入"),B128="红利再投"),D128,IF(B128="卖出",-D128,0)),0),"")</f>
        <v>34.05</v>
      </c>
      <c r="K128" s="11">
        <f t="shared" si="23">IF(AA128="正常",ROUND(K127+J128,6),"")</f>
        <v>25555.23</v>
      </c>
      <c r="L128" s="11">
        <f t="shared" si="24">IF(I128="已计入",ROUND(K127*C128,2),"")</f>
        <v>149656.2</v>
      </c>
      <c r="M128" s="11">
        <f t="shared" si="25">IF(I128="已计入",IF(B128="卖出",MAX(0,L128-Q127-F128),IF(B128="现金分红",MAX(0,L128+E128-Q127),0)),"")</f>
        <v>0</v>
      </c>
      <c r="N128" s="11">
        <f>IF(I128="已计入",IF(AND(B128="卖出",'持仓总览'!$C$7="本金优先"),MAX(0,E128-Q127),IF(OR(B128="卖出",B128="现金分红"),MIN(E128,M128),0)),"")</f>
        <v>0</v>
      </c>
      <c r="O128" s="11">
        <f t="shared" si="26">IF(I128="已计入",IF(OR(B128="卖出",B128="现金分红"),MIN(Q127,MAX(0,E128-N128)),0),"")</f>
        <v>0</v>
      </c>
      <c r="P128" s="11">
        <f t="shared" si="27">IF(I128="已计入",IF(AND(B128="卖出",K128=0),MAX(0,Q127-O128),0),"")</f>
        <v>0</v>
      </c>
      <c r="Q128" s="11">
        <f t="shared" si="28">IF(AA128="正常",IF(I128="已计入",ROUND(Q127+IF(OR(B128="买入",B128="定投",B128="转换转入"),E128,0)-O128-P128,2),Q127),"")</f>
        <v>128560</v>
      </c>
      <c r="R128" s="11">
        <f t="shared" si="19">IF(I128="已计入",ROUND(K128*C128,2),"")</f>
        <v>149855.87</v>
      </c>
      <c r="S128" s="11">
        <f t="shared" si="20">IF(I128="已计入",ROUND(R128-Q128,2),"")</f>
        <v>21295.87</v>
      </c>
      <c r="T128" s="12">
        <f t="shared" si="21">IF(I128="已计入",IF(Q128=0,"",S128/Q128),"")</f>
        <v>0.16564926882389544</v>
      </c>
      <c r="U128" s="11">
        <f t="shared" si="29">IF(AA128="正常",U127+IF(AND(I128="已计入",OR(B128="买入",B128="定投",B128="转换转入")),E128,0),"")</f>
        <v>128560</v>
      </c>
      <c r="V128" s="11">
        <f t="shared" si="30">IF(AA128="正常",V127+IF(AND(I128="已计入",OR(B128="卖出",B128="现金分红")),E128,0),"")</f>
        <v>0</v>
      </c>
      <c r="W128" s="11">
        <f t="shared" si="31">IF(AA128="正常",W127+IF(I128="已计入",N128,0),"")</f>
        <v>0</v>
      </c>
      <c r="X128" s="11">
        <f t="shared" si="32">IF(AA128="正常",X127+IF(I128="已计入",P128,0),"")</f>
        <v>0</v>
      </c>
      <c r="Y128" s="11">
        <f t="shared" si="22">IF(I128="已计入",ROUND(R128+V128-U128,2),"")</f>
        <v>21295.87</v>
      </c>
      <c r="Z128" s="13">
        <f t="shared" si="33">IF(AA128="正常",IF(I128="已计入",A128,Z127),"")</f>
        <v>46231</v>
      </c>
      <c r="AA128" s="10" t="str">
        <f t="shared" si="34">IF(OR(AA127="错误",AND(I128&lt;&gt;"",I128&lt;&gt;"已排除",I128&lt;&gt;"待确认",I128&lt;&gt;"已计入")),"错误","正常")</f>
        <v>正常</v>
      </c>
      <c r="AB128" s="14">
        <f t="shared" si="35">IF(AA128="正常",IF(I128="已计入",C128,AB127),"")</f>
        <v>5.864</v>
      </c>
    </row>
    <row r="129" ht="42" customHeight="1">
      <c r="A129" s="36">
        <v>46232</v>
      </c>
      <c r="B129" s="37" t="inlineStr">
        <is>
          <t>定投</t>
        </is>
      </c>
      <c r="C129" s="38">
        <v>5.6997</v>
      </c>
      <c r="D129" s="39">
        <v>35.03</v>
      </c>
      <c r="E129" s="39">
        <v>200</v>
      </c>
      <c r="F129" s="39">
        <v>0.32</v>
      </c>
      <c r="G129" s="37" t="inlineStr">
        <is>
          <t>历史估算</t>
        </is>
      </c>
      <c r="H129" s="40" t="inlineStr">
        <is>
          <t>原下单 2026-07-29 11:44:17
净值日／份额暂估，手续费按 0.16%</t>
        </is>
      </c>
      <c r="I129" s="10" t="str">
        <f>IF(COUNTA(A129:H129)=0,"",IF(OR(OR(OR(G129="撤单",G129="交易失败",G129="交易关闭"),G129="交易失败",G129="交易关闭"),G129="交易失败",G129="交易关闭"),"已排除",IF(G129="待确认","待确认",IF(NOT(OR(G129="已确认",G129="历史估算")),"请选择确认状态",IF(NOT(ISNUMBER(A129)),"缺少有效净值日期",IF(OR(A129&lt;=0,A129&lt;&gt;INT(A129)),"净值日期无效",IF(NOT(OR(OR(B129="买入",B129="定投",B129="转换转入"),B129="卖出",B129="现金分红",B129="红利再投")),"请选择交易类型",IF(NOT(ISNUMBER(C129)),"缺少成交净值",IF(C129&lt;=0,"成交净值须大于零",IF(NOT(ISNUMBER(D129)),"缺少确认份额（分红填0）",IF(NOT(ISNUMBER(E129)),"缺少确认金额（再投填0）",IF(NOT(ISNUMBER(F129)),"缺少手续费（无费用填0）",IF(OR(D129&lt;0,E129&lt;0,F129&lt;0),"份额金额费用不能为负",IF(AA128="错误","前行待修正",IF(A129&lt;Z128,"日期需按成交顺序递增",IF(AND(B129="现金分红",OR(D129&lt;&gt;0,E129&lt;=0,F129&lt;&gt;0)),"分红填份额0、费用0、正金额",IF(AND(B129="红利再投",OR(D129&lt;=0,E129&lt;&gt;0,F129&lt;&gt;0)),"再投填正份额、金额0、费用0",IF(AND(OR(B129="现金分红",B129="红利再投"),K128&lt;=0),"分红或再投前须有持仓",IF(AND(OR(OR(B129="买入",B129="定投",B129="转换转入"),B129="卖出"),OR(D129&lt;=0,E129&lt;=0)),"买卖须填正份额、正金额",IF(AND(B129="卖出",D129&gt;K128+0.000001),"卖出份额超过持仓",IF(AND(OR(B129="买入",B129="定投",B129="转换转入"),F129&gt;=E129)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129="买入",B129="定投",B129="转换转入"),ABS(E129-F129-C129*D129)&gt;'持仓总览'!$H$6),"买入金额与份额净值不符",IF(AND(B129="卖出",ABS(E129+F129-C129*D129)&gt;'持仓总览'!$H$6),"到账加费用与赎回市值不符","已计入"))))))))))))))))))))))))))</f>
        <v>已计入</v>
      </c>
      <c r="J129" s="11">
        <f t="shared" si="18">IF(AA129="正常",IF(I129="已计入",IF(OR(OR(B129="买入",B129="定投",B129="转换转入"),B129="红利再投"),D129,IF(B129="卖出",-D129,0)),0),"")</f>
        <v>35.03</v>
      </c>
      <c r="K129" s="11">
        <f t="shared" si="23">IF(AA129="正常",ROUND(K128+J129,6),"")</f>
        <v>25590.26</v>
      </c>
      <c r="L129" s="11">
        <f t="shared" si="24">IF(I129="已计入",ROUND(K128*C129,2),"")</f>
        <v>145657.14</v>
      </c>
      <c r="M129" s="11">
        <f t="shared" si="25">IF(I129="已计入",IF(B129="卖出",MAX(0,L129-Q128-F129),IF(B129="现金分红",MAX(0,L129+E129-Q128),0)),"")</f>
        <v>0</v>
      </c>
      <c r="N129" s="11">
        <f>IF(I129="已计入",IF(AND(B129="卖出",'持仓总览'!$C$7="本金优先"),MAX(0,E129-Q128),IF(OR(B129="卖出",B129="现金分红"),MIN(E129,M129),0)),"")</f>
        <v>0</v>
      </c>
      <c r="O129" s="11">
        <f t="shared" si="26">IF(I129="已计入",IF(OR(B129="卖出",B129="现金分红"),MIN(Q128,MAX(0,E129-N129)),0),"")</f>
        <v>0</v>
      </c>
      <c r="P129" s="11">
        <f t="shared" si="27">IF(I129="已计入",IF(AND(B129="卖出",K129=0),MAX(0,Q128-O129),0),"")</f>
        <v>0</v>
      </c>
      <c r="Q129" s="11">
        <f t="shared" si="28">IF(AA129="正常",IF(I129="已计入",ROUND(Q128+IF(OR(B129="买入",B129="定投",B129="转换转入"),E129,0)-O129-P129,2),Q128),"")</f>
        <v>128760</v>
      </c>
      <c r="R129" s="11">
        <f t="shared" si="19">IF(I129="已计入",ROUND(K129*C129,2),"")</f>
        <v>145856.8</v>
      </c>
      <c r="S129" s="11">
        <f t="shared" si="20">IF(I129="已计入",ROUND(R129-Q129,2),"")</f>
        <v>17096.8</v>
      </c>
      <c r="T129" s="12">
        <f t="shared" si="21">IF(I129="已计入",IF(Q129=0,"",S129/Q129),"")</f>
        <v>0.13278036657347</v>
      </c>
      <c r="U129" s="11">
        <f t="shared" si="29">IF(AA129="正常",U128+IF(AND(I129="已计入",OR(B129="买入",B129="定投",B129="转换转入")),E129,0),"")</f>
        <v>128760</v>
      </c>
      <c r="V129" s="11">
        <f t="shared" si="30">IF(AA129="正常",V128+IF(AND(I129="已计入",OR(B129="卖出",B129="现金分红")),E129,0),"")</f>
        <v>0</v>
      </c>
      <c r="W129" s="11">
        <f t="shared" si="31">IF(AA129="正常",W128+IF(I129="已计入",N129,0),"")</f>
        <v>0</v>
      </c>
      <c r="X129" s="11">
        <f t="shared" si="32">IF(AA129="正常",X128+IF(I129="已计入",P129,0),"")</f>
        <v>0</v>
      </c>
      <c r="Y129" s="11">
        <f t="shared" si="22">IF(I129="已计入",ROUND(R129+V129-U129,2),"")</f>
        <v>17096.8</v>
      </c>
      <c r="Z129" s="13">
        <f t="shared" si="33">IF(AA129="正常",IF(I129="已计入",A129,Z128),"")</f>
        <v>46232</v>
      </c>
      <c r="AA129" s="10" t="str">
        <f t="shared" si="34">IF(OR(AA128="错误",AND(I129&lt;&gt;"",I129&lt;&gt;"已排除",I129&lt;&gt;"待确认",I129&lt;&gt;"已计入")),"错误","正常")</f>
        <v>正常</v>
      </c>
      <c r="AB129" s="14">
        <f t="shared" si="35">IF(AA129="正常",IF(I129="已计入",C129,AB128),"")</f>
        <v>5.6997</v>
      </c>
    </row>
    <row r="130" ht="42" customHeight="1">
      <c r="A130" s="36">
        <v>46233</v>
      </c>
      <c r="B130" s="37" t="inlineStr">
        <is>
          <t>定投</t>
        </is>
      </c>
      <c r="C130" s="38">
        <v>5.878</v>
      </c>
      <c r="D130" s="39">
        <v>33.97</v>
      </c>
      <c r="E130" s="39">
        <v>200</v>
      </c>
      <c r="F130" s="39">
        <v>0.32</v>
      </c>
      <c r="G130" s="37" t="inlineStr">
        <is>
          <t>历史估算</t>
        </is>
      </c>
      <c r="H130" s="40" t="inlineStr">
        <is>
          <t>原下单 2026-07-30 11:46:48
净值日／份额暂估，手续费按 0.16%</t>
        </is>
      </c>
      <c r="I130" s="10" t="str">
        <f>IF(COUNTA(A130:H130)=0,"",IF(OR(OR(OR(G130="撤单",G130="交易失败",G130="交易关闭"),G130="交易失败",G130="交易关闭"),G130="交易失败",G130="交易关闭"),"已排除",IF(G130="待确认","待确认",IF(NOT(OR(G130="已确认",G130="历史估算")),"请选择确认状态",IF(NOT(ISNUMBER(A130)),"缺少有效净值日期",IF(OR(A130&lt;=0,A130&lt;&gt;INT(A130)),"净值日期无效",IF(NOT(OR(OR(B130="买入",B130="定投",B130="转换转入"),B130="卖出",B130="现金分红",B130="红利再投")),"请选择交易类型",IF(NOT(ISNUMBER(C130)),"缺少成交净值",IF(C130&lt;=0,"成交净值须大于零",IF(NOT(ISNUMBER(D130)),"缺少确认份额（分红填0）",IF(NOT(ISNUMBER(E130)),"缺少确认金额（再投填0）",IF(NOT(ISNUMBER(F130)),"缺少手续费（无费用填0）",IF(OR(D130&lt;0,E130&lt;0,F130&lt;0),"份额金额费用不能为负",IF(AA129="错误","前行待修正",IF(A130&lt;Z129,"日期需按成交顺序递增",IF(AND(B130="现金分红",OR(D130&lt;&gt;0,E130&lt;=0,F130&lt;&gt;0)),"分红填份额0、费用0、正金额",IF(AND(B130="红利再投",OR(D130&lt;=0,E130&lt;&gt;0,F130&lt;&gt;0)),"再投填正份额、金额0、费用0",IF(AND(OR(B130="现金分红",B130="红利再投"),K129&lt;=0),"分红或再投前须有持仓",IF(AND(OR(OR(B130="买入",B130="定投",B130="转换转入"),B130="卖出"),OR(D130&lt;=0,E130&lt;=0)),"买卖须填正份额、正金额",IF(AND(B130="卖出",D130&gt;K129+0.000001),"卖出份额超过持仓",IF(AND(OR(B130="买入",B130="定投",B130="转换转入"),F130&gt;=E130)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130="买入",B130="定投",B130="转换转入"),ABS(E130-F130-C130*D130)&gt;'持仓总览'!$H$6),"买入金额与份额净值不符",IF(AND(B130="卖出",ABS(E130+F130-C130*D130)&gt;'持仓总览'!$H$6),"到账加费用与赎回市值不符","已计入"))))))))))))))))))))))))))</f>
        <v>已计入</v>
      </c>
      <c r="J130" s="11">
        <f t="shared" si="18">IF(AA130="正常",IF(I130="已计入",IF(OR(OR(B130="买入",B130="定投",B130="转换转入"),B130="红利再投"),D130,IF(B130="卖出",-D130,0)),0),"")</f>
        <v>33.97</v>
      </c>
      <c r="K130" s="11">
        <f t="shared" si="23">IF(AA130="正常",ROUND(K129+J130,6),"")</f>
        <v>25624.23</v>
      </c>
      <c r="L130" s="11">
        <f t="shared" si="24">IF(I130="已计入",ROUND(K129*C130,2),"")</f>
        <v>150419.55</v>
      </c>
      <c r="M130" s="11">
        <f t="shared" si="25">IF(I130="已计入",IF(B130="卖出",MAX(0,L130-Q129-F130),IF(B130="现金分红",MAX(0,L130+E130-Q129),0)),"")</f>
        <v>0</v>
      </c>
      <c r="N130" s="11">
        <f>IF(I130="已计入",IF(AND(B130="卖出",'持仓总览'!$C$7="本金优先"),MAX(0,E130-Q129),IF(OR(B130="卖出",B130="现金分红"),MIN(E130,M130),0)),"")</f>
        <v>0</v>
      </c>
      <c r="O130" s="11">
        <f t="shared" si="26">IF(I130="已计入",IF(OR(B130="卖出",B130="现金分红"),MIN(Q129,MAX(0,E130-N130)),0),"")</f>
        <v>0</v>
      </c>
      <c r="P130" s="11">
        <f t="shared" si="27">IF(I130="已计入",IF(AND(B130="卖出",K130=0),MAX(0,Q129-O130),0),"")</f>
        <v>0</v>
      </c>
      <c r="Q130" s="11">
        <f t="shared" si="28">IF(AA130="正常",IF(I130="已计入",ROUND(Q129+IF(OR(B130="买入",B130="定投",B130="转换转入"),E130,0)-O130-P130,2),Q129),"")</f>
        <v>128960</v>
      </c>
      <c r="R130" s="11">
        <f t="shared" si="19">IF(I130="已计入",ROUND(K130*C130,2),"")</f>
        <v>150619.22</v>
      </c>
      <c r="S130" s="11">
        <f t="shared" si="20">IF(I130="已计入",ROUND(R130-Q130,2),"")</f>
        <v>21659.22</v>
      </c>
      <c r="T130" s="12">
        <f t="shared" si="21">IF(I130="已计入",IF(Q130=0,"",S130/Q130),"")</f>
        <v>0.16795300868486354</v>
      </c>
      <c r="U130" s="11">
        <f t="shared" si="29">IF(AA130="正常",U129+IF(AND(I130="已计入",OR(B130="买入",B130="定投",B130="转换转入")),E130,0),"")</f>
        <v>128960</v>
      </c>
      <c r="V130" s="11">
        <f t="shared" si="30">IF(AA130="正常",V129+IF(AND(I130="已计入",OR(B130="卖出",B130="现金分红")),E130,0),"")</f>
        <v>0</v>
      </c>
      <c r="W130" s="11">
        <f t="shared" si="31">IF(AA130="正常",W129+IF(I130="已计入",N130,0),"")</f>
        <v>0</v>
      </c>
      <c r="X130" s="11">
        <f t="shared" si="32">IF(AA130="正常",X129+IF(I130="已计入",P130,0),"")</f>
        <v>0</v>
      </c>
      <c r="Y130" s="11">
        <f t="shared" si="22">IF(I130="已计入",ROUND(R130+V130-U130,2),"")</f>
        <v>21659.22</v>
      </c>
      <c r="Z130" s="13">
        <f t="shared" si="33">IF(AA130="正常",IF(I130="已计入",A130,Z129),"")</f>
        <v>46233</v>
      </c>
      <c r="AA130" s="10" t="str">
        <f t="shared" si="34">IF(OR(AA129="错误",AND(I130&lt;&gt;"",I130&lt;&gt;"已排除",I130&lt;&gt;"待确认",I130&lt;&gt;"已计入")),"错误","正常")</f>
        <v>正常</v>
      </c>
      <c r="AB130" s="14">
        <f t="shared" si="35">IF(AA130="正常",IF(I130="已计入",C130,AB129),"")</f>
        <v>5.878</v>
      </c>
    </row>
    <row r="131" ht="42" customHeight="1">
      <c r="A131" s="36">
        <v>46234</v>
      </c>
      <c r="B131" s="37" t="inlineStr">
        <is>
          <t>定投</t>
        </is>
      </c>
      <c r="C131" s="38">
        <v>6.053</v>
      </c>
      <c r="D131" s="39">
        <v>1.65</v>
      </c>
      <c r="E131" s="39">
        <v>10</v>
      </c>
      <c r="F131" s="39">
        <v>0.02</v>
      </c>
      <c r="G131" s="37" t="inlineStr">
        <is>
          <t>历史估算</t>
        </is>
      </c>
      <c r="H131" s="40" t="inlineStr">
        <is>
          <t>原下单 2026-07-31 12:00:42
净值日／份额暂估，手续费按 0.16%</t>
        </is>
      </c>
      <c r="I131" s="10" t="str">
        <f>IF(COUNTA(A131:H131)=0,"",IF(OR(OR(OR(G131="撤单",G131="交易失败",G131="交易关闭"),G131="交易失败",G131="交易关闭"),G131="交易失败",G131="交易关闭"),"已排除",IF(G131="待确认","待确认",IF(NOT(OR(G131="已确认",G131="历史估算")),"请选择确认状态",IF(NOT(ISNUMBER(A131)),"缺少有效净值日期",IF(OR(A131&lt;=0,A131&lt;&gt;INT(A131)),"净值日期无效",IF(NOT(OR(OR(B131="买入",B131="定投",B131="转换转入"),B131="卖出",B131="现金分红",B131="红利再投")),"请选择交易类型",IF(NOT(ISNUMBER(C131)),"缺少成交净值",IF(C131&lt;=0,"成交净值须大于零",IF(NOT(ISNUMBER(D131)),"缺少确认份额（分红填0）",IF(NOT(ISNUMBER(E131)),"缺少确认金额（再投填0）",IF(NOT(ISNUMBER(F131)),"缺少手续费（无费用填0）",IF(OR(D131&lt;0,E131&lt;0,F131&lt;0),"份额金额费用不能为负",IF(AA130="错误","前行待修正",IF(A131&lt;Z130,"日期需按成交顺序递增",IF(AND(B131="现金分红",OR(D131&lt;&gt;0,E131&lt;=0,F131&lt;&gt;0)),"分红填份额0、费用0、正金额",IF(AND(B131="红利再投",OR(D131&lt;=0,E131&lt;&gt;0,F131&lt;&gt;0)),"再投填正份额、金额0、费用0",IF(AND(OR(B131="现金分红",B131="红利再投"),K130&lt;=0),"分红或再投前须有持仓",IF(AND(OR(OR(B131="买入",B131="定投",B131="转换转入"),B131="卖出"),OR(D131&lt;=0,E131&lt;=0)),"买卖须填正份额、正金额",IF(AND(B131="卖出",D131&gt;K130+0.000001),"卖出份额超过持仓",IF(AND(OR(B131="买入",B131="定投",B131="转换转入"),F131&gt;=E131)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131="买入",B131="定投",B131="转换转入"),ABS(E131-F131-C131*D131)&gt;'持仓总览'!$H$6),"买入金额与份额净值不符",IF(AND(B131="卖出",ABS(E131+F131-C131*D131)&gt;'持仓总览'!$H$6),"到账加费用与赎回市值不符","已计入"))))))))))))))))))))))))))</f>
        <v>已计入</v>
      </c>
      <c r="J131" s="11">
        <f t="shared" si="18">IF(AA131="正常",IF(I131="已计入",IF(OR(OR(B131="买入",B131="定投",B131="转换转入"),B131="红利再投"),D131,IF(B131="卖出",-D131,0)),0),"")</f>
        <v>1.65</v>
      </c>
      <c r="K131" s="11">
        <f t="shared" si="23">IF(AA131="正常",ROUND(K130+J131,6),"")</f>
        <v>25625.88</v>
      </c>
      <c r="L131" s="11">
        <f t="shared" si="24">IF(I131="已计入",ROUND(K130*C131,2),"")</f>
        <v>155103.46</v>
      </c>
      <c r="M131" s="11">
        <f t="shared" si="25">IF(I131="已计入",IF(B131="卖出",MAX(0,L131-Q130-F131),IF(B131="现金分红",MAX(0,L131+E131-Q130),0)),"")</f>
        <v>0</v>
      </c>
      <c r="N131" s="11">
        <f>IF(I131="已计入",IF(AND(B131="卖出",'持仓总览'!$C$7="本金优先"),MAX(0,E131-Q130),IF(OR(B131="卖出",B131="现金分红"),MIN(E131,M131),0)),"")</f>
        <v>0</v>
      </c>
      <c r="O131" s="11">
        <f t="shared" si="26">IF(I131="已计入",IF(OR(B131="卖出",B131="现金分红"),MIN(Q130,MAX(0,E131-N131)),0),"")</f>
        <v>0</v>
      </c>
      <c r="P131" s="11">
        <f t="shared" si="27">IF(I131="已计入",IF(AND(B131="卖出",K131=0),MAX(0,Q130-O131),0),"")</f>
        <v>0</v>
      </c>
      <c r="Q131" s="11">
        <f t="shared" si="28">IF(AA131="正常",IF(I131="已计入",ROUND(Q130+IF(OR(B131="买入",B131="定投",B131="转换转入"),E131,0)-O131-P131,2),Q130),"")</f>
        <v>128970</v>
      </c>
      <c r="R131" s="11">
        <f t="shared" si="19">IF(I131="已计入",ROUND(K131*C131,2),"")</f>
        <v>155113.45</v>
      </c>
      <c r="S131" s="11">
        <f t="shared" si="20">IF(I131="已计入",ROUND(R131-Q131,2),"")</f>
        <v>26143.45</v>
      </c>
      <c r="T131" s="12">
        <f t="shared" si="21">IF(I131="已计入",IF(Q131=0,"",S131/Q131),"")</f>
        <v>0.20270954485539272</v>
      </c>
      <c r="U131" s="11">
        <f t="shared" si="29">IF(AA131="正常",U130+IF(AND(I131="已计入",OR(B131="买入",B131="定投",B131="转换转入")),E131,0),"")</f>
        <v>128970</v>
      </c>
      <c r="V131" s="11">
        <f t="shared" si="30">IF(AA131="正常",V130+IF(AND(I131="已计入",OR(B131="卖出",B131="现金分红")),E131,0),"")</f>
        <v>0</v>
      </c>
      <c r="W131" s="11">
        <f t="shared" si="31">IF(AA131="正常",W130+IF(I131="已计入",N131,0),"")</f>
        <v>0</v>
      </c>
      <c r="X131" s="11">
        <f t="shared" si="32">IF(AA131="正常",X130+IF(I131="已计入",P131,0),"")</f>
        <v>0</v>
      </c>
      <c r="Y131" s="11">
        <f t="shared" si="22">IF(I131="已计入",ROUND(R131+V131-U131,2),"")</f>
        <v>26143.45</v>
      </c>
      <c r="Z131" s="13">
        <f t="shared" si="33">IF(AA131="正常",IF(I131="已计入",A131,Z130),"")</f>
        <v>46234</v>
      </c>
      <c r="AA131" s="10" t="str">
        <f t="shared" si="34">IF(OR(AA130="错误",AND(I131&lt;&gt;"",I131&lt;&gt;"已排除",I131&lt;&gt;"待确认",I131&lt;&gt;"已计入")),"错误","正常")</f>
        <v>正常</v>
      </c>
      <c r="AB131" s="14">
        <f t="shared" si="35">IF(AA131="正常",IF(I131="已计入",C131,AB130),"")</f>
        <v>6.053</v>
      </c>
    </row>
    <row r="132" ht="42" customHeight="1">
      <c r="A132" s="36">
        <v>46237</v>
      </c>
      <c r="B132" s="37" t="inlineStr">
        <is>
          <t>定投</t>
        </is>
      </c>
      <c r="C132" s="38">
        <v>6.1052</v>
      </c>
      <c r="D132" s="39">
        <v>32.71</v>
      </c>
      <c r="E132" s="39">
        <v>200</v>
      </c>
      <c r="F132" s="39">
        <v>0.32</v>
      </c>
      <c r="G132" s="37" t="inlineStr">
        <is>
          <t>历史估算</t>
        </is>
      </c>
      <c r="H132" s="40" t="inlineStr">
        <is>
          <t>原下单 2026-08-03 12:15:35
净值日／份额暂估，手续费按 0.16%</t>
        </is>
      </c>
      <c r="I132" s="10" t="str">
        <f>IF(COUNTA(A132:H132)=0,"",IF(OR(OR(OR(G132="撤单",G132="交易失败",G132="交易关闭"),G132="交易失败",G132="交易关闭"),G132="交易失败",G132="交易关闭"),"已排除",IF(G132="待确认","待确认",IF(NOT(OR(G132="已确认",G132="历史估算")),"请选择确认状态",IF(NOT(ISNUMBER(A132)),"缺少有效净值日期",IF(OR(A132&lt;=0,A132&lt;&gt;INT(A132)),"净值日期无效",IF(NOT(OR(OR(B132="买入",B132="定投",B132="转换转入"),B132="卖出",B132="现金分红",B132="红利再投")),"请选择交易类型",IF(NOT(ISNUMBER(C132)),"缺少成交净值",IF(C132&lt;=0,"成交净值须大于零",IF(NOT(ISNUMBER(D132)),"缺少确认份额（分红填0）",IF(NOT(ISNUMBER(E132)),"缺少确认金额（再投填0）",IF(NOT(ISNUMBER(F132)),"缺少手续费（无费用填0）",IF(OR(D132&lt;0,E132&lt;0,F132&lt;0),"份额金额费用不能为负",IF(AA131="错误","前行待修正",IF(A132&lt;Z131,"日期需按成交顺序递增",IF(AND(B132="现金分红",OR(D132&lt;&gt;0,E132&lt;=0,F132&lt;&gt;0)),"分红填份额0、费用0、正金额",IF(AND(B132="红利再投",OR(D132&lt;=0,E132&lt;&gt;0,F132&lt;&gt;0)),"再投填正份额、金额0、费用0",IF(AND(OR(B132="现金分红",B132="红利再投"),K131&lt;=0),"分红或再投前须有持仓",IF(AND(OR(OR(B132="买入",B132="定投",B132="转换转入"),B132="卖出"),OR(D132&lt;=0,E132&lt;=0)),"买卖须填正份额、正金额",IF(AND(B132="卖出",D132&gt;K131+0.000001),"卖出份额超过持仓",IF(AND(OR(B132="买入",B132="定投",B132="转换转入"),F132&gt;=E132)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132="买入",B132="定投",B132="转换转入"),ABS(E132-F132-C132*D132)&gt;'持仓总览'!$H$6),"买入金额与份额净值不符",IF(AND(B132="卖出",ABS(E132+F132-C132*D132)&gt;'持仓总览'!$H$6),"到账加费用与赎回市值不符","已计入"))))))))))))))))))))))))))</f>
        <v>已计入</v>
      </c>
      <c r="J132" s="11">
        <f t="shared" si="18">IF(AA132="正常",IF(I132="已计入",IF(OR(OR(B132="买入",B132="定投",B132="转换转入"),B132="红利再投"),D132,IF(B132="卖出",-D132,0)),0),"")</f>
        <v>32.71</v>
      </c>
      <c r="K132" s="11">
        <f t="shared" si="23">IF(AA132="正常",ROUND(K131+J132,6),"")</f>
        <v>25658.59</v>
      </c>
      <c r="L132" s="11">
        <f t="shared" si="24">IF(I132="已计入",ROUND(K131*C132,2),"")</f>
        <v>156451.12</v>
      </c>
      <c r="M132" s="11">
        <f t="shared" si="25">IF(I132="已计入",IF(B132="卖出",MAX(0,L132-Q131-F132),IF(B132="现金分红",MAX(0,L132+E132-Q131),0)),"")</f>
        <v>0</v>
      </c>
      <c r="N132" s="11">
        <f>IF(I132="已计入",IF(AND(B132="卖出",'持仓总览'!$C$7="本金优先"),MAX(0,E132-Q131),IF(OR(B132="卖出",B132="现金分红"),MIN(E132,M132),0)),"")</f>
        <v>0</v>
      </c>
      <c r="O132" s="11">
        <f t="shared" si="26">IF(I132="已计入",IF(OR(B132="卖出",B132="现金分红"),MIN(Q131,MAX(0,E132-N132)),0),"")</f>
        <v>0</v>
      </c>
      <c r="P132" s="11">
        <f t="shared" si="27">IF(I132="已计入",IF(AND(B132="卖出",K132=0),MAX(0,Q131-O132),0),"")</f>
        <v>0</v>
      </c>
      <c r="Q132" s="11">
        <f t="shared" si="28">IF(AA132="正常",IF(I132="已计入",ROUND(Q131+IF(OR(B132="买入",B132="定投",B132="转换转入"),E132,0)-O132-P132,2),Q131),"")</f>
        <v>129170</v>
      </c>
      <c r="R132" s="11">
        <f t="shared" si="19">IF(I132="已计入",ROUND(K132*C132,2),"")</f>
        <v>156650.82</v>
      </c>
      <c r="S132" s="11">
        <f t="shared" si="20">IF(I132="已计入",ROUND(R132-Q132,2),"")</f>
        <v>27480.82</v>
      </c>
      <c r="T132" s="12">
        <f t="shared" si="21">IF(I132="已计入",IF(Q132=0,"",S132/Q132),"")</f>
        <v>0.21274924518076951</v>
      </c>
      <c r="U132" s="11">
        <f t="shared" si="29">IF(AA132="正常",U131+IF(AND(I132="已计入",OR(B132="买入",B132="定投",B132="转换转入")),E132,0),"")</f>
        <v>129170</v>
      </c>
      <c r="V132" s="11">
        <f t="shared" si="30">IF(AA132="正常",V131+IF(AND(I132="已计入",OR(B132="卖出",B132="现金分红")),E132,0),"")</f>
        <v>0</v>
      </c>
      <c r="W132" s="11">
        <f t="shared" si="31">IF(AA132="正常",W131+IF(I132="已计入",N132,0),"")</f>
        <v>0</v>
      </c>
      <c r="X132" s="11">
        <f t="shared" si="32">IF(AA132="正常",X131+IF(I132="已计入",P132,0),"")</f>
        <v>0</v>
      </c>
      <c r="Y132" s="11">
        <f t="shared" si="22">IF(I132="已计入",ROUND(R132+V132-U132,2),"")</f>
        <v>27480.82</v>
      </c>
      <c r="Z132" s="13">
        <f t="shared" si="33">IF(AA132="正常",IF(I132="已计入",A132,Z131),"")</f>
        <v>46237</v>
      </c>
      <c r="AA132" s="10" t="str">
        <f t="shared" si="34">IF(OR(AA131="错误",AND(I132&lt;&gt;"",I132&lt;&gt;"已排除",I132&lt;&gt;"待确认",I132&lt;&gt;"已计入")),"错误","正常")</f>
        <v>正常</v>
      </c>
      <c r="AB132" s="14">
        <f t="shared" si="35">IF(AA132="正常",IF(I132="已计入",C132,AB131),"")</f>
        <v>6.1052</v>
      </c>
    </row>
    <row r="133" ht="42" customHeight="1">
      <c r="A133" s="36">
        <v>46238</v>
      </c>
      <c r="B133" s="37" t="inlineStr">
        <is>
          <t>定投</t>
        </is>
      </c>
      <c r="C133" s="38">
        <v>6.3281</v>
      </c>
      <c r="D133" s="39">
        <v>31.55</v>
      </c>
      <c r="E133" s="39">
        <v>200</v>
      </c>
      <c r="F133" s="39">
        <v>0.32</v>
      </c>
      <c r="G133" s="37" t="inlineStr">
        <is>
          <t>历史估算</t>
        </is>
      </c>
      <c r="H133" s="40" t="inlineStr">
        <is>
          <t>原下单 2026-08-04 11:57:39
净值日／份额暂估，手续费按 0.16%</t>
        </is>
      </c>
      <c r="I133" s="10" t="str">
        <f>IF(COUNTA(A133:H133)=0,"",IF(OR(OR(OR(G133="撤单",G133="交易失败",G133="交易关闭"),G133="交易失败",G133="交易关闭"),G133="交易失败",G133="交易关闭"),"已排除",IF(G133="待确认","待确认",IF(NOT(OR(G133="已确认",G133="历史估算")),"请选择确认状态",IF(NOT(ISNUMBER(A133)),"缺少有效净值日期",IF(OR(A133&lt;=0,A133&lt;&gt;INT(A133)),"净值日期无效",IF(NOT(OR(OR(B133="买入",B133="定投",B133="转换转入"),B133="卖出",B133="现金分红",B133="红利再投")),"请选择交易类型",IF(NOT(ISNUMBER(C133)),"缺少成交净值",IF(C133&lt;=0,"成交净值须大于零",IF(NOT(ISNUMBER(D133)),"缺少确认份额（分红填0）",IF(NOT(ISNUMBER(E133)),"缺少确认金额（再投填0）",IF(NOT(ISNUMBER(F133)),"缺少手续费（无费用填0）",IF(OR(D133&lt;0,E133&lt;0,F133&lt;0),"份额金额费用不能为负",IF(AA132="错误","前行待修正",IF(A133&lt;Z132,"日期需按成交顺序递增",IF(AND(B133="现金分红",OR(D133&lt;&gt;0,E133&lt;=0,F133&lt;&gt;0)),"分红填份额0、费用0、正金额",IF(AND(B133="红利再投",OR(D133&lt;=0,E133&lt;&gt;0,F133&lt;&gt;0)),"再投填正份额、金额0、费用0",IF(AND(OR(B133="现金分红",B133="红利再投"),K132&lt;=0),"分红或再投前须有持仓",IF(AND(OR(OR(B133="买入",B133="定投",B133="转换转入"),B133="卖出"),OR(D133&lt;=0,E133&lt;=0)),"买卖须填正份额、正金额",IF(AND(B133="卖出",D133&gt;K132+0.000001),"卖出份额超过持仓",IF(AND(OR(B133="买入",B133="定投",B133="转换转入"),F133&gt;=E133)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133="买入",B133="定投",B133="转换转入"),ABS(E133-F133-C133*D133)&gt;'持仓总览'!$H$6),"买入金额与份额净值不符",IF(AND(B133="卖出",ABS(E133+F133-C133*D133)&gt;'持仓总览'!$H$6),"到账加费用与赎回市值不符","已计入"))))))))))))))))))))))))))</f>
        <v>已计入</v>
      </c>
      <c r="J133" s="11">
        <f t="shared" si="18">IF(AA133="正常",IF(I133="已计入",IF(OR(OR(B133="买入",B133="定投",B133="转换转入"),B133="红利再投"),D133,IF(B133="卖出",-D133,0)),0),"")</f>
        <v>31.55</v>
      </c>
      <c r="K133" s="11">
        <f t="shared" si="23">IF(AA133="正常",ROUND(K132+J133,6),"")</f>
        <v>25690.14</v>
      </c>
      <c r="L133" s="11">
        <f t="shared" si="24">IF(I133="已计入",ROUND(K132*C133,2),"")</f>
        <v>162370.12</v>
      </c>
      <c r="M133" s="11">
        <f t="shared" si="25">IF(I133="已计入",IF(B133="卖出",MAX(0,L133-Q132-F133),IF(B133="现金分红",MAX(0,L133+E133-Q132),0)),"")</f>
        <v>0</v>
      </c>
      <c r="N133" s="11">
        <f>IF(I133="已计入",IF(AND(B133="卖出",'持仓总览'!$C$7="本金优先"),MAX(0,E133-Q132),IF(OR(B133="卖出",B133="现金分红"),MIN(E133,M133),0)),"")</f>
        <v>0</v>
      </c>
      <c r="O133" s="11">
        <f t="shared" si="26">IF(I133="已计入",IF(OR(B133="卖出",B133="现金分红"),MIN(Q132,MAX(0,E133-N133)),0),"")</f>
        <v>0</v>
      </c>
      <c r="P133" s="11">
        <f t="shared" si="27">IF(I133="已计入",IF(AND(B133="卖出",K133=0),MAX(0,Q132-O133),0),"")</f>
        <v>0</v>
      </c>
      <c r="Q133" s="11">
        <f t="shared" si="28">IF(AA133="正常",IF(I133="已计入",ROUND(Q132+IF(OR(B133="买入",B133="定投",B133="转换转入"),E133,0)-O133-P133,2),Q132),"")</f>
        <v>129370</v>
      </c>
      <c r="R133" s="11">
        <f t="shared" si="19">IF(I133="已计入",ROUND(K133*C133,2),"")</f>
        <v>162569.77</v>
      </c>
      <c r="S133" s="11">
        <f t="shared" si="20">IF(I133="已计入",ROUND(R133-Q133,2),"")</f>
        <v>33199.77</v>
      </c>
      <c r="T133" s="12">
        <f t="shared" si="21">IF(I133="已计入",IF(Q133=0,"",S133/Q133),"")</f>
        <v>0.25662649764242096</v>
      </c>
      <c r="U133" s="11">
        <f t="shared" si="29">IF(AA133="正常",U132+IF(AND(I133="已计入",OR(B133="买入",B133="定投",B133="转换转入")),E133,0),"")</f>
        <v>129370</v>
      </c>
      <c r="V133" s="11">
        <f t="shared" si="30">IF(AA133="正常",V132+IF(AND(I133="已计入",OR(B133="卖出",B133="现金分红")),E133,0),"")</f>
        <v>0</v>
      </c>
      <c r="W133" s="11">
        <f t="shared" si="31">IF(AA133="正常",W132+IF(I133="已计入",N133,0),"")</f>
        <v>0</v>
      </c>
      <c r="X133" s="11">
        <f t="shared" si="32">IF(AA133="正常",X132+IF(I133="已计入",P133,0),"")</f>
        <v>0</v>
      </c>
      <c r="Y133" s="11">
        <f t="shared" si="22">IF(I133="已计入",ROUND(R133+V133-U133,2),"")</f>
        <v>33199.77</v>
      </c>
      <c r="Z133" s="13">
        <f t="shared" si="33">IF(AA133="正常",IF(I133="已计入",A133,Z132),"")</f>
        <v>46238</v>
      </c>
      <c r="AA133" s="10" t="str">
        <f t="shared" si="34">IF(OR(AA132="错误",AND(I133&lt;&gt;"",I133&lt;&gt;"已排除",I133&lt;&gt;"待确认",I133&lt;&gt;"已计入")),"错误","正常")</f>
        <v>正常</v>
      </c>
      <c r="AB133" s="14">
        <f t="shared" si="35">IF(AA133="正常",IF(I133="已计入",C133,AB132),"")</f>
        <v>6.3281</v>
      </c>
    </row>
    <row r="134" ht="42" customHeight="1">
      <c r="A134" s="36">
        <v>46239</v>
      </c>
      <c r="B134" s="37" t="inlineStr">
        <is>
          <t>定投</t>
        </is>
      </c>
      <c r="C134" s="38">
        <v>6.347</v>
      </c>
      <c r="D134" s="39">
        <v>31.46</v>
      </c>
      <c r="E134" s="39">
        <v>200</v>
      </c>
      <c r="F134" s="39">
        <v>0.32</v>
      </c>
      <c r="G134" s="37" t="inlineStr">
        <is>
          <t>历史估算</t>
        </is>
      </c>
      <c r="H134" s="40" t="inlineStr">
        <is>
          <t>原下单 2026-08-05 11:55:35
净值日／份额暂估，手续费按 0.16%</t>
        </is>
      </c>
      <c r="I134" s="10" t="str">
        <f>IF(COUNTA(A134:H134)=0,"",IF(OR(OR(OR(G134="撤单",G134="交易失败",G134="交易关闭"),G134="交易失败",G134="交易关闭"),G134="交易失败",G134="交易关闭"),"已排除",IF(G134="待确认","待确认",IF(NOT(OR(G134="已确认",G134="历史估算")),"请选择确认状态",IF(NOT(ISNUMBER(A134)),"缺少有效净值日期",IF(OR(A134&lt;=0,A134&lt;&gt;INT(A134)),"净值日期无效",IF(NOT(OR(OR(B134="买入",B134="定投",B134="转换转入"),B134="卖出",B134="现金分红",B134="红利再投")),"请选择交易类型",IF(NOT(ISNUMBER(C134)),"缺少成交净值",IF(C134&lt;=0,"成交净值须大于零",IF(NOT(ISNUMBER(D134)),"缺少确认份额（分红填0）",IF(NOT(ISNUMBER(E134)),"缺少确认金额（再投填0）",IF(NOT(ISNUMBER(F134)),"缺少手续费（无费用填0）",IF(OR(D134&lt;0,E134&lt;0,F134&lt;0),"份额金额费用不能为负",IF(AA133="错误","前行待修正",IF(A134&lt;Z133,"日期需按成交顺序递增",IF(AND(B134="现金分红",OR(D134&lt;&gt;0,E134&lt;=0,F134&lt;&gt;0)),"分红填份额0、费用0、正金额",IF(AND(B134="红利再投",OR(D134&lt;=0,E134&lt;&gt;0,F134&lt;&gt;0)),"再投填正份额、金额0、费用0",IF(AND(OR(B134="现金分红",B134="红利再投"),K133&lt;=0),"分红或再投前须有持仓",IF(AND(OR(OR(B134="买入",B134="定投",B134="转换转入"),B134="卖出"),OR(D134&lt;=0,E134&lt;=0)),"买卖须填正份额、正金额",IF(AND(B134="卖出",D134&gt;K133+0.000001),"卖出份额超过持仓",IF(AND(OR(B134="买入",B134="定投",B134="转换转入"),F134&gt;=E134),"申购费不能达到总支出",IF(NOT(ISNUMBER('持仓总览'!$H$6)),"请填写金额核对容差",IF('持仓总览'!$H$6&lt;0,"金额核对容差不能为负",IF(NOT(OR('持仓总览'!$C$7="利润优先",'持仓总览'!$C$7="本金优先")),"请选择卖出分配模式",IF(AND(OR(B134="买入",B134="定投",B134="转换转入"),ABS(E134-F134-C134*D134)&gt;'持仓总览'!$H$6),"买入金额与份额净值不符",IF(AND(B134="卖出",ABS(E134+F134-C134*D134)&gt;'持仓总览'!$H$6),"到账加费用与赎回市值不符","已计入"))))))))))))))))))))))))))</f>
        <v>已计入</v>
      </c>
      <c r="J134" s="11">
        <f t="shared" si="18">IF(AA134="正常",IF(I134="已计入",IF(OR(OR(B134="买入",B134="定投",B134="转换转入"),B134="红利再投"),D134,IF(B134="卖出",-D134,0)),0),"")</f>
        <v>31.46</v>
      </c>
      <c r="K134" s="11">
        <f t="shared" si="23">IF(AA134="正常",ROUND(K133+J134,6),"")</f>
        <v>25721.6</v>
      </c>
      <c r="L134" s="11">
        <f t="shared" si="24">IF(I134="已计入",ROUND(K133*C134,2),"")</f>
        <v>163055.32</v>
      </c>
      <c r="M134" s="11">
        <f t="shared" si="25">IF(I134="已计入",IF(B134="卖出",MAX(0,L134-Q133-F134),IF(B134="现金分红",MAX(0,L134+E134-Q133),0)),"")</f>
        <v>0</v>
      </c>
      <c r="N134" s="11">
        <f>IF(I134="已计入",IF(AND(B134="卖出",'持仓总览'!$C$7="本金优先"),MAX(0,E134-Q133),IF(OR(B134="卖出",B134="现金分红"),MIN(E134,M134),0)),"")</f>
        <v>0</v>
      </c>
      <c r="O134" s="11">
        <f t="shared" si="26">IF(I134="已计入",IF(OR(B134="卖出",B134="现金分红"),MIN(Q133,MAX(0,E134-N134)),0),"")</f>
        <v>0</v>
      </c>
      <c r="P134" s="11">
        <f t="shared" si="27">IF(I134="已计入",IF(AND(B134="卖出",K134=0),MAX(0,Q133-O134),0),"")</f>
        <v>0</v>
      </c>
      <c r="Q134" s="11">
        <f t="shared" si="28">IF(AA134="正常",IF(I134="已计入",ROUND(Q133+IF(OR(B134="买入",B134="定投",B134="转换转入"),E134,0)-O134-P134,2),Q133),"")</f>
        <v>129570</v>
      </c>
      <c r="R134" s="11">
        <f t="shared" si="19">IF(I134="已计入",ROUND(K134*C134,2),"")</f>
        <v>163255</v>
      </c>
      <c r="S134" s="11">
        <f t="shared" si="20">IF(I134="已计入",ROUND(R134-Q134,2),"")</f>
        <v>33685</v>
      </c>
      <c r="T134" s="12">
        <f t="shared" si="21">IF(I134="已计入",IF(Q134=0,"",S134/Q134),"")</f>
        <v>0.2599753029250598</v>
      </c>
      <c r="U134" s="11">
        <f t="shared" si="29">IF(AA134="正常",U133+IF(AND(I134="已计入",OR(B134="买入",B134="定投",B134="转换转入")),E134,0),"")</f>
        <v>129570</v>
      </c>
      <c r="V134" s="11">
        <f t="shared" si="30">IF(AA134="正常",V133+IF(AND(I134="已计入",OR(B134="卖出",B134="现金分红")),E134,0),"")</f>
        <v>0</v>
      </c>
      <c r="W134" s="11">
        <f t="shared" si="31">IF(AA134="正常",W133+IF(I134="已计入",N134,0),"")</f>
        <v>0</v>
      </c>
      <c r="X134" s="11">
        <f t="shared" si="32">IF(AA134="正常",X133+IF(I134="已计入",P134,0),"")</f>
        <v>0</v>
      </c>
      <c r="Y134" s="11">
        <f t="shared" si="22">IF(I134="已计入",ROUND(R134+V134-U134,2),"")</f>
        <v>33685</v>
      </c>
      <c r="Z134" s="13">
        <f t="shared" si="33">IF(AA134="正常",IF(I134="已计入",A134,Z133),"")</f>
        <v>46239</v>
      </c>
      <c r="AA134" s="10" t="str">
        <f t="shared" si="34">IF(OR(AA133="错误",AND(I134&lt;&gt;"",I134&lt;&gt;"已排除",I134&lt;&gt;"待确认",I134&lt;&gt;"已计入")),"错误","正常")</f>
        <v>正常</v>
      </c>
      <c r="AB134" s="14">
        <f t="shared" si="35">IF(AA134="正常",IF(I134="已计入",C134,AB133),"")</f>
        <v>6.347</v>
      </c>
    </row>
    <row r="135" ht="23" customHeight="1">
      <c r="A135" s="36"/>
      <c r="B135" s="37"/>
      <c r="C135" s="38"/>
      <c r="D135" s="39"/>
      <c r="E135" s="44" t="str">
        <f t="shared" si="36">IF(AND(ISNUMBER(C135),ISNUMBER(D135),ISNUMBER(F135)),IF(OR(B135="买入",B135="定投"),ROUND(C135*D135+F135,2),IF(B135="卖出",ROUND(C135*D135-F135,2),IF(B135="红利再投",0,""))),"")</f>
        <v/>
      </c>
      <c r="F135" s="39"/>
      <c r="G135" s="45" t="str">
        <f t="shared" si="37">IF(COUNTA(A135:D135,F135)=0,"",IF(I135="已计入","已录入","待修正"))</f>
        <v/>
      </c>
      <c r="H135" s="46" t="str">
        <f t="shared" si="38">IF(COUNTA(A135:D135,F135)=0,"",IF(B135="红利再投","仅增加份额，不增加现金投入","金额由份额、净值和手续费推算"))</f>
        <v/>
      </c>
      <c r="I135" s="10" t="str">
        <f>IF(COUNTA(A135:D135,F135)=0,"",IF(NOT(ISNUMBER(A135)),"缺少有效净值日期",IF(OR(A135&lt;=0,A135&lt;&gt;INT(A135)),"净值日期无效",IF(OR(B135="转换转入",B135="现金分红"),"该类型需实际金额，五项录入不适用",IF(NOT(OR(OR(B135="买入",B135="定投"),B135="卖出",B135="红利再投")),"请选择交易类型",IF(NOT(ISNUMBER(C135)),"缺少成交净值",IF(C135&lt;=0,"成交净值须大于零",IF(NOT(ISNUMBER(D135)),"缺少确认份额",IF(D135&lt;=0,"确认份额须大于零",IF(NOT(ISNUMBER(F135)),"缺少手续费，无费用请填 0",IF(F135&lt;0,"手续费不能为负",IF(AA134="错误","前行待修正",IF(A135&lt;Z134,"日期需按成交顺序递增",IF(AND(B135="红利再投",F135&lt;&gt;0),"红利再投手续费应填 0",IF(AND(B135="红利再投",K134&lt;=0),"红利再投前须有持仓",IF(AND(B135="卖出",D135&gt;K134+0.000001),"卖出份额超过持仓",IF(AND(B135="卖出",F135&gt;=C135*D135),"赎回费不能达到赎回总额",IF(NOT(ISNUMBER(E135)),"自动金额未生成，请检查五项输入",IF(NOT(OR('持仓总览'!$C$7="利润优先",'持仓总览'!$C$7="本金优先")),"请选择卖出分配模式","已计入")))))))))))))))))))</f>
        <v/>
      </c>
      <c r="J135" s="11">
        <f t="shared" ref="J135:J198" si="39">IF(AA135="正常",IF(I135="已计入",IF(OR(OR(B135="买入",B135="定投",B135="转换转入"),B135="红利再投"),D135,IF(B135="卖出",-D135,0)),0),"")</f>
        <v>0</v>
      </c>
      <c r="K135" s="11">
        <f t="shared" si="23">IF(AA135="正常",ROUND(K134+J135,6),"")</f>
        <v>25721.6</v>
      </c>
      <c r="L135" s="11" t="str">
        <f t="shared" si="24">IF(I135="已计入",ROUND(K134*C135,2),"")</f>
        <v/>
      </c>
      <c r="M135" s="11" t="str">
        <f t="shared" si="25">IF(I135="已计入",IF(B135="卖出",MAX(0,L135-Q134-F135),IF(B135="现金分红",MAX(0,L135+E135-Q134),0)),"")</f>
        <v/>
      </c>
      <c r="N135" s="11" t="str">
        <f>IF(I135="已计入",IF(AND(B135="卖出",'持仓总览'!$C$7="本金优先"),MAX(0,E135-Q134),IF(OR(B135="卖出",B135="现金分红"),MIN(E135,M135),0)),"")</f>
        <v/>
      </c>
      <c r="O135" s="11" t="str">
        <f t="shared" si="26">IF(I135="已计入",IF(OR(B135="卖出",B135="现金分红"),MIN(Q134,MAX(0,E135-N135)),0),"")</f>
        <v/>
      </c>
      <c r="P135" s="11" t="str">
        <f t="shared" si="27">IF(I135="已计入",IF(AND(B135="卖出",K135=0),MAX(0,Q134-O135),0),"")</f>
        <v/>
      </c>
      <c r="Q135" s="11">
        <f t="shared" si="28">IF(AA135="正常",IF(I135="已计入",ROUND(Q134+IF(OR(B135="买入",B135="定投",B135="转换转入"),E135,0)-O135-P135,2),Q134),"")</f>
        <v>129570</v>
      </c>
      <c r="R135" s="11" t="str">
        <f t="shared" ref="R135:R198" si="40">IF(I135="已计入",ROUND(K135*C135,2),"")</f>
        <v/>
      </c>
      <c r="S135" s="11" t="str">
        <f t="shared" ref="S135:S198" si="41">IF(I135="已计入",ROUND(R135-Q135,2),"")</f>
        <v/>
      </c>
      <c r="T135" s="12" t="str">
        <f t="shared" ref="T135:T198" si="42">IF(I135="已计入",IF(Q135=0,"",S135/Q135),"")</f>
        <v/>
      </c>
      <c r="U135" s="11">
        <f t="shared" si="29">IF(AA135="正常",U134+IF(AND(I135="已计入",OR(B135="买入",B135="定投",B135="转换转入")),E135,0),"")</f>
        <v>129570</v>
      </c>
      <c r="V135" s="11">
        <f t="shared" si="30">IF(AA135="正常",V134+IF(AND(I135="已计入",OR(B135="卖出",B135="现金分红")),E135,0),"")</f>
        <v>0</v>
      </c>
      <c r="W135" s="11">
        <f t="shared" si="31">IF(AA135="正常",W134+IF(I135="已计入",N135,0),"")</f>
        <v>0</v>
      </c>
      <c r="X135" s="11">
        <f t="shared" si="32">IF(AA135="正常",X134+IF(I135="已计入",P135,0),"")</f>
        <v>0</v>
      </c>
      <c r="Y135" s="11" t="str">
        <f t="shared" ref="Y135:Y198" si="43">IF(I135="已计入",ROUND(R135+V135-U135,2),"")</f>
        <v/>
      </c>
      <c r="Z135" s="13">
        <f t="shared" si="33">IF(AA135="正常",IF(I135="已计入",A135,Z134),"")</f>
        <v>46239</v>
      </c>
      <c r="AA135" s="10" t="str">
        <f t="shared" si="34">IF(OR($AA$134="错误",COUNTIF($G$135:G135,"待修正")&gt;0),"错误","正常")</f>
        <v>正常</v>
      </c>
      <c r="AB135" s="14">
        <f t="shared" si="35">IF(AA135="正常",IF(I135="已计入",C135,AB134),"")</f>
        <v>6.347</v>
      </c>
    </row>
    <row r="136" ht="23" customHeight="1">
      <c r="A136" s="36"/>
      <c r="B136" s="37"/>
      <c r="C136" s="38"/>
      <c r="D136" s="39"/>
      <c r="E136" s="44" t="str">
        <f t="shared" si="36">IF(AND(ISNUMBER(C136),ISNUMBER(D136),ISNUMBER(F136)),IF(OR(B136="买入",B136="定投"),ROUND(C136*D136+F136,2),IF(B136="卖出",ROUND(C136*D136-F136,2),IF(B136="红利再投",0,""))),"")</f>
        <v/>
      </c>
      <c r="F136" s="39"/>
      <c r="G136" s="45" t="str">
        <f t="shared" si="37">IF(COUNTA(A136:D136,F136)=0,"",IF(I136="已计入","已录入","待修正"))</f>
        <v/>
      </c>
      <c r="H136" s="46" t="str">
        <f t="shared" si="38">IF(COUNTA(A136:D136,F136)=0,"",IF(B136="红利再投","仅增加份额，不增加现金投入","金额由份额、净值和手续费推算"))</f>
        <v/>
      </c>
      <c r="I136" s="10" t="str">
        <f>IF(COUNTA(A136:D136,F136)=0,"",IF(NOT(ISNUMBER(A136)),"缺少有效净值日期",IF(OR(A136&lt;=0,A136&lt;&gt;INT(A136)),"净值日期无效",IF(OR(B136="转换转入",B136="现金分红"),"该类型需实际金额，五项录入不适用",IF(NOT(OR(OR(B136="买入",B136="定投"),B136="卖出",B136="红利再投")),"请选择交易类型",IF(NOT(ISNUMBER(C136)),"缺少成交净值",IF(C136&lt;=0,"成交净值须大于零",IF(NOT(ISNUMBER(D136)),"缺少确认份额",IF(D136&lt;=0,"确认份额须大于零",IF(NOT(ISNUMBER(F136)),"缺少手续费，无费用请填 0",IF(F136&lt;0,"手续费不能为负",IF(AA135="错误","前行待修正",IF(A136&lt;Z135,"日期需按成交顺序递增",IF(AND(B136="红利再投",F136&lt;&gt;0),"红利再投手续费应填 0",IF(AND(B136="红利再投",K135&lt;=0),"红利再投前须有持仓",IF(AND(B136="卖出",D136&gt;K135+0.000001),"卖出份额超过持仓",IF(AND(B136="卖出",F136&gt;=C136*D136),"赎回费不能达到赎回总额",IF(NOT(ISNUMBER(E136)),"自动金额未生成，请检查五项输入",IF(NOT(OR('持仓总览'!$C$7="利润优先",'持仓总览'!$C$7="本金优先")),"请选择卖出分配模式","已计入")))))))))))))))))))</f>
        <v/>
      </c>
      <c r="J136" s="11">
        <f t="shared" si="39">IF(AA136="正常",IF(I136="已计入",IF(OR(OR(B136="买入",B136="定投",B136="转换转入"),B136="红利再投"),D136,IF(B136="卖出",-D136,0)),0),"")</f>
        <v>0</v>
      </c>
      <c r="K136" s="11">
        <f t="shared" ref="K136:K199" si="44">IF(AA136="正常",ROUND(K135+J136,6),"")</f>
        <v>25721.6</v>
      </c>
      <c r="L136" s="11" t="str">
        <f t="shared" ref="L136:L199" si="45">IF(I136="已计入",ROUND(K135*C136,2),"")</f>
        <v/>
      </c>
      <c r="M136" s="11" t="str">
        <f t="shared" ref="M136:M199" si="46">IF(I136="已计入",IF(B136="卖出",MAX(0,L136-Q135-F136),IF(B136="现金分红",MAX(0,L136+E136-Q135),0)),"")</f>
        <v/>
      </c>
      <c r="N136" s="11" t="str">
        <f>IF(I136="已计入",IF(AND(B136="卖出",'持仓总览'!$C$7="本金优先"),MAX(0,E136-Q135),IF(OR(B136="卖出",B136="现金分红"),MIN(E136,M136),0)),"")</f>
        <v/>
      </c>
      <c r="O136" s="11" t="str">
        <f t="shared" ref="O136:O199" si="47">IF(I136="已计入",IF(OR(B136="卖出",B136="现金分红"),MIN(Q135,MAX(0,E136-N136)),0),"")</f>
        <v/>
      </c>
      <c r="P136" s="11" t="str">
        <f t="shared" ref="P136:P199" si="48">IF(I136="已计入",IF(AND(B136="卖出",K136=0),MAX(0,Q135-O136),0),"")</f>
        <v/>
      </c>
      <c r="Q136" s="11">
        <f t="shared" ref="Q136:Q199" si="49">IF(AA136="正常",IF(I136="已计入",ROUND(Q135+IF(OR(B136="买入",B136="定投",B136="转换转入"),E136,0)-O136-P136,2),Q135),"")</f>
        <v>129570</v>
      </c>
      <c r="R136" s="11" t="str">
        <f t="shared" si="40">IF(I136="已计入",ROUND(K136*C136,2),"")</f>
        <v/>
      </c>
      <c r="S136" s="11" t="str">
        <f t="shared" si="41">IF(I136="已计入",ROUND(R136-Q136,2),"")</f>
        <v/>
      </c>
      <c r="T136" s="12" t="str">
        <f t="shared" si="42">IF(I136="已计入",IF(Q136=0,"",S136/Q136),"")</f>
        <v/>
      </c>
      <c r="U136" s="11">
        <f t="shared" ref="U136:U199" si="50">IF(AA136="正常",U135+IF(AND(I136="已计入",OR(B136="买入",B136="定投",B136="转换转入")),E136,0),"")</f>
        <v>129570</v>
      </c>
      <c r="V136" s="11">
        <f t="shared" ref="V136:V199" si="51">IF(AA136="正常",V135+IF(AND(I136="已计入",OR(B136="卖出",B136="现金分红")),E136,0),"")</f>
        <v>0</v>
      </c>
      <c r="W136" s="11">
        <f t="shared" ref="W136:W199" si="52">IF(AA136="正常",W135+IF(I136="已计入",N136,0),"")</f>
        <v>0</v>
      </c>
      <c r="X136" s="11">
        <f t="shared" ref="X136:X199" si="53">IF(AA136="正常",X135+IF(I136="已计入",P136,0),"")</f>
        <v>0</v>
      </c>
      <c r="Y136" s="11" t="str">
        <f t="shared" si="43">IF(I136="已计入",ROUND(R136+V136-U136,2),"")</f>
        <v/>
      </c>
      <c r="Z136" s="13">
        <f t="shared" ref="Z136:Z199" si="54">IF(AA136="正常",IF(I136="已计入",A136,Z135),"")</f>
        <v>46239</v>
      </c>
      <c r="AA136" s="10" t="str">
        <f>IF(OR($AA$134="错误",COUNTIF($G$135:G136,"待修正")&gt;0),"错误","正常")</f>
        <v>正常</v>
      </c>
      <c r="AB136" s="14">
        <f t="shared" ref="AB136:AB199" si="55">IF(AA136="正常",IF(I136="已计入",C136,AB135),"")</f>
        <v>6.347</v>
      </c>
    </row>
    <row r="137" ht="23" customHeight="1">
      <c r="A137" s="36"/>
      <c r="B137" s="37"/>
      <c r="C137" s="38"/>
      <c r="D137" s="39"/>
      <c r="E137" s="44" t="str">
        <f t="shared" si="36">IF(AND(ISNUMBER(C137),ISNUMBER(D137),ISNUMBER(F137)),IF(OR(B137="买入",B137="定投"),ROUND(C137*D137+F137,2),IF(B137="卖出",ROUND(C137*D137-F137,2),IF(B137="红利再投",0,""))),"")</f>
        <v/>
      </c>
      <c r="F137" s="39"/>
      <c r="G137" s="45" t="str">
        <f t="shared" si="37">IF(COUNTA(A137:D137,F137)=0,"",IF(I137="已计入","已录入","待修正"))</f>
        <v/>
      </c>
      <c r="H137" s="46" t="str">
        <f t="shared" si="38">IF(COUNTA(A137:D137,F137)=0,"",IF(B137="红利再投","仅增加份额，不增加现金投入","金额由份额、净值和手续费推算"))</f>
        <v/>
      </c>
      <c r="I137" s="10" t="str">
        <f>IF(COUNTA(A137:D137,F137)=0,"",IF(NOT(ISNUMBER(A137)),"缺少有效净值日期",IF(OR(A137&lt;=0,A137&lt;&gt;INT(A137)),"净值日期无效",IF(OR(B137="转换转入",B137="现金分红"),"该类型需实际金额，五项录入不适用",IF(NOT(OR(OR(B137="买入",B137="定投"),B137="卖出",B137="红利再投")),"请选择交易类型",IF(NOT(ISNUMBER(C137)),"缺少成交净值",IF(C137&lt;=0,"成交净值须大于零",IF(NOT(ISNUMBER(D137)),"缺少确认份额",IF(D137&lt;=0,"确认份额须大于零",IF(NOT(ISNUMBER(F137)),"缺少手续费，无费用请填 0",IF(F137&lt;0,"手续费不能为负",IF(AA136="错误","前行待修正",IF(A137&lt;Z136,"日期需按成交顺序递增",IF(AND(B137="红利再投",F137&lt;&gt;0),"红利再投手续费应填 0",IF(AND(B137="红利再投",K136&lt;=0),"红利再投前须有持仓",IF(AND(B137="卖出",D137&gt;K136+0.000001),"卖出份额超过持仓",IF(AND(B137="卖出",F137&gt;=C137*D137),"赎回费不能达到赎回总额",IF(NOT(ISNUMBER(E137)),"自动金额未生成，请检查五项输入",IF(NOT(OR('持仓总览'!$C$7="利润优先",'持仓总览'!$C$7="本金优先")),"请选择卖出分配模式","已计入")))))))))))))))))))</f>
        <v/>
      </c>
      <c r="J137" s="11">
        <f t="shared" si="39">IF(AA137="正常",IF(I137="已计入",IF(OR(OR(B137="买入",B137="定投",B137="转换转入"),B137="红利再投"),D137,IF(B137="卖出",-D137,0)),0),"")</f>
        <v>0</v>
      </c>
      <c r="K137" s="11">
        <f t="shared" si="44">IF(AA137="正常",ROUND(K136+J137,6),"")</f>
        <v>25721.6</v>
      </c>
      <c r="L137" s="11" t="str">
        <f t="shared" si="45">IF(I137="已计入",ROUND(K136*C137,2),"")</f>
        <v/>
      </c>
      <c r="M137" s="11" t="str">
        <f t="shared" si="46">IF(I137="已计入",IF(B137="卖出",MAX(0,L137-Q136-F137),IF(B137="现金分红",MAX(0,L137+E137-Q136),0)),"")</f>
        <v/>
      </c>
      <c r="N137" s="11" t="str">
        <f>IF(I137="已计入",IF(AND(B137="卖出",'持仓总览'!$C$7="本金优先"),MAX(0,E137-Q136),IF(OR(B137="卖出",B137="现金分红"),MIN(E137,M137),0)),"")</f>
        <v/>
      </c>
      <c r="O137" s="11" t="str">
        <f t="shared" si="47">IF(I137="已计入",IF(OR(B137="卖出",B137="现金分红"),MIN(Q136,MAX(0,E137-N137)),0),"")</f>
        <v/>
      </c>
      <c r="P137" s="11" t="str">
        <f t="shared" si="48">IF(I137="已计入",IF(AND(B137="卖出",K137=0),MAX(0,Q136-O137),0),"")</f>
        <v/>
      </c>
      <c r="Q137" s="11">
        <f t="shared" si="49">IF(AA137="正常",IF(I137="已计入",ROUND(Q136+IF(OR(B137="买入",B137="定投",B137="转换转入"),E137,0)-O137-P137,2),Q136),"")</f>
        <v>129570</v>
      </c>
      <c r="R137" s="11" t="str">
        <f t="shared" si="40">IF(I137="已计入",ROUND(K137*C137,2),"")</f>
        <v/>
      </c>
      <c r="S137" s="11" t="str">
        <f t="shared" si="41">IF(I137="已计入",ROUND(R137-Q137,2),"")</f>
        <v/>
      </c>
      <c r="T137" s="12" t="str">
        <f t="shared" si="42">IF(I137="已计入",IF(Q137=0,"",S137/Q137),"")</f>
        <v/>
      </c>
      <c r="U137" s="11">
        <f t="shared" si="50">IF(AA137="正常",U136+IF(AND(I137="已计入",OR(B137="买入",B137="定投",B137="转换转入")),E137,0),"")</f>
        <v>129570</v>
      </c>
      <c r="V137" s="11">
        <f t="shared" si="51">IF(AA137="正常",V136+IF(AND(I137="已计入",OR(B137="卖出",B137="现金分红")),E137,0),"")</f>
        <v>0</v>
      </c>
      <c r="W137" s="11">
        <f t="shared" si="52">IF(AA137="正常",W136+IF(I137="已计入",N137,0),"")</f>
        <v>0</v>
      </c>
      <c r="X137" s="11">
        <f t="shared" si="53">IF(AA137="正常",X136+IF(I137="已计入",P137,0),"")</f>
        <v>0</v>
      </c>
      <c r="Y137" s="11" t="str">
        <f t="shared" si="43">IF(I137="已计入",ROUND(R137+V137-U137,2),"")</f>
        <v/>
      </c>
      <c r="Z137" s="13">
        <f t="shared" si="54">IF(AA137="正常",IF(I137="已计入",A137,Z136),"")</f>
        <v>46239</v>
      </c>
      <c r="AA137" s="10" t="str">
        <f>IF(OR($AA$134="错误",COUNTIF($G$135:G137,"待修正")&gt;0),"错误","正常")</f>
        <v>正常</v>
      </c>
      <c r="AB137" s="14">
        <f t="shared" si="55">IF(AA137="正常",IF(I137="已计入",C137,AB136),"")</f>
        <v>6.347</v>
      </c>
    </row>
    <row r="138" ht="23" customHeight="1">
      <c r="A138" s="36"/>
      <c r="B138" s="37"/>
      <c r="C138" s="38"/>
      <c r="D138" s="39"/>
      <c r="E138" s="44" t="str">
        <f t="shared" si="36">IF(AND(ISNUMBER(C138),ISNUMBER(D138),ISNUMBER(F138)),IF(OR(B138="买入",B138="定投"),ROUND(C138*D138+F138,2),IF(B138="卖出",ROUND(C138*D138-F138,2),IF(B138="红利再投",0,""))),"")</f>
        <v/>
      </c>
      <c r="F138" s="39"/>
      <c r="G138" s="45" t="str">
        <f t="shared" si="37">IF(COUNTA(A138:D138,F138)=0,"",IF(I138="已计入","已录入","待修正"))</f>
        <v/>
      </c>
      <c r="H138" s="46" t="str">
        <f t="shared" si="38">IF(COUNTA(A138:D138,F138)=0,"",IF(B138="红利再投","仅增加份额，不增加现金投入","金额由份额、净值和手续费推算"))</f>
        <v/>
      </c>
      <c r="I138" s="10" t="str">
        <f>IF(COUNTA(A138:D138,F138)=0,"",IF(NOT(ISNUMBER(A138)),"缺少有效净值日期",IF(OR(A138&lt;=0,A138&lt;&gt;INT(A138)),"净值日期无效",IF(OR(B138="转换转入",B138="现金分红"),"该类型需实际金额，五项录入不适用",IF(NOT(OR(OR(B138="买入",B138="定投"),B138="卖出",B138="红利再投")),"请选择交易类型",IF(NOT(ISNUMBER(C138)),"缺少成交净值",IF(C138&lt;=0,"成交净值须大于零",IF(NOT(ISNUMBER(D138)),"缺少确认份额",IF(D138&lt;=0,"确认份额须大于零",IF(NOT(ISNUMBER(F138)),"缺少手续费，无费用请填 0",IF(F138&lt;0,"手续费不能为负",IF(AA137="错误","前行待修正",IF(A138&lt;Z137,"日期需按成交顺序递增",IF(AND(B138="红利再投",F138&lt;&gt;0),"红利再投手续费应填 0",IF(AND(B138="红利再投",K137&lt;=0),"红利再投前须有持仓",IF(AND(B138="卖出",D138&gt;K137+0.000001),"卖出份额超过持仓",IF(AND(B138="卖出",F138&gt;=C138*D138),"赎回费不能达到赎回总额",IF(NOT(ISNUMBER(E138)),"自动金额未生成，请检查五项输入",IF(NOT(OR('持仓总览'!$C$7="利润优先",'持仓总览'!$C$7="本金优先")),"请选择卖出分配模式","已计入")))))))))))))))))))</f>
        <v/>
      </c>
      <c r="J138" s="11">
        <f t="shared" si="39">IF(AA138="正常",IF(I138="已计入",IF(OR(OR(B138="买入",B138="定投",B138="转换转入"),B138="红利再投"),D138,IF(B138="卖出",-D138,0)),0),"")</f>
        <v>0</v>
      </c>
      <c r="K138" s="11">
        <f t="shared" si="44">IF(AA138="正常",ROUND(K137+J138,6),"")</f>
        <v>25721.6</v>
      </c>
      <c r="L138" s="11" t="str">
        <f t="shared" si="45">IF(I138="已计入",ROUND(K137*C138,2),"")</f>
        <v/>
      </c>
      <c r="M138" s="11" t="str">
        <f t="shared" si="46">IF(I138="已计入",IF(B138="卖出",MAX(0,L138-Q137-F138),IF(B138="现金分红",MAX(0,L138+E138-Q137),0)),"")</f>
        <v/>
      </c>
      <c r="N138" s="11" t="str">
        <f>IF(I138="已计入",IF(AND(B138="卖出",'持仓总览'!$C$7="本金优先"),MAX(0,E138-Q137),IF(OR(B138="卖出",B138="现金分红"),MIN(E138,M138),0)),"")</f>
        <v/>
      </c>
      <c r="O138" s="11" t="str">
        <f t="shared" si="47">IF(I138="已计入",IF(OR(B138="卖出",B138="现金分红"),MIN(Q137,MAX(0,E138-N138)),0),"")</f>
        <v/>
      </c>
      <c r="P138" s="11" t="str">
        <f t="shared" si="48">IF(I138="已计入",IF(AND(B138="卖出",K138=0),MAX(0,Q137-O138),0),"")</f>
        <v/>
      </c>
      <c r="Q138" s="11">
        <f t="shared" si="49">IF(AA138="正常",IF(I138="已计入",ROUND(Q137+IF(OR(B138="买入",B138="定投",B138="转换转入"),E138,0)-O138-P138,2),Q137),"")</f>
        <v>129570</v>
      </c>
      <c r="R138" s="11" t="str">
        <f t="shared" si="40">IF(I138="已计入",ROUND(K138*C138,2),"")</f>
        <v/>
      </c>
      <c r="S138" s="11" t="str">
        <f t="shared" si="41">IF(I138="已计入",ROUND(R138-Q138,2),"")</f>
        <v/>
      </c>
      <c r="T138" s="12" t="str">
        <f t="shared" si="42">IF(I138="已计入",IF(Q138=0,"",S138/Q138),"")</f>
        <v/>
      </c>
      <c r="U138" s="11">
        <f t="shared" si="50">IF(AA138="正常",U137+IF(AND(I138="已计入",OR(B138="买入",B138="定投",B138="转换转入")),E138,0),"")</f>
        <v>129570</v>
      </c>
      <c r="V138" s="11">
        <f t="shared" si="51">IF(AA138="正常",V137+IF(AND(I138="已计入",OR(B138="卖出",B138="现金分红")),E138,0),"")</f>
        <v>0</v>
      </c>
      <c r="W138" s="11">
        <f t="shared" si="52">IF(AA138="正常",W137+IF(I138="已计入",N138,0),"")</f>
        <v>0</v>
      </c>
      <c r="X138" s="11">
        <f t="shared" si="53">IF(AA138="正常",X137+IF(I138="已计入",P138,0),"")</f>
        <v>0</v>
      </c>
      <c r="Y138" s="11" t="str">
        <f t="shared" si="43">IF(I138="已计入",ROUND(R138+V138-U138,2),"")</f>
        <v/>
      </c>
      <c r="Z138" s="13">
        <f t="shared" si="54">IF(AA138="正常",IF(I138="已计入",A138,Z137),"")</f>
        <v>46239</v>
      </c>
      <c r="AA138" s="10" t="str">
        <f>IF(OR($AA$134="错误",COUNTIF($G$135:G138,"待修正")&gt;0),"错误","正常")</f>
        <v>正常</v>
      </c>
      <c r="AB138" s="14">
        <f t="shared" si="55">IF(AA138="正常",IF(I138="已计入",C138,AB137),"")</f>
        <v>6.347</v>
      </c>
    </row>
    <row r="139" ht="23" customHeight="1">
      <c r="A139" s="36"/>
      <c r="B139" s="37"/>
      <c r="C139" s="38"/>
      <c r="D139" s="39"/>
      <c r="E139" s="44" t="str">
        <f t="shared" si="36">IF(AND(ISNUMBER(C139),ISNUMBER(D139),ISNUMBER(F139)),IF(OR(B139="买入",B139="定投"),ROUND(C139*D139+F139,2),IF(B139="卖出",ROUND(C139*D139-F139,2),IF(B139="红利再投",0,""))),"")</f>
        <v/>
      </c>
      <c r="F139" s="39"/>
      <c r="G139" s="45" t="str">
        <f t="shared" si="37">IF(COUNTA(A139:D139,F139)=0,"",IF(I139="已计入","已录入","待修正"))</f>
        <v/>
      </c>
      <c r="H139" s="46" t="str">
        <f t="shared" si="38">IF(COUNTA(A139:D139,F139)=0,"",IF(B139="红利再投","仅增加份额，不增加现金投入","金额由份额、净值和手续费推算"))</f>
        <v/>
      </c>
      <c r="I139" s="10" t="str">
        <f>IF(COUNTA(A139:D139,F139)=0,"",IF(NOT(ISNUMBER(A139)),"缺少有效净值日期",IF(OR(A139&lt;=0,A139&lt;&gt;INT(A139)),"净值日期无效",IF(OR(B139="转换转入",B139="现金分红"),"该类型需实际金额，五项录入不适用",IF(NOT(OR(OR(B139="买入",B139="定投"),B139="卖出",B139="红利再投")),"请选择交易类型",IF(NOT(ISNUMBER(C139)),"缺少成交净值",IF(C139&lt;=0,"成交净值须大于零",IF(NOT(ISNUMBER(D139)),"缺少确认份额",IF(D139&lt;=0,"确认份额须大于零",IF(NOT(ISNUMBER(F139)),"缺少手续费，无费用请填 0",IF(F139&lt;0,"手续费不能为负",IF(AA138="错误","前行待修正",IF(A139&lt;Z138,"日期需按成交顺序递增",IF(AND(B139="红利再投",F139&lt;&gt;0),"红利再投手续费应填 0",IF(AND(B139="红利再投",K138&lt;=0),"红利再投前须有持仓",IF(AND(B139="卖出",D139&gt;K138+0.000001),"卖出份额超过持仓",IF(AND(B139="卖出",F139&gt;=C139*D139),"赎回费不能达到赎回总额",IF(NOT(ISNUMBER(E139)),"自动金额未生成，请检查五项输入",IF(NOT(OR('持仓总览'!$C$7="利润优先",'持仓总览'!$C$7="本金优先")),"请选择卖出分配模式","已计入")))))))))))))))))))</f>
        <v/>
      </c>
      <c r="J139" s="11">
        <f t="shared" si="39">IF(AA139="正常",IF(I139="已计入",IF(OR(OR(B139="买入",B139="定投",B139="转换转入"),B139="红利再投"),D139,IF(B139="卖出",-D139,0)),0),"")</f>
        <v>0</v>
      </c>
      <c r="K139" s="11">
        <f t="shared" si="44">IF(AA139="正常",ROUND(K138+J139,6),"")</f>
        <v>25721.6</v>
      </c>
      <c r="L139" s="11" t="str">
        <f t="shared" si="45">IF(I139="已计入",ROUND(K138*C139,2),"")</f>
        <v/>
      </c>
      <c r="M139" s="11" t="str">
        <f t="shared" si="46">IF(I139="已计入",IF(B139="卖出",MAX(0,L139-Q138-F139),IF(B139="现金分红",MAX(0,L139+E139-Q138),0)),"")</f>
        <v/>
      </c>
      <c r="N139" s="11" t="str">
        <f>IF(I139="已计入",IF(AND(B139="卖出",'持仓总览'!$C$7="本金优先"),MAX(0,E139-Q138),IF(OR(B139="卖出",B139="现金分红"),MIN(E139,M139),0)),"")</f>
        <v/>
      </c>
      <c r="O139" s="11" t="str">
        <f t="shared" si="47">IF(I139="已计入",IF(OR(B139="卖出",B139="现金分红"),MIN(Q138,MAX(0,E139-N139)),0),"")</f>
        <v/>
      </c>
      <c r="P139" s="11" t="str">
        <f t="shared" si="48">IF(I139="已计入",IF(AND(B139="卖出",K139=0),MAX(0,Q138-O139),0),"")</f>
        <v/>
      </c>
      <c r="Q139" s="11">
        <f t="shared" si="49">IF(AA139="正常",IF(I139="已计入",ROUND(Q138+IF(OR(B139="买入",B139="定投",B139="转换转入"),E139,0)-O139-P139,2),Q138),"")</f>
        <v>129570</v>
      </c>
      <c r="R139" s="11" t="str">
        <f t="shared" si="40">IF(I139="已计入",ROUND(K139*C139,2),"")</f>
        <v/>
      </c>
      <c r="S139" s="11" t="str">
        <f t="shared" si="41">IF(I139="已计入",ROUND(R139-Q139,2),"")</f>
        <v/>
      </c>
      <c r="T139" s="12" t="str">
        <f t="shared" si="42">IF(I139="已计入",IF(Q139=0,"",S139/Q139),"")</f>
        <v/>
      </c>
      <c r="U139" s="11">
        <f t="shared" si="50">IF(AA139="正常",U138+IF(AND(I139="已计入",OR(B139="买入",B139="定投",B139="转换转入")),E139,0),"")</f>
        <v>129570</v>
      </c>
      <c r="V139" s="11">
        <f t="shared" si="51">IF(AA139="正常",V138+IF(AND(I139="已计入",OR(B139="卖出",B139="现金分红")),E139,0),"")</f>
        <v>0</v>
      </c>
      <c r="W139" s="11">
        <f t="shared" si="52">IF(AA139="正常",W138+IF(I139="已计入",N139,0),"")</f>
        <v>0</v>
      </c>
      <c r="X139" s="11">
        <f t="shared" si="53">IF(AA139="正常",X138+IF(I139="已计入",P139,0),"")</f>
        <v>0</v>
      </c>
      <c r="Y139" s="11" t="str">
        <f t="shared" si="43">IF(I139="已计入",ROUND(R139+V139-U139,2),"")</f>
        <v/>
      </c>
      <c r="Z139" s="13">
        <f t="shared" si="54">IF(AA139="正常",IF(I139="已计入",A139,Z138),"")</f>
        <v>46239</v>
      </c>
      <c r="AA139" s="10" t="str">
        <f>IF(OR($AA$134="错误",COUNTIF($G$135:G139,"待修正")&gt;0),"错误","正常")</f>
        <v>正常</v>
      </c>
      <c r="AB139" s="14">
        <f t="shared" si="55">IF(AA139="正常",IF(I139="已计入",C139,AB138),"")</f>
        <v>6.347</v>
      </c>
    </row>
    <row r="140" ht="23" customHeight="1">
      <c r="A140" s="36"/>
      <c r="B140" s="37"/>
      <c r="C140" s="38"/>
      <c r="D140" s="39"/>
      <c r="E140" s="44" t="str">
        <f t="shared" si="36">IF(AND(ISNUMBER(C140),ISNUMBER(D140),ISNUMBER(F140)),IF(OR(B140="买入",B140="定投"),ROUND(C140*D140+F140,2),IF(B140="卖出",ROUND(C140*D140-F140,2),IF(B140="红利再投",0,""))),"")</f>
        <v/>
      </c>
      <c r="F140" s="39"/>
      <c r="G140" s="45" t="str">
        <f t="shared" si="37">IF(COUNTA(A140:D140,F140)=0,"",IF(I140="已计入","已录入","待修正"))</f>
        <v/>
      </c>
      <c r="H140" s="46" t="str">
        <f t="shared" si="38">IF(COUNTA(A140:D140,F140)=0,"",IF(B140="红利再投","仅增加份额，不增加现金投入","金额由份额、净值和手续费推算"))</f>
        <v/>
      </c>
      <c r="I140" s="10" t="str">
        <f>IF(COUNTA(A140:D140,F140)=0,"",IF(NOT(ISNUMBER(A140)),"缺少有效净值日期",IF(OR(A140&lt;=0,A140&lt;&gt;INT(A140)),"净值日期无效",IF(OR(B140="转换转入",B140="现金分红"),"该类型需实际金额，五项录入不适用",IF(NOT(OR(OR(B140="买入",B140="定投"),B140="卖出",B140="红利再投")),"请选择交易类型",IF(NOT(ISNUMBER(C140)),"缺少成交净值",IF(C140&lt;=0,"成交净值须大于零",IF(NOT(ISNUMBER(D140)),"缺少确认份额",IF(D140&lt;=0,"确认份额须大于零",IF(NOT(ISNUMBER(F140)),"缺少手续费，无费用请填 0",IF(F140&lt;0,"手续费不能为负",IF(AA139="错误","前行待修正",IF(A140&lt;Z139,"日期需按成交顺序递增",IF(AND(B140="红利再投",F140&lt;&gt;0),"红利再投手续费应填 0",IF(AND(B140="红利再投",K139&lt;=0),"红利再投前须有持仓",IF(AND(B140="卖出",D140&gt;K139+0.000001),"卖出份额超过持仓",IF(AND(B140="卖出",F140&gt;=C140*D140),"赎回费不能达到赎回总额",IF(NOT(ISNUMBER(E140)),"自动金额未生成，请检查五项输入",IF(NOT(OR('持仓总览'!$C$7="利润优先",'持仓总览'!$C$7="本金优先")),"请选择卖出分配模式","已计入")))))))))))))))))))</f>
        <v/>
      </c>
      <c r="J140" s="11">
        <f t="shared" si="39">IF(AA140="正常",IF(I140="已计入",IF(OR(OR(B140="买入",B140="定投",B140="转换转入"),B140="红利再投"),D140,IF(B140="卖出",-D140,0)),0),"")</f>
        <v>0</v>
      </c>
      <c r="K140" s="11">
        <f t="shared" si="44">IF(AA140="正常",ROUND(K139+J140,6),"")</f>
        <v>25721.6</v>
      </c>
      <c r="L140" s="11" t="str">
        <f t="shared" si="45">IF(I140="已计入",ROUND(K139*C140,2),"")</f>
        <v/>
      </c>
      <c r="M140" s="11" t="str">
        <f t="shared" si="46">IF(I140="已计入",IF(B140="卖出",MAX(0,L140-Q139-F140),IF(B140="现金分红",MAX(0,L140+E140-Q139),0)),"")</f>
        <v/>
      </c>
      <c r="N140" s="11" t="str">
        <f>IF(I140="已计入",IF(AND(B140="卖出",'持仓总览'!$C$7="本金优先"),MAX(0,E140-Q139),IF(OR(B140="卖出",B140="现金分红"),MIN(E140,M140),0)),"")</f>
        <v/>
      </c>
      <c r="O140" s="11" t="str">
        <f t="shared" si="47">IF(I140="已计入",IF(OR(B140="卖出",B140="现金分红"),MIN(Q139,MAX(0,E140-N140)),0),"")</f>
        <v/>
      </c>
      <c r="P140" s="11" t="str">
        <f t="shared" si="48">IF(I140="已计入",IF(AND(B140="卖出",K140=0),MAX(0,Q139-O140),0),"")</f>
        <v/>
      </c>
      <c r="Q140" s="11">
        <f t="shared" si="49">IF(AA140="正常",IF(I140="已计入",ROUND(Q139+IF(OR(B140="买入",B140="定投",B140="转换转入"),E140,0)-O140-P140,2),Q139),"")</f>
        <v>129570</v>
      </c>
      <c r="R140" s="11" t="str">
        <f t="shared" si="40">IF(I140="已计入",ROUND(K140*C140,2),"")</f>
        <v/>
      </c>
      <c r="S140" s="11" t="str">
        <f t="shared" si="41">IF(I140="已计入",ROUND(R140-Q140,2),"")</f>
        <v/>
      </c>
      <c r="T140" s="12" t="str">
        <f t="shared" si="42">IF(I140="已计入",IF(Q140=0,"",S140/Q140),"")</f>
        <v/>
      </c>
      <c r="U140" s="11">
        <f t="shared" si="50">IF(AA140="正常",U139+IF(AND(I140="已计入",OR(B140="买入",B140="定投",B140="转换转入")),E140,0),"")</f>
        <v>129570</v>
      </c>
      <c r="V140" s="11">
        <f t="shared" si="51">IF(AA140="正常",V139+IF(AND(I140="已计入",OR(B140="卖出",B140="现金分红")),E140,0),"")</f>
        <v>0</v>
      </c>
      <c r="W140" s="11">
        <f t="shared" si="52">IF(AA140="正常",W139+IF(I140="已计入",N140,0),"")</f>
        <v>0</v>
      </c>
      <c r="X140" s="11">
        <f t="shared" si="53">IF(AA140="正常",X139+IF(I140="已计入",P140,0),"")</f>
        <v>0</v>
      </c>
      <c r="Y140" s="11" t="str">
        <f t="shared" si="43">IF(I140="已计入",ROUND(R140+V140-U140,2),"")</f>
        <v/>
      </c>
      <c r="Z140" s="13">
        <f t="shared" si="54">IF(AA140="正常",IF(I140="已计入",A140,Z139),"")</f>
        <v>46239</v>
      </c>
      <c r="AA140" s="10" t="str">
        <f>IF(OR($AA$134="错误",COUNTIF($G$135:G140,"待修正")&gt;0),"错误","正常")</f>
        <v>正常</v>
      </c>
      <c r="AB140" s="14">
        <f t="shared" si="55">IF(AA140="正常",IF(I140="已计入",C140,AB139),"")</f>
        <v>6.347</v>
      </c>
    </row>
    <row r="141" ht="23" customHeight="1">
      <c r="A141" s="36"/>
      <c r="B141" s="37"/>
      <c r="C141" s="38"/>
      <c r="D141" s="39"/>
      <c r="E141" s="44" t="str">
        <f t="shared" si="36">IF(AND(ISNUMBER(C141),ISNUMBER(D141),ISNUMBER(F141)),IF(OR(B141="买入",B141="定投"),ROUND(C141*D141+F141,2),IF(B141="卖出",ROUND(C141*D141-F141,2),IF(B141="红利再投",0,""))),"")</f>
        <v/>
      </c>
      <c r="F141" s="39"/>
      <c r="G141" s="45" t="str">
        <f t="shared" si="37">IF(COUNTA(A141:D141,F141)=0,"",IF(I141="已计入","已录入","待修正"))</f>
        <v/>
      </c>
      <c r="H141" s="46" t="str">
        <f t="shared" si="38">IF(COUNTA(A141:D141,F141)=0,"",IF(B141="红利再投","仅增加份额，不增加现金投入","金额由份额、净值和手续费推算"))</f>
        <v/>
      </c>
      <c r="I141" s="10" t="str">
        <f>IF(COUNTA(A141:D141,F141)=0,"",IF(NOT(ISNUMBER(A141)),"缺少有效净值日期",IF(OR(A141&lt;=0,A141&lt;&gt;INT(A141)),"净值日期无效",IF(OR(B141="转换转入",B141="现金分红"),"该类型需实际金额，五项录入不适用",IF(NOT(OR(OR(B141="买入",B141="定投"),B141="卖出",B141="红利再投")),"请选择交易类型",IF(NOT(ISNUMBER(C141)),"缺少成交净值",IF(C141&lt;=0,"成交净值须大于零",IF(NOT(ISNUMBER(D141)),"缺少确认份额",IF(D141&lt;=0,"确认份额须大于零",IF(NOT(ISNUMBER(F141)),"缺少手续费，无费用请填 0",IF(F141&lt;0,"手续费不能为负",IF(AA140="错误","前行待修正",IF(A141&lt;Z140,"日期需按成交顺序递增",IF(AND(B141="红利再投",F141&lt;&gt;0),"红利再投手续费应填 0",IF(AND(B141="红利再投",K140&lt;=0),"红利再投前须有持仓",IF(AND(B141="卖出",D141&gt;K140+0.000001),"卖出份额超过持仓",IF(AND(B141="卖出",F141&gt;=C141*D141),"赎回费不能达到赎回总额",IF(NOT(ISNUMBER(E141)),"自动金额未生成，请检查五项输入",IF(NOT(OR('持仓总览'!$C$7="利润优先",'持仓总览'!$C$7="本金优先")),"请选择卖出分配模式","已计入")))))))))))))))))))</f>
        <v/>
      </c>
      <c r="J141" s="11">
        <f t="shared" si="39">IF(AA141="正常",IF(I141="已计入",IF(OR(OR(B141="买入",B141="定投",B141="转换转入"),B141="红利再投"),D141,IF(B141="卖出",-D141,0)),0),"")</f>
        <v>0</v>
      </c>
      <c r="K141" s="11">
        <f t="shared" si="44">IF(AA141="正常",ROUND(K140+J141,6),"")</f>
        <v>25721.6</v>
      </c>
      <c r="L141" s="11" t="str">
        <f t="shared" si="45">IF(I141="已计入",ROUND(K140*C141,2),"")</f>
        <v/>
      </c>
      <c r="M141" s="11" t="str">
        <f t="shared" si="46">IF(I141="已计入",IF(B141="卖出",MAX(0,L141-Q140-F141),IF(B141="现金分红",MAX(0,L141+E141-Q140),0)),"")</f>
        <v/>
      </c>
      <c r="N141" s="11" t="str">
        <f>IF(I141="已计入",IF(AND(B141="卖出",'持仓总览'!$C$7="本金优先"),MAX(0,E141-Q140),IF(OR(B141="卖出",B141="现金分红"),MIN(E141,M141),0)),"")</f>
        <v/>
      </c>
      <c r="O141" s="11" t="str">
        <f t="shared" si="47">IF(I141="已计入",IF(OR(B141="卖出",B141="现金分红"),MIN(Q140,MAX(0,E141-N141)),0),"")</f>
        <v/>
      </c>
      <c r="P141" s="11" t="str">
        <f t="shared" si="48">IF(I141="已计入",IF(AND(B141="卖出",K141=0),MAX(0,Q140-O141),0),"")</f>
        <v/>
      </c>
      <c r="Q141" s="11">
        <f t="shared" si="49">IF(AA141="正常",IF(I141="已计入",ROUND(Q140+IF(OR(B141="买入",B141="定投",B141="转换转入"),E141,0)-O141-P141,2),Q140),"")</f>
        <v>129570</v>
      </c>
      <c r="R141" s="11" t="str">
        <f t="shared" si="40">IF(I141="已计入",ROUND(K141*C141,2),"")</f>
        <v/>
      </c>
      <c r="S141" s="11" t="str">
        <f t="shared" si="41">IF(I141="已计入",ROUND(R141-Q141,2),"")</f>
        <v/>
      </c>
      <c r="T141" s="12" t="str">
        <f t="shared" si="42">IF(I141="已计入",IF(Q141=0,"",S141/Q141),"")</f>
        <v/>
      </c>
      <c r="U141" s="11">
        <f t="shared" si="50">IF(AA141="正常",U140+IF(AND(I141="已计入",OR(B141="买入",B141="定投",B141="转换转入")),E141,0),"")</f>
        <v>129570</v>
      </c>
      <c r="V141" s="11">
        <f t="shared" si="51">IF(AA141="正常",V140+IF(AND(I141="已计入",OR(B141="卖出",B141="现金分红")),E141,0),"")</f>
        <v>0</v>
      </c>
      <c r="W141" s="11">
        <f t="shared" si="52">IF(AA141="正常",W140+IF(I141="已计入",N141,0),"")</f>
        <v>0</v>
      </c>
      <c r="X141" s="11">
        <f t="shared" si="53">IF(AA141="正常",X140+IF(I141="已计入",P141,0),"")</f>
        <v>0</v>
      </c>
      <c r="Y141" s="11" t="str">
        <f t="shared" si="43">IF(I141="已计入",ROUND(R141+V141-U141,2),"")</f>
        <v/>
      </c>
      <c r="Z141" s="13">
        <f t="shared" si="54">IF(AA141="正常",IF(I141="已计入",A141,Z140),"")</f>
        <v>46239</v>
      </c>
      <c r="AA141" s="10" t="str">
        <f>IF(OR($AA$134="错误",COUNTIF($G$135:G141,"待修正")&gt;0),"错误","正常")</f>
        <v>正常</v>
      </c>
      <c r="AB141" s="14">
        <f t="shared" si="55">IF(AA141="正常",IF(I141="已计入",C141,AB140),"")</f>
        <v>6.347</v>
      </c>
    </row>
    <row r="142" ht="23" customHeight="1">
      <c r="A142" s="36"/>
      <c r="B142" s="37"/>
      <c r="C142" s="38"/>
      <c r="D142" s="39"/>
      <c r="E142" s="44" t="str">
        <f t="shared" si="36">IF(AND(ISNUMBER(C142),ISNUMBER(D142),ISNUMBER(F142)),IF(OR(B142="买入",B142="定投"),ROUND(C142*D142+F142,2),IF(B142="卖出",ROUND(C142*D142-F142,2),IF(B142="红利再投",0,""))),"")</f>
        <v/>
      </c>
      <c r="F142" s="39"/>
      <c r="G142" s="45" t="str">
        <f t="shared" si="37">IF(COUNTA(A142:D142,F142)=0,"",IF(I142="已计入","已录入","待修正"))</f>
        <v/>
      </c>
      <c r="H142" s="46" t="str">
        <f t="shared" si="38">IF(COUNTA(A142:D142,F142)=0,"",IF(B142="红利再投","仅增加份额，不增加现金投入","金额由份额、净值和手续费推算"))</f>
        <v/>
      </c>
      <c r="I142" s="10" t="str">
        <f>IF(COUNTA(A142:D142,F142)=0,"",IF(NOT(ISNUMBER(A142)),"缺少有效净值日期",IF(OR(A142&lt;=0,A142&lt;&gt;INT(A142)),"净值日期无效",IF(OR(B142="转换转入",B142="现金分红"),"该类型需实际金额，五项录入不适用",IF(NOT(OR(OR(B142="买入",B142="定投"),B142="卖出",B142="红利再投")),"请选择交易类型",IF(NOT(ISNUMBER(C142)),"缺少成交净值",IF(C142&lt;=0,"成交净值须大于零",IF(NOT(ISNUMBER(D142)),"缺少确认份额",IF(D142&lt;=0,"确认份额须大于零",IF(NOT(ISNUMBER(F142)),"缺少手续费，无费用请填 0",IF(F142&lt;0,"手续费不能为负",IF(AA141="错误","前行待修正",IF(A142&lt;Z141,"日期需按成交顺序递增",IF(AND(B142="红利再投",F142&lt;&gt;0),"红利再投手续费应填 0",IF(AND(B142="红利再投",K141&lt;=0),"红利再投前须有持仓",IF(AND(B142="卖出",D142&gt;K141+0.000001),"卖出份额超过持仓",IF(AND(B142="卖出",F142&gt;=C142*D142),"赎回费不能达到赎回总额",IF(NOT(ISNUMBER(E142)),"自动金额未生成，请检查五项输入",IF(NOT(OR('持仓总览'!$C$7="利润优先",'持仓总览'!$C$7="本金优先")),"请选择卖出分配模式","已计入")))))))))))))))))))</f>
        <v/>
      </c>
      <c r="J142" s="11">
        <f t="shared" si="39">IF(AA142="正常",IF(I142="已计入",IF(OR(OR(B142="买入",B142="定投",B142="转换转入"),B142="红利再投"),D142,IF(B142="卖出",-D142,0)),0),"")</f>
        <v>0</v>
      </c>
      <c r="K142" s="11">
        <f t="shared" si="44">IF(AA142="正常",ROUND(K141+J142,6),"")</f>
        <v>25721.6</v>
      </c>
      <c r="L142" s="11" t="str">
        <f t="shared" si="45">IF(I142="已计入",ROUND(K141*C142,2),"")</f>
        <v/>
      </c>
      <c r="M142" s="11" t="str">
        <f t="shared" si="46">IF(I142="已计入",IF(B142="卖出",MAX(0,L142-Q141-F142),IF(B142="现金分红",MAX(0,L142+E142-Q141),0)),"")</f>
        <v/>
      </c>
      <c r="N142" s="11" t="str">
        <f>IF(I142="已计入",IF(AND(B142="卖出",'持仓总览'!$C$7="本金优先"),MAX(0,E142-Q141),IF(OR(B142="卖出",B142="现金分红"),MIN(E142,M142),0)),"")</f>
        <v/>
      </c>
      <c r="O142" s="11" t="str">
        <f t="shared" si="47">IF(I142="已计入",IF(OR(B142="卖出",B142="现金分红"),MIN(Q141,MAX(0,E142-N142)),0),"")</f>
        <v/>
      </c>
      <c r="P142" s="11" t="str">
        <f t="shared" si="48">IF(I142="已计入",IF(AND(B142="卖出",K142=0),MAX(0,Q141-O142),0),"")</f>
        <v/>
      </c>
      <c r="Q142" s="11">
        <f t="shared" si="49">IF(AA142="正常",IF(I142="已计入",ROUND(Q141+IF(OR(B142="买入",B142="定投",B142="转换转入"),E142,0)-O142-P142,2),Q141),"")</f>
        <v>129570</v>
      </c>
      <c r="R142" s="11" t="str">
        <f t="shared" si="40">IF(I142="已计入",ROUND(K142*C142,2),"")</f>
        <v/>
      </c>
      <c r="S142" s="11" t="str">
        <f t="shared" si="41">IF(I142="已计入",ROUND(R142-Q142,2),"")</f>
        <v/>
      </c>
      <c r="T142" s="12" t="str">
        <f t="shared" si="42">IF(I142="已计入",IF(Q142=0,"",S142/Q142),"")</f>
        <v/>
      </c>
      <c r="U142" s="11">
        <f t="shared" si="50">IF(AA142="正常",U141+IF(AND(I142="已计入",OR(B142="买入",B142="定投",B142="转换转入")),E142,0),"")</f>
        <v>129570</v>
      </c>
      <c r="V142" s="11">
        <f t="shared" si="51">IF(AA142="正常",V141+IF(AND(I142="已计入",OR(B142="卖出",B142="现金分红")),E142,0),"")</f>
        <v>0</v>
      </c>
      <c r="W142" s="11">
        <f t="shared" si="52">IF(AA142="正常",W141+IF(I142="已计入",N142,0),"")</f>
        <v>0</v>
      </c>
      <c r="X142" s="11">
        <f t="shared" si="53">IF(AA142="正常",X141+IF(I142="已计入",P142,0),"")</f>
        <v>0</v>
      </c>
      <c r="Y142" s="11" t="str">
        <f t="shared" si="43">IF(I142="已计入",ROUND(R142+V142-U142,2),"")</f>
        <v/>
      </c>
      <c r="Z142" s="13">
        <f t="shared" si="54">IF(AA142="正常",IF(I142="已计入",A142,Z141),"")</f>
        <v>46239</v>
      </c>
      <c r="AA142" s="10" t="str">
        <f>IF(OR($AA$134="错误",COUNTIF($G$135:G142,"待修正")&gt;0),"错误","正常")</f>
        <v>正常</v>
      </c>
      <c r="AB142" s="14">
        <f t="shared" si="55">IF(AA142="正常",IF(I142="已计入",C142,AB141),"")</f>
        <v>6.347</v>
      </c>
    </row>
    <row r="143" ht="23" customHeight="1">
      <c r="A143" s="36"/>
      <c r="B143" s="37"/>
      <c r="C143" s="38"/>
      <c r="D143" s="39"/>
      <c r="E143" s="44" t="str">
        <f t="shared" si="36">IF(AND(ISNUMBER(C143),ISNUMBER(D143),ISNUMBER(F143)),IF(OR(B143="买入",B143="定投"),ROUND(C143*D143+F143,2),IF(B143="卖出",ROUND(C143*D143-F143,2),IF(B143="红利再投",0,""))),"")</f>
        <v/>
      </c>
      <c r="F143" s="39"/>
      <c r="G143" s="45" t="str">
        <f t="shared" si="37">IF(COUNTA(A143:D143,F143)=0,"",IF(I143="已计入","已录入","待修正"))</f>
        <v/>
      </c>
      <c r="H143" s="46" t="str">
        <f t="shared" si="38">IF(COUNTA(A143:D143,F143)=0,"",IF(B143="红利再投","仅增加份额，不增加现金投入","金额由份额、净值和手续费推算"))</f>
        <v/>
      </c>
      <c r="I143" s="10" t="str">
        <f>IF(COUNTA(A143:D143,F143)=0,"",IF(NOT(ISNUMBER(A143)),"缺少有效净值日期",IF(OR(A143&lt;=0,A143&lt;&gt;INT(A143)),"净值日期无效",IF(OR(B143="转换转入",B143="现金分红"),"该类型需实际金额，五项录入不适用",IF(NOT(OR(OR(B143="买入",B143="定投"),B143="卖出",B143="红利再投")),"请选择交易类型",IF(NOT(ISNUMBER(C143)),"缺少成交净值",IF(C143&lt;=0,"成交净值须大于零",IF(NOT(ISNUMBER(D143)),"缺少确认份额",IF(D143&lt;=0,"确认份额须大于零",IF(NOT(ISNUMBER(F143)),"缺少手续费，无费用请填 0",IF(F143&lt;0,"手续费不能为负",IF(AA142="错误","前行待修正",IF(A143&lt;Z142,"日期需按成交顺序递增",IF(AND(B143="红利再投",F143&lt;&gt;0),"红利再投手续费应填 0",IF(AND(B143="红利再投",K142&lt;=0),"红利再投前须有持仓",IF(AND(B143="卖出",D143&gt;K142+0.000001),"卖出份额超过持仓",IF(AND(B143="卖出",F143&gt;=C143*D143),"赎回费不能达到赎回总额",IF(NOT(ISNUMBER(E143)),"自动金额未生成，请检查五项输入",IF(NOT(OR('持仓总览'!$C$7="利润优先",'持仓总览'!$C$7="本金优先")),"请选择卖出分配模式","已计入")))))))))))))))))))</f>
        <v/>
      </c>
      <c r="J143" s="11">
        <f t="shared" si="39">IF(AA143="正常",IF(I143="已计入",IF(OR(OR(B143="买入",B143="定投",B143="转换转入"),B143="红利再投"),D143,IF(B143="卖出",-D143,0)),0),"")</f>
        <v>0</v>
      </c>
      <c r="K143" s="11">
        <f t="shared" si="44">IF(AA143="正常",ROUND(K142+J143,6),"")</f>
        <v>25721.6</v>
      </c>
      <c r="L143" s="11" t="str">
        <f t="shared" si="45">IF(I143="已计入",ROUND(K142*C143,2),"")</f>
        <v/>
      </c>
      <c r="M143" s="11" t="str">
        <f t="shared" si="46">IF(I143="已计入",IF(B143="卖出",MAX(0,L143-Q142-F143),IF(B143="现金分红",MAX(0,L143+E143-Q142),0)),"")</f>
        <v/>
      </c>
      <c r="N143" s="11" t="str">
        <f>IF(I143="已计入",IF(AND(B143="卖出",'持仓总览'!$C$7="本金优先"),MAX(0,E143-Q142),IF(OR(B143="卖出",B143="现金分红"),MIN(E143,M143),0)),"")</f>
        <v/>
      </c>
      <c r="O143" s="11" t="str">
        <f t="shared" si="47">IF(I143="已计入",IF(OR(B143="卖出",B143="现金分红"),MIN(Q142,MAX(0,E143-N143)),0),"")</f>
        <v/>
      </c>
      <c r="P143" s="11" t="str">
        <f t="shared" si="48">IF(I143="已计入",IF(AND(B143="卖出",K143=0),MAX(0,Q142-O143),0),"")</f>
        <v/>
      </c>
      <c r="Q143" s="11">
        <f t="shared" si="49">IF(AA143="正常",IF(I143="已计入",ROUND(Q142+IF(OR(B143="买入",B143="定投",B143="转换转入"),E143,0)-O143-P143,2),Q142),"")</f>
        <v>129570</v>
      </c>
      <c r="R143" s="11" t="str">
        <f t="shared" si="40">IF(I143="已计入",ROUND(K143*C143,2),"")</f>
        <v/>
      </c>
      <c r="S143" s="11" t="str">
        <f t="shared" si="41">IF(I143="已计入",ROUND(R143-Q143,2),"")</f>
        <v/>
      </c>
      <c r="T143" s="12" t="str">
        <f t="shared" si="42">IF(I143="已计入",IF(Q143=0,"",S143/Q143),"")</f>
        <v/>
      </c>
      <c r="U143" s="11">
        <f t="shared" si="50">IF(AA143="正常",U142+IF(AND(I143="已计入",OR(B143="买入",B143="定投",B143="转换转入")),E143,0),"")</f>
        <v>129570</v>
      </c>
      <c r="V143" s="11">
        <f t="shared" si="51">IF(AA143="正常",V142+IF(AND(I143="已计入",OR(B143="卖出",B143="现金分红")),E143,0),"")</f>
        <v>0</v>
      </c>
      <c r="W143" s="11">
        <f t="shared" si="52">IF(AA143="正常",W142+IF(I143="已计入",N143,0),"")</f>
        <v>0</v>
      </c>
      <c r="X143" s="11">
        <f t="shared" si="53">IF(AA143="正常",X142+IF(I143="已计入",P143,0),"")</f>
        <v>0</v>
      </c>
      <c r="Y143" s="11" t="str">
        <f t="shared" si="43">IF(I143="已计入",ROUND(R143+V143-U143,2),"")</f>
        <v/>
      </c>
      <c r="Z143" s="13">
        <f t="shared" si="54">IF(AA143="正常",IF(I143="已计入",A143,Z142),"")</f>
        <v>46239</v>
      </c>
      <c r="AA143" s="10" t="str">
        <f>IF(OR($AA$134="错误",COUNTIF($G$135:G143,"待修正")&gt;0),"错误","正常")</f>
        <v>正常</v>
      </c>
      <c r="AB143" s="14">
        <f t="shared" si="55">IF(AA143="正常",IF(I143="已计入",C143,AB142),"")</f>
        <v>6.347</v>
      </c>
    </row>
    <row r="144" ht="23" customHeight="1">
      <c r="A144" s="36"/>
      <c r="B144" s="37"/>
      <c r="C144" s="38"/>
      <c r="D144" s="39"/>
      <c r="E144" s="44" t="str">
        <f t="shared" si="36">IF(AND(ISNUMBER(C144),ISNUMBER(D144),ISNUMBER(F144)),IF(OR(B144="买入",B144="定投"),ROUND(C144*D144+F144,2),IF(B144="卖出",ROUND(C144*D144-F144,2),IF(B144="红利再投",0,""))),"")</f>
        <v/>
      </c>
      <c r="F144" s="39"/>
      <c r="G144" s="45" t="str">
        <f t="shared" si="37">IF(COUNTA(A144:D144,F144)=0,"",IF(I144="已计入","已录入","待修正"))</f>
        <v/>
      </c>
      <c r="H144" s="46" t="str">
        <f t="shared" si="38">IF(COUNTA(A144:D144,F144)=0,"",IF(B144="红利再投","仅增加份额，不增加现金投入","金额由份额、净值和手续费推算"))</f>
        <v/>
      </c>
      <c r="I144" s="10" t="str">
        <f>IF(COUNTA(A144:D144,F144)=0,"",IF(NOT(ISNUMBER(A144)),"缺少有效净值日期",IF(OR(A144&lt;=0,A144&lt;&gt;INT(A144)),"净值日期无效",IF(OR(B144="转换转入",B144="现金分红"),"该类型需实际金额，五项录入不适用",IF(NOT(OR(OR(B144="买入",B144="定投"),B144="卖出",B144="红利再投")),"请选择交易类型",IF(NOT(ISNUMBER(C144)),"缺少成交净值",IF(C144&lt;=0,"成交净值须大于零",IF(NOT(ISNUMBER(D144)),"缺少确认份额",IF(D144&lt;=0,"确认份额须大于零",IF(NOT(ISNUMBER(F144)),"缺少手续费，无费用请填 0",IF(F144&lt;0,"手续费不能为负",IF(AA143="错误","前行待修正",IF(A144&lt;Z143,"日期需按成交顺序递增",IF(AND(B144="红利再投",F144&lt;&gt;0),"红利再投手续费应填 0",IF(AND(B144="红利再投",K143&lt;=0),"红利再投前须有持仓",IF(AND(B144="卖出",D144&gt;K143+0.000001),"卖出份额超过持仓",IF(AND(B144="卖出",F144&gt;=C144*D144),"赎回费不能达到赎回总额",IF(NOT(ISNUMBER(E144)),"自动金额未生成，请检查五项输入",IF(NOT(OR('持仓总览'!$C$7="利润优先",'持仓总览'!$C$7="本金优先")),"请选择卖出分配模式","已计入")))))))))))))))))))</f>
        <v/>
      </c>
      <c r="J144" s="11">
        <f t="shared" si="39">IF(AA144="正常",IF(I144="已计入",IF(OR(OR(B144="买入",B144="定投",B144="转换转入"),B144="红利再投"),D144,IF(B144="卖出",-D144,0)),0),"")</f>
        <v>0</v>
      </c>
      <c r="K144" s="11">
        <f t="shared" si="44">IF(AA144="正常",ROUND(K143+J144,6),"")</f>
        <v>25721.6</v>
      </c>
      <c r="L144" s="11" t="str">
        <f t="shared" si="45">IF(I144="已计入",ROUND(K143*C144,2),"")</f>
        <v/>
      </c>
      <c r="M144" s="11" t="str">
        <f t="shared" si="46">IF(I144="已计入",IF(B144="卖出",MAX(0,L144-Q143-F144),IF(B144="现金分红",MAX(0,L144+E144-Q143),0)),"")</f>
        <v/>
      </c>
      <c r="N144" s="11" t="str">
        <f>IF(I144="已计入",IF(AND(B144="卖出",'持仓总览'!$C$7="本金优先"),MAX(0,E144-Q143),IF(OR(B144="卖出",B144="现金分红"),MIN(E144,M144),0)),"")</f>
        <v/>
      </c>
      <c r="O144" s="11" t="str">
        <f t="shared" si="47">IF(I144="已计入",IF(OR(B144="卖出",B144="现金分红"),MIN(Q143,MAX(0,E144-N144)),0),"")</f>
        <v/>
      </c>
      <c r="P144" s="11" t="str">
        <f t="shared" si="48">IF(I144="已计入",IF(AND(B144="卖出",K144=0),MAX(0,Q143-O144),0),"")</f>
        <v/>
      </c>
      <c r="Q144" s="11">
        <f t="shared" si="49">IF(AA144="正常",IF(I144="已计入",ROUND(Q143+IF(OR(B144="买入",B144="定投",B144="转换转入"),E144,0)-O144-P144,2),Q143),"")</f>
        <v>129570</v>
      </c>
      <c r="R144" s="11" t="str">
        <f t="shared" si="40">IF(I144="已计入",ROUND(K144*C144,2),"")</f>
        <v/>
      </c>
      <c r="S144" s="11" t="str">
        <f t="shared" si="41">IF(I144="已计入",ROUND(R144-Q144,2),"")</f>
        <v/>
      </c>
      <c r="T144" s="12" t="str">
        <f t="shared" si="42">IF(I144="已计入",IF(Q144=0,"",S144/Q144),"")</f>
        <v/>
      </c>
      <c r="U144" s="11">
        <f t="shared" si="50">IF(AA144="正常",U143+IF(AND(I144="已计入",OR(B144="买入",B144="定投",B144="转换转入")),E144,0),"")</f>
        <v>129570</v>
      </c>
      <c r="V144" s="11">
        <f t="shared" si="51">IF(AA144="正常",V143+IF(AND(I144="已计入",OR(B144="卖出",B144="现金分红")),E144,0),"")</f>
        <v>0</v>
      </c>
      <c r="W144" s="11">
        <f t="shared" si="52">IF(AA144="正常",W143+IF(I144="已计入",N144,0),"")</f>
        <v>0</v>
      </c>
      <c r="X144" s="11">
        <f t="shared" si="53">IF(AA144="正常",X143+IF(I144="已计入",P144,0),"")</f>
        <v>0</v>
      </c>
      <c r="Y144" s="11" t="str">
        <f t="shared" si="43">IF(I144="已计入",ROUND(R144+V144-U144,2),"")</f>
        <v/>
      </c>
      <c r="Z144" s="13">
        <f t="shared" si="54">IF(AA144="正常",IF(I144="已计入",A144,Z143),"")</f>
        <v>46239</v>
      </c>
      <c r="AA144" s="10" t="str">
        <f>IF(OR($AA$134="错误",COUNTIF($G$135:G144,"待修正")&gt;0),"错误","正常")</f>
        <v>正常</v>
      </c>
      <c r="AB144" s="14">
        <f t="shared" si="55">IF(AA144="正常",IF(I144="已计入",C144,AB143),"")</f>
        <v>6.347</v>
      </c>
    </row>
    <row r="145" ht="23" customHeight="1">
      <c r="A145" s="36"/>
      <c r="B145" s="37"/>
      <c r="C145" s="38"/>
      <c r="D145" s="39"/>
      <c r="E145" s="44" t="str">
        <f t="shared" si="36">IF(AND(ISNUMBER(C145),ISNUMBER(D145),ISNUMBER(F145)),IF(OR(B145="买入",B145="定投"),ROUND(C145*D145+F145,2),IF(B145="卖出",ROUND(C145*D145-F145,2),IF(B145="红利再投",0,""))),"")</f>
        <v/>
      </c>
      <c r="F145" s="39"/>
      <c r="G145" s="45" t="str">
        <f t="shared" si="37">IF(COUNTA(A145:D145,F145)=0,"",IF(I145="已计入","已录入","待修正"))</f>
        <v/>
      </c>
      <c r="H145" s="46" t="str">
        <f t="shared" si="38">IF(COUNTA(A145:D145,F145)=0,"",IF(B145="红利再投","仅增加份额，不增加现金投入","金额由份额、净值和手续费推算"))</f>
        <v/>
      </c>
      <c r="I145" s="10" t="str">
        <f>IF(COUNTA(A145:D145,F145)=0,"",IF(NOT(ISNUMBER(A145)),"缺少有效净值日期",IF(OR(A145&lt;=0,A145&lt;&gt;INT(A145)),"净值日期无效",IF(OR(B145="转换转入",B145="现金分红"),"该类型需实际金额，五项录入不适用",IF(NOT(OR(OR(B145="买入",B145="定投"),B145="卖出",B145="红利再投")),"请选择交易类型",IF(NOT(ISNUMBER(C145)),"缺少成交净值",IF(C145&lt;=0,"成交净值须大于零",IF(NOT(ISNUMBER(D145)),"缺少确认份额",IF(D145&lt;=0,"确认份额须大于零",IF(NOT(ISNUMBER(F145)),"缺少手续费，无费用请填 0",IF(F145&lt;0,"手续费不能为负",IF(AA144="错误","前行待修正",IF(A145&lt;Z144,"日期需按成交顺序递增",IF(AND(B145="红利再投",F145&lt;&gt;0),"红利再投手续费应填 0",IF(AND(B145="红利再投",K144&lt;=0),"红利再投前须有持仓",IF(AND(B145="卖出",D145&gt;K144+0.000001),"卖出份额超过持仓",IF(AND(B145="卖出",F145&gt;=C145*D145),"赎回费不能达到赎回总额",IF(NOT(ISNUMBER(E145)),"自动金额未生成，请检查五项输入",IF(NOT(OR('持仓总览'!$C$7="利润优先",'持仓总览'!$C$7="本金优先")),"请选择卖出分配模式","已计入")))))))))))))))))))</f>
        <v/>
      </c>
      <c r="J145" s="11">
        <f t="shared" si="39">IF(AA145="正常",IF(I145="已计入",IF(OR(OR(B145="买入",B145="定投",B145="转换转入"),B145="红利再投"),D145,IF(B145="卖出",-D145,0)),0),"")</f>
        <v>0</v>
      </c>
      <c r="K145" s="11">
        <f t="shared" si="44">IF(AA145="正常",ROUND(K144+J145,6),"")</f>
        <v>25721.6</v>
      </c>
      <c r="L145" s="11" t="str">
        <f t="shared" si="45">IF(I145="已计入",ROUND(K144*C145,2),"")</f>
        <v/>
      </c>
      <c r="M145" s="11" t="str">
        <f t="shared" si="46">IF(I145="已计入",IF(B145="卖出",MAX(0,L145-Q144-F145),IF(B145="现金分红",MAX(0,L145+E145-Q144),0)),"")</f>
        <v/>
      </c>
      <c r="N145" s="11" t="str">
        <f>IF(I145="已计入",IF(AND(B145="卖出",'持仓总览'!$C$7="本金优先"),MAX(0,E145-Q144),IF(OR(B145="卖出",B145="现金分红"),MIN(E145,M145),0)),"")</f>
        <v/>
      </c>
      <c r="O145" s="11" t="str">
        <f t="shared" si="47">IF(I145="已计入",IF(OR(B145="卖出",B145="现金分红"),MIN(Q144,MAX(0,E145-N145)),0),"")</f>
        <v/>
      </c>
      <c r="P145" s="11" t="str">
        <f t="shared" si="48">IF(I145="已计入",IF(AND(B145="卖出",K145=0),MAX(0,Q144-O145),0),"")</f>
        <v/>
      </c>
      <c r="Q145" s="11">
        <f t="shared" si="49">IF(AA145="正常",IF(I145="已计入",ROUND(Q144+IF(OR(B145="买入",B145="定投",B145="转换转入"),E145,0)-O145-P145,2),Q144),"")</f>
        <v>129570</v>
      </c>
      <c r="R145" s="11" t="str">
        <f t="shared" si="40">IF(I145="已计入",ROUND(K145*C145,2),"")</f>
        <v/>
      </c>
      <c r="S145" s="11" t="str">
        <f t="shared" si="41">IF(I145="已计入",ROUND(R145-Q145,2),"")</f>
        <v/>
      </c>
      <c r="T145" s="12" t="str">
        <f t="shared" si="42">IF(I145="已计入",IF(Q145=0,"",S145/Q145),"")</f>
        <v/>
      </c>
      <c r="U145" s="11">
        <f t="shared" si="50">IF(AA145="正常",U144+IF(AND(I145="已计入",OR(B145="买入",B145="定投",B145="转换转入")),E145,0),"")</f>
        <v>129570</v>
      </c>
      <c r="V145" s="11">
        <f t="shared" si="51">IF(AA145="正常",V144+IF(AND(I145="已计入",OR(B145="卖出",B145="现金分红")),E145,0),"")</f>
        <v>0</v>
      </c>
      <c r="W145" s="11">
        <f t="shared" si="52">IF(AA145="正常",W144+IF(I145="已计入",N145,0),"")</f>
        <v>0</v>
      </c>
      <c r="X145" s="11">
        <f t="shared" si="53">IF(AA145="正常",X144+IF(I145="已计入",P145,0),"")</f>
        <v>0</v>
      </c>
      <c r="Y145" s="11" t="str">
        <f t="shared" si="43">IF(I145="已计入",ROUND(R145+V145-U145,2),"")</f>
        <v/>
      </c>
      <c r="Z145" s="13">
        <f t="shared" si="54">IF(AA145="正常",IF(I145="已计入",A145,Z144),"")</f>
        <v>46239</v>
      </c>
      <c r="AA145" s="10" t="str">
        <f>IF(OR($AA$134="错误",COUNTIF($G$135:G145,"待修正")&gt;0),"错误","正常")</f>
        <v>正常</v>
      </c>
      <c r="AB145" s="14">
        <f t="shared" si="55">IF(AA145="正常",IF(I145="已计入",C145,AB144),"")</f>
        <v>6.347</v>
      </c>
    </row>
    <row r="146" ht="23" customHeight="1">
      <c r="A146" s="36"/>
      <c r="B146" s="37"/>
      <c r="C146" s="38"/>
      <c r="D146" s="39"/>
      <c r="E146" s="44" t="str">
        <f t="shared" si="36">IF(AND(ISNUMBER(C146),ISNUMBER(D146),ISNUMBER(F146)),IF(OR(B146="买入",B146="定投"),ROUND(C146*D146+F146,2),IF(B146="卖出",ROUND(C146*D146-F146,2),IF(B146="红利再投",0,""))),"")</f>
        <v/>
      </c>
      <c r="F146" s="39"/>
      <c r="G146" s="45" t="str">
        <f t="shared" si="37">IF(COUNTA(A146:D146,F146)=0,"",IF(I146="已计入","已录入","待修正"))</f>
        <v/>
      </c>
      <c r="H146" s="46" t="str">
        <f t="shared" si="38">IF(COUNTA(A146:D146,F146)=0,"",IF(B146="红利再投","仅增加份额，不增加现金投入","金额由份额、净值和手续费推算"))</f>
        <v/>
      </c>
      <c r="I146" s="10" t="str">
        <f>IF(COUNTA(A146:D146,F146)=0,"",IF(NOT(ISNUMBER(A146)),"缺少有效净值日期",IF(OR(A146&lt;=0,A146&lt;&gt;INT(A146)),"净值日期无效",IF(OR(B146="转换转入",B146="现金分红"),"该类型需实际金额，五项录入不适用",IF(NOT(OR(OR(B146="买入",B146="定投"),B146="卖出",B146="红利再投")),"请选择交易类型",IF(NOT(ISNUMBER(C146)),"缺少成交净值",IF(C146&lt;=0,"成交净值须大于零",IF(NOT(ISNUMBER(D146)),"缺少确认份额",IF(D146&lt;=0,"确认份额须大于零",IF(NOT(ISNUMBER(F146)),"缺少手续费，无费用请填 0",IF(F146&lt;0,"手续费不能为负",IF(AA145="错误","前行待修正",IF(A146&lt;Z145,"日期需按成交顺序递增",IF(AND(B146="红利再投",F146&lt;&gt;0),"红利再投手续费应填 0",IF(AND(B146="红利再投",K145&lt;=0),"红利再投前须有持仓",IF(AND(B146="卖出",D146&gt;K145+0.000001),"卖出份额超过持仓",IF(AND(B146="卖出",F146&gt;=C146*D146),"赎回费不能达到赎回总额",IF(NOT(ISNUMBER(E146)),"自动金额未生成，请检查五项输入",IF(NOT(OR('持仓总览'!$C$7="利润优先",'持仓总览'!$C$7="本金优先")),"请选择卖出分配模式","已计入")))))))))))))))))))</f>
        <v/>
      </c>
      <c r="J146" s="11">
        <f t="shared" si="39">IF(AA146="正常",IF(I146="已计入",IF(OR(OR(B146="买入",B146="定投",B146="转换转入"),B146="红利再投"),D146,IF(B146="卖出",-D146,0)),0),"")</f>
        <v>0</v>
      </c>
      <c r="K146" s="11">
        <f t="shared" si="44">IF(AA146="正常",ROUND(K145+J146,6),"")</f>
        <v>25721.6</v>
      </c>
      <c r="L146" s="11" t="str">
        <f t="shared" si="45">IF(I146="已计入",ROUND(K145*C146,2),"")</f>
        <v/>
      </c>
      <c r="M146" s="11" t="str">
        <f t="shared" si="46">IF(I146="已计入",IF(B146="卖出",MAX(0,L146-Q145-F146),IF(B146="现金分红",MAX(0,L146+E146-Q145),0)),"")</f>
        <v/>
      </c>
      <c r="N146" s="11" t="str">
        <f>IF(I146="已计入",IF(AND(B146="卖出",'持仓总览'!$C$7="本金优先"),MAX(0,E146-Q145),IF(OR(B146="卖出",B146="现金分红"),MIN(E146,M146),0)),"")</f>
        <v/>
      </c>
      <c r="O146" s="11" t="str">
        <f t="shared" si="47">IF(I146="已计入",IF(OR(B146="卖出",B146="现金分红"),MIN(Q145,MAX(0,E146-N146)),0),"")</f>
        <v/>
      </c>
      <c r="P146" s="11" t="str">
        <f t="shared" si="48">IF(I146="已计入",IF(AND(B146="卖出",K146=0),MAX(0,Q145-O146),0),"")</f>
        <v/>
      </c>
      <c r="Q146" s="11">
        <f t="shared" si="49">IF(AA146="正常",IF(I146="已计入",ROUND(Q145+IF(OR(B146="买入",B146="定投",B146="转换转入"),E146,0)-O146-P146,2),Q145),"")</f>
        <v>129570</v>
      </c>
      <c r="R146" s="11" t="str">
        <f t="shared" si="40">IF(I146="已计入",ROUND(K146*C146,2),"")</f>
        <v/>
      </c>
      <c r="S146" s="11" t="str">
        <f t="shared" si="41">IF(I146="已计入",ROUND(R146-Q146,2),"")</f>
        <v/>
      </c>
      <c r="T146" s="12" t="str">
        <f t="shared" si="42">IF(I146="已计入",IF(Q146=0,"",S146/Q146),"")</f>
        <v/>
      </c>
      <c r="U146" s="11">
        <f t="shared" si="50">IF(AA146="正常",U145+IF(AND(I146="已计入",OR(B146="买入",B146="定投",B146="转换转入")),E146,0),"")</f>
        <v>129570</v>
      </c>
      <c r="V146" s="11">
        <f t="shared" si="51">IF(AA146="正常",V145+IF(AND(I146="已计入",OR(B146="卖出",B146="现金分红")),E146,0),"")</f>
        <v>0</v>
      </c>
      <c r="W146" s="11">
        <f t="shared" si="52">IF(AA146="正常",W145+IF(I146="已计入",N146,0),"")</f>
        <v>0</v>
      </c>
      <c r="X146" s="11">
        <f t="shared" si="53">IF(AA146="正常",X145+IF(I146="已计入",P146,0),"")</f>
        <v>0</v>
      </c>
      <c r="Y146" s="11" t="str">
        <f t="shared" si="43">IF(I146="已计入",ROUND(R146+V146-U146,2),"")</f>
        <v/>
      </c>
      <c r="Z146" s="13">
        <f t="shared" si="54">IF(AA146="正常",IF(I146="已计入",A146,Z145),"")</f>
        <v>46239</v>
      </c>
      <c r="AA146" s="10" t="str">
        <f>IF(OR($AA$134="错误",COUNTIF($G$135:G146,"待修正")&gt;0),"错误","正常")</f>
        <v>正常</v>
      </c>
      <c r="AB146" s="14">
        <f t="shared" si="55">IF(AA146="正常",IF(I146="已计入",C146,AB145),"")</f>
        <v>6.347</v>
      </c>
    </row>
    <row r="147" ht="23" customHeight="1">
      <c r="A147" s="36"/>
      <c r="B147" s="37"/>
      <c r="C147" s="38"/>
      <c r="D147" s="39"/>
      <c r="E147" s="44" t="str">
        <f t="shared" si="36">IF(AND(ISNUMBER(C147),ISNUMBER(D147),ISNUMBER(F147)),IF(OR(B147="买入",B147="定投"),ROUND(C147*D147+F147,2),IF(B147="卖出",ROUND(C147*D147-F147,2),IF(B147="红利再投",0,""))),"")</f>
        <v/>
      </c>
      <c r="F147" s="39"/>
      <c r="G147" s="45" t="str">
        <f t="shared" si="37">IF(COUNTA(A147:D147,F147)=0,"",IF(I147="已计入","已录入","待修正"))</f>
        <v/>
      </c>
      <c r="H147" s="46" t="str">
        <f t="shared" si="38">IF(COUNTA(A147:D147,F147)=0,"",IF(B147="红利再投","仅增加份额，不增加现金投入","金额由份额、净值和手续费推算"))</f>
        <v/>
      </c>
      <c r="I147" s="10" t="str">
        <f>IF(COUNTA(A147:D147,F147)=0,"",IF(NOT(ISNUMBER(A147)),"缺少有效净值日期",IF(OR(A147&lt;=0,A147&lt;&gt;INT(A147)),"净值日期无效",IF(OR(B147="转换转入",B147="现金分红"),"该类型需实际金额，五项录入不适用",IF(NOT(OR(OR(B147="买入",B147="定投"),B147="卖出",B147="红利再投")),"请选择交易类型",IF(NOT(ISNUMBER(C147)),"缺少成交净值",IF(C147&lt;=0,"成交净值须大于零",IF(NOT(ISNUMBER(D147)),"缺少确认份额",IF(D147&lt;=0,"确认份额须大于零",IF(NOT(ISNUMBER(F147)),"缺少手续费，无费用请填 0",IF(F147&lt;0,"手续费不能为负",IF(AA146="错误","前行待修正",IF(A147&lt;Z146,"日期需按成交顺序递增",IF(AND(B147="红利再投",F147&lt;&gt;0),"红利再投手续费应填 0",IF(AND(B147="红利再投",K146&lt;=0),"红利再投前须有持仓",IF(AND(B147="卖出",D147&gt;K146+0.000001),"卖出份额超过持仓",IF(AND(B147="卖出",F147&gt;=C147*D147),"赎回费不能达到赎回总额",IF(NOT(ISNUMBER(E147)),"自动金额未生成，请检查五项输入",IF(NOT(OR('持仓总览'!$C$7="利润优先",'持仓总览'!$C$7="本金优先")),"请选择卖出分配模式","已计入")))))))))))))))))))</f>
        <v/>
      </c>
      <c r="J147" s="11">
        <f t="shared" si="39">IF(AA147="正常",IF(I147="已计入",IF(OR(OR(B147="买入",B147="定投",B147="转换转入"),B147="红利再投"),D147,IF(B147="卖出",-D147,0)),0),"")</f>
        <v>0</v>
      </c>
      <c r="K147" s="11">
        <f t="shared" si="44">IF(AA147="正常",ROUND(K146+J147,6),"")</f>
        <v>25721.6</v>
      </c>
      <c r="L147" s="11" t="str">
        <f t="shared" si="45">IF(I147="已计入",ROUND(K146*C147,2),"")</f>
        <v/>
      </c>
      <c r="M147" s="11" t="str">
        <f t="shared" si="46">IF(I147="已计入",IF(B147="卖出",MAX(0,L147-Q146-F147),IF(B147="现金分红",MAX(0,L147+E147-Q146),0)),"")</f>
        <v/>
      </c>
      <c r="N147" s="11" t="str">
        <f>IF(I147="已计入",IF(AND(B147="卖出",'持仓总览'!$C$7="本金优先"),MAX(0,E147-Q146),IF(OR(B147="卖出",B147="现金分红"),MIN(E147,M147),0)),"")</f>
        <v/>
      </c>
      <c r="O147" s="11" t="str">
        <f t="shared" si="47">IF(I147="已计入",IF(OR(B147="卖出",B147="现金分红"),MIN(Q146,MAX(0,E147-N147)),0),"")</f>
        <v/>
      </c>
      <c r="P147" s="11" t="str">
        <f t="shared" si="48">IF(I147="已计入",IF(AND(B147="卖出",K147=0),MAX(0,Q146-O147),0),"")</f>
        <v/>
      </c>
      <c r="Q147" s="11">
        <f t="shared" si="49">IF(AA147="正常",IF(I147="已计入",ROUND(Q146+IF(OR(B147="买入",B147="定投",B147="转换转入"),E147,0)-O147-P147,2),Q146),"")</f>
        <v>129570</v>
      </c>
      <c r="R147" s="11" t="str">
        <f t="shared" si="40">IF(I147="已计入",ROUND(K147*C147,2),"")</f>
        <v/>
      </c>
      <c r="S147" s="11" t="str">
        <f t="shared" si="41">IF(I147="已计入",ROUND(R147-Q147,2),"")</f>
        <v/>
      </c>
      <c r="T147" s="12" t="str">
        <f t="shared" si="42">IF(I147="已计入",IF(Q147=0,"",S147/Q147),"")</f>
        <v/>
      </c>
      <c r="U147" s="11">
        <f t="shared" si="50">IF(AA147="正常",U146+IF(AND(I147="已计入",OR(B147="买入",B147="定投",B147="转换转入")),E147,0),"")</f>
        <v>129570</v>
      </c>
      <c r="V147" s="11">
        <f t="shared" si="51">IF(AA147="正常",V146+IF(AND(I147="已计入",OR(B147="卖出",B147="现金分红")),E147,0),"")</f>
        <v>0</v>
      </c>
      <c r="W147" s="11">
        <f t="shared" si="52">IF(AA147="正常",W146+IF(I147="已计入",N147,0),"")</f>
        <v>0</v>
      </c>
      <c r="X147" s="11">
        <f t="shared" si="53">IF(AA147="正常",X146+IF(I147="已计入",P147,0),"")</f>
        <v>0</v>
      </c>
      <c r="Y147" s="11" t="str">
        <f t="shared" si="43">IF(I147="已计入",ROUND(R147+V147-U147,2),"")</f>
        <v/>
      </c>
      <c r="Z147" s="13">
        <f t="shared" si="54">IF(AA147="正常",IF(I147="已计入",A147,Z146),"")</f>
        <v>46239</v>
      </c>
      <c r="AA147" s="10" t="str">
        <f>IF(OR($AA$134="错误",COUNTIF($G$135:G147,"待修正")&gt;0),"错误","正常")</f>
        <v>正常</v>
      </c>
      <c r="AB147" s="14">
        <f t="shared" si="55">IF(AA147="正常",IF(I147="已计入",C147,AB146),"")</f>
        <v>6.347</v>
      </c>
    </row>
    <row r="148" ht="23" customHeight="1">
      <c r="A148" s="36"/>
      <c r="B148" s="37"/>
      <c r="C148" s="38"/>
      <c r="D148" s="39"/>
      <c r="E148" s="44" t="str">
        <f t="shared" si="36">IF(AND(ISNUMBER(C148),ISNUMBER(D148),ISNUMBER(F148)),IF(OR(B148="买入",B148="定投"),ROUND(C148*D148+F148,2),IF(B148="卖出",ROUND(C148*D148-F148,2),IF(B148="红利再投",0,""))),"")</f>
        <v/>
      </c>
      <c r="F148" s="39"/>
      <c r="G148" s="45" t="str">
        <f t="shared" si="37">IF(COUNTA(A148:D148,F148)=0,"",IF(I148="已计入","已录入","待修正"))</f>
        <v/>
      </c>
      <c r="H148" s="46" t="str">
        <f t="shared" si="38">IF(COUNTA(A148:D148,F148)=0,"",IF(B148="红利再投","仅增加份额，不增加现金投入","金额由份额、净值和手续费推算"))</f>
        <v/>
      </c>
      <c r="I148" s="10" t="str">
        <f>IF(COUNTA(A148:D148,F148)=0,"",IF(NOT(ISNUMBER(A148)),"缺少有效净值日期",IF(OR(A148&lt;=0,A148&lt;&gt;INT(A148)),"净值日期无效",IF(OR(B148="转换转入",B148="现金分红"),"该类型需实际金额，五项录入不适用",IF(NOT(OR(OR(B148="买入",B148="定投"),B148="卖出",B148="红利再投")),"请选择交易类型",IF(NOT(ISNUMBER(C148)),"缺少成交净值",IF(C148&lt;=0,"成交净值须大于零",IF(NOT(ISNUMBER(D148)),"缺少确认份额",IF(D148&lt;=0,"确认份额须大于零",IF(NOT(ISNUMBER(F148)),"缺少手续费，无费用请填 0",IF(F148&lt;0,"手续费不能为负",IF(AA147="错误","前行待修正",IF(A148&lt;Z147,"日期需按成交顺序递增",IF(AND(B148="红利再投",F148&lt;&gt;0),"红利再投手续费应填 0",IF(AND(B148="红利再投",K147&lt;=0),"红利再投前须有持仓",IF(AND(B148="卖出",D148&gt;K147+0.000001),"卖出份额超过持仓",IF(AND(B148="卖出",F148&gt;=C148*D148),"赎回费不能达到赎回总额",IF(NOT(ISNUMBER(E148)),"自动金额未生成，请检查五项输入",IF(NOT(OR('持仓总览'!$C$7="利润优先",'持仓总览'!$C$7="本金优先")),"请选择卖出分配模式","已计入")))))))))))))))))))</f>
        <v/>
      </c>
      <c r="J148" s="11">
        <f t="shared" si="39">IF(AA148="正常",IF(I148="已计入",IF(OR(OR(B148="买入",B148="定投",B148="转换转入"),B148="红利再投"),D148,IF(B148="卖出",-D148,0)),0),"")</f>
        <v>0</v>
      </c>
      <c r="K148" s="11">
        <f t="shared" si="44">IF(AA148="正常",ROUND(K147+J148,6),"")</f>
        <v>25721.6</v>
      </c>
      <c r="L148" s="11" t="str">
        <f t="shared" si="45">IF(I148="已计入",ROUND(K147*C148,2),"")</f>
        <v/>
      </c>
      <c r="M148" s="11" t="str">
        <f t="shared" si="46">IF(I148="已计入",IF(B148="卖出",MAX(0,L148-Q147-F148),IF(B148="现金分红",MAX(0,L148+E148-Q147),0)),"")</f>
        <v/>
      </c>
      <c r="N148" s="11" t="str">
        <f>IF(I148="已计入",IF(AND(B148="卖出",'持仓总览'!$C$7="本金优先"),MAX(0,E148-Q147),IF(OR(B148="卖出",B148="现金分红"),MIN(E148,M148),0)),"")</f>
        <v/>
      </c>
      <c r="O148" s="11" t="str">
        <f t="shared" si="47">IF(I148="已计入",IF(OR(B148="卖出",B148="现金分红"),MIN(Q147,MAX(0,E148-N148)),0),"")</f>
        <v/>
      </c>
      <c r="P148" s="11" t="str">
        <f t="shared" si="48">IF(I148="已计入",IF(AND(B148="卖出",K148=0),MAX(0,Q147-O148),0),"")</f>
        <v/>
      </c>
      <c r="Q148" s="11">
        <f t="shared" si="49">IF(AA148="正常",IF(I148="已计入",ROUND(Q147+IF(OR(B148="买入",B148="定投",B148="转换转入"),E148,0)-O148-P148,2),Q147),"")</f>
        <v>129570</v>
      </c>
      <c r="R148" s="11" t="str">
        <f t="shared" si="40">IF(I148="已计入",ROUND(K148*C148,2),"")</f>
        <v/>
      </c>
      <c r="S148" s="11" t="str">
        <f t="shared" si="41">IF(I148="已计入",ROUND(R148-Q148,2),"")</f>
        <v/>
      </c>
      <c r="T148" s="12" t="str">
        <f t="shared" si="42">IF(I148="已计入",IF(Q148=0,"",S148/Q148),"")</f>
        <v/>
      </c>
      <c r="U148" s="11">
        <f t="shared" si="50">IF(AA148="正常",U147+IF(AND(I148="已计入",OR(B148="买入",B148="定投",B148="转换转入")),E148,0),"")</f>
        <v>129570</v>
      </c>
      <c r="V148" s="11">
        <f t="shared" si="51">IF(AA148="正常",V147+IF(AND(I148="已计入",OR(B148="卖出",B148="现金分红")),E148,0),"")</f>
        <v>0</v>
      </c>
      <c r="W148" s="11">
        <f t="shared" si="52">IF(AA148="正常",W147+IF(I148="已计入",N148,0),"")</f>
        <v>0</v>
      </c>
      <c r="X148" s="11">
        <f t="shared" si="53">IF(AA148="正常",X147+IF(I148="已计入",P148,0),"")</f>
        <v>0</v>
      </c>
      <c r="Y148" s="11" t="str">
        <f t="shared" si="43">IF(I148="已计入",ROUND(R148+V148-U148,2),"")</f>
        <v/>
      </c>
      <c r="Z148" s="13">
        <f t="shared" si="54">IF(AA148="正常",IF(I148="已计入",A148,Z147),"")</f>
        <v>46239</v>
      </c>
      <c r="AA148" s="10" t="str">
        <f>IF(OR($AA$134="错误",COUNTIF($G$135:G148,"待修正")&gt;0),"错误","正常")</f>
        <v>正常</v>
      </c>
      <c r="AB148" s="14">
        <f t="shared" si="55">IF(AA148="正常",IF(I148="已计入",C148,AB147),"")</f>
        <v>6.347</v>
      </c>
    </row>
    <row r="149" ht="23" customHeight="1">
      <c r="A149" s="36"/>
      <c r="B149" s="37"/>
      <c r="C149" s="38"/>
      <c r="D149" s="39"/>
      <c r="E149" s="44" t="str">
        <f t="shared" si="36">IF(AND(ISNUMBER(C149),ISNUMBER(D149),ISNUMBER(F149)),IF(OR(B149="买入",B149="定投"),ROUND(C149*D149+F149,2),IF(B149="卖出",ROUND(C149*D149-F149,2),IF(B149="红利再投",0,""))),"")</f>
        <v/>
      </c>
      <c r="F149" s="39"/>
      <c r="G149" s="45" t="str">
        <f t="shared" si="37">IF(COUNTA(A149:D149,F149)=0,"",IF(I149="已计入","已录入","待修正"))</f>
        <v/>
      </c>
      <c r="H149" s="46" t="str">
        <f t="shared" si="38">IF(COUNTA(A149:D149,F149)=0,"",IF(B149="红利再投","仅增加份额，不增加现金投入","金额由份额、净值和手续费推算"))</f>
        <v/>
      </c>
      <c r="I149" s="10" t="str">
        <f>IF(COUNTA(A149:D149,F149)=0,"",IF(NOT(ISNUMBER(A149)),"缺少有效净值日期",IF(OR(A149&lt;=0,A149&lt;&gt;INT(A149)),"净值日期无效",IF(OR(B149="转换转入",B149="现金分红"),"该类型需实际金额，五项录入不适用",IF(NOT(OR(OR(B149="买入",B149="定投"),B149="卖出",B149="红利再投")),"请选择交易类型",IF(NOT(ISNUMBER(C149)),"缺少成交净值",IF(C149&lt;=0,"成交净值须大于零",IF(NOT(ISNUMBER(D149)),"缺少确认份额",IF(D149&lt;=0,"确认份额须大于零",IF(NOT(ISNUMBER(F149)),"缺少手续费，无费用请填 0",IF(F149&lt;0,"手续费不能为负",IF(AA148="错误","前行待修正",IF(A149&lt;Z148,"日期需按成交顺序递增",IF(AND(B149="红利再投",F149&lt;&gt;0),"红利再投手续费应填 0",IF(AND(B149="红利再投",K148&lt;=0),"红利再投前须有持仓",IF(AND(B149="卖出",D149&gt;K148+0.000001),"卖出份额超过持仓",IF(AND(B149="卖出",F149&gt;=C149*D149),"赎回费不能达到赎回总额",IF(NOT(ISNUMBER(E149)),"自动金额未生成，请检查五项输入",IF(NOT(OR('持仓总览'!$C$7="利润优先",'持仓总览'!$C$7="本金优先")),"请选择卖出分配模式","已计入")))))))))))))))))))</f>
        <v/>
      </c>
      <c r="J149" s="11">
        <f t="shared" si="39">IF(AA149="正常",IF(I149="已计入",IF(OR(OR(B149="买入",B149="定投",B149="转换转入"),B149="红利再投"),D149,IF(B149="卖出",-D149,0)),0),"")</f>
        <v>0</v>
      </c>
      <c r="K149" s="11">
        <f t="shared" si="44">IF(AA149="正常",ROUND(K148+J149,6),"")</f>
        <v>25721.6</v>
      </c>
      <c r="L149" s="11" t="str">
        <f t="shared" si="45">IF(I149="已计入",ROUND(K148*C149,2),"")</f>
        <v/>
      </c>
      <c r="M149" s="11" t="str">
        <f t="shared" si="46">IF(I149="已计入",IF(B149="卖出",MAX(0,L149-Q148-F149),IF(B149="现金分红",MAX(0,L149+E149-Q148),0)),"")</f>
        <v/>
      </c>
      <c r="N149" s="11" t="str">
        <f>IF(I149="已计入",IF(AND(B149="卖出",'持仓总览'!$C$7="本金优先"),MAX(0,E149-Q148),IF(OR(B149="卖出",B149="现金分红"),MIN(E149,M149),0)),"")</f>
        <v/>
      </c>
      <c r="O149" s="11" t="str">
        <f t="shared" si="47">IF(I149="已计入",IF(OR(B149="卖出",B149="现金分红"),MIN(Q148,MAX(0,E149-N149)),0),"")</f>
        <v/>
      </c>
      <c r="P149" s="11" t="str">
        <f t="shared" si="48">IF(I149="已计入",IF(AND(B149="卖出",K149=0),MAX(0,Q148-O149),0),"")</f>
        <v/>
      </c>
      <c r="Q149" s="11">
        <f t="shared" si="49">IF(AA149="正常",IF(I149="已计入",ROUND(Q148+IF(OR(B149="买入",B149="定投",B149="转换转入"),E149,0)-O149-P149,2),Q148),"")</f>
        <v>129570</v>
      </c>
      <c r="R149" s="11" t="str">
        <f t="shared" si="40">IF(I149="已计入",ROUND(K149*C149,2),"")</f>
        <v/>
      </c>
      <c r="S149" s="11" t="str">
        <f t="shared" si="41">IF(I149="已计入",ROUND(R149-Q149,2),"")</f>
        <v/>
      </c>
      <c r="T149" s="12" t="str">
        <f t="shared" si="42">IF(I149="已计入",IF(Q149=0,"",S149/Q149),"")</f>
        <v/>
      </c>
      <c r="U149" s="11">
        <f t="shared" si="50">IF(AA149="正常",U148+IF(AND(I149="已计入",OR(B149="买入",B149="定投",B149="转换转入")),E149,0),"")</f>
        <v>129570</v>
      </c>
      <c r="V149" s="11">
        <f t="shared" si="51">IF(AA149="正常",V148+IF(AND(I149="已计入",OR(B149="卖出",B149="现金分红")),E149,0),"")</f>
        <v>0</v>
      </c>
      <c r="W149" s="11">
        <f t="shared" si="52">IF(AA149="正常",W148+IF(I149="已计入",N149,0),"")</f>
        <v>0</v>
      </c>
      <c r="X149" s="11">
        <f t="shared" si="53">IF(AA149="正常",X148+IF(I149="已计入",P149,0),"")</f>
        <v>0</v>
      </c>
      <c r="Y149" s="11" t="str">
        <f t="shared" si="43">IF(I149="已计入",ROUND(R149+V149-U149,2),"")</f>
        <v/>
      </c>
      <c r="Z149" s="13">
        <f t="shared" si="54">IF(AA149="正常",IF(I149="已计入",A149,Z148),"")</f>
        <v>46239</v>
      </c>
      <c r="AA149" s="10" t="str">
        <f>IF(OR($AA$134="错误",COUNTIF($G$135:G149,"待修正")&gt;0),"错误","正常")</f>
        <v>正常</v>
      </c>
      <c r="AB149" s="14">
        <f t="shared" si="55">IF(AA149="正常",IF(I149="已计入",C149,AB148),"")</f>
        <v>6.347</v>
      </c>
    </row>
    <row r="150" ht="23" customHeight="1">
      <c r="A150" s="36"/>
      <c r="B150" s="37"/>
      <c r="C150" s="38"/>
      <c r="D150" s="39"/>
      <c r="E150" s="44" t="str">
        <f t="shared" si="36">IF(AND(ISNUMBER(C150),ISNUMBER(D150),ISNUMBER(F150)),IF(OR(B150="买入",B150="定投"),ROUND(C150*D150+F150,2),IF(B150="卖出",ROUND(C150*D150-F150,2),IF(B150="红利再投",0,""))),"")</f>
        <v/>
      </c>
      <c r="F150" s="39"/>
      <c r="G150" s="45" t="str">
        <f t="shared" si="37">IF(COUNTA(A150:D150,F150)=0,"",IF(I150="已计入","已录入","待修正"))</f>
        <v/>
      </c>
      <c r="H150" s="46" t="str">
        <f t="shared" si="38">IF(COUNTA(A150:D150,F150)=0,"",IF(B150="红利再投","仅增加份额，不增加现金投入","金额由份额、净值和手续费推算"))</f>
        <v/>
      </c>
      <c r="I150" s="10" t="str">
        <f>IF(COUNTA(A150:D150,F150)=0,"",IF(NOT(ISNUMBER(A150)),"缺少有效净值日期",IF(OR(A150&lt;=0,A150&lt;&gt;INT(A150)),"净值日期无效",IF(OR(B150="转换转入",B150="现金分红"),"该类型需实际金额，五项录入不适用",IF(NOT(OR(OR(B150="买入",B150="定投"),B150="卖出",B150="红利再投")),"请选择交易类型",IF(NOT(ISNUMBER(C150)),"缺少成交净值",IF(C150&lt;=0,"成交净值须大于零",IF(NOT(ISNUMBER(D150)),"缺少确认份额",IF(D150&lt;=0,"确认份额须大于零",IF(NOT(ISNUMBER(F150)),"缺少手续费，无费用请填 0",IF(F150&lt;0,"手续费不能为负",IF(AA149="错误","前行待修正",IF(A150&lt;Z149,"日期需按成交顺序递增",IF(AND(B150="红利再投",F150&lt;&gt;0),"红利再投手续费应填 0",IF(AND(B150="红利再投",K149&lt;=0),"红利再投前须有持仓",IF(AND(B150="卖出",D150&gt;K149+0.000001),"卖出份额超过持仓",IF(AND(B150="卖出",F150&gt;=C150*D150),"赎回费不能达到赎回总额",IF(NOT(ISNUMBER(E150)),"自动金额未生成，请检查五项输入",IF(NOT(OR('持仓总览'!$C$7="利润优先",'持仓总览'!$C$7="本金优先")),"请选择卖出分配模式","已计入")))))))))))))))))))</f>
        <v/>
      </c>
      <c r="J150" s="11">
        <f t="shared" si="39">IF(AA150="正常",IF(I150="已计入",IF(OR(OR(B150="买入",B150="定投",B150="转换转入"),B150="红利再投"),D150,IF(B150="卖出",-D150,0)),0),"")</f>
        <v>0</v>
      </c>
      <c r="K150" s="11">
        <f t="shared" si="44">IF(AA150="正常",ROUND(K149+J150,6),"")</f>
        <v>25721.6</v>
      </c>
      <c r="L150" s="11" t="str">
        <f t="shared" si="45">IF(I150="已计入",ROUND(K149*C150,2),"")</f>
        <v/>
      </c>
      <c r="M150" s="11" t="str">
        <f t="shared" si="46">IF(I150="已计入",IF(B150="卖出",MAX(0,L150-Q149-F150),IF(B150="现金分红",MAX(0,L150+E150-Q149),0)),"")</f>
        <v/>
      </c>
      <c r="N150" s="11" t="str">
        <f>IF(I150="已计入",IF(AND(B150="卖出",'持仓总览'!$C$7="本金优先"),MAX(0,E150-Q149),IF(OR(B150="卖出",B150="现金分红"),MIN(E150,M150),0)),"")</f>
        <v/>
      </c>
      <c r="O150" s="11" t="str">
        <f t="shared" si="47">IF(I150="已计入",IF(OR(B150="卖出",B150="现金分红"),MIN(Q149,MAX(0,E150-N150)),0),"")</f>
        <v/>
      </c>
      <c r="P150" s="11" t="str">
        <f t="shared" si="48">IF(I150="已计入",IF(AND(B150="卖出",K150=0),MAX(0,Q149-O150),0),"")</f>
        <v/>
      </c>
      <c r="Q150" s="11">
        <f t="shared" si="49">IF(AA150="正常",IF(I150="已计入",ROUND(Q149+IF(OR(B150="买入",B150="定投",B150="转换转入"),E150,0)-O150-P150,2),Q149),"")</f>
        <v>129570</v>
      </c>
      <c r="R150" s="11" t="str">
        <f t="shared" si="40">IF(I150="已计入",ROUND(K150*C150,2),"")</f>
        <v/>
      </c>
      <c r="S150" s="11" t="str">
        <f t="shared" si="41">IF(I150="已计入",ROUND(R150-Q150,2),"")</f>
        <v/>
      </c>
      <c r="T150" s="12" t="str">
        <f t="shared" si="42">IF(I150="已计入",IF(Q150=0,"",S150/Q150),"")</f>
        <v/>
      </c>
      <c r="U150" s="11">
        <f t="shared" si="50">IF(AA150="正常",U149+IF(AND(I150="已计入",OR(B150="买入",B150="定投",B150="转换转入")),E150,0),"")</f>
        <v>129570</v>
      </c>
      <c r="V150" s="11">
        <f t="shared" si="51">IF(AA150="正常",V149+IF(AND(I150="已计入",OR(B150="卖出",B150="现金分红")),E150,0),"")</f>
        <v>0</v>
      </c>
      <c r="W150" s="11">
        <f t="shared" si="52">IF(AA150="正常",W149+IF(I150="已计入",N150,0),"")</f>
        <v>0</v>
      </c>
      <c r="X150" s="11">
        <f t="shared" si="53">IF(AA150="正常",X149+IF(I150="已计入",P150,0),"")</f>
        <v>0</v>
      </c>
      <c r="Y150" s="11" t="str">
        <f t="shared" si="43">IF(I150="已计入",ROUND(R150+V150-U150,2),"")</f>
        <v/>
      </c>
      <c r="Z150" s="13">
        <f t="shared" si="54">IF(AA150="正常",IF(I150="已计入",A150,Z149),"")</f>
        <v>46239</v>
      </c>
      <c r="AA150" s="10" t="str">
        <f>IF(OR($AA$134="错误",COUNTIF($G$135:G150,"待修正")&gt;0),"错误","正常")</f>
        <v>正常</v>
      </c>
      <c r="AB150" s="14">
        <f t="shared" si="55">IF(AA150="正常",IF(I150="已计入",C150,AB149),"")</f>
        <v>6.347</v>
      </c>
    </row>
    <row r="151" ht="23" customHeight="1">
      <c r="A151" s="36"/>
      <c r="B151" s="37"/>
      <c r="C151" s="38"/>
      <c r="D151" s="39"/>
      <c r="E151" s="44" t="str">
        <f t="shared" si="36">IF(AND(ISNUMBER(C151),ISNUMBER(D151),ISNUMBER(F151)),IF(OR(B151="买入",B151="定投"),ROUND(C151*D151+F151,2),IF(B151="卖出",ROUND(C151*D151-F151,2),IF(B151="红利再投",0,""))),"")</f>
        <v/>
      </c>
      <c r="F151" s="39"/>
      <c r="G151" s="45" t="str">
        <f t="shared" si="37">IF(COUNTA(A151:D151,F151)=0,"",IF(I151="已计入","已录入","待修正"))</f>
        <v/>
      </c>
      <c r="H151" s="46" t="str">
        <f t="shared" si="38">IF(COUNTA(A151:D151,F151)=0,"",IF(B151="红利再投","仅增加份额，不增加现金投入","金额由份额、净值和手续费推算"))</f>
        <v/>
      </c>
      <c r="I151" s="10" t="str">
        <f>IF(COUNTA(A151:D151,F151)=0,"",IF(NOT(ISNUMBER(A151)),"缺少有效净值日期",IF(OR(A151&lt;=0,A151&lt;&gt;INT(A151)),"净值日期无效",IF(OR(B151="转换转入",B151="现金分红"),"该类型需实际金额，五项录入不适用",IF(NOT(OR(OR(B151="买入",B151="定投"),B151="卖出",B151="红利再投")),"请选择交易类型",IF(NOT(ISNUMBER(C151)),"缺少成交净值",IF(C151&lt;=0,"成交净值须大于零",IF(NOT(ISNUMBER(D151)),"缺少确认份额",IF(D151&lt;=0,"确认份额须大于零",IF(NOT(ISNUMBER(F151)),"缺少手续费，无费用请填 0",IF(F151&lt;0,"手续费不能为负",IF(AA150="错误","前行待修正",IF(A151&lt;Z150,"日期需按成交顺序递增",IF(AND(B151="红利再投",F151&lt;&gt;0),"红利再投手续费应填 0",IF(AND(B151="红利再投",K150&lt;=0),"红利再投前须有持仓",IF(AND(B151="卖出",D151&gt;K150+0.000001),"卖出份额超过持仓",IF(AND(B151="卖出",F151&gt;=C151*D151),"赎回费不能达到赎回总额",IF(NOT(ISNUMBER(E151)),"自动金额未生成，请检查五项输入",IF(NOT(OR('持仓总览'!$C$7="利润优先",'持仓总览'!$C$7="本金优先")),"请选择卖出分配模式","已计入")))))))))))))))))))</f>
        <v/>
      </c>
      <c r="J151" s="11">
        <f t="shared" si="39">IF(AA151="正常",IF(I151="已计入",IF(OR(OR(B151="买入",B151="定投",B151="转换转入"),B151="红利再投"),D151,IF(B151="卖出",-D151,0)),0),"")</f>
        <v>0</v>
      </c>
      <c r="K151" s="11">
        <f t="shared" si="44">IF(AA151="正常",ROUND(K150+J151,6),"")</f>
        <v>25721.6</v>
      </c>
      <c r="L151" s="11" t="str">
        <f t="shared" si="45">IF(I151="已计入",ROUND(K150*C151,2),"")</f>
        <v/>
      </c>
      <c r="M151" s="11" t="str">
        <f t="shared" si="46">IF(I151="已计入",IF(B151="卖出",MAX(0,L151-Q150-F151),IF(B151="现金分红",MAX(0,L151+E151-Q150),0)),"")</f>
        <v/>
      </c>
      <c r="N151" s="11" t="str">
        <f>IF(I151="已计入",IF(AND(B151="卖出",'持仓总览'!$C$7="本金优先"),MAX(0,E151-Q150),IF(OR(B151="卖出",B151="现金分红"),MIN(E151,M151),0)),"")</f>
        <v/>
      </c>
      <c r="O151" s="11" t="str">
        <f t="shared" si="47">IF(I151="已计入",IF(OR(B151="卖出",B151="现金分红"),MIN(Q150,MAX(0,E151-N151)),0),"")</f>
        <v/>
      </c>
      <c r="P151" s="11" t="str">
        <f t="shared" si="48">IF(I151="已计入",IF(AND(B151="卖出",K151=0),MAX(0,Q150-O151),0),"")</f>
        <v/>
      </c>
      <c r="Q151" s="11">
        <f t="shared" si="49">IF(AA151="正常",IF(I151="已计入",ROUND(Q150+IF(OR(B151="买入",B151="定投",B151="转换转入"),E151,0)-O151-P151,2),Q150),"")</f>
        <v>129570</v>
      </c>
      <c r="R151" s="11" t="str">
        <f t="shared" si="40">IF(I151="已计入",ROUND(K151*C151,2),"")</f>
        <v/>
      </c>
      <c r="S151" s="11" t="str">
        <f t="shared" si="41">IF(I151="已计入",ROUND(R151-Q151,2),"")</f>
        <v/>
      </c>
      <c r="T151" s="12" t="str">
        <f t="shared" si="42">IF(I151="已计入",IF(Q151=0,"",S151/Q151),"")</f>
        <v/>
      </c>
      <c r="U151" s="11">
        <f t="shared" si="50">IF(AA151="正常",U150+IF(AND(I151="已计入",OR(B151="买入",B151="定投",B151="转换转入")),E151,0),"")</f>
        <v>129570</v>
      </c>
      <c r="V151" s="11">
        <f t="shared" si="51">IF(AA151="正常",V150+IF(AND(I151="已计入",OR(B151="卖出",B151="现金分红")),E151,0),"")</f>
        <v>0</v>
      </c>
      <c r="W151" s="11">
        <f t="shared" si="52">IF(AA151="正常",W150+IF(I151="已计入",N151,0),"")</f>
        <v>0</v>
      </c>
      <c r="X151" s="11">
        <f t="shared" si="53">IF(AA151="正常",X150+IF(I151="已计入",P151,0),"")</f>
        <v>0</v>
      </c>
      <c r="Y151" s="11" t="str">
        <f t="shared" si="43">IF(I151="已计入",ROUND(R151+V151-U151,2),"")</f>
        <v/>
      </c>
      <c r="Z151" s="13">
        <f t="shared" si="54">IF(AA151="正常",IF(I151="已计入",A151,Z150),"")</f>
        <v>46239</v>
      </c>
      <c r="AA151" s="10" t="str">
        <f>IF(OR($AA$134="错误",COUNTIF($G$135:G151,"待修正")&gt;0),"错误","正常")</f>
        <v>正常</v>
      </c>
      <c r="AB151" s="14">
        <f t="shared" si="55">IF(AA151="正常",IF(I151="已计入",C151,AB150),"")</f>
        <v>6.347</v>
      </c>
    </row>
    <row r="152" ht="23" customHeight="1">
      <c r="A152" s="36"/>
      <c r="B152" s="37"/>
      <c r="C152" s="38"/>
      <c r="D152" s="39"/>
      <c r="E152" s="44" t="str">
        <f t="shared" si="36">IF(AND(ISNUMBER(C152),ISNUMBER(D152),ISNUMBER(F152)),IF(OR(B152="买入",B152="定投"),ROUND(C152*D152+F152,2),IF(B152="卖出",ROUND(C152*D152-F152,2),IF(B152="红利再投",0,""))),"")</f>
        <v/>
      </c>
      <c r="F152" s="39"/>
      <c r="G152" s="45" t="str">
        <f t="shared" si="37">IF(COUNTA(A152:D152,F152)=0,"",IF(I152="已计入","已录入","待修正"))</f>
        <v/>
      </c>
      <c r="H152" s="46" t="str">
        <f t="shared" si="38">IF(COUNTA(A152:D152,F152)=0,"",IF(B152="红利再投","仅增加份额，不增加现金投入","金额由份额、净值和手续费推算"))</f>
        <v/>
      </c>
      <c r="I152" s="10" t="str">
        <f>IF(COUNTA(A152:D152,F152)=0,"",IF(NOT(ISNUMBER(A152)),"缺少有效净值日期",IF(OR(A152&lt;=0,A152&lt;&gt;INT(A152)),"净值日期无效",IF(OR(B152="转换转入",B152="现金分红"),"该类型需实际金额，五项录入不适用",IF(NOT(OR(OR(B152="买入",B152="定投"),B152="卖出",B152="红利再投")),"请选择交易类型",IF(NOT(ISNUMBER(C152)),"缺少成交净值",IF(C152&lt;=0,"成交净值须大于零",IF(NOT(ISNUMBER(D152)),"缺少确认份额",IF(D152&lt;=0,"确认份额须大于零",IF(NOT(ISNUMBER(F152)),"缺少手续费，无费用请填 0",IF(F152&lt;0,"手续费不能为负",IF(AA151="错误","前行待修正",IF(A152&lt;Z151,"日期需按成交顺序递增",IF(AND(B152="红利再投",F152&lt;&gt;0),"红利再投手续费应填 0",IF(AND(B152="红利再投",K151&lt;=0),"红利再投前须有持仓",IF(AND(B152="卖出",D152&gt;K151+0.000001),"卖出份额超过持仓",IF(AND(B152="卖出",F152&gt;=C152*D152),"赎回费不能达到赎回总额",IF(NOT(ISNUMBER(E152)),"自动金额未生成，请检查五项输入",IF(NOT(OR('持仓总览'!$C$7="利润优先",'持仓总览'!$C$7="本金优先")),"请选择卖出分配模式","已计入")))))))))))))))))))</f>
        <v/>
      </c>
      <c r="J152" s="11">
        <f t="shared" si="39">IF(AA152="正常",IF(I152="已计入",IF(OR(OR(B152="买入",B152="定投",B152="转换转入"),B152="红利再投"),D152,IF(B152="卖出",-D152,0)),0),"")</f>
        <v>0</v>
      </c>
      <c r="K152" s="11">
        <f t="shared" si="44">IF(AA152="正常",ROUND(K151+J152,6),"")</f>
        <v>25721.6</v>
      </c>
      <c r="L152" s="11" t="str">
        <f t="shared" si="45">IF(I152="已计入",ROUND(K151*C152,2),"")</f>
        <v/>
      </c>
      <c r="M152" s="11" t="str">
        <f t="shared" si="46">IF(I152="已计入",IF(B152="卖出",MAX(0,L152-Q151-F152),IF(B152="现金分红",MAX(0,L152+E152-Q151),0)),"")</f>
        <v/>
      </c>
      <c r="N152" s="11" t="str">
        <f>IF(I152="已计入",IF(AND(B152="卖出",'持仓总览'!$C$7="本金优先"),MAX(0,E152-Q151),IF(OR(B152="卖出",B152="现金分红"),MIN(E152,M152),0)),"")</f>
        <v/>
      </c>
      <c r="O152" s="11" t="str">
        <f t="shared" si="47">IF(I152="已计入",IF(OR(B152="卖出",B152="现金分红"),MIN(Q151,MAX(0,E152-N152)),0),"")</f>
        <v/>
      </c>
      <c r="P152" s="11" t="str">
        <f t="shared" si="48">IF(I152="已计入",IF(AND(B152="卖出",K152=0),MAX(0,Q151-O152),0),"")</f>
        <v/>
      </c>
      <c r="Q152" s="11">
        <f t="shared" si="49">IF(AA152="正常",IF(I152="已计入",ROUND(Q151+IF(OR(B152="买入",B152="定投",B152="转换转入"),E152,0)-O152-P152,2),Q151),"")</f>
        <v>129570</v>
      </c>
      <c r="R152" s="11" t="str">
        <f t="shared" si="40">IF(I152="已计入",ROUND(K152*C152,2),"")</f>
        <v/>
      </c>
      <c r="S152" s="11" t="str">
        <f t="shared" si="41">IF(I152="已计入",ROUND(R152-Q152,2),"")</f>
        <v/>
      </c>
      <c r="T152" s="12" t="str">
        <f t="shared" si="42">IF(I152="已计入",IF(Q152=0,"",S152/Q152),"")</f>
        <v/>
      </c>
      <c r="U152" s="11">
        <f t="shared" si="50">IF(AA152="正常",U151+IF(AND(I152="已计入",OR(B152="买入",B152="定投",B152="转换转入")),E152,0),"")</f>
        <v>129570</v>
      </c>
      <c r="V152" s="11">
        <f t="shared" si="51">IF(AA152="正常",V151+IF(AND(I152="已计入",OR(B152="卖出",B152="现金分红")),E152,0),"")</f>
        <v>0</v>
      </c>
      <c r="W152" s="11">
        <f t="shared" si="52">IF(AA152="正常",W151+IF(I152="已计入",N152,0),"")</f>
        <v>0</v>
      </c>
      <c r="X152" s="11">
        <f t="shared" si="53">IF(AA152="正常",X151+IF(I152="已计入",P152,0),"")</f>
        <v>0</v>
      </c>
      <c r="Y152" s="11" t="str">
        <f t="shared" si="43">IF(I152="已计入",ROUND(R152+V152-U152,2),"")</f>
        <v/>
      </c>
      <c r="Z152" s="13">
        <f t="shared" si="54">IF(AA152="正常",IF(I152="已计入",A152,Z151),"")</f>
        <v>46239</v>
      </c>
      <c r="AA152" s="10" t="str">
        <f>IF(OR($AA$134="错误",COUNTIF($G$135:G152,"待修正")&gt;0),"错误","正常")</f>
        <v>正常</v>
      </c>
      <c r="AB152" s="14">
        <f t="shared" si="55">IF(AA152="正常",IF(I152="已计入",C152,AB151),"")</f>
        <v>6.347</v>
      </c>
    </row>
    <row r="153" ht="23" customHeight="1">
      <c r="A153" s="36"/>
      <c r="B153" s="37"/>
      <c r="C153" s="38"/>
      <c r="D153" s="39"/>
      <c r="E153" s="44" t="str">
        <f t="shared" si="36">IF(AND(ISNUMBER(C153),ISNUMBER(D153),ISNUMBER(F153)),IF(OR(B153="买入",B153="定投"),ROUND(C153*D153+F153,2),IF(B153="卖出",ROUND(C153*D153-F153,2),IF(B153="红利再投",0,""))),"")</f>
        <v/>
      </c>
      <c r="F153" s="39"/>
      <c r="G153" s="45" t="str">
        <f t="shared" si="37">IF(COUNTA(A153:D153,F153)=0,"",IF(I153="已计入","已录入","待修正"))</f>
        <v/>
      </c>
      <c r="H153" s="46" t="str">
        <f t="shared" si="38">IF(COUNTA(A153:D153,F153)=0,"",IF(B153="红利再投","仅增加份额，不增加现金投入","金额由份额、净值和手续费推算"))</f>
        <v/>
      </c>
      <c r="I153" s="10" t="str">
        <f>IF(COUNTA(A153:D153,F153)=0,"",IF(NOT(ISNUMBER(A153)),"缺少有效净值日期",IF(OR(A153&lt;=0,A153&lt;&gt;INT(A153)),"净值日期无效",IF(OR(B153="转换转入",B153="现金分红"),"该类型需实际金额，五项录入不适用",IF(NOT(OR(OR(B153="买入",B153="定投"),B153="卖出",B153="红利再投")),"请选择交易类型",IF(NOT(ISNUMBER(C153)),"缺少成交净值",IF(C153&lt;=0,"成交净值须大于零",IF(NOT(ISNUMBER(D153)),"缺少确认份额",IF(D153&lt;=0,"确认份额须大于零",IF(NOT(ISNUMBER(F153)),"缺少手续费，无费用请填 0",IF(F153&lt;0,"手续费不能为负",IF(AA152="错误","前行待修正",IF(A153&lt;Z152,"日期需按成交顺序递增",IF(AND(B153="红利再投",F153&lt;&gt;0),"红利再投手续费应填 0",IF(AND(B153="红利再投",K152&lt;=0),"红利再投前须有持仓",IF(AND(B153="卖出",D153&gt;K152+0.000001),"卖出份额超过持仓",IF(AND(B153="卖出",F153&gt;=C153*D153),"赎回费不能达到赎回总额",IF(NOT(ISNUMBER(E153)),"自动金额未生成，请检查五项输入",IF(NOT(OR('持仓总览'!$C$7="利润优先",'持仓总览'!$C$7="本金优先")),"请选择卖出分配模式","已计入")))))))))))))))))))</f>
        <v/>
      </c>
      <c r="J153" s="11">
        <f t="shared" si="39">IF(AA153="正常",IF(I153="已计入",IF(OR(OR(B153="买入",B153="定投",B153="转换转入"),B153="红利再投"),D153,IF(B153="卖出",-D153,0)),0),"")</f>
        <v>0</v>
      </c>
      <c r="K153" s="11">
        <f t="shared" si="44">IF(AA153="正常",ROUND(K152+J153,6),"")</f>
        <v>25721.6</v>
      </c>
      <c r="L153" s="11" t="str">
        <f t="shared" si="45">IF(I153="已计入",ROUND(K152*C153,2),"")</f>
        <v/>
      </c>
      <c r="M153" s="11" t="str">
        <f t="shared" si="46">IF(I153="已计入",IF(B153="卖出",MAX(0,L153-Q152-F153),IF(B153="现金分红",MAX(0,L153+E153-Q152),0)),"")</f>
        <v/>
      </c>
      <c r="N153" s="11" t="str">
        <f>IF(I153="已计入",IF(AND(B153="卖出",'持仓总览'!$C$7="本金优先"),MAX(0,E153-Q152),IF(OR(B153="卖出",B153="现金分红"),MIN(E153,M153),0)),"")</f>
        <v/>
      </c>
      <c r="O153" s="11" t="str">
        <f t="shared" si="47">IF(I153="已计入",IF(OR(B153="卖出",B153="现金分红"),MIN(Q152,MAX(0,E153-N153)),0),"")</f>
        <v/>
      </c>
      <c r="P153" s="11" t="str">
        <f t="shared" si="48">IF(I153="已计入",IF(AND(B153="卖出",K153=0),MAX(0,Q152-O153),0),"")</f>
        <v/>
      </c>
      <c r="Q153" s="11">
        <f t="shared" si="49">IF(AA153="正常",IF(I153="已计入",ROUND(Q152+IF(OR(B153="买入",B153="定投",B153="转换转入"),E153,0)-O153-P153,2),Q152),"")</f>
        <v>129570</v>
      </c>
      <c r="R153" s="11" t="str">
        <f t="shared" si="40">IF(I153="已计入",ROUND(K153*C153,2),"")</f>
        <v/>
      </c>
      <c r="S153" s="11" t="str">
        <f t="shared" si="41">IF(I153="已计入",ROUND(R153-Q153,2),"")</f>
        <v/>
      </c>
      <c r="T153" s="12" t="str">
        <f t="shared" si="42">IF(I153="已计入",IF(Q153=0,"",S153/Q153),"")</f>
        <v/>
      </c>
      <c r="U153" s="11">
        <f t="shared" si="50">IF(AA153="正常",U152+IF(AND(I153="已计入",OR(B153="买入",B153="定投",B153="转换转入")),E153,0),"")</f>
        <v>129570</v>
      </c>
      <c r="V153" s="11">
        <f t="shared" si="51">IF(AA153="正常",V152+IF(AND(I153="已计入",OR(B153="卖出",B153="现金分红")),E153,0),"")</f>
        <v>0</v>
      </c>
      <c r="W153" s="11">
        <f t="shared" si="52">IF(AA153="正常",W152+IF(I153="已计入",N153,0),"")</f>
        <v>0</v>
      </c>
      <c r="X153" s="11">
        <f t="shared" si="53">IF(AA153="正常",X152+IF(I153="已计入",P153,0),"")</f>
        <v>0</v>
      </c>
      <c r="Y153" s="11" t="str">
        <f t="shared" si="43">IF(I153="已计入",ROUND(R153+V153-U153,2),"")</f>
        <v/>
      </c>
      <c r="Z153" s="13">
        <f t="shared" si="54">IF(AA153="正常",IF(I153="已计入",A153,Z152),"")</f>
        <v>46239</v>
      </c>
      <c r="AA153" s="10" t="str">
        <f>IF(OR($AA$134="错误",COUNTIF($G$135:G153,"待修正")&gt;0),"错误","正常")</f>
        <v>正常</v>
      </c>
      <c r="AB153" s="14">
        <f t="shared" si="55">IF(AA153="正常",IF(I153="已计入",C153,AB152),"")</f>
        <v>6.347</v>
      </c>
    </row>
    <row r="154" ht="23" customHeight="1">
      <c r="A154" s="36"/>
      <c r="B154" s="37"/>
      <c r="C154" s="38"/>
      <c r="D154" s="39"/>
      <c r="E154" s="44" t="str">
        <f t="shared" si="36">IF(AND(ISNUMBER(C154),ISNUMBER(D154),ISNUMBER(F154)),IF(OR(B154="买入",B154="定投"),ROUND(C154*D154+F154,2),IF(B154="卖出",ROUND(C154*D154-F154,2),IF(B154="红利再投",0,""))),"")</f>
        <v/>
      </c>
      <c r="F154" s="39"/>
      <c r="G154" s="45" t="str">
        <f t="shared" si="37">IF(COUNTA(A154:D154,F154)=0,"",IF(I154="已计入","已录入","待修正"))</f>
        <v/>
      </c>
      <c r="H154" s="46" t="str">
        <f t="shared" si="38">IF(COUNTA(A154:D154,F154)=0,"",IF(B154="红利再投","仅增加份额，不增加现金投入","金额由份额、净值和手续费推算"))</f>
        <v/>
      </c>
      <c r="I154" s="10" t="str">
        <f>IF(COUNTA(A154:D154,F154)=0,"",IF(NOT(ISNUMBER(A154)),"缺少有效净值日期",IF(OR(A154&lt;=0,A154&lt;&gt;INT(A154)),"净值日期无效",IF(OR(B154="转换转入",B154="现金分红"),"该类型需实际金额，五项录入不适用",IF(NOT(OR(OR(B154="买入",B154="定投"),B154="卖出",B154="红利再投")),"请选择交易类型",IF(NOT(ISNUMBER(C154)),"缺少成交净值",IF(C154&lt;=0,"成交净值须大于零",IF(NOT(ISNUMBER(D154)),"缺少确认份额",IF(D154&lt;=0,"确认份额须大于零",IF(NOT(ISNUMBER(F154)),"缺少手续费，无费用请填 0",IF(F154&lt;0,"手续费不能为负",IF(AA153="错误","前行待修正",IF(A154&lt;Z153,"日期需按成交顺序递增",IF(AND(B154="红利再投",F154&lt;&gt;0),"红利再投手续费应填 0",IF(AND(B154="红利再投",K153&lt;=0),"红利再投前须有持仓",IF(AND(B154="卖出",D154&gt;K153+0.000001),"卖出份额超过持仓",IF(AND(B154="卖出",F154&gt;=C154*D154),"赎回费不能达到赎回总额",IF(NOT(ISNUMBER(E154)),"自动金额未生成，请检查五项输入",IF(NOT(OR('持仓总览'!$C$7="利润优先",'持仓总览'!$C$7="本金优先")),"请选择卖出分配模式","已计入")))))))))))))))))))</f>
        <v/>
      </c>
      <c r="J154" s="11">
        <f t="shared" si="39">IF(AA154="正常",IF(I154="已计入",IF(OR(OR(B154="买入",B154="定投",B154="转换转入"),B154="红利再投"),D154,IF(B154="卖出",-D154,0)),0),"")</f>
        <v>0</v>
      </c>
      <c r="K154" s="11">
        <f t="shared" si="44">IF(AA154="正常",ROUND(K153+J154,6),"")</f>
        <v>25721.6</v>
      </c>
      <c r="L154" s="11" t="str">
        <f t="shared" si="45">IF(I154="已计入",ROUND(K153*C154,2),"")</f>
        <v/>
      </c>
      <c r="M154" s="11" t="str">
        <f t="shared" si="46">IF(I154="已计入",IF(B154="卖出",MAX(0,L154-Q153-F154),IF(B154="现金分红",MAX(0,L154+E154-Q153),0)),"")</f>
        <v/>
      </c>
      <c r="N154" s="11" t="str">
        <f>IF(I154="已计入",IF(AND(B154="卖出",'持仓总览'!$C$7="本金优先"),MAX(0,E154-Q153),IF(OR(B154="卖出",B154="现金分红"),MIN(E154,M154),0)),"")</f>
        <v/>
      </c>
      <c r="O154" s="11" t="str">
        <f t="shared" si="47">IF(I154="已计入",IF(OR(B154="卖出",B154="现金分红"),MIN(Q153,MAX(0,E154-N154)),0),"")</f>
        <v/>
      </c>
      <c r="P154" s="11" t="str">
        <f t="shared" si="48">IF(I154="已计入",IF(AND(B154="卖出",K154=0),MAX(0,Q153-O154),0),"")</f>
        <v/>
      </c>
      <c r="Q154" s="11">
        <f t="shared" si="49">IF(AA154="正常",IF(I154="已计入",ROUND(Q153+IF(OR(B154="买入",B154="定投",B154="转换转入"),E154,0)-O154-P154,2),Q153),"")</f>
        <v>129570</v>
      </c>
      <c r="R154" s="11" t="str">
        <f t="shared" si="40">IF(I154="已计入",ROUND(K154*C154,2),"")</f>
        <v/>
      </c>
      <c r="S154" s="11" t="str">
        <f t="shared" si="41">IF(I154="已计入",ROUND(R154-Q154,2),"")</f>
        <v/>
      </c>
      <c r="T154" s="12" t="str">
        <f t="shared" si="42">IF(I154="已计入",IF(Q154=0,"",S154/Q154),"")</f>
        <v/>
      </c>
      <c r="U154" s="11">
        <f t="shared" si="50">IF(AA154="正常",U153+IF(AND(I154="已计入",OR(B154="买入",B154="定投",B154="转换转入")),E154,0),"")</f>
        <v>129570</v>
      </c>
      <c r="V154" s="11">
        <f t="shared" si="51">IF(AA154="正常",V153+IF(AND(I154="已计入",OR(B154="卖出",B154="现金分红")),E154,0),"")</f>
        <v>0</v>
      </c>
      <c r="W154" s="11">
        <f t="shared" si="52">IF(AA154="正常",W153+IF(I154="已计入",N154,0),"")</f>
        <v>0</v>
      </c>
      <c r="X154" s="11">
        <f t="shared" si="53">IF(AA154="正常",X153+IF(I154="已计入",P154,0),"")</f>
        <v>0</v>
      </c>
      <c r="Y154" s="11" t="str">
        <f t="shared" si="43">IF(I154="已计入",ROUND(R154+V154-U154,2),"")</f>
        <v/>
      </c>
      <c r="Z154" s="13">
        <f t="shared" si="54">IF(AA154="正常",IF(I154="已计入",A154,Z153),"")</f>
        <v>46239</v>
      </c>
      <c r="AA154" s="10" t="str">
        <f>IF(OR($AA$134="错误",COUNTIF($G$135:G154,"待修正")&gt;0),"错误","正常")</f>
        <v>正常</v>
      </c>
      <c r="AB154" s="14">
        <f t="shared" si="55">IF(AA154="正常",IF(I154="已计入",C154,AB153),"")</f>
        <v>6.347</v>
      </c>
    </row>
    <row r="155" ht="23" customHeight="1">
      <c r="A155" s="36"/>
      <c r="B155" s="37"/>
      <c r="C155" s="38"/>
      <c r="D155" s="39"/>
      <c r="E155" s="44" t="str">
        <f t="shared" si="36">IF(AND(ISNUMBER(C155),ISNUMBER(D155),ISNUMBER(F155)),IF(OR(B155="买入",B155="定投"),ROUND(C155*D155+F155,2),IF(B155="卖出",ROUND(C155*D155-F155,2),IF(B155="红利再投",0,""))),"")</f>
        <v/>
      </c>
      <c r="F155" s="39"/>
      <c r="G155" s="45" t="str">
        <f t="shared" si="37">IF(COUNTA(A155:D155,F155)=0,"",IF(I155="已计入","已录入","待修正"))</f>
        <v/>
      </c>
      <c r="H155" s="46" t="str">
        <f t="shared" si="38">IF(COUNTA(A155:D155,F155)=0,"",IF(B155="红利再投","仅增加份额，不增加现金投入","金额由份额、净值和手续费推算"))</f>
        <v/>
      </c>
      <c r="I155" s="10" t="str">
        <f>IF(COUNTA(A155:D155,F155)=0,"",IF(NOT(ISNUMBER(A155)),"缺少有效净值日期",IF(OR(A155&lt;=0,A155&lt;&gt;INT(A155)),"净值日期无效",IF(OR(B155="转换转入",B155="现金分红"),"该类型需实际金额，五项录入不适用",IF(NOT(OR(OR(B155="买入",B155="定投"),B155="卖出",B155="红利再投")),"请选择交易类型",IF(NOT(ISNUMBER(C155)),"缺少成交净值",IF(C155&lt;=0,"成交净值须大于零",IF(NOT(ISNUMBER(D155)),"缺少确认份额",IF(D155&lt;=0,"确认份额须大于零",IF(NOT(ISNUMBER(F155)),"缺少手续费，无费用请填 0",IF(F155&lt;0,"手续费不能为负",IF(AA154="错误","前行待修正",IF(A155&lt;Z154,"日期需按成交顺序递增",IF(AND(B155="红利再投",F155&lt;&gt;0),"红利再投手续费应填 0",IF(AND(B155="红利再投",K154&lt;=0),"红利再投前须有持仓",IF(AND(B155="卖出",D155&gt;K154+0.000001),"卖出份额超过持仓",IF(AND(B155="卖出",F155&gt;=C155*D155),"赎回费不能达到赎回总额",IF(NOT(ISNUMBER(E155)),"自动金额未生成，请检查五项输入",IF(NOT(OR('持仓总览'!$C$7="利润优先",'持仓总览'!$C$7="本金优先")),"请选择卖出分配模式","已计入")))))))))))))))))))</f>
        <v/>
      </c>
      <c r="J155" s="11">
        <f t="shared" si="39">IF(AA155="正常",IF(I155="已计入",IF(OR(OR(B155="买入",B155="定投",B155="转换转入"),B155="红利再投"),D155,IF(B155="卖出",-D155,0)),0),"")</f>
        <v>0</v>
      </c>
      <c r="K155" s="11">
        <f t="shared" si="44">IF(AA155="正常",ROUND(K154+J155,6),"")</f>
        <v>25721.6</v>
      </c>
      <c r="L155" s="11" t="str">
        <f t="shared" si="45">IF(I155="已计入",ROUND(K154*C155,2),"")</f>
        <v/>
      </c>
      <c r="M155" s="11" t="str">
        <f t="shared" si="46">IF(I155="已计入",IF(B155="卖出",MAX(0,L155-Q154-F155),IF(B155="现金分红",MAX(0,L155+E155-Q154),0)),"")</f>
        <v/>
      </c>
      <c r="N155" s="11" t="str">
        <f>IF(I155="已计入",IF(AND(B155="卖出",'持仓总览'!$C$7="本金优先"),MAX(0,E155-Q154),IF(OR(B155="卖出",B155="现金分红"),MIN(E155,M155),0)),"")</f>
        <v/>
      </c>
      <c r="O155" s="11" t="str">
        <f t="shared" si="47">IF(I155="已计入",IF(OR(B155="卖出",B155="现金分红"),MIN(Q154,MAX(0,E155-N155)),0),"")</f>
        <v/>
      </c>
      <c r="P155" s="11" t="str">
        <f t="shared" si="48">IF(I155="已计入",IF(AND(B155="卖出",K155=0),MAX(0,Q154-O155),0),"")</f>
        <v/>
      </c>
      <c r="Q155" s="11">
        <f t="shared" si="49">IF(AA155="正常",IF(I155="已计入",ROUND(Q154+IF(OR(B155="买入",B155="定投",B155="转换转入"),E155,0)-O155-P155,2),Q154),"")</f>
        <v>129570</v>
      </c>
      <c r="R155" s="11" t="str">
        <f t="shared" si="40">IF(I155="已计入",ROUND(K155*C155,2),"")</f>
        <v/>
      </c>
      <c r="S155" s="11" t="str">
        <f t="shared" si="41">IF(I155="已计入",ROUND(R155-Q155,2),"")</f>
        <v/>
      </c>
      <c r="T155" s="12" t="str">
        <f t="shared" si="42">IF(I155="已计入",IF(Q155=0,"",S155/Q155),"")</f>
        <v/>
      </c>
      <c r="U155" s="11">
        <f t="shared" si="50">IF(AA155="正常",U154+IF(AND(I155="已计入",OR(B155="买入",B155="定投",B155="转换转入")),E155,0),"")</f>
        <v>129570</v>
      </c>
      <c r="V155" s="11">
        <f t="shared" si="51">IF(AA155="正常",V154+IF(AND(I155="已计入",OR(B155="卖出",B155="现金分红")),E155,0),"")</f>
        <v>0</v>
      </c>
      <c r="W155" s="11">
        <f t="shared" si="52">IF(AA155="正常",W154+IF(I155="已计入",N155,0),"")</f>
        <v>0</v>
      </c>
      <c r="X155" s="11">
        <f t="shared" si="53">IF(AA155="正常",X154+IF(I155="已计入",P155,0),"")</f>
        <v>0</v>
      </c>
      <c r="Y155" s="11" t="str">
        <f t="shared" si="43">IF(I155="已计入",ROUND(R155+V155-U155,2),"")</f>
        <v/>
      </c>
      <c r="Z155" s="13">
        <f t="shared" si="54">IF(AA155="正常",IF(I155="已计入",A155,Z154),"")</f>
        <v>46239</v>
      </c>
      <c r="AA155" s="10" t="str">
        <f>IF(OR($AA$134="错误",COUNTIF($G$135:G155,"待修正")&gt;0),"错误","正常")</f>
        <v>正常</v>
      </c>
      <c r="AB155" s="14">
        <f t="shared" si="55">IF(AA155="正常",IF(I155="已计入",C155,AB154),"")</f>
        <v>6.347</v>
      </c>
    </row>
    <row r="156" ht="23" customHeight="1">
      <c r="A156" s="36"/>
      <c r="B156" s="37"/>
      <c r="C156" s="38"/>
      <c r="D156" s="39"/>
      <c r="E156" s="44" t="str">
        <f t="shared" si="36">IF(AND(ISNUMBER(C156),ISNUMBER(D156),ISNUMBER(F156)),IF(OR(B156="买入",B156="定投"),ROUND(C156*D156+F156,2),IF(B156="卖出",ROUND(C156*D156-F156,2),IF(B156="红利再投",0,""))),"")</f>
        <v/>
      </c>
      <c r="F156" s="39"/>
      <c r="G156" s="45" t="str">
        <f t="shared" si="37">IF(COUNTA(A156:D156,F156)=0,"",IF(I156="已计入","已录入","待修正"))</f>
        <v/>
      </c>
      <c r="H156" s="46" t="str">
        <f t="shared" si="38">IF(COUNTA(A156:D156,F156)=0,"",IF(B156="红利再投","仅增加份额，不增加现金投入","金额由份额、净值和手续费推算"))</f>
        <v/>
      </c>
      <c r="I156" s="10" t="str">
        <f>IF(COUNTA(A156:D156,F156)=0,"",IF(NOT(ISNUMBER(A156)),"缺少有效净值日期",IF(OR(A156&lt;=0,A156&lt;&gt;INT(A156)),"净值日期无效",IF(OR(B156="转换转入",B156="现金分红"),"该类型需实际金额，五项录入不适用",IF(NOT(OR(OR(B156="买入",B156="定投"),B156="卖出",B156="红利再投")),"请选择交易类型",IF(NOT(ISNUMBER(C156)),"缺少成交净值",IF(C156&lt;=0,"成交净值须大于零",IF(NOT(ISNUMBER(D156)),"缺少确认份额",IF(D156&lt;=0,"确认份额须大于零",IF(NOT(ISNUMBER(F156)),"缺少手续费，无费用请填 0",IF(F156&lt;0,"手续费不能为负",IF(AA155="错误","前行待修正",IF(A156&lt;Z155,"日期需按成交顺序递增",IF(AND(B156="红利再投",F156&lt;&gt;0),"红利再投手续费应填 0",IF(AND(B156="红利再投",K155&lt;=0),"红利再投前须有持仓",IF(AND(B156="卖出",D156&gt;K155+0.000001),"卖出份额超过持仓",IF(AND(B156="卖出",F156&gt;=C156*D156),"赎回费不能达到赎回总额",IF(NOT(ISNUMBER(E156)),"自动金额未生成，请检查五项输入",IF(NOT(OR('持仓总览'!$C$7="利润优先",'持仓总览'!$C$7="本金优先")),"请选择卖出分配模式","已计入")))))))))))))))))))</f>
        <v/>
      </c>
      <c r="J156" s="11">
        <f t="shared" si="39">IF(AA156="正常",IF(I156="已计入",IF(OR(OR(B156="买入",B156="定投",B156="转换转入"),B156="红利再投"),D156,IF(B156="卖出",-D156,0)),0),"")</f>
        <v>0</v>
      </c>
      <c r="K156" s="11">
        <f t="shared" si="44">IF(AA156="正常",ROUND(K155+J156,6),"")</f>
        <v>25721.6</v>
      </c>
      <c r="L156" s="11" t="str">
        <f t="shared" si="45">IF(I156="已计入",ROUND(K155*C156,2),"")</f>
        <v/>
      </c>
      <c r="M156" s="11" t="str">
        <f t="shared" si="46">IF(I156="已计入",IF(B156="卖出",MAX(0,L156-Q155-F156),IF(B156="现金分红",MAX(0,L156+E156-Q155),0)),"")</f>
        <v/>
      </c>
      <c r="N156" s="11" t="str">
        <f>IF(I156="已计入",IF(AND(B156="卖出",'持仓总览'!$C$7="本金优先"),MAX(0,E156-Q155),IF(OR(B156="卖出",B156="现金分红"),MIN(E156,M156),0)),"")</f>
        <v/>
      </c>
      <c r="O156" s="11" t="str">
        <f t="shared" si="47">IF(I156="已计入",IF(OR(B156="卖出",B156="现金分红"),MIN(Q155,MAX(0,E156-N156)),0),"")</f>
        <v/>
      </c>
      <c r="P156" s="11" t="str">
        <f t="shared" si="48">IF(I156="已计入",IF(AND(B156="卖出",K156=0),MAX(0,Q155-O156),0),"")</f>
        <v/>
      </c>
      <c r="Q156" s="11">
        <f t="shared" si="49">IF(AA156="正常",IF(I156="已计入",ROUND(Q155+IF(OR(B156="买入",B156="定投",B156="转换转入"),E156,0)-O156-P156,2),Q155),"")</f>
        <v>129570</v>
      </c>
      <c r="R156" s="11" t="str">
        <f t="shared" si="40">IF(I156="已计入",ROUND(K156*C156,2),"")</f>
        <v/>
      </c>
      <c r="S156" s="11" t="str">
        <f t="shared" si="41">IF(I156="已计入",ROUND(R156-Q156,2),"")</f>
        <v/>
      </c>
      <c r="T156" s="12" t="str">
        <f t="shared" si="42">IF(I156="已计入",IF(Q156=0,"",S156/Q156),"")</f>
        <v/>
      </c>
      <c r="U156" s="11">
        <f t="shared" si="50">IF(AA156="正常",U155+IF(AND(I156="已计入",OR(B156="买入",B156="定投",B156="转换转入")),E156,0),"")</f>
        <v>129570</v>
      </c>
      <c r="V156" s="11">
        <f t="shared" si="51">IF(AA156="正常",V155+IF(AND(I156="已计入",OR(B156="卖出",B156="现金分红")),E156,0),"")</f>
        <v>0</v>
      </c>
      <c r="W156" s="11">
        <f t="shared" si="52">IF(AA156="正常",W155+IF(I156="已计入",N156,0),"")</f>
        <v>0</v>
      </c>
      <c r="X156" s="11">
        <f t="shared" si="53">IF(AA156="正常",X155+IF(I156="已计入",P156,0),"")</f>
        <v>0</v>
      </c>
      <c r="Y156" s="11" t="str">
        <f t="shared" si="43">IF(I156="已计入",ROUND(R156+V156-U156,2),"")</f>
        <v/>
      </c>
      <c r="Z156" s="13">
        <f t="shared" si="54">IF(AA156="正常",IF(I156="已计入",A156,Z155),"")</f>
        <v>46239</v>
      </c>
      <c r="AA156" s="10" t="str">
        <f>IF(OR($AA$134="错误",COUNTIF($G$135:G156,"待修正")&gt;0),"错误","正常")</f>
        <v>正常</v>
      </c>
      <c r="AB156" s="14">
        <f t="shared" si="55">IF(AA156="正常",IF(I156="已计入",C156,AB155),"")</f>
        <v>6.347</v>
      </c>
    </row>
    <row r="157" ht="23" customHeight="1">
      <c r="A157" s="36"/>
      <c r="B157" s="37"/>
      <c r="C157" s="38"/>
      <c r="D157" s="39"/>
      <c r="E157" s="44" t="str">
        <f t="shared" si="36">IF(AND(ISNUMBER(C157),ISNUMBER(D157),ISNUMBER(F157)),IF(OR(B157="买入",B157="定投"),ROUND(C157*D157+F157,2),IF(B157="卖出",ROUND(C157*D157-F157,2),IF(B157="红利再投",0,""))),"")</f>
        <v/>
      </c>
      <c r="F157" s="39"/>
      <c r="G157" s="45" t="str">
        <f t="shared" si="37">IF(COUNTA(A157:D157,F157)=0,"",IF(I157="已计入","已录入","待修正"))</f>
        <v/>
      </c>
      <c r="H157" s="46" t="str">
        <f t="shared" si="38">IF(COUNTA(A157:D157,F157)=0,"",IF(B157="红利再投","仅增加份额，不增加现金投入","金额由份额、净值和手续费推算"))</f>
        <v/>
      </c>
      <c r="I157" s="10" t="str">
        <f>IF(COUNTA(A157:D157,F157)=0,"",IF(NOT(ISNUMBER(A157)),"缺少有效净值日期",IF(OR(A157&lt;=0,A157&lt;&gt;INT(A157)),"净值日期无效",IF(OR(B157="转换转入",B157="现金分红"),"该类型需实际金额，五项录入不适用",IF(NOT(OR(OR(B157="买入",B157="定投"),B157="卖出",B157="红利再投")),"请选择交易类型",IF(NOT(ISNUMBER(C157)),"缺少成交净值",IF(C157&lt;=0,"成交净值须大于零",IF(NOT(ISNUMBER(D157)),"缺少确认份额",IF(D157&lt;=0,"确认份额须大于零",IF(NOT(ISNUMBER(F157)),"缺少手续费，无费用请填 0",IF(F157&lt;0,"手续费不能为负",IF(AA156="错误","前行待修正",IF(A157&lt;Z156,"日期需按成交顺序递增",IF(AND(B157="红利再投",F157&lt;&gt;0),"红利再投手续费应填 0",IF(AND(B157="红利再投",K156&lt;=0),"红利再投前须有持仓",IF(AND(B157="卖出",D157&gt;K156+0.000001),"卖出份额超过��仓",IF(AND(B157="卖出",F157&gt;=C157*D157),"赎回费不能达到赎回总额",IF(NOT(ISNUMBER(E157)),"自动金额未生成，请检查五项输入",IF(NOT(OR('持仓总览'!$C$7="利润优先",'持仓总览'!$C$7="本金优先")),"请选择卖出分配模式","已计入")))))))))))))))))))</f>
        <v/>
      </c>
      <c r="J157" s="11">
        <f t="shared" si="39">IF(AA157="正常",IF(I157="已计入",IF(OR(OR(B157="买入",B157="定投",B157="转换转入"),B157="红利再投"),D157,IF(B157="卖出",-D157,0)),0),"")</f>
        <v>0</v>
      </c>
      <c r="K157" s="11">
        <f t="shared" si="44">IF(AA157="正常",ROUND(K156+J157,6),"")</f>
        <v>25721.6</v>
      </c>
      <c r="L157" s="11" t="str">
        <f t="shared" si="45">IF(I157="已计入",ROUND(K156*C157,2),"")</f>
        <v/>
      </c>
      <c r="M157" s="11" t="str">
        <f t="shared" si="46">IF(I157="已计入",IF(B157="卖出",MAX(0,L157-Q156-F157),IF(B157="现金分红",MAX(0,L157+E157-Q156),0)),"")</f>
        <v/>
      </c>
      <c r="N157" s="11" t="str">
        <f>IF(I157="已计入",IF(AND(B157="卖出",'持仓总览'!$C$7="本金优先"),MAX(0,E157-Q156),IF(OR(B157="卖出",B157="现金分红"),MIN(E157,M157),0)),"")</f>
        <v/>
      </c>
      <c r="O157" s="11" t="str">
        <f t="shared" si="47">IF(I157="已计入",IF(OR(B157="卖出",B157="现金分红"),MIN(Q156,MAX(0,E157-N157)),0),"")</f>
        <v/>
      </c>
      <c r="P157" s="11" t="str">
        <f t="shared" si="48">IF(I157="已计入",IF(AND(B157="卖出",K157=0),MAX(0,Q156-O157),0),"")</f>
        <v/>
      </c>
      <c r="Q157" s="11">
        <f t="shared" si="49">IF(AA157="正常",IF(I157="已计入",ROUND(Q156+IF(OR(B157="买入",B157="定投",B157="转换转入"),E157,0)-O157-P157,2),Q156),"")</f>
        <v>129570</v>
      </c>
      <c r="R157" s="11" t="str">
        <f t="shared" si="40">IF(I157="已计入",ROUND(K157*C157,2),"")</f>
        <v/>
      </c>
      <c r="S157" s="11" t="str">
        <f t="shared" si="41">IF(I157="已计入",ROUND(R157-Q157,2),"")</f>
        <v/>
      </c>
      <c r="T157" s="12" t="str">
        <f t="shared" si="42">IF(I157="已计入",IF(Q157=0,"",S157/Q157),"")</f>
        <v/>
      </c>
      <c r="U157" s="11">
        <f t="shared" si="50">IF(AA157="正常",U156+IF(AND(I157="已计入",OR(B157="买入",B157="定投",B157="转换转入")),E157,0),"")</f>
        <v>129570</v>
      </c>
      <c r="V157" s="11">
        <f t="shared" si="51">IF(AA157="正常",V156+IF(AND(I157="已计入",OR(B157="卖出",B157="现金分红")),E157,0),"")</f>
        <v>0</v>
      </c>
      <c r="W157" s="11">
        <f t="shared" si="52">IF(AA157="正常",W156+IF(I157="已计入",N157,0),"")</f>
        <v>0</v>
      </c>
      <c r="X157" s="11">
        <f t="shared" si="53">IF(AA157="正常",X156+IF(I157="已计入",P157,0),"")</f>
        <v>0</v>
      </c>
      <c r="Y157" s="11" t="str">
        <f t="shared" si="43">IF(I157="已计入",ROUND(R157+V157-U157,2),"")</f>
        <v/>
      </c>
      <c r="Z157" s="13">
        <f t="shared" si="54">IF(AA157="正常",IF(I157="已计入",A157,Z156),"")</f>
        <v>46239</v>
      </c>
      <c r="AA157" s="10" t="str">
        <f>IF(OR($AA$134="错误",COUNTIF($G$135:G157,"待修正")&gt;0),"错误","正常")</f>
        <v>正常</v>
      </c>
      <c r="AB157" s="14">
        <f t="shared" si="55">IF(AA157="正常",IF(I157="已计入",C157,AB156),"")</f>
        <v>6.347</v>
      </c>
    </row>
    <row r="158" ht="23" customHeight="1">
      <c r="A158" s="36"/>
      <c r="B158" s="37"/>
      <c r="C158" s="38"/>
      <c r="D158" s="39"/>
      <c r="E158" s="44" t="str">
        <f t="shared" si="36">IF(AND(ISNUMBER(C158),ISNUMBER(D158),ISNUMBER(F158)),IF(OR(B158="买入",B158="定投"),ROUND(C158*D158+F158,2),IF(B158="卖出",ROUND(C158*D158-F158,2),IF(B158="红利再投",0,""))),"")</f>
        <v/>
      </c>
      <c r="F158" s="39"/>
      <c r="G158" s="45" t="str">
        <f t="shared" si="37">IF(COUNTA(A158:D158,F158)=0,"",IF(I158="已计入","已录入","待修正"))</f>
        <v/>
      </c>
      <c r="H158" s="46" t="str">
        <f t="shared" si="38">IF(COUNTA(A158:D158,F158)=0,"",IF(B158="红利再投","仅增加份额，不增加现金投入","金额由份额、净值和手续费推算"))</f>
        <v/>
      </c>
      <c r="I158" s="10" t="str">
        <f>IF(COUNTA(A158:D158,F158)=0,"",IF(NOT(ISNUMBER(A158)),"缺少有效净值日期",IF(OR(A158&lt;=0,A158&lt;&gt;INT(A158)),"净值日期无效",IF(OR(B158="转换转入",B158="现金分红"),"该类型需实际金额，五项录入不适用",IF(NOT(OR(OR(B158="买入",B158="定投"),B158="卖出",B158="红利再投")),"请选择交易类型",IF(NOT(ISNUMBER(C158)),"缺少成交净值",IF(C158&lt;=0,"成交净值须大于零",IF(NOT(ISNUMBER(D158)),"缺少确认份额",IF(D158&lt;=0,"确认份额须大于零",IF(NOT(ISNUMBER(F158)),"缺少手续费，无费用请填 0",IF(F158&lt;0,"手续费不能为负",IF(AA157="错误","前行待修正",IF(A158&lt;Z157,"日期需按成交顺序递增",IF(AND(B158="红利再投",F158&lt;&gt;0),"红利再投手续费应填 0",IF(AND(B158="红利再投",K157&lt;=0),"红利再投前须有持仓",IF(AND(B158="卖出",D158&gt;K157+0.000001),"卖出份额超过持仓",IF(AND(B158="卖出",F158&gt;=C158*D158),"赎回费不能达到赎回总额",IF(NOT(ISNUMBER(E158)),"自动金额未生成，请检查五项输入",IF(NOT(OR('持仓总览'!$C$7="利润优先",'持仓总览'!$C$7="本金优先")),"请选择卖出分配模式","已计入")))))))))))))))))))</f>
        <v/>
      </c>
      <c r="J158" s="11">
        <f t="shared" si="39">IF(AA158="正常",IF(I158="已计入",IF(OR(OR(B158="买入",B158="定投",B158="转换转入"),B158="红利再投"),D158,IF(B158="卖出",-D158,0)),0),"")</f>
        <v>0</v>
      </c>
      <c r="K158" s="11">
        <f t="shared" si="44">IF(AA158="正常",ROUND(K157+J158,6),"")</f>
        <v>25721.6</v>
      </c>
      <c r="L158" s="11" t="str">
        <f t="shared" si="45">IF(I158="已计入",ROUND(K157*C158,2),"")</f>
        <v/>
      </c>
      <c r="M158" s="11" t="str">
        <f t="shared" si="46">IF(I158="已计入",IF(B158="卖出",MAX(0,L158-Q157-F158),IF(B158="现金分红",MAX(0,L158+E158-Q157),0)),"")</f>
        <v/>
      </c>
      <c r="N158" s="11" t="str">
        <f>IF(I158="已计入",IF(AND(B158="卖出",'持仓总览'!$C$7="本金优先"),MAX(0,E158-Q157),IF(OR(B158="卖出",B158="现金分红"),MIN(E158,M158),0)),"")</f>
        <v/>
      </c>
      <c r="O158" s="11" t="str">
        <f t="shared" si="47">IF(I158="已计入",IF(OR(B158="卖出",B158="现金分红"),MIN(Q157,MAX(0,E158-N158)),0),"")</f>
        <v/>
      </c>
      <c r="P158" s="11" t="str">
        <f t="shared" si="48">IF(I158="已计入",IF(AND(B158="卖出",K158=0),MAX(0,Q157-O158),0),"")</f>
        <v/>
      </c>
      <c r="Q158" s="11">
        <f t="shared" si="49">IF(AA158="正常",IF(I158="已计入",ROUND(Q157+IF(OR(B158="买入",B158="定投",B158="转换转入"),E158,0)-O158-P158,2),Q157),"")</f>
        <v>129570</v>
      </c>
      <c r="R158" s="11" t="str">
        <f t="shared" si="40">IF(I158="已计入",ROUND(K158*C158,2),"")</f>
        <v/>
      </c>
      <c r="S158" s="11" t="str">
        <f t="shared" si="41">IF(I158="已计入",ROUND(R158-Q158,2),"")</f>
        <v/>
      </c>
      <c r="T158" s="12" t="str">
        <f t="shared" si="42">IF(I158="已计入",IF(Q158=0,"",S158/Q158),"")</f>
        <v/>
      </c>
      <c r="U158" s="11">
        <f t="shared" si="50">IF(AA158="正常",U157+IF(AND(I158="已计入",OR(B158="买入",B158="定投",B158="转换转入")),E158,0),"")</f>
        <v>129570</v>
      </c>
      <c r="V158" s="11">
        <f t="shared" si="51">IF(AA158="正常",V157+IF(AND(I158="已计入",OR(B158="卖出",B158="现金分红")),E158,0),"")</f>
        <v>0</v>
      </c>
      <c r="W158" s="11">
        <f t="shared" si="52">IF(AA158="正常",W157+IF(I158="已计入",N158,0),"")</f>
        <v>0</v>
      </c>
      <c r="X158" s="11">
        <f t="shared" si="53">IF(AA158="正常",X157+IF(I158="已计入",P158,0),"")</f>
        <v>0</v>
      </c>
      <c r="Y158" s="11" t="str">
        <f t="shared" si="43">IF(I158="已计入",ROUND(R158+V158-U158,2),"")</f>
        <v/>
      </c>
      <c r="Z158" s="13">
        <f t="shared" si="54">IF(AA158="正常",IF(I158="已计入",A158,Z157),"")</f>
        <v>46239</v>
      </c>
      <c r="AA158" s="10" t="str">
        <f>IF(OR($AA$134="错误",COUNTIF($G$135:G158,"待修正")&gt;0),"错误","正常")</f>
        <v>正常</v>
      </c>
      <c r="AB158" s="14">
        <f t="shared" si="55">IF(AA158="正常",IF(I158="已计入",C158,AB157),"")</f>
        <v>6.347</v>
      </c>
    </row>
    <row r="159" ht="23" customHeight="1">
      <c r="A159" s="36"/>
      <c r="B159" s="37"/>
      <c r="C159" s="38"/>
      <c r="D159" s="39"/>
      <c r="E159" s="44" t="str">
        <f t="shared" si="36">IF(AND(ISNUMBER(C159),ISNUMBER(D159),ISNUMBER(F159)),IF(OR(B159="买入",B159="定投"),ROUND(C159*D159+F159,2),IF(B159="卖出",ROUND(C159*D159-F159,2),IF(B159="红利再投",0,""))),"")</f>
        <v/>
      </c>
      <c r="F159" s="39"/>
      <c r="G159" s="45" t="str">
        <f t="shared" si="37">IF(COUNTA(A159:D159,F159)=0,"",IF(I159="已计入","已录入","待修正"))</f>
        <v/>
      </c>
      <c r="H159" s="46" t="str">
        <f t="shared" si="38">IF(COUNTA(A159:D159,F159)=0,"",IF(B159="红利再投","仅增加份额，不增加现金投入","金额由份额、净值和手续费推算"))</f>
        <v/>
      </c>
      <c r="I159" s="10" t="str">
        <f>IF(COUNTA(A159:D159,F159)=0,"",IF(NOT(ISNUMBER(A159)),"缺少有效净值日期",IF(OR(A159&lt;=0,A159&lt;&gt;INT(A159)),"净值日期无效",IF(OR(B159="转换转入",B159="现金分红"),"该类型需实际金额，五项录入不适用",IF(NOT(OR(OR(B159="买入",B159="定投"),B159="卖出",B159="红利再投")),"请选择交易类型",IF(NOT(ISNUMBER(C159)),"缺少成交净值",IF(C159&lt;=0,"成交净值须大于零",IF(NOT(ISNUMBER(D159)),"缺少确认份额",IF(D159&lt;=0,"确认份额须大于零",IF(NOT(ISNUMBER(F159)),"缺少手续费，无费用请填 0",IF(F159&lt;0,"手续费不能为负",IF(AA158="错误","前行待修正",IF(A159&lt;Z158,"日期需按成交顺序递增",IF(AND(B159="红利再投",F159&lt;&gt;0),"红利再投手续费应填 0",IF(AND(B159="红利再投",K158&lt;=0),"红利再投前须有持仓",IF(AND(B159="卖出",D159&gt;K158+0.000001),"卖出份额超过持仓",IF(AND(B159="卖出",F159&gt;=C159*D159),"赎回费不能达到赎回总额",IF(NOT(ISNUMBER(E159)),"自动金额未生成，请检查五项输入",IF(NOT(OR('持仓总览'!$C$7="利润优先",'持仓总览'!$C$7="本金优先")),"请选择卖出分配模式","已计入")))))))))))))))))))</f>
        <v/>
      </c>
      <c r="J159" s="11">
        <f t="shared" si="39">IF(AA159="正常",IF(I159="已计入",IF(OR(OR(B159="买入",B159="定投",B159="转换转入"),B159="红利再投"),D159,IF(B159="卖出",-D159,0)),0),"")</f>
        <v>0</v>
      </c>
      <c r="K159" s="11">
        <f t="shared" si="44">IF(AA159="正常",ROUND(K158+J159,6),"")</f>
        <v>25721.6</v>
      </c>
      <c r="L159" s="11" t="str">
        <f t="shared" si="45">IF(I159="已计入",ROUND(K158*C159,2),"")</f>
        <v/>
      </c>
      <c r="M159" s="11" t="str">
        <f t="shared" si="46">IF(I159="已计入",IF(B159="卖出",MAX(0,L159-Q158-F159),IF(B159="现金分红",MAX(0,L159+E159-Q158),0)),"")</f>
        <v/>
      </c>
      <c r="N159" s="11" t="str">
        <f>IF(I159="已计入",IF(AND(B159="卖出",'持仓总览'!$C$7="本金优先"),MAX(0,E159-Q158),IF(OR(B159="卖出",B159="现金分红"),MIN(E159,M159),0)),"")</f>
        <v/>
      </c>
      <c r="O159" s="11" t="str">
        <f t="shared" si="47">IF(I159="已计入",IF(OR(B159="卖出",B159="现金分红"),MIN(Q158,MAX(0,E159-N159)),0),"")</f>
        <v/>
      </c>
      <c r="P159" s="11" t="str">
        <f t="shared" si="48">IF(I159="已计入",IF(AND(B159="卖出",K159=0),MAX(0,Q158-O159),0),"")</f>
        <v/>
      </c>
      <c r="Q159" s="11">
        <f t="shared" si="49">IF(AA159="正常",IF(I159="已计入",ROUND(Q158+IF(OR(B159="买入",B159="定投",B159="转换转入"),E159,0)-O159-P159,2),Q158),"")</f>
        <v>129570</v>
      </c>
      <c r="R159" s="11" t="str">
        <f t="shared" si="40">IF(I159="已计入",ROUND(K159*C159,2),"")</f>
        <v/>
      </c>
      <c r="S159" s="11" t="str">
        <f t="shared" si="41">IF(I159="已计入",ROUND(R159-Q159,2),"")</f>
        <v/>
      </c>
      <c r="T159" s="12" t="str">
        <f t="shared" si="42">IF(I159="已计入",IF(Q159=0,"",S159/Q159),"")</f>
        <v/>
      </c>
      <c r="U159" s="11">
        <f t="shared" si="50">IF(AA159="正常",U158+IF(AND(I159="已计入",OR(B159="买入",B159="定投",B159="转换转入")),E159,0),"")</f>
        <v>129570</v>
      </c>
      <c r="V159" s="11">
        <f t="shared" si="51">IF(AA159="正常",V158+IF(AND(I159="已计入",OR(B159="卖出",B159="现金分红")),E159,0),"")</f>
        <v>0</v>
      </c>
      <c r="W159" s="11">
        <f t="shared" si="52">IF(AA159="正常",W158+IF(I159="已计入",N159,0),"")</f>
        <v>0</v>
      </c>
      <c r="X159" s="11">
        <f t="shared" si="53">IF(AA159="正常",X158+IF(I159="已计入",P159,0),"")</f>
        <v>0</v>
      </c>
      <c r="Y159" s="11" t="str">
        <f t="shared" si="43">IF(I159="已计入",ROUND(R159+V159-U159,2),"")</f>
        <v/>
      </c>
      <c r="Z159" s="13">
        <f t="shared" si="54">IF(AA159="正常",IF(I159="已计入",A159,Z158),"")</f>
        <v>46239</v>
      </c>
      <c r="AA159" s="10" t="str">
        <f>IF(OR($AA$134="错误",COUNTIF($G$135:G159,"待修正")&gt;0),"错误","正常")</f>
        <v>正常</v>
      </c>
      <c r="AB159" s="14">
        <f t="shared" si="55">IF(AA159="正常",IF(I159="已计入",C159,AB158),"")</f>
        <v>6.347</v>
      </c>
    </row>
    <row r="160" ht="23" customHeight="1">
      <c r="A160" s="36"/>
      <c r="B160" s="37"/>
      <c r="C160" s="38"/>
      <c r="D160" s="39"/>
      <c r="E160" s="44" t="str">
        <f t="shared" si="36">IF(AND(ISNUMBER(C160),ISNUMBER(D160),ISNUMBER(F160)),IF(OR(B160="买入",B160="定投"),ROUND(C160*D160+F160,2),IF(B160="卖出",ROUND(C160*D160-F160,2),IF(B160="红利再投",0,""))),"")</f>
        <v/>
      </c>
      <c r="F160" s="39"/>
      <c r="G160" s="45" t="str">
        <f t="shared" si="37">IF(COUNTA(A160:D160,F160)=0,"",IF(I160="已计入","已录入","待修正"))</f>
        <v/>
      </c>
      <c r="H160" s="46" t="str">
        <f t="shared" si="38">IF(COUNTA(A160:D160,F160)=0,"",IF(B160="红利再投","仅增加份额，不增加现金投入","金额由份额、净值和手续费推算"))</f>
        <v/>
      </c>
      <c r="I160" s="10" t="str">
        <f>IF(COUNTA(A160:D160,F160)=0,"",IF(NOT(ISNUMBER(A160)),"缺少有效净值日期",IF(OR(A160&lt;=0,A160&lt;&gt;INT(A160)),"净值日期无效",IF(OR(B160="转换转入",B160="现金分红"),"该类型需实际金额，五项录入不适用",IF(NOT(OR(OR(B160="买入",B160="定投"),B160="卖出",B160="红利再投")),"请选择交易类型",IF(NOT(ISNUMBER(C160)),"缺少成交净值",IF(C160&lt;=0,"成交净值须大于零",IF(NOT(ISNUMBER(D160)),"缺少确认份额",IF(D160&lt;=0,"确认份额须大于零",IF(NOT(ISNUMBER(F160)),"缺少手续费，无费用请填 0",IF(F160&lt;0,"手续费不能为负",IF(AA159="错误","前行待修正",IF(A160&lt;Z159,"日期需按成交顺序递增",IF(AND(B160="红利再投",F160&lt;&gt;0),"红利再投手续费应填 0",IF(AND(B160="红利再投",K159&lt;=0),"红利再投前须有持仓",IF(AND(B160="卖出",D160&gt;K159+0.000001),"卖出份额超过持仓",IF(AND(B160="卖出",F160&gt;=C160*D160),"赎回费不能达到赎回总额",IF(NOT(ISNUMBER(E160)),"自动金额未生成，请检查五项输入",IF(NOT(OR('持仓总览'!$C$7="利润优先",'持仓总览'!$C$7="本金优先")),"请选择卖出分配模式","已计入")))))))))))))))))))</f>
        <v/>
      </c>
      <c r="J160" s="11">
        <f t="shared" si="39">IF(AA160="正常",IF(I160="已计入",IF(OR(OR(B160="买入",B160="定投",B160="转换转入"),B160="红利再投"),D160,IF(B160="卖出",-D160,0)),0),"")</f>
        <v>0</v>
      </c>
      <c r="K160" s="11">
        <f t="shared" si="44">IF(AA160="正常",ROUND(K159+J160,6),"")</f>
        <v>25721.6</v>
      </c>
      <c r="L160" s="11" t="str">
        <f t="shared" si="45">IF(I160="已计入",ROUND(K159*C160,2),"")</f>
        <v/>
      </c>
      <c r="M160" s="11" t="str">
        <f t="shared" si="46">IF(I160="已计入",IF(B160="卖出",MAX(0,L160-Q159-F160),IF(B160="现金分红",MAX(0,L160+E160-Q159),0)),"")</f>
        <v/>
      </c>
      <c r="N160" s="11" t="str">
        <f>IF(I160="已计入",IF(AND(B160="卖出",'持仓总览'!$C$7="本金优先"),MAX(0,E160-Q159),IF(OR(B160="卖出",B160="现金分红"),MIN(E160,M160),0)),"")</f>
        <v/>
      </c>
      <c r="O160" s="11" t="str">
        <f t="shared" si="47">IF(I160="已计入",IF(OR(B160="卖出",B160="现金分红"),MIN(Q159,MAX(0,E160-N160)),0),"")</f>
        <v/>
      </c>
      <c r="P160" s="11" t="str">
        <f t="shared" si="48">IF(I160="已计入",IF(AND(B160="卖出",K160=0),MAX(0,Q159-O160),0),"")</f>
        <v/>
      </c>
      <c r="Q160" s="11">
        <f t="shared" si="49">IF(AA160="正常",IF(I160="已计入",ROUND(Q159+IF(OR(B160="买入",B160="定投",B160="转换转入"),E160,0)-O160-P160,2),Q159),"")</f>
        <v>129570</v>
      </c>
      <c r="R160" s="11" t="str">
        <f t="shared" si="40">IF(I160="已计入",ROUND(K160*C160,2),"")</f>
        <v/>
      </c>
      <c r="S160" s="11" t="str">
        <f t="shared" si="41">IF(I160="已计入",ROUND(R160-Q160,2),"")</f>
        <v/>
      </c>
      <c r="T160" s="12" t="str">
        <f t="shared" si="42">IF(I160="已计入",IF(Q160=0,"",S160/Q160),"")</f>
        <v/>
      </c>
      <c r="U160" s="11">
        <f t="shared" si="50">IF(AA160="正常",U159+IF(AND(I160="已计入",OR(B160="买入",B160="定投",B160="转换转入")),E160,0),"")</f>
        <v>129570</v>
      </c>
      <c r="V160" s="11">
        <f t="shared" si="51">IF(AA160="正常",V159+IF(AND(I160="已计入",OR(B160="卖出",B160="现金分红")),E160,0),"")</f>
        <v>0</v>
      </c>
      <c r="W160" s="11">
        <f t="shared" si="52">IF(AA160="正常",W159+IF(I160="已计入",N160,0),"")</f>
        <v>0</v>
      </c>
      <c r="X160" s="11">
        <f t="shared" si="53">IF(AA160="正常",X159+IF(I160="已计入",P160,0),"")</f>
        <v>0</v>
      </c>
      <c r="Y160" s="11" t="str">
        <f t="shared" si="43">IF(I160="已计入",ROUND(R160+V160-U160,2),"")</f>
        <v/>
      </c>
      <c r="Z160" s="13">
        <f t="shared" si="54">IF(AA160="正常",IF(I160="已计入",A160,Z159),"")</f>
        <v>46239</v>
      </c>
      <c r="AA160" s="10" t="str">
        <f>IF(OR($AA$134="错误",COUNTIF($G$135:G160,"待修正")&gt;0),"错误","正常")</f>
        <v>正常</v>
      </c>
      <c r="AB160" s="14">
        <f t="shared" si="55">IF(AA160="正常",IF(I160="已计入",C160,AB159),"")</f>
        <v>6.347</v>
      </c>
    </row>
    <row r="161" ht="23" customHeight="1">
      <c r="A161" s="36"/>
      <c r="B161" s="37"/>
      <c r="C161" s="38"/>
      <c r="D161" s="39"/>
      <c r="E161" s="44" t="str">
        <f t="shared" si="36">IF(AND(ISNUMBER(C161),ISNUMBER(D161),ISNUMBER(F161)),IF(OR(B161="买入",B161="定投"),ROUND(C161*D161+F161,2),IF(B161="卖出",ROUND(C161*D161-F161,2),IF(B161="红利再投",0,""))),"")</f>
        <v/>
      </c>
      <c r="F161" s="39"/>
      <c r="G161" s="45" t="str">
        <f t="shared" si="37">IF(COUNTA(A161:D161,F161)=0,"",IF(I161="已计入","已录入","待修正"))</f>
        <v/>
      </c>
      <c r="H161" s="46" t="str">
        <f t="shared" si="38">IF(COUNTA(A161:D161,F161)=0,"",IF(B161="红利再投","仅增加份额，不增加现金投入","金额由份额、净值和手续费推算"))</f>
        <v/>
      </c>
      <c r="I161" s="10" t="str">
        <f>IF(COUNTA(A161:D161,F161)=0,"",IF(NOT(ISNUMBER(A161)),"缺少有效净值日期",IF(OR(A161&lt;=0,A161&lt;&gt;INT(A161)),"净值日期无效",IF(OR(B161="转换转入",B161="现金分红"),"该类型需实际金额，五项录入不适用",IF(NOT(OR(OR(B161="买入",B161="定投"),B161="卖出",B161="红利再投")),"请选择交易类型",IF(NOT(ISNUMBER(C161)),"缺少成交净值",IF(C161&lt;=0,"成交净值须大于零",IF(NOT(ISNUMBER(D161)),"缺少确认份额",IF(D161&lt;=0,"确认份额须大于零",IF(NOT(ISNUMBER(F161)),"缺少手续费，无费用请填 0",IF(F161&lt;0,"手续费不能为负",IF(AA160="错误","前行待修正",IF(A161&lt;Z160,"日期需按成交顺序递增",IF(AND(B161="红利再投",F161&lt;&gt;0),"红利再投手续费应填 0",IF(AND(B161="红利再投",K160&lt;=0),"红利再投前须有持仓",IF(AND(B161="卖出",D161&gt;K160+0.000001),"卖出份额超过持仓",IF(AND(B161="卖出",F161&gt;=C161*D161),"赎回费不能达到赎回总额",IF(NOT(ISNUMBER(E161)),"自动金额未生成，请检查五项输入",IF(NOT(OR('持仓总览'!$C$7="利润优先",'持仓总览'!$C$7="本金优先")),"请选择卖出分配模式","已计入")))))))))))))))))))</f>
        <v/>
      </c>
      <c r="J161" s="11">
        <f t="shared" si="39">IF(AA161="正常",IF(I161="已计入",IF(OR(OR(B161="买入",B161="定投",B161="转换转入"),B161="红利再投"),D161,IF(B161="卖出",-D161,0)),0),"")</f>
        <v>0</v>
      </c>
      <c r="K161" s="11">
        <f t="shared" si="44">IF(AA161="正常",ROUND(K160+J161,6),"")</f>
        <v>25721.6</v>
      </c>
      <c r="L161" s="11" t="str">
        <f t="shared" si="45">IF(I161="已计入",ROUND(K160*C161,2),"")</f>
        <v/>
      </c>
      <c r="M161" s="11" t="str">
        <f t="shared" si="46">IF(I161="已计入",IF(B161="卖出",MAX(0,L161-Q160-F161),IF(B161="现金分红",MAX(0,L161+E161-Q160),0)),"")</f>
        <v/>
      </c>
      <c r="N161" s="11" t="str">
        <f>IF(I161="已计入",IF(AND(B161="卖出",'持仓总览'!$C$7="本金优先"),MAX(0,E161-Q160),IF(OR(B161="卖出",B161="现金分红"),MIN(E161,M161),0)),"")</f>
        <v/>
      </c>
      <c r="O161" s="11" t="str">
        <f t="shared" si="47">IF(I161="已计入",IF(OR(B161="卖出",B161="现金分红"),MIN(Q160,MAX(0,E161-N161)),0),"")</f>
        <v/>
      </c>
      <c r="P161" s="11" t="str">
        <f t="shared" si="48">IF(I161="已计入",IF(AND(B161="卖出",K161=0),MAX(0,Q160-O161),0),"")</f>
        <v/>
      </c>
      <c r="Q161" s="11">
        <f t="shared" si="49">IF(AA161="正常",IF(I161="已计入",ROUND(Q160+IF(OR(B161="买入",B161="定投",B161="转换转入"),E161,0)-O161-P161,2),Q160),"")</f>
        <v>129570</v>
      </c>
      <c r="R161" s="11" t="str">
        <f t="shared" si="40">IF(I161="已计入",ROUND(K161*C161,2),"")</f>
        <v/>
      </c>
      <c r="S161" s="11" t="str">
        <f t="shared" si="41">IF(I161="已计入",ROUND(R161-Q161,2),"")</f>
        <v/>
      </c>
      <c r="T161" s="12" t="str">
        <f t="shared" si="42">IF(I161="已计入",IF(Q161=0,"",S161/Q161),"")</f>
        <v/>
      </c>
      <c r="U161" s="11">
        <f t="shared" si="50">IF(AA161="正常",U160+IF(AND(I161="已计入",OR(B161="买入",B161="定投",B161="转换转入")),E161,0),"")</f>
        <v>129570</v>
      </c>
      <c r="V161" s="11">
        <f t="shared" si="51">IF(AA161="正常",V160+IF(AND(I161="已计入",OR(B161="卖出",B161="现金分红")),E161,0),"")</f>
        <v>0</v>
      </c>
      <c r="W161" s="11">
        <f t="shared" si="52">IF(AA161="正常",W160+IF(I161="已计入",N161,0),"")</f>
        <v>0</v>
      </c>
      <c r="X161" s="11">
        <f t="shared" si="53">IF(AA161="正常",X160+IF(I161="已计入",P161,0),"")</f>
        <v>0</v>
      </c>
      <c r="Y161" s="11" t="str">
        <f t="shared" si="43">IF(I161="已计入",ROUND(R161+V161-U161,2),"")</f>
        <v/>
      </c>
      <c r="Z161" s="13">
        <f t="shared" si="54">IF(AA161="正常",IF(I161="已计入",A161,Z160),"")</f>
        <v>46239</v>
      </c>
      <c r="AA161" s="10" t="str">
        <f>IF(OR($AA$134="错误",COUNTIF($G$135:G161,"待修正")&gt;0),"错误","正常")</f>
        <v>正常</v>
      </c>
      <c r="AB161" s="14">
        <f t="shared" si="55">IF(AA161="正常",IF(I161="已计入",C161,AB160),"")</f>
        <v>6.347</v>
      </c>
    </row>
    <row r="162" ht="23" customHeight="1">
      <c r="A162" s="36"/>
      <c r="B162" s="37"/>
      <c r="C162" s="38"/>
      <c r="D162" s="39"/>
      <c r="E162" s="44" t="str">
        <f t="shared" si="36">IF(AND(ISNUMBER(C162),ISNUMBER(D162),ISNUMBER(F162)),IF(OR(B162="买入",B162="定投"),ROUND(C162*D162+F162,2),IF(B162="卖出",ROUND(C162*D162-F162,2),IF(B162="红利再投",0,""))),"")</f>
        <v/>
      </c>
      <c r="F162" s="39"/>
      <c r="G162" s="45" t="str">
        <f t="shared" si="37">IF(COUNTA(A162:D162,F162)=0,"",IF(I162="已计入","已录入","待修正"))</f>
        <v/>
      </c>
      <c r="H162" s="46" t="str">
        <f t="shared" si="38">IF(COUNTA(A162:D162,F162)=0,"",IF(B162="红利再投","仅增加份额，不增加现金投入","金额由份额、净值和手续费推算"))</f>
        <v/>
      </c>
      <c r="I162" s="10" t="str">
        <f>IF(COUNTA(A162:D162,F162)=0,"",IF(NOT(ISNUMBER(A162)),"缺少有效净值日期",IF(OR(A162&lt;=0,A162&lt;&gt;INT(A162)),"净值日期无效",IF(OR(B162="转换转入",B162="现金分红"),"该类型需实际金额，五项录入不适用",IF(NOT(OR(OR(B162="买入",B162="定投"),B162="卖出",B162="红利再投")),"请选择交易类型",IF(NOT(ISNUMBER(C162)),"缺少成交净值",IF(C162&lt;=0,"成交净值须大于零",IF(NOT(ISNUMBER(D162)),"缺少确认份额",IF(D162&lt;=0,"确认份额须大于零",IF(NOT(ISNUMBER(F162)),"缺少手续费，无费用请填 0",IF(F162&lt;0,"手续费不能为负",IF(AA161="错误","前行待修正",IF(A162&lt;Z161,"日期需按成交顺序递增",IF(AND(B162="红利再投",F162&lt;&gt;0),"红利再投手续费应填 0",IF(AND(B162="红利再投",K161&lt;=0),"红利再投前须有持仓",IF(AND(B162="卖出",D162&gt;K161+0.000001),"卖出份额超过持仓",IF(AND(B162="卖出",F162&gt;=C162*D162),"赎回费不能达到赎回总额",IF(NOT(ISNUMBER(E162)),"自动金额未生成，请检查五项输入",IF(NOT(OR('持仓总览'!$C$7="利润优先",'持仓总览'!$C$7="本金优先")),"请选择卖出分配模式","已计入")))))))))))))))))))</f>
        <v/>
      </c>
      <c r="J162" s="11">
        <f t="shared" si="39">IF(AA162="正常",IF(I162="已计入",IF(OR(OR(B162="买入",B162="定投",B162="转换转入"),B162="红利再投"),D162,IF(B162="卖出",-D162,0)),0),"")</f>
        <v>0</v>
      </c>
      <c r="K162" s="11">
        <f t="shared" si="44">IF(AA162="正常",ROUND(K161+J162,6),"")</f>
        <v>25721.6</v>
      </c>
      <c r="L162" s="11" t="str">
        <f t="shared" si="45">IF(I162="已计入",ROUND(K161*C162,2),"")</f>
        <v/>
      </c>
      <c r="M162" s="11" t="str">
        <f t="shared" si="46">IF(I162="已计入",IF(B162="卖出",MAX(0,L162-Q161-F162),IF(B162="现金分红",MAX(0,L162+E162-Q161),0)),"")</f>
        <v/>
      </c>
      <c r="N162" s="11" t="str">
        <f>IF(I162="已计入",IF(AND(B162="卖出",'持仓总览'!$C$7="本金优先"),MAX(0,E162-Q161),IF(OR(B162="卖出",B162="现金分红"),MIN(E162,M162),0)),"")</f>
        <v/>
      </c>
      <c r="O162" s="11" t="str">
        <f t="shared" si="47">IF(I162="已计入",IF(OR(B162="卖出",B162="现金分红"),MIN(Q161,MAX(0,E162-N162)),0),"")</f>
        <v/>
      </c>
      <c r="P162" s="11" t="str">
        <f t="shared" si="48">IF(I162="已计入",IF(AND(B162="卖出",K162=0),MAX(0,Q161-O162),0),"")</f>
        <v/>
      </c>
      <c r="Q162" s="11">
        <f t="shared" si="49">IF(AA162="正常",IF(I162="已计入",ROUND(Q161+IF(OR(B162="买入",B162="定投",B162="转换转入"),E162,0)-O162-P162,2),Q161),"")</f>
        <v>129570</v>
      </c>
      <c r="R162" s="11" t="str">
        <f t="shared" si="40">IF(I162="已计入",ROUND(K162*C162,2),"")</f>
        <v/>
      </c>
      <c r="S162" s="11" t="str">
        <f t="shared" si="41">IF(I162="已计入",ROUND(R162-Q162,2),"")</f>
        <v/>
      </c>
      <c r="T162" s="12" t="str">
        <f t="shared" si="42">IF(I162="已计入",IF(Q162=0,"",S162/Q162),"")</f>
        <v/>
      </c>
      <c r="U162" s="11">
        <f t="shared" si="50">IF(AA162="正常",U161+IF(AND(I162="已计入",OR(B162="买入",B162="定投",B162="转换转入")),E162,0),"")</f>
        <v>129570</v>
      </c>
      <c r="V162" s="11">
        <f t="shared" si="51">IF(AA162="正常",V161+IF(AND(I162="已计入",OR(B162="卖出",B162="现金分红")),E162,0),"")</f>
        <v>0</v>
      </c>
      <c r="W162" s="11">
        <f t="shared" si="52">IF(AA162="正常",W161+IF(I162="已计入",N162,0),"")</f>
        <v>0</v>
      </c>
      <c r="X162" s="11">
        <f t="shared" si="53">IF(AA162="正常",X161+IF(I162="已计入",P162,0),"")</f>
        <v>0</v>
      </c>
      <c r="Y162" s="11" t="str">
        <f t="shared" si="43">IF(I162="已计入",ROUND(R162+V162-U162,2),"")</f>
        <v/>
      </c>
      <c r="Z162" s="13">
        <f t="shared" si="54">IF(AA162="正常",IF(I162="已计入",A162,Z161),"")</f>
        <v>46239</v>
      </c>
      <c r="AA162" s="10" t="str">
        <f>IF(OR($AA$134="错误",COUNTIF($G$135:G162,"待修正")&gt;0),"错误","正常")</f>
        <v>正常</v>
      </c>
      <c r="AB162" s="14">
        <f t="shared" si="55">IF(AA162="正常",IF(I162="已计入",C162,AB161),"")</f>
        <v>6.347</v>
      </c>
    </row>
    <row r="163" ht="23" customHeight="1">
      <c r="A163" s="36"/>
      <c r="B163" s="37"/>
      <c r="C163" s="38"/>
      <c r="D163" s="39"/>
      <c r="E163" s="44" t="str">
        <f t="shared" si="36">IF(AND(ISNUMBER(C163),ISNUMBER(D163),ISNUMBER(F163)),IF(OR(B163="买入",B163="定投"),ROUND(C163*D163+F163,2),IF(B163="卖出",ROUND(C163*D163-F163,2),IF(B163="红利再投",0,""))),"")</f>
        <v/>
      </c>
      <c r="F163" s="39"/>
      <c r="G163" s="45" t="str">
        <f t="shared" si="37">IF(COUNTA(A163:D163,F163)=0,"",IF(I163="已计入","已录入","待修正"))</f>
        <v/>
      </c>
      <c r="H163" s="46" t="str">
        <f t="shared" si="38">IF(COUNTA(A163:D163,F163)=0,"",IF(B163="红利再投","仅增加份额，不增加现金投入","金额由份额、净值和手续费推算"))</f>
        <v/>
      </c>
      <c r="I163" s="10" t="str">
        <f>IF(COUNTA(A163:D163,F163)=0,"",IF(NOT(ISNUMBER(A163)),"缺少有效净值日期",IF(OR(A163&lt;=0,A163&lt;&gt;INT(A163)),"净值日期无效",IF(OR(B163="转换转入",B163="现金分红"),"该类型需实际金额，五项录入不适用",IF(NOT(OR(OR(B163="买入",B163="定投"),B163="卖出",B163="红利再投")),"请选择交易类型",IF(NOT(ISNUMBER(C163)),"缺少成交净值",IF(C163&lt;=0,"成交净值须大于零",IF(NOT(ISNUMBER(D163)),"缺少确认份额",IF(D163&lt;=0,"确认份额须大于零",IF(NOT(ISNUMBER(F163)),"缺少手续费，无费用请填 0",IF(F163&lt;0,"手续费不能为负",IF(AA162="错误","前行待修正",IF(A163&lt;Z162,"日期需按成交顺序递增",IF(AND(B163="红利再投",F163&lt;&gt;0),"红利再投手续费应填 0",IF(AND(B163="红利再投",K162&lt;=0),"红利再投前须有持仓",IF(AND(B163="卖出",D163&gt;K162+0.000001),"卖出份额超过持仓",IF(AND(B163="卖出",F163&gt;=C163*D163),"赎回费不能达到赎回总额",IF(NOT(ISNUMBER(E163)),"自动金额未生成，请检查五项输入",IF(NOT(OR('持仓总览'!$C$7="利润优先",'持仓总览'!$C$7="本金优先")),"请选择卖出分配模式","已计入")))))))))))))))))))</f>
        <v/>
      </c>
      <c r="J163" s="11">
        <f t="shared" si="39">IF(AA163="正常",IF(I163="已计入",IF(OR(OR(B163="买入",B163="定投",B163="转换转入"),B163="红利再投"),D163,IF(B163="卖出",-D163,0)),0),"")</f>
        <v>0</v>
      </c>
      <c r="K163" s="11">
        <f t="shared" si="44">IF(AA163="正常",ROUND(K162+J163,6),"")</f>
        <v>25721.6</v>
      </c>
      <c r="L163" s="11" t="str">
        <f t="shared" si="45">IF(I163="已计入",ROUND(K162*C163,2),"")</f>
        <v/>
      </c>
      <c r="M163" s="11" t="str">
        <f t="shared" si="46">IF(I163="已计入",IF(B163="卖出",MAX(0,L163-Q162-F163),IF(B163="现金分红",MAX(0,L163+E163-Q162),0)),"")</f>
        <v/>
      </c>
      <c r="N163" s="11" t="str">
        <f>IF(I163="已计入",IF(AND(B163="卖出",'持仓总览'!$C$7="本金优先"),MAX(0,E163-Q162),IF(OR(B163="卖出",B163="现金分红"),MIN(E163,M163),0)),"")</f>
        <v/>
      </c>
      <c r="O163" s="11" t="str">
        <f t="shared" si="47">IF(I163="已计入",IF(OR(B163="卖出",B163="现金分红"),MIN(Q162,MAX(0,E163-N163)),0),"")</f>
        <v/>
      </c>
      <c r="P163" s="11" t="str">
        <f t="shared" si="48">IF(I163="已计入",IF(AND(B163="卖出",K163=0),MAX(0,Q162-O163),0),"")</f>
        <v/>
      </c>
      <c r="Q163" s="11">
        <f t="shared" si="49">IF(AA163="正常",IF(I163="已计入",ROUND(Q162+IF(OR(B163="买入",B163="定投",B163="转换转入"),E163,0)-O163-P163,2),Q162),"")</f>
        <v>129570</v>
      </c>
      <c r="R163" s="11" t="str">
        <f t="shared" si="40">IF(I163="已计入",ROUND(K163*C163,2),"")</f>
        <v/>
      </c>
      <c r="S163" s="11" t="str">
        <f t="shared" si="41">IF(I163="已计入",ROUND(R163-Q163,2),"")</f>
        <v/>
      </c>
      <c r="T163" s="12" t="str">
        <f t="shared" si="42">IF(I163="已计入",IF(Q163=0,"",S163/Q163),"")</f>
        <v/>
      </c>
      <c r="U163" s="11">
        <f t="shared" si="50">IF(AA163="正常",U162+IF(AND(I163="已计入",OR(B163="买入",B163="定投",B163="转换转入")),E163,0),"")</f>
        <v>129570</v>
      </c>
      <c r="V163" s="11">
        <f t="shared" si="51">IF(AA163="正常",V162+IF(AND(I163="已计入",OR(B163="卖出",B163="现金分红")),E163,0),"")</f>
        <v>0</v>
      </c>
      <c r="W163" s="11">
        <f t="shared" si="52">IF(AA163="正常",W162+IF(I163="已计入",N163,0),"")</f>
        <v>0</v>
      </c>
      <c r="X163" s="11">
        <f t="shared" si="53">IF(AA163="正常",X162+IF(I163="已计入",P163,0),"")</f>
        <v>0</v>
      </c>
      <c r="Y163" s="11" t="str">
        <f t="shared" si="43">IF(I163="已计入",ROUND(R163+V163-U163,2),"")</f>
        <v/>
      </c>
      <c r="Z163" s="13">
        <f t="shared" si="54">IF(AA163="正常",IF(I163="已计入",A163,Z162),"")</f>
        <v>46239</v>
      </c>
      <c r="AA163" s="10" t="str">
        <f>IF(OR($AA$134="错误",COUNTIF($G$135:G163,"待修正")&gt;0),"错误","正常")</f>
        <v>正常</v>
      </c>
      <c r="AB163" s="14">
        <f t="shared" si="55">IF(AA163="正常",IF(I163="已计入",C163,AB162),"")</f>
        <v>6.347</v>
      </c>
    </row>
    <row r="164" ht="23" customHeight="1">
      <c r="A164" s="36"/>
      <c r="B164" s="37"/>
      <c r="C164" s="38"/>
      <c r="D164" s="39"/>
      <c r="E164" s="44" t="str">
        <f t="shared" si="36">IF(AND(ISNUMBER(C164),ISNUMBER(D164),ISNUMBER(F164)),IF(OR(B164="买入",B164="定投"),ROUND(C164*D164+F164,2),IF(B164="卖出",ROUND(C164*D164-F164,2),IF(B164="红利再投",0,""))),"")</f>
        <v/>
      </c>
      <c r="F164" s="39"/>
      <c r="G164" s="45" t="str">
        <f t="shared" si="37">IF(COUNTA(A164:D164,F164)=0,"",IF(I164="已计入","已录入","待修正"))</f>
        <v/>
      </c>
      <c r="H164" s="46" t="str">
        <f t="shared" si="38">IF(COUNTA(A164:D164,F164)=0,"",IF(B164="红利再投","仅增加份额，不增加现金投入","金额由份额、净值和手续费推算"))</f>
        <v/>
      </c>
      <c r="I164" s="10" t="str">
        <f>IF(COUNTA(A164:D164,F164)=0,"",IF(NOT(ISNUMBER(A164)),"缺少有效净值日期",IF(OR(A164&lt;=0,A164&lt;&gt;INT(A164)),"净值日期无效",IF(OR(B164="转换转入",B164="现金分红"),"该类型需实际金额，五项录入不适用",IF(NOT(OR(OR(B164="买入",B164="定投"),B164="卖出",B164="红利再投")),"请选择交易类型",IF(NOT(ISNUMBER(C164)),"缺少成交净值",IF(C164&lt;=0,"成交净值须大于零",IF(NOT(ISNUMBER(D164)),"缺少确认份额",IF(D164&lt;=0,"确认份额须大于零",IF(NOT(ISNUMBER(F164)),"缺少手续费，无费用请填 0",IF(F164&lt;0,"手续费不能为负",IF(AA163="错误","前行待修正",IF(A164&lt;Z163,"日期需按成交顺序递增",IF(AND(B164="红利再投",F164&lt;&gt;0),"红利再投手续费应填 0",IF(AND(B164="红利再投",K163&lt;=0),"红利再投前须有持仓",IF(AND(B164="卖出",D164&gt;K163+0.000001),"卖出份额超过持仓",IF(AND(B164="卖出",F164&gt;=C164*D164),"赎回费不能达到赎回总额",IF(NOT(ISNUMBER(E164)),"自动金额未生成，请检查五项输入",IF(NOT(OR('持仓总览'!$C$7="利润优先",'持仓总览'!$C$7="本金优先")),"请选择卖出分配模式","已计入")))))))))))))))))))</f>
        <v/>
      </c>
      <c r="J164" s="11">
        <f t="shared" si="39">IF(AA164="正常",IF(I164="已计入",IF(OR(OR(B164="买入",B164="定投",B164="转换转入"),B164="红利再投"),D164,IF(B164="卖出",-D164,0)),0),"")</f>
        <v>0</v>
      </c>
      <c r="K164" s="11">
        <f t="shared" si="44">IF(AA164="正常",ROUND(K163+J164,6),"")</f>
        <v>25721.6</v>
      </c>
      <c r="L164" s="11" t="str">
        <f t="shared" si="45">IF(I164="已计入",ROUND(K163*C164,2),"")</f>
        <v/>
      </c>
      <c r="M164" s="11" t="str">
        <f t="shared" si="46">IF(I164="已计入",IF(B164="卖出",MAX(0,L164-Q163-F164),IF(B164="现金分红",MAX(0,L164+E164-Q163),0)),"")</f>
        <v/>
      </c>
      <c r="N164" s="11" t="str">
        <f>IF(I164="已计入",IF(AND(B164="卖出",'持仓总览'!$C$7="本金优先"),MAX(0,E164-Q163),IF(OR(B164="卖出",B164="现金分红"),MIN(E164,M164),0)),"")</f>
        <v/>
      </c>
      <c r="O164" s="11" t="str">
        <f t="shared" si="47">IF(I164="已计入",IF(OR(B164="卖出",B164="现金分红"),MIN(Q163,MAX(0,E164-N164)),0),"")</f>
        <v/>
      </c>
      <c r="P164" s="11" t="str">
        <f t="shared" si="48">IF(I164="已计入",IF(AND(B164="卖出",K164=0),MAX(0,Q163-O164),0),"")</f>
        <v/>
      </c>
      <c r="Q164" s="11">
        <f t="shared" si="49">IF(AA164="正常",IF(I164="已计入",ROUND(Q163+IF(OR(B164="买入",B164="定投",B164="转换转入"),E164,0)-O164-P164,2),Q163),"")</f>
        <v>129570</v>
      </c>
      <c r="R164" s="11" t="str">
        <f t="shared" si="40">IF(I164="已计入",ROUND(K164*C164,2),"")</f>
        <v/>
      </c>
      <c r="S164" s="11" t="str">
        <f t="shared" si="41">IF(I164="已计入",ROUND(R164-Q164,2),"")</f>
        <v/>
      </c>
      <c r="T164" s="12" t="str">
        <f t="shared" si="42">IF(I164="已计入",IF(Q164=0,"",S164/Q164),"")</f>
        <v/>
      </c>
      <c r="U164" s="11">
        <f t="shared" si="50">IF(AA164="正常",U163+IF(AND(I164="已计入",OR(B164="买入",B164="定投",B164="转换转入")),E164,0),"")</f>
        <v>129570</v>
      </c>
      <c r="V164" s="11">
        <f t="shared" si="51">IF(AA164="正常",V163+IF(AND(I164="已计入",OR(B164="卖出",B164="现金分红")),E164,0),"")</f>
        <v>0</v>
      </c>
      <c r="W164" s="11">
        <f t="shared" si="52">IF(AA164="正常",W163+IF(I164="已计入",N164,0),"")</f>
        <v>0</v>
      </c>
      <c r="X164" s="11">
        <f t="shared" si="53">IF(AA164="正常",X163+IF(I164="已计入",P164,0),"")</f>
        <v>0</v>
      </c>
      <c r="Y164" s="11" t="str">
        <f t="shared" si="43">IF(I164="已计入",ROUND(R164+V164-U164,2),"")</f>
        <v/>
      </c>
      <c r="Z164" s="13">
        <f t="shared" si="54">IF(AA164="正常",IF(I164="已计入",A164,Z163),"")</f>
        <v>46239</v>
      </c>
      <c r="AA164" s="10" t="str">
        <f>IF(OR($AA$134="错误",COUNTIF($G$135:G164,"待修正")&gt;0),"错误","正常")</f>
        <v>正常</v>
      </c>
      <c r="AB164" s="14">
        <f t="shared" si="55">IF(AA164="正常",IF(I164="已计入",C164,AB163),"")</f>
        <v>6.347</v>
      </c>
    </row>
    <row r="165" ht="23" customHeight="1">
      <c r="A165" s="36"/>
      <c r="B165" s="37"/>
      <c r="C165" s="38"/>
      <c r="D165" s="39"/>
      <c r="E165" s="44" t="str">
        <f t="shared" si="36">IF(AND(ISNUMBER(C165),ISNUMBER(D165),ISNUMBER(F165)),IF(OR(B165="买入",B165="定投"),ROUND(C165*D165+F165,2),IF(B165="卖出",ROUND(C165*D165-F165,2),IF(B165="红利再投",0,""))),"")</f>
        <v/>
      </c>
      <c r="F165" s="39"/>
      <c r="G165" s="45" t="str">
        <f t="shared" si="37">IF(COUNTA(A165:D165,F165)=0,"",IF(I165="已计入","已录入","待修正"))</f>
        <v/>
      </c>
      <c r="H165" s="46" t="str">
        <f t="shared" si="38">IF(COUNTA(A165:D165,F165)=0,"",IF(B165="红利再投","仅增加份额，不增加现金投入","金额由份额、净值和手续费推算"))</f>
        <v/>
      </c>
      <c r="I165" s="10" t="str">
        <f>IF(COUNTA(A165:D165,F165)=0,"",IF(NOT(ISNUMBER(A165)),"缺少有效净值日期",IF(OR(A165&lt;=0,A165&lt;&gt;INT(A165)),"净值日期无效",IF(OR(B165="转换转入",B165="现金分红"),"该类型需实际金额，五项录入不适用",IF(NOT(OR(OR(B165="买入",B165="定投"),B165="卖出",B165="红利再投")),"请选择交易类型",IF(NOT(ISNUMBER(C165)),"缺少成交净值",IF(C165&lt;=0,"成交净值须大于零",IF(NOT(ISNUMBER(D165)),"缺少确认份额",IF(D165&lt;=0,"确认份额须大于零",IF(NOT(ISNUMBER(F165)),"缺少手续费，无费用请填 0",IF(F165&lt;0,"手续费不能为负",IF(AA164="错误","前行待修正",IF(A165&lt;Z164,"日期需按成交顺序递增",IF(AND(B165="红利再投",F165&lt;&gt;0),"红利再投手续费应填 0",IF(AND(B165="红利再投",K164&lt;=0),"红利再投前须有持仓",IF(AND(B165="卖出",D165&gt;K164+0.000001),"卖出份额超过持仓",IF(AND(B165="卖出",F165&gt;=C165*D165),"赎回费不能达到赎回总额",IF(NOT(ISNUMBER(E165)),"自动金额未生成，请检查五项输入",IF(NOT(OR('持仓总览'!$C$7="利润优先",'持仓总览'!$C$7="本金优先")),"请选择卖出分配模式","已计入")))))))))))))))))))</f>
        <v/>
      </c>
      <c r="J165" s="11">
        <f t="shared" si="39">IF(AA165="正常",IF(I165="已计入",IF(OR(OR(B165="买入",B165="定投",B165="转换转入"),B165="红利再投"),D165,IF(B165="卖出",-D165,0)),0),"")</f>
        <v>0</v>
      </c>
      <c r="K165" s="11">
        <f t="shared" si="44">IF(AA165="正常",ROUND(K164+J165,6),"")</f>
        <v>25721.6</v>
      </c>
      <c r="L165" s="11" t="str">
        <f t="shared" si="45">IF(I165="已计入",ROUND(K164*C165,2),"")</f>
        <v/>
      </c>
      <c r="M165" s="11" t="str">
        <f t="shared" si="46">IF(I165="已计入",IF(B165="卖出",MAX(0,L165-Q164-F165),IF(B165="现金分红",MAX(0,L165+E165-Q164),0)),"")</f>
        <v/>
      </c>
      <c r="N165" s="11" t="str">
        <f>IF(I165="已计入",IF(AND(B165="卖出",'持仓总览'!$C$7="本金优先"),MAX(0,E165-Q164),IF(OR(B165="卖出",B165="现金分红"),MIN(E165,M165),0)),"")</f>
        <v/>
      </c>
      <c r="O165" s="11" t="str">
        <f t="shared" si="47">IF(I165="已计入",IF(OR(B165="卖出",B165="现金分红"),MIN(Q164,MAX(0,E165-N165)),0),"")</f>
        <v/>
      </c>
      <c r="P165" s="11" t="str">
        <f t="shared" si="48">IF(I165="已计入",IF(AND(B165="卖出",K165=0),MAX(0,Q164-O165),0),"")</f>
        <v/>
      </c>
      <c r="Q165" s="11">
        <f t="shared" si="49">IF(AA165="正常",IF(I165="已计入",ROUND(Q164+IF(OR(B165="买入",B165="定投",B165="转换转入"),E165,0)-O165-P165,2),Q164),"")</f>
        <v>129570</v>
      </c>
      <c r="R165" s="11" t="str">
        <f t="shared" si="40">IF(I165="已计入",ROUND(K165*C165,2),"")</f>
        <v/>
      </c>
      <c r="S165" s="11" t="str">
        <f t="shared" si="41">IF(I165="已计入",ROUND(R165-Q165,2),"")</f>
        <v/>
      </c>
      <c r="T165" s="12" t="str">
        <f t="shared" si="42">IF(I165="已计入",IF(Q165=0,"",S165/Q165),"")</f>
        <v/>
      </c>
      <c r="U165" s="11">
        <f t="shared" si="50">IF(AA165="正常",U164+IF(AND(I165="已计入",OR(B165="买入",B165="定投",B165="转换转入")),E165,0),"")</f>
        <v>129570</v>
      </c>
      <c r="V165" s="11">
        <f t="shared" si="51">IF(AA165="正常",V164+IF(AND(I165="已计入",OR(B165="卖出",B165="现金分红")),E165,0),"")</f>
        <v>0</v>
      </c>
      <c r="W165" s="11">
        <f t="shared" si="52">IF(AA165="正常",W164+IF(I165="已计入",N165,0),"")</f>
        <v>0</v>
      </c>
      <c r="X165" s="11">
        <f t="shared" si="53">IF(AA165="正常",X164+IF(I165="已计入",P165,0),"")</f>
        <v>0</v>
      </c>
      <c r="Y165" s="11" t="str">
        <f t="shared" si="43">IF(I165="已计入",ROUND(R165+V165-U165,2),"")</f>
        <v/>
      </c>
      <c r="Z165" s="13">
        <f t="shared" si="54">IF(AA165="正常",IF(I165="已计入",A165,Z164),"")</f>
        <v>46239</v>
      </c>
      <c r="AA165" s="10" t="str">
        <f>IF(OR($AA$134="错误",COUNTIF($G$135:G165,"待修正")&gt;0),"错误","正常")</f>
        <v>正常</v>
      </c>
      <c r="AB165" s="14">
        <f t="shared" si="55">IF(AA165="正常",IF(I165="已计入",C165,AB164),"")</f>
        <v>6.347</v>
      </c>
    </row>
    <row r="166" ht="23" customHeight="1">
      <c r="A166" s="36"/>
      <c r="B166" s="37"/>
      <c r="C166" s="38"/>
      <c r="D166" s="39"/>
      <c r="E166" s="44" t="str">
        <f t="shared" si="36">IF(AND(ISNUMBER(C166),ISNUMBER(D166),ISNUMBER(F166)),IF(OR(B166="买入",B166="定投"),ROUND(C166*D166+F166,2),IF(B166="卖出",ROUND(C166*D166-F166,2),IF(B166="红利再投",0,""))),"")</f>
        <v/>
      </c>
      <c r="F166" s="39"/>
      <c r="G166" s="45" t="str">
        <f t="shared" si="37">IF(COUNTA(A166:D166,F166)=0,"",IF(I166="已计入","已录入","待修正"))</f>
        <v/>
      </c>
      <c r="H166" s="46" t="str">
        <f t="shared" si="38">IF(COUNTA(A166:D166,F166)=0,"",IF(B166="红利再投","仅增加份额，不增加现金投入","金额由份额、净值和手续费推算"))</f>
        <v/>
      </c>
      <c r="I166" s="10" t="str">
        <f>IF(COUNTA(A166:D166,F166)=0,"",IF(NOT(ISNUMBER(A166)),"缺少有效净值日期",IF(OR(A166&lt;=0,A166&lt;&gt;INT(A166)),"净值日期无效",IF(OR(B166="转换转入",B166="现金分红"),"该类型需实际金额，五项录入不适用",IF(NOT(OR(OR(B166="买入",B166="定投"),B166="卖出",B166="红利再投")),"请选择交易类型",IF(NOT(ISNUMBER(C166)),"缺少成交净值",IF(C166&lt;=0,"成交净值须大于零",IF(NOT(ISNUMBER(D166)),"缺少确认份额",IF(D166&lt;=0,"确认份额须大于零",IF(NOT(ISNUMBER(F166)),"缺少手续费，无费用请填 0",IF(F166&lt;0,"手续费不能为负",IF(AA165="错误","前行待修正",IF(A166&lt;Z165,"日期需按成交顺序递增",IF(AND(B166="红利再投",F166&lt;&gt;0),"红利再投手续费应填 0",IF(AND(B166="红利再投",K165&lt;=0),"红利再投前须有持仓",IF(AND(B166="卖出",D166&gt;K165+0.000001),"卖出份额超过持仓",IF(AND(B166="卖出",F166&gt;=C166*D166),"赎回费不能达到赎回总额",IF(NOT(ISNUMBER(E166)),"自动金额未生成，请检查五项输入",IF(NOT(OR('持仓总览'!$C$7="利润优先",'持仓总览'!$C$7="本金优先")),"请选择卖出分配模式","已计入")))))))))))))))))))</f>
        <v/>
      </c>
      <c r="J166" s="11">
        <f t="shared" si="39">IF(AA166="正常",IF(I166="已计入",IF(OR(OR(B166="买入",B166="定投",B166="转换转入"),B166="红利再投"),D166,IF(B166="卖出",-D166,0)),0),"")</f>
        <v>0</v>
      </c>
      <c r="K166" s="11">
        <f t="shared" si="44">IF(AA166="正常",ROUND(K165+J166,6),"")</f>
        <v>25721.6</v>
      </c>
      <c r="L166" s="11" t="str">
        <f t="shared" si="45">IF(I166="已计入",ROUND(K165*C166,2),"")</f>
        <v/>
      </c>
      <c r="M166" s="11" t="str">
        <f t="shared" si="46">IF(I166="已计入",IF(B166="卖出",MAX(0,L166-Q165-F166),IF(B166="现金分红",MAX(0,L166+E166-Q165),0)),"")</f>
        <v/>
      </c>
      <c r="N166" s="11" t="str">
        <f>IF(I166="已计入",IF(AND(B166="卖出",'持仓总览'!$C$7="本金优先"),MAX(0,E166-Q165),IF(OR(B166="卖出",B166="现金分红"),MIN(E166,M166),0)),"")</f>
        <v/>
      </c>
      <c r="O166" s="11" t="str">
        <f t="shared" si="47">IF(I166="已计入",IF(OR(B166="卖出",B166="现金分红"),MIN(Q165,MAX(0,E166-N166)),0),"")</f>
        <v/>
      </c>
      <c r="P166" s="11" t="str">
        <f t="shared" si="48">IF(I166="已计入",IF(AND(B166="卖出",K166=0),MAX(0,Q165-O166),0),"")</f>
        <v/>
      </c>
      <c r="Q166" s="11">
        <f t="shared" si="49">IF(AA166="正常",IF(I166="已计入",ROUND(Q165+IF(OR(B166="买入",B166="定投",B166="转换转入"),E166,0)-O166-P166,2),Q165),"")</f>
        <v>129570</v>
      </c>
      <c r="R166" s="11" t="str">
        <f t="shared" si="40">IF(I166="已计入",ROUND(K166*C166,2),"")</f>
        <v/>
      </c>
      <c r="S166" s="11" t="str">
        <f t="shared" si="41">IF(I166="已计入",ROUND(R166-Q166,2),"")</f>
        <v/>
      </c>
      <c r="T166" s="12" t="str">
        <f t="shared" si="42">IF(I166="已计入",IF(Q166=0,"",S166/Q166),"")</f>
        <v/>
      </c>
      <c r="U166" s="11">
        <f t="shared" si="50">IF(AA166="正常",U165+IF(AND(I166="已计入",OR(B166="买入",B166="定投",B166="转换转入")),E166,0),"")</f>
        <v>129570</v>
      </c>
      <c r="V166" s="11">
        <f t="shared" si="51">IF(AA166="正常",V165+IF(AND(I166="已计入",OR(B166="卖出",B166="现金分红")),E166,0),"")</f>
        <v>0</v>
      </c>
      <c r="W166" s="11">
        <f t="shared" si="52">IF(AA166="正常",W165+IF(I166="已计入",N166,0),"")</f>
        <v>0</v>
      </c>
      <c r="X166" s="11">
        <f t="shared" si="53">IF(AA166="正常",X165+IF(I166="已计入",P166,0),"")</f>
        <v>0</v>
      </c>
      <c r="Y166" s="11" t="str">
        <f t="shared" si="43">IF(I166="已计入",ROUND(R166+V166-U166,2),"")</f>
        <v/>
      </c>
      <c r="Z166" s="13">
        <f t="shared" si="54">IF(AA166="正常",IF(I166="已计入",A166,Z165),"")</f>
        <v>46239</v>
      </c>
      <c r="AA166" s="10" t="str">
        <f>IF(OR($AA$134="错误",COUNTIF($G$135:G166,"待修正")&gt;0),"错误","正常")</f>
        <v>正常</v>
      </c>
      <c r="AB166" s="14">
        <f t="shared" si="55">IF(AA166="正常",IF(I166="已计入",C166,AB165),"")</f>
        <v>6.347</v>
      </c>
    </row>
    <row r="167" ht="23" customHeight="1">
      <c r="A167" s="36"/>
      <c r="B167" s="37"/>
      <c r="C167" s="38"/>
      <c r="D167" s="39"/>
      <c r="E167" s="44" t="str">
        <f t="shared" si="36">IF(AND(ISNUMBER(C167),ISNUMBER(D167),ISNUMBER(F167)),IF(OR(B167="买入",B167="定投"),ROUND(C167*D167+F167,2),IF(B167="卖出",ROUND(C167*D167-F167,2),IF(B167="红利再投",0,""))),"")</f>
        <v/>
      </c>
      <c r="F167" s="39"/>
      <c r="G167" s="45" t="str">
        <f t="shared" si="37">IF(COUNTA(A167:D167,F167)=0,"",IF(I167="已计入","已录入","待修正"))</f>
        <v/>
      </c>
      <c r="H167" s="46" t="str">
        <f t="shared" si="38">IF(COUNTA(A167:D167,F167)=0,"",IF(B167="红利再投","仅增加份额，不增加现金投入","金额由份额、净值和手续费推算"))</f>
        <v/>
      </c>
      <c r="I167" s="10" t="str">
        <f>IF(COUNTA(A167:D167,F167)=0,"",IF(NOT(ISNUMBER(A167)),"缺少有效净值日期",IF(OR(A167&lt;=0,A167&lt;&gt;INT(A167)),"净值日期无效",IF(OR(B167="转换转入",B167="现金分红"),"该类型需实际金额，五项录入不适用",IF(NOT(OR(OR(B167="买入",B167="定投"),B167="卖出",B167="红利再投")),"请选择交易类型",IF(NOT(ISNUMBER(C167)),"缺少成交净值",IF(C167&lt;=0,"成交净值须大于零",IF(NOT(ISNUMBER(D167)),"缺少确认份额",IF(D167&lt;=0,"确认份额须大于零",IF(NOT(ISNUMBER(F167)),"缺少手续费，无费用请填 0",IF(F167&lt;0,"手续费不能为负",IF(AA166="错误","前行待修正",IF(A167&lt;Z166,"日期需按成交顺序递增",IF(AND(B167="红利再投",F167&lt;&gt;0),"红利再投手续费应填 0",IF(AND(B167="红利再投",K166&lt;=0),"红利再投前须有持仓",IF(AND(B167="卖出",D167&gt;K166+0.000001),"卖出份额超过持仓",IF(AND(B167="卖出",F167&gt;=C167*D167),"赎回费不能达到赎回总额",IF(NOT(ISNUMBER(E167)),"自动金额未生成，请检查五项输入",IF(NOT(OR('持仓总览'!$C$7="利润优先",'持仓总览'!$C$7="本金优先")),"请选择卖出分配模式","已计入")))))))))))))))))))</f>
        <v/>
      </c>
      <c r="J167" s="11">
        <f t="shared" si="39">IF(AA167="正常",IF(I167="已计入",IF(OR(OR(B167="买入",B167="定投",B167="转换转入"),B167="红利再投"),D167,IF(B167="卖出",-D167,0)),0),"")</f>
        <v>0</v>
      </c>
      <c r="K167" s="11">
        <f t="shared" si="44">IF(AA167="正常",ROUND(K166+J167,6),"")</f>
        <v>25721.6</v>
      </c>
      <c r="L167" s="11" t="str">
        <f t="shared" si="45">IF(I167="已计入",ROUND(K166*C167,2),"")</f>
        <v/>
      </c>
      <c r="M167" s="11" t="str">
        <f t="shared" si="46">IF(I167="已计入",IF(B167="卖出",MAX(0,L167-Q166-F167),IF(B167="现金分红",MAX(0,L167+E167-Q166),0)),"")</f>
        <v/>
      </c>
      <c r="N167" s="11" t="str">
        <f>IF(I167="已计入",IF(AND(B167="卖出",'持仓总览'!$C$7="本金优先"),MAX(0,E167-Q166),IF(OR(B167="卖出",B167="现金分红"),MIN(E167,M167),0)),"")</f>
        <v/>
      </c>
      <c r="O167" s="11" t="str">
        <f t="shared" si="47">IF(I167="已计入",IF(OR(B167="卖出",B167="现金分红"),MIN(Q166,MAX(0,E167-N167)),0),"")</f>
        <v/>
      </c>
      <c r="P167" s="11" t="str">
        <f t="shared" si="48">IF(I167="已计入",IF(AND(B167="卖出",K167=0),MAX(0,Q166-O167),0),"")</f>
        <v/>
      </c>
      <c r="Q167" s="11">
        <f t="shared" si="49">IF(AA167="正常",IF(I167="已计入",ROUND(Q166+IF(OR(B167="买入",B167="定投",B167="转换转入"),E167,0)-O167-P167,2),Q166),"")</f>
        <v>129570</v>
      </c>
      <c r="R167" s="11" t="str">
        <f t="shared" si="40">IF(I167="已计入",ROUND(K167*C167,2),"")</f>
        <v/>
      </c>
      <c r="S167" s="11" t="str">
        <f t="shared" si="41">IF(I167="已计入",ROUND(R167-Q167,2),"")</f>
        <v/>
      </c>
      <c r="T167" s="12" t="str">
        <f t="shared" si="42">IF(I167="已计入",IF(Q167=0,"",S167/Q167),"")</f>
        <v/>
      </c>
      <c r="U167" s="11">
        <f t="shared" si="50">IF(AA167="正常",U166+IF(AND(I167="已计入",OR(B167="买入",B167="定投",B167="转换转入")),E167,0),"")</f>
        <v>129570</v>
      </c>
      <c r="V167" s="11">
        <f t="shared" si="51">IF(AA167="正常",V166+IF(AND(I167="已计入",OR(B167="卖出",B167="现金分红")),E167,0),"")</f>
        <v>0</v>
      </c>
      <c r="W167" s="11">
        <f t="shared" si="52">IF(AA167="正常",W166+IF(I167="已计入",N167,0),"")</f>
        <v>0</v>
      </c>
      <c r="X167" s="11">
        <f t="shared" si="53">IF(AA167="正常",X166+IF(I167="已计入",P167,0),"")</f>
        <v>0</v>
      </c>
      <c r="Y167" s="11" t="str">
        <f t="shared" si="43">IF(I167="已计入",ROUND(R167+V167-U167,2),"")</f>
        <v/>
      </c>
      <c r="Z167" s="13">
        <f t="shared" si="54">IF(AA167="正常",IF(I167="已计入",A167,Z166),"")</f>
        <v>46239</v>
      </c>
      <c r="AA167" s="10" t="str">
        <f>IF(OR($AA$134="错误",COUNTIF($G$135:G167,"待修正")&gt;0),"错误","正常")</f>
        <v>正常</v>
      </c>
      <c r="AB167" s="14">
        <f t="shared" si="55">IF(AA167="正常",IF(I167="已计入",C167,AB166),"")</f>
        <v>6.347</v>
      </c>
    </row>
    <row r="168" ht="23" customHeight="1">
      <c r="A168" s="36"/>
      <c r="B168" s="37"/>
      <c r="C168" s="38"/>
      <c r="D168" s="39"/>
      <c r="E168" s="44" t="str">
        <f t="shared" si="36">IF(AND(ISNUMBER(C168),ISNUMBER(D168),ISNUMBER(F168)),IF(OR(B168="买入",B168="定投"),ROUND(C168*D168+F168,2),IF(B168="卖出",ROUND(C168*D168-F168,2),IF(B168="红利再投",0,""))),"")</f>
        <v/>
      </c>
      <c r="F168" s="39"/>
      <c r="G168" s="45" t="str">
        <f t="shared" si="37">IF(COUNTA(A168:D168,F168)=0,"",IF(I168="已计入","已录入","待修正"))</f>
        <v/>
      </c>
      <c r="H168" s="46" t="str">
        <f t="shared" si="38">IF(COUNTA(A168:D168,F168)=0,"",IF(B168="红利再投","仅增加份额，不增加现金投入","金额由份额、净值和手续费推算"))</f>
        <v/>
      </c>
      <c r="I168" s="10" t="str">
        <f>IF(COUNTA(A168:D168,F168)=0,"",IF(NOT(ISNUMBER(A168)),"缺少有效净值日期",IF(OR(A168&lt;=0,A168&lt;&gt;INT(A168)),"净值日期无效",IF(OR(B168="转换转入",B168="现金分红"),"该类型需实际金额，五项录入不适用",IF(NOT(OR(OR(B168="买入",B168="定投"),B168="卖出",B168="红利再投")),"请选择交易类型",IF(NOT(ISNUMBER(C168)),"缺少成交净值",IF(C168&lt;=0,"成交净值须大于零",IF(NOT(ISNUMBER(D168)),"缺少确认份额",IF(D168&lt;=0,"确认份额须大于零",IF(NOT(ISNUMBER(F168)),"缺少手续费，无费用请填 0",IF(F168&lt;0,"手续费不能为负",IF(AA167="错误","前行待修正",IF(A168&lt;Z167,"日期需按成交顺序递增",IF(AND(B168="红利再投",F168&lt;&gt;0),"红利再投手续费应填 0",IF(AND(B168="红利再投",K167&lt;=0),"红利再投前须有持仓",IF(AND(B168="卖出",D168&gt;K167+0.000001),"卖出份额超过持仓",IF(AND(B168="卖出",F168&gt;=C168*D168),"赎回费不能达到赎回总额",IF(NOT(ISNUMBER(E168)),"自动金额未生成，请检查五项输入",IF(NOT(OR('持仓总览'!$C$7="利润优先",'持仓总览'!$C$7="本金优先")),"请选择卖出分配模式","已计入")))))))))))))))))))</f>
        <v/>
      </c>
      <c r="J168" s="11">
        <f t="shared" si="39">IF(AA168="正常",IF(I168="已计入",IF(OR(OR(B168="买入",B168="定投",B168="转换转入"),B168="红利再投"),D168,IF(B168="卖出",-D168,0)),0),"")</f>
        <v>0</v>
      </c>
      <c r="K168" s="11">
        <f t="shared" si="44">IF(AA168="正常",ROUND(K167+J168,6),"")</f>
        <v>25721.6</v>
      </c>
      <c r="L168" s="11" t="str">
        <f t="shared" si="45">IF(I168="已计入",ROUND(K167*C168,2),"")</f>
        <v/>
      </c>
      <c r="M168" s="11" t="str">
        <f t="shared" si="46">IF(I168="已计入",IF(B168="卖出",MAX(0,L168-Q167-F168),IF(B168="现金分红",MAX(0,L168+E168-Q167),0)),"")</f>
        <v/>
      </c>
      <c r="N168" s="11" t="str">
        <f>IF(I168="已计入",IF(AND(B168="卖出",'持仓总览'!$C$7="本金优先"),MAX(0,E168-Q167),IF(OR(B168="卖出",B168="现金分红"),MIN(E168,M168),0)),"")</f>
        <v/>
      </c>
      <c r="O168" s="11" t="str">
        <f t="shared" si="47">IF(I168="已计入",IF(OR(B168="卖出",B168="现金分红"),MIN(Q167,MAX(0,E168-N168)),0),"")</f>
        <v/>
      </c>
      <c r="P168" s="11" t="str">
        <f t="shared" si="48">IF(I168="已计入",IF(AND(B168="卖出",K168=0),MAX(0,Q167-O168),0),"")</f>
        <v/>
      </c>
      <c r="Q168" s="11">
        <f t="shared" si="49">IF(AA168="正常",IF(I168="已计入",ROUND(Q167+IF(OR(B168="买入",B168="定投",B168="转换转入"),E168,0)-O168-P168,2),Q167),"")</f>
        <v>129570</v>
      </c>
      <c r="R168" s="11" t="str">
        <f t="shared" si="40">IF(I168="已计入",ROUND(K168*C168,2),"")</f>
        <v/>
      </c>
      <c r="S168" s="11" t="str">
        <f t="shared" si="41">IF(I168="已计入",ROUND(R168-Q168,2),"")</f>
        <v/>
      </c>
      <c r="T168" s="12" t="str">
        <f t="shared" si="42">IF(I168="已计入",IF(Q168=0,"",S168/Q168),"")</f>
        <v/>
      </c>
      <c r="U168" s="11">
        <f t="shared" si="50">IF(AA168="正常",U167+IF(AND(I168="已计入",OR(B168="买入",B168="定投",B168="转换转入")),E168,0),"")</f>
        <v>129570</v>
      </c>
      <c r="V168" s="11">
        <f t="shared" si="51">IF(AA168="正常",V167+IF(AND(I168="已计入",OR(B168="卖出",B168="现金分红")),E168,0),"")</f>
        <v>0</v>
      </c>
      <c r="W168" s="11">
        <f t="shared" si="52">IF(AA168="正常",W167+IF(I168="已计入",N168,0),"")</f>
        <v>0</v>
      </c>
      <c r="X168" s="11">
        <f t="shared" si="53">IF(AA168="正常",X167+IF(I168="已计入",P168,0),"")</f>
        <v>0</v>
      </c>
      <c r="Y168" s="11" t="str">
        <f t="shared" si="43">IF(I168="已计入",ROUND(R168+V168-U168,2),"")</f>
        <v/>
      </c>
      <c r="Z168" s="13">
        <f t="shared" si="54">IF(AA168="正常",IF(I168="已计入",A168,Z167),"")</f>
        <v>46239</v>
      </c>
      <c r="AA168" s="10" t="str">
        <f>IF(OR($AA$134="错误",COUNTIF($G$135:G168,"待修正")&gt;0),"错误","正常")</f>
        <v>正常</v>
      </c>
      <c r="AB168" s="14">
        <f t="shared" si="55">IF(AA168="正常",IF(I168="已计入",C168,AB167),"")</f>
        <v>6.347</v>
      </c>
    </row>
    <row r="169" ht="23" customHeight="1">
      <c r="A169" s="36"/>
      <c r="B169" s="37"/>
      <c r="C169" s="38"/>
      <c r="D169" s="39"/>
      <c r="E169" s="44" t="str">
        <f t="shared" si="36">IF(AND(ISNUMBER(C169),ISNUMBER(D169),ISNUMBER(F169)),IF(OR(B169="买入",B169="定投"),ROUND(C169*D169+F169,2),IF(B169="卖出",ROUND(C169*D169-F169,2),IF(B169="红利再投",0,""))),"")</f>
        <v/>
      </c>
      <c r="F169" s="39"/>
      <c r="G169" s="45" t="str">
        <f t="shared" si="37">IF(COUNTA(A169:D169,F169)=0,"",IF(I169="已计入","已录入","待修正"))</f>
        <v/>
      </c>
      <c r="H169" s="46" t="str">
        <f t="shared" si="38">IF(COUNTA(A169:D169,F169)=0,"",IF(B169="红利再投","仅增加份额，不增加现金投入","金额由份额、净值和手续费推算"))</f>
        <v/>
      </c>
      <c r="I169" s="10" t="str">
        <f>IF(COUNTA(A169:D169,F169)=0,"",IF(NOT(ISNUMBER(A169)),"缺少有效净值日期",IF(OR(A169&lt;=0,A169&lt;&gt;INT(A169)),"净值日期无效",IF(OR(B169="转换转入",B169="现金分红"),"该类型需实际金额，五项录入不适用",IF(NOT(OR(OR(B169="买入",B169="定投"),B169="卖出",B169="红利再投")),"请选择交易类型",IF(NOT(ISNUMBER(C169)),"缺少成交净值",IF(C169&lt;=0,"成交净值须大于零",IF(NOT(ISNUMBER(D169)),"缺少确认份额",IF(D169&lt;=0,"确认份额须大于零",IF(NOT(ISNUMBER(F169)),"缺少手续费，无费用请填 0",IF(F169&lt;0,"手续费不能为负",IF(AA168="错误","前行待修正",IF(A169&lt;Z168,"日期需按成交顺序递增",IF(AND(B169="红利再投",F169&lt;&gt;0),"红利再投手续费应填 0",IF(AND(B169="红利再投",K168&lt;=0),"红利再投前须有持仓",IF(AND(B169="卖出",D169&gt;K168+0.000001),"卖出份额超过持仓",IF(AND(B169="卖出",F169&gt;=C169*D169),"赎回费不能达到赎回总额",IF(NOT(ISNUMBER(E169)),"自动金额未生成，请检查五项输入",IF(NOT(OR('持仓总览'!$C$7="利润优先",'持仓总览'!$C$7="本金优先")),"请选择卖出分配模式","已计入")))))))))))))))))))</f>
        <v/>
      </c>
      <c r="J169" s="11">
        <f t="shared" si="39">IF(AA169="正常",IF(I169="已计入",IF(OR(OR(B169="买入",B169="定投",B169="转换转入"),B169="红利再投"),D169,IF(B169="卖出",-D169,0)),0),"")</f>
        <v>0</v>
      </c>
      <c r="K169" s="11">
        <f t="shared" si="44">IF(AA169="正常",ROUND(K168+J169,6),"")</f>
        <v>25721.6</v>
      </c>
      <c r="L169" s="11" t="str">
        <f t="shared" si="45">IF(I169="已计入",ROUND(K168*C169,2),"")</f>
        <v/>
      </c>
      <c r="M169" s="11" t="str">
        <f t="shared" si="46">IF(I169="已计入",IF(B169="卖出",MAX(0,L169-Q168-F169),IF(B169="现金分红",MAX(0,L169+E169-Q168),0)),"")</f>
        <v/>
      </c>
      <c r="N169" s="11" t="str">
        <f>IF(I169="已计入",IF(AND(B169="卖出",'持仓总览'!$C$7="本金优先"),MAX(0,E169-Q168),IF(OR(B169="卖出",B169="现金分红"),MIN(E169,M169),0)),"")</f>
        <v/>
      </c>
      <c r="O169" s="11" t="str">
        <f t="shared" si="47">IF(I169="已计入",IF(OR(B169="卖出",B169="现金分红"),MIN(Q168,MAX(0,E169-N169)),0),"")</f>
        <v/>
      </c>
      <c r="P169" s="11" t="str">
        <f t="shared" si="48">IF(I169="已计入",IF(AND(B169="卖出",K169=0),MAX(0,Q168-O169),0),"")</f>
        <v/>
      </c>
      <c r="Q169" s="11">
        <f t="shared" si="49">IF(AA169="正常",IF(I169="已计入",ROUND(Q168+IF(OR(B169="买入",B169="定投",B169="转换转入"),E169,0)-O169-P169,2),Q168),"")</f>
        <v>129570</v>
      </c>
      <c r="R169" s="11" t="str">
        <f t="shared" si="40">IF(I169="已计入",ROUND(K169*C169,2),"")</f>
        <v/>
      </c>
      <c r="S169" s="11" t="str">
        <f t="shared" si="41">IF(I169="已计入",ROUND(R169-Q169,2),"")</f>
        <v/>
      </c>
      <c r="T169" s="12" t="str">
        <f t="shared" si="42">IF(I169="已计入",IF(Q169=0,"",S169/Q169),"")</f>
        <v/>
      </c>
      <c r="U169" s="11">
        <f t="shared" si="50">IF(AA169="正常",U168+IF(AND(I169="已计入",OR(B169="买入",B169="定投",B169="转换转入")),E169,0),"")</f>
        <v>129570</v>
      </c>
      <c r="V169" s="11">
        <f t="shared" si="51">IF(AA169="正常",V168+IF(AND(I169="已计入",OR(B169="卖出",B169="现金分红")),E169,0),"")</f>
        <v>0</v>
      </c>
      <c r="W169" s="11">
        <f t="shared" si="52">IF(AA169="正常",W168+IF(I169="已计入",N169,0),"")</f>
        <v>0</v>
      </c>
      <c r="X169" s="11">
        <f t="shared" si="53">IF(AA169="正常",X168+IF(I169="已计入",P169,0),"")</f>
        <v>0</v>
      </c>
      <c r="Y169" s="11" t="str">
        <f t="shared" si="43">IF(I169="已计入",ROUND(R169+V169-U169,2),"")</f>
        <v/>
      </c>
      <c r="Z169" s="13">
        <f t="shared" si="54">IF(AA169="正常",IF(I169="已计入",A169,Z168),"")</f>
        <v>46239</v>
      </c>
      <c r="AA169" s="10" t="str">
        <f>IF(OR($AA$134="错误",COUNTIF($G$135:G169,"待修正")&gt;0),"错误","正常")</f>
        <v>正常</v>
      </c>
      <c r="AB169" s="14">
        <f t="shared" si="55">IF(AA169="正常",IF(I169="已计入",C169,AB168),"")</f>
        <v>6.347</v>
      </c>
    </row>
    <row r="170" ht="23" customHeight="1">
      <c r="A170" s="36"/>
      <c r="B170" s="37"/>
      <c r="C170" s="38"/>
      <c r="D170" s="39"/>
      <c r="E170" s="44" t="str">
        <f t="shared" si="36">IF(AND(ISNUMBER(C170),ISNUMBER(D170),ISNUMBER(F170)),IF(OR(B170="买入",B170="定投"),ROUND(C170*D170+F170,2),IF(B170="卖出",ROUND(C170*D170-F170,2),IF(B170="红利再投",0,""))),"")</f>
        <v/>
      </c>
      <c r="F170" s="39"/>
      <c r="G170" s="45" t="str">
        <f t="shared" si="37">IF(COUNTA(A170:D170,F170)=0,"",IF(I170="已计入","已录入","待修正"))</f>
        <v/>
      </c>
      <c r="H170" s="46" t="str">
        <f t="shared" si="38">IF(COUNTA(A170:D170,F170)=0,"",IF(B170="红利再投","仅增加份额，不增加现金投入","金额由份额、净值和手续费推算"))</f>
        <v/>
      </c>
      <c r="I170" s="10" t="str">
        <f>IF(COUNTA(A170:D170,F170)=0,"",IF(NOT(ISNUMBER(A170)),"缺少有效净值日期",IF(OR(A170&lt;=0,A170&lt;&gt;INT(A170)),"净值日期无效",IF(OR(B170="转换转入",B170="现金分红"),"该类型需实际金额，五项录入不适用",IF(NOT(OR(OR(B170="买入",B170="定投"),B170="卖出",B170="红利再投")),"请选择交易类型",IF(NOT(ISNUMBER(C170)),"缺少成交净值",IF(C170&lt;=0,"成交净值须大于零",IF(NOT(ISNUMBER(D170)),"缺少确认份额",IF(D170&lt;=0,"确认份额须大于零",IF(NOT(ISNUMBER(F170)),"缺少手续费，无费用请填 0",IF(F170&lt;0,"手续费不能为负",IF(AA169="错误","前行待修正",IF(A170&lt;Z169,"日期需按成交顺序递增",IF(AND(B170="红利再投",F170&lt;&gt;0),"红利再投手续费应填 0",IF(AND(B170="红利再投",K169&lt;=0),"红利再投前须有持仓",IF(AND(B170="卖出",D170&gt;K169+0.000001),"卖出份额超过持仓",IF(AND(B170="卖出",F170&gt;=C170*D170),"赎回费不能达到赎回总额",IF(NOT(ISNUMBER(E170)),"自动金额未生成，请检查五项输入",IF(NOT(OR('持仓总览'!$C$7="利润优先",'持仓总览'!$C$7="本金优先")),"请选择卖出分配模式","已计入")))))))))))))))))))</f>
        <v/>
      </c>
      <c r="J170" s="11">
        <f t="shared" si="39">IF(AA170="正常",IF(I170="已计入",IF(OR(OR(B170="买入",B170="定投",B170="转换转入"),B170="红利再投"),D170,IF(B170="卖出",-D170,0)),0),"")</f>
        <v>0</v>
      </c>
      <c r="K170" s="11">
        <f t="shared" si="44">IF(AA170="正常",ROUND(K169+J170,6),"")</f>
        <v>25721.6</v>
      </c>
      <c r="L170" s="11" t="str">
        <f t="shared" si="45">IF(I170="已计入",ROUND(K169*C170,2),"")</f>
        <v/>
      </c>
      <c r="M170" s="11" t="str">
        <f t="shared" si="46">IF(I170="已计入",IF(B170="卖出",MAX(0,L170-Q169-F170),IF(B170="现金分红",MAX(0,L170+E170-Q169),0)),"")</f>
        <v/>
      </c>
      <c r="N170" s="11" t="str">
        <f>IF(I170="已计入",IF(AND(B170="卖出",'持仓总览'!$C$7="本金优先"),MAX(0,E170-Q169),IF(OR(B170="卖出",B170="现金分红"),MIN(E170,M170),0)),"")</f>
        <v/>
      </c>
      <c r="O170" s="11" t="str">
        <f t="shared" si="47">IF(I170="已计入",IF(OR(B170="卖出",B170="现金分红"),MIN(Q169,MAX(0,E170-N170)),0),"")</f>
        <v/>
      </c>
      <c r="P170" s="11" t="str">
        <f t="shared" si="48">IF(I170="已计入",IF(AND(B170="卖出",K170=0),MAX(0,Q169-O170),0),"")</f>
        <v/>
      </c>
      <c r="Q170" s="11">
        <f t="shared" si="49">IF(AA170="正常",IF(I170="已计入",ROUND(Q169+IF(OR(B170="买入",B170="定投",B170="转换转入"),E170,0)-O170-P170,2),Q169),"")</f>
        <v>129570</v>
      </c>
      <c r="R170" s="11" t="str">
        <f t="shared" si="40">IF(I170="已计入",ROUND(K170*C170,2),"")</f>
        <v/>
      </c>
      <c r="S170" s="11" t="str">
        <f t="shared" si="41">IF(I170="已计入",ROUND(R170-Q170,2),"")</f>
        <v/>
      </c>
      <c r="T170" s="12" t="str">
        <f t="shared" si="42">IF(I170="已计入",IF(Q170=0,"",S170/Q170),"")</f>
        <v/>
      </c>
      <c r="U170" s="11">
        <f t="shared" si="50">IF(AA170="正常",U169+IF(AND(I170="已计入",OR(B170="买入",B170="定投",B170="转换转入")),E170,0),"")</f>
        <v>129570</v>
      </c>
      <c r="V170" s="11">
        <f t="shared" si="51">IF(AA170="正常",V169+IF(AND(I170="已计入",OR(B170="卖出",B170="现金分红")),E170,0),"")</f>
        <v>0</v>
      </c>
      <c r="W170" s="11">
        <f t="shared" si="52">IF(AA170="正常",W169+IF(I170="已计入",N170,0),"")</f>
        <v>0</v>
      </c>
      <c r="X170" s="11">
        <f t="shared" si="53">IF(AA170="正常",X169+IF(I170="已计入",P170,0),"")</f>
        <v>0</v>
      </c>
      <c r="Y170" s="11" t="str">
        <f t="shared" si="43">IF(I170="已计入",ROUND(R170+V170-U170,2),"")</f>
        <v/>
      </c>
      <c r="Z170" s="13">
        <f t="shared" si="54">IF(AA170="正常",IF(I170="已计入",A170,Z169),"")</f>
        <v>46239</v>
      </c>
      <c r="AA170" s="10" t="str">
        <f>IF(OR($AA$134="错误",COUNTIF($G$135:G170,"待修正")&gt;0),"错误","正常")</f>
        <v>正常</v>
      </c>
      <c r="AB170" s="14">
        <f t="shared" si="55">IF(AA170="正常",IF(I170="已计入",C170,AB169),"")</f>
        <v>6.347</v>
      </c>
    </row>
    <row r="171" ht="23" customHeight="1">
      <c r="A171" s="36"/>
      <c r="B171" s="37"/>
      <c r="C171" s="38"/>
      <c r="D171" s="39"/>
      <c r="E171" s="44" t="str">
        <f t="shared" si="36">IF(AND(ISNUMBER(C171),ISNUMBER(D171),ISNUMBER(F171)),IF(OR(B171="买入",B171="定投"),ROUND(C171*D171+F171,2),IF(B171="卖出",ROUND(C171*D171-F171,2),IF(B171="红利再投",0,""))),"")</f>
        <v/>
      </c>
      <c r="F171" s="39"/>
      <c r="G171" s="45" t="str">
        <f t="shared" si="37">IF(COUNTA(A171:D171,F171)=0,"",IF(I171="已计入","已录入","待修正"))</f>
        <v/>
      </c>
      <c r="H171" s="46" t="str">
        <f t="shared" si="38">IF(COUNTA(A171:D171,F171)=0,"",IF(B171="红利再投","仅增加份额，不增加现金投入","金额由份额、净值和手续费推算"))</f>
        <v/>
      </c>
      <c r="I171" s="10" t="str">
        <f>IF(COUNTA(A171:D171,F171)=0,"",IF(NOT(ISNUMBER(A171)),"缺少有效净值日期",IF(OR(A171&lt;=0,A171&lt;&gt;INT(A171)),"净值日期无效",IF(OR(B171="转换转入",B171="现金分红"),"该类型需实际金额，五项录入不适用",IF(NOT(OR(OR(B171="买入",B171="定投"),B171="卖出",B171="红利再投")),"请选择交易类型",IF(NOT(ISNUMBER(C171)),"缺少成交净值",IF(C171&lt;=0,"成交净值须大于零",IF(NOT(ISNUMBER(D171)),"缺少确认份额",IF(D171&lt;=0,"确认份额须大于零",IF(NOT(ISNUMBER(F171)),"缺少手续费，无费用请填 0",IF(F171&lt;0,"手续费不能为负",IF(AA170="错误","前行待修正",IF(A171&lt;Z170,"日期需按成交顺序递增",IF(AND(B171="红利再投",F171&lt;&gt;0),"红利再投手续费应填 0",IF(AND(B171="红利再投",K170&lt;=0),"红利再投前须有持仓",IF(AND(B171="卖出",D171&gt;K170+0.000001),"卖出份额超过持仓",IF(AND(B171="卖出",F171&gt;=C171*D171),"赎回费不能达到赎回总额",IF(NOT(ISNUMBER(E171)),"自动金额未生成，请检查五项输入",IF(NOT(OR('持仓总览'!$C$7="利润优先",'持仓总览'!$C$7="本金优先")),"请选择卖出分配模式","已计入")))))))))))))))))))</f>
        <v/>
      </c>
      <c r="J171" s="11">
        <f t="shared" si="39">IF(AA171="正常",IF(I171="已计入",IF(OR(OR(B171="买入",B171="定投",B171="转换转入"),B171="红利再投"),D171,IF(B171="卖出",-D171,0)),0),"")</f>
        <v>0</v>
      </c>
      <c r="K171" s="11">
        <f t="shared" si="44">IF(AA171="正常",ROUND(K170+J171,6),"")</f>
        <v>25721.6</v>
      </c>
      <c r="L171" s="11" t="str">
        <f t="shared" si="45">IF(I171="已计入",ROUND(K170*C171,2),"")</f>
        <v/>
      </c>
      <c r="M171" s="11" t="str">
        <f t="shared" si="46">IF(I171="已计入",IF(B171="卖出",MAX(0,L171-Q170-F171),IF(B171="现金分红",MAX(0,L171+E171-Q170),0)),"")</f>
        <v/>
      </c>
      <c r="N171" s="11" t="str">
        <f>IF(I171="已计入",IF(AND(B171="卖出",'持仓总览'!$C$7="本金优先"),MAX(0,E171-Q170),IF(OR(B171="卖出",B171="现金分红"),MIN(E171,M171),0)),"")</f>
        <v/>
      </c>
      <c r="O171" s="11" t="str">
        <f t="shared" si="47">IF(I171="已计入",IF(OR(B171="卖出",B171="现金分红"),MIN(Q170,MAX(0,E171-N171)),0),"")</f>
        <v/>
      </c>
      <c r="P171" s="11" t="str">
        <f t="shared" si="48">IF(I171="已计入",IF(AND(B171="卖出",K171=0),MAX(0,Q170-O171),0),"")</f>
        <v/>
      </c>
      <c r="Q171" s="11">
        <f t="shared" si="49">IF(AA171="正常",IF(I171="已计入",ROUND(Q170+IF(OR(B171="买入",B171="定投",B171="转换转入"),E171,0)-O171-P171,2),Q170),"")</f>
        <v>129570</v>
      </c>
      <c r="R171" s="11" t="str">
        <f t="shared" si="40">IF(I171="已计入",ROUND(K171*C171,2),"")</f>
        <v/>
      </c>
      <c r="S171" s="11" t="str">
        <f t="shared" si="41">IF(I171="已计入",ROUND(R171-Q171,2),"")</f>
        <v/>
      </c>
      <c r="T171" s="12" t="str">
        <f t="shared" si="42">IF(I171="已计入",IF(Q171=0,"",S171/Q171),"")</f>
        <v/>
      </c>
      <c r="U171" s="11">
        <f t="shared" si="50">IF(AA171="正常",U170+IF(AND(I171="已计入",OR(B171="买入",B171="定投",B171="转换转入")),E171,0),"")</f>
        <v>129570</v>
      </c>
      <c r="V171" s="11">
        <f t="shared" si="51">IF(AA171="正常",V170+IF(AND(I171="已计入",OR(B171="卖出",B171="现金分红")),E171,0),"")</f>
        <v>0</v>
      </c>
      <c r="W171" s="11">
        <f t="shared" si="52">IF(AA171="正常",W170+IF(I171="已计入",N171,0),"")</f>
        <v>0</v>
      </c>
      <c r="X171" s="11">
        <f t="shared" si="53">IF(AA171="正常",X170+IF(I171="已计入",P171,0),"")</f>
        <v>0</v>
      </c>
      <c r="Y171" s="11" t="str">
        <f t="shared" si="43">IF(I171="已计入",ROUND(R171+V171-U171,2),"")</f>
        <v/>
      </c>
      <c r="Z171" s="13">
        <f t="shared" si="54">IF(AA171="正常",IF(I171="已计入",A171,Z170),"")</f>
        <v>46239</v>
      </c>
      <c r="AA171" s="10" t="str">
        <f>IF(OR($AA$134="错误",COUNTIF($G$135:G171,"待修正")&gt;0),"错误","正常")</f>
        <v>正常</v>
      </c>
      <c r="AB171" s="14">
        <f t="shared" si="55">IF(AA171="正常",IF(I171="已计入",C171,AB170),"")</f>
        <v>6.347</v>
      </c>
    </row>
    <row r="172" ht="23" customHeight="1">
      <c r="A172" s="36"/>
      <c r="B172" s="37"/>
      <c r="C172" s="38"/>
      <c r="D172" s="39"/>
      <c r="E172" s="44" t="str">
        <f t="shared" si="36">IF(AND(ISNUMBER(C172),ISNUMBER(D172),ISNUMBER(F172)),IF(OR(B172="买入",B172="定投"),ROUND(C172*D172+F172,2),IF(B172="卖出",ROUND(C172*D172-F172,2),IF(B172="红利再投",0,""))),"")</f>
        <v/>
      </c>
      <c r="F172" s="39"/>
      <c r="G172" s="45" t="str">
        <f t="shared" si="37">IF(COUNTA(A172:D172,F172)=0,"",IF(I172="已计入","已录入","待修正"))</f>
        <v/>
      </c>
      <c r="H172" s="46" t="str">
        <f t="shared" si="38">IF(COUNTA(A172:D172,F172)=0,"",IF(B172="红利再投","仅增加份额，不增加现金投入","金额由份额、净值和手续费推算"))</f>
        <v/>
      </c>
      <c r="I172" s="10" t="str">
        <f>IF(COUNTA(A172:D172,F172)=0,"",IF(NOT(ISNUMBER(A172)),"缺少有效净值日期",IF(OR(A172&lt;=0,A172&lt;&gt;INT(A172)),"净值日期无效",IF(OR(B172="转换转入",B172="现金分红"),"该类型需实际金额，五项录入不适用",IF(NOT(OR(OR(B172="买入",B172="定投"),B172="卖出",B172="红利再投")),"请选择交易类型",IF(NOT(ISNUMBER(C172)),"缺少成交净值",IF(C172&lt;=0,"成交净值须大于零",IF(NOT(ISNUMBER(D172)),"缺少确认份额",IF(D172&lt;=0,"确认份额须大于零",IF(NOT(ISNUMBER(F172)),"缺少手续费，无费用请填 0",IF(F172&lt;0,"手续费不能为负",IF(AA171="错误","前行待修正",IF(A172&lt;Z171,"日期需按成交顺序递增",IF(AND(B172="红利再投",F172&lt;&gt;0),"红利再投手续费应填 0",IF(AND(B172="红利再投",K171&lt;=0),"红利再投前须有持仓",IF(AND(B172="卖出",D172&gt;K171+0.000001),"卖出份额超过持仓",IF(AND(B172="卖出",F172&gt;=C172*D172),"赎回费不能达到赎回总额",IF(NOT(ISNUMBER(E172)),"自动金额未生成，请检查五项输入",IF(NOT(OR('持仓总览'!$C$7="利润优先",'持仓总览'!$C$7="本金优先")),"请选择卖出分配模式","已计入")))))))))))))))))))</f>
        <v/>
      </c>
      <c r="J172" s="11">
        <f t="shared" si="39">IF(AA172="正常",IF(I172="已计入",IF(OR(OR(B172="买入",B172="定投",B172="转换转入"),B172="红利再投"),D172,IF(B172="卖出",-D172,0)),0),"")</f>
        <v>0</v>
      </c>
      <c r="K172" s="11">
        <f t="shared" si="44">IF(AA172="正常",ROUND(K171+J172,6),"")</f>
        <v>25721.6</v>
      </c>
      <c r="L172" s="11" t="str">
        <f t="shared" si="45">IF(I172="已计入",ROUND(K171*C172,2),"")</f>
        <v/>
      </c>
      <c r="M172" s="11" t="str">
        <f t="shared" si="46">IF(I172="已计入",IF(B172="卖出",MAX(0,L172-Q171-F172),IF(B172="现金分红",MAX(0,L172+E172-Q171),0)),"")</f>
        <v/>
      </c>
      <c r="N172" s="11" t="str">
        <f>IF(I172="已计入",IF(AND(B172="卖出",'持仓总览'!$C$7="本金优先"),MAX(0,E172-Q171),IF(OR(B172="卖出",B172="现金分红"),MIN(E172,M172),0)),"")</f>
        <v/>
      </c>
      <c r="O172" s="11" t="str">
        <f t="shared" si="47">IF(I172="已计入",IF(OR(B172="卖出",B172="现金分红"),MIN(Q171,MAX(0,E172-N172)),0),"")</f>
        <v/>
      </c>
      <c r="P172" s="11" t="str">
        <f t="shared" si="48">IF(I172="已计入",IF(AND(B172="卖出",K172=0),MAX(0,Q171-O172),0),"")</f>
        <v/>
      </c>
      <c r="Q172" s="11">
        <f t="shared" si="49">IF(AA172="正常",IF(I172="已计入",ROUND(Q171+IF(OR(B172="买入",B172="定投",B172="转换转入"),E172,0)-O172-P172,2),Q171),"")</f>
        <v>129570</v>
      </c>
      <c r="R172" s="11" t="str">
        <f t="shared" si="40">IF(I172="已计入",ROUND(K172*C172,2),"")</f>
        <v/>
      </c>
      <c r="S172" s="11" t="str">
        <f t="shared" si="41">IF(I172="已计入",ROUND(R172-Q172,2),"")</f>
        <v/>
      </c>
      <c r="T172" s="12" t="str">
        <f t="shared" si="42">IF(I172="已计入",IF(Q172=0,"",S172/Q172),"")</f>
        <v/>
      </c>
      <c r="U172" s="11">
        <f t="shared" si="50">IF(AA172="正常",U171+IF(AND(I172="已计入",OR(B172="买入",B172="定投",B172="转换转入")),E172,0),"")</f>
        <v>129570</v>
      </c>
      <c r="V172" s="11">
        <f t="shared" si="51">IF(AA172="正常",V171+IF(AND(I172="已计入",OR(B172="卖出",B172="现金分红")),E172,0),"")</f>
        <v>0</v>
      </c>
      <c r="W172" s="11">
        <f t="shared" si="52">IF(AA172="正常",W171+IF(I172="已计入",N172,0),"")</f>
        <v>0</v>
      </c>
      <c r="X172" s="11">
        <f t="shared" si="53">IF(AA172="正常",X171+IF(I172="已计入",P172,0),"")</f>
        <v>0</v>
      </c>
      <c r="Y172" s="11" t="str">
        <f t="shared" si="43">IF(I172="已计入",ROUND(R172+V172-U172,2),"")</f>
        <v/>
      </c>
      <c r="Z172" s="13">
        <f t="shared" si="54">IF(AA172="正常",IF(I172="已计入",A172,Z171),"")</f>
        <v>46239</v>
      </c>
      <c r="AA172" s="10" t="str">
        <f>IF(OR($AA$134="错误",COUNTIF($G$135:G172,"待修正")&gt;0),"错误","正常")</f>
        <v>正常</v>
      </c>
      <c r="AB172" s="14">
        <f t="shared" si="55">IF(AA172="正常",IF(I172="已计入",C172,AB171),"")</f>
        <v>6.347</v>
      </c>
    </row>
    <row r="173" ht="23" customHeight="1">
      <c r="A173" s="36"/>
      <c r="B173" s="37"/>
      <c r="C173" s="38"/>
      <c r="D173" s="39"/>
      <c r="E173" s="44" t="str">
        <f t="shared" si="36">IF(AND(ISNUMBER(C173),ISNUMBER(D173),ISNUMBER(F173)),IF(OR(B173="买入",B173="定投"),ROUND(C173*D173+F173,2),IF(B173="卖出",ROUND(C173*D173-F173,2),IF(B173="红利再投",0,""))),"")</f>
        <v/>
      </c>
      <c r="F173" s="39"/>
      <c r="G173" s="45" t="str">
        <f t="shared" si="37">IF(COUNTA(A173:D173,F173)=0,"",IF(I173="已计入","已录入","待修正"))</f>
        <v/>
      </c>
      <c r="H173" s="46" t="str">
        <f t="shared" si="38">IF(COUNTA(A173:D173,F173)=0,"",IF(B173="红利再投","仅增加份额，不增加现金投入","金额由份额、净值和手续费推算"))</f>
        <v/>
      </c>
      <c r="I173" s="10" t="str">
        <f>IF(COUNTA(A173:D173,F173)=0,"",IF(NOT(ISNUMBER(A173)),"缺少有效净值日期",IF(OR(A173&lt;=0,A173&lt;&gt;INT(A173)),"净值日期无效",IF(OR(B173="转换转入",B173="现金分红"),"该类型需实际金额，五项录入不适用",IF(NOT(OR(OR(B173="买入",B173="定投"),B173="卖出",B173="红利再投")),"请选择交易类型",IF(NOT(ISNUMBER(C173)),"缺少成交净值",IF(C173&lt;=0,"成交净值须大于零",IF(NOT(ISNUMBER(D173)),"缺少确认份额",IF(D173&lt;=0,"确认份额须大于零",IF(NOT(ISNUMBER(F173)),"缺少手续费，无费用请填 0",IF(F173&lt;0,"手续费不能为负",IF(AA172="错误","前行待修正",IF(A173&lt;Z172,"日期需按成交顺序递增",IF(AND(B173="红利再投",F173&lt;&gt;0),"红利再投手续费应填 0",IF(AND(B173="红利再投",K172&lt;=0),"红利再投前须有持仓",IF(AND(B173="卖出",D173&gt;K172+0.000001),"卖出份额超过持仓",IF(AND(B173="卖出",F173&gt;=C173*D173),"赎回费不能达到赎回总额",IF(NOT(ISNUMBER(E173)),"自动金额未生成，请检查五项输入",IF(NOT(OR('持仓总览'!$C$7="利润优先",'持仓总览'!$C$7="本金优先")),"请选择卖出分配模式","已计入")))))))))))))))))))</f>
        <v/>
      </c>
      <c r="J173" s="11">
        <f t="shared" si="39">IF(AA173="正常",IF(I173="已计入",IF(OR(OR(B173="买入",B173="定投",B173="转换转入"),B173="红利再投"),D173,IF(B173="卖出",-D173,0)),0),"")</f>
        <v>0</v>
      </c>
      <c r="K173" s="11">
        <f t="shared" si="44">IF(AA173="正常",ROUND(K172+J173,6),"")</f>
        <v>25721.6</v>
      </c>
      <c r="L173" s="11" t="str">
        <f t="shared" si="45">IF(I173="已计入",ROUND(K172*C173,2),"")</f>
        <v/>
      </c>
      <c r="M173" s="11" t="str">
        <f t="shared" si="46">IF(I173="已计入",IF(B173="卖出",MAX(0,L173-Q172-F173),IF(B173="现金分红",MAX(0,L173+E173-Q172),0)),"")</f>
        <v/>
      </c>
      <c r="N173" s="11" t="str">
        <f>IF(I173="已计入",IF(AND(B173="卖出",'持仓总览'!$C$7="本金优先"),MAX(0,E173-Q172),IF(OR(B173="卖出",B173="现金分红"),MIN(E173,M173),0)),"")</f>
        <v/>
      </c>
      <c r="O173" s="11" t="str">
        <f t="shared" si="47">IF(I173="已计入",IF(OR(B173="卖出",B173="现金分红"),MIN(Q172,MAX(0,E173-N173)),0),"")</f>
        <v/>
      </c>
      <c r="P173" s="11" t="str">
        <f t="shared" si="48">IF(I173="已计入",IF(AND(B173="卖出",K173=0),MAX(0,Q172-O173),0),"")</f>
        <v/>
      </c>
      <c r="Q173" s="11">
        <f t="shared" si="49">IF(AA173="正常",IF(I173="已计入",ROUND(Q172+IF(OR(B173="买入",B173="定投",B173="转换转入"),E173,0)-O173-P173,2),Q172),"")</f>
        <v>129570</v>
      </c>
      <c r="R173" s="11" t="str">
        <f t="shared" si="40">IF(I173="已计入",ROUND(K173*C173,2),"")</f>
        <v/>
      </c>
      <c r="S173" s="11" t="str">
        <f t="shared" si="41">IF(I173="已计入",ROUND(R173-Q173,2),"")</f>
        <v/>
      </c>
      <c r="T173" s="12" t="str">
        <f t="shared" si="42">IF(I173="已计入",IF(Q173=0,"",S173/Q173),"")</f>
        <v/>
      </c>
      <c r="U173" s="11">
        <f t="shared" si="50">IF(AA173="正常",U172+IF(AND(I173="已计入",OR(B173="买入",B173="定投",B173="转换转入")),E173,0),"")</f>
        <v>129570</v>
      </c>
      <c r="V173" s="11">
        <f t="shared" si="51">IF(AA173="正常",V172+IF(AND(I173="已计入",OR(B173="卖出",B173="现金分红")),E173,0),"")</f>
        <v>0</v>
      </c>
      <c r="W173" s="11">
        <f t="shared" si="52">IF(AA173="正常",W172+IF(I173="已计入",N173,0),"")</f>
        <v>0</v>
      </c>
      <c r="X173" s="11">
        <f t="shared" si="53">IF(AA173="正常",X172+IF(I173="已计入",P173,0),"")</f>
        <v>0</v>
      </c>
      <c r="Y173" s="11" t="str">
        <f t="shared" si="43">IF(I173="已计入",ROUND(R173+V173-U173,2),"")</f>
        <v/>
      </c>
      <c r="Z173" s="13">
        <f t="shared" si="54">IF(AA173="正常",IF(I173="已计入",A173,Z172),"")</f>
        <v>46239</v>
      </c>
      <c r="AA173" s="10" t="str">
        <f>IF(OR($AA$134="错误",COUNTIF($G$135:G173,"待修正")&gt;0),"错误","正常")</f>
        <v>正常</v>
      </c>
      <c r="AB173" s="14">
        <f t="shared" si="55">IF(AA173="正常",IF(I173="已计入",C173,AB172),"")</f>
        <v>6.347</v>
      </c>
    </row>
    <row r="174" ht="23" customHeight="1">
      <c r="A174" s="36"/>
      <c r="B174" s="37"/>
      <c r="C174" s="38"/>
      <c r="D174" s="39"/>
      <c r="E174" s="44" t="str">
        <f t="shared" si="36">IF(AND(ISNUMBER(C174),ISNUMBER(D174),ISNUMBER(F174)),IF(OR(B174="买入",B174="定投"),ROUND(C174*D174+F174,2),IF(B174="卖出",ROUND(C174*D174-F174,2),IF(B174="红利再投",0,""))),"")</f>
        <v/>
      </c>
      <c r="F174" s="39"/>
      <c r="G174" s="45" t="str">
        <f t="shared" si="37">IF(COUNTA(A174:D174,F174)=0,"",IF(I174="已计入","已录入","待修正"))</f>
        <v/>
      </c>
      <c r="H174" s="46" t="str">
        <f t="shared" si="38">IF(COUNTA(A174:D174,F174)=0,"",IF(B174="红利再投","仅增加份额，不增加现金投入","金额由份额、净值和手续费推算"))</f>
        <v/>
      </c>
      <c r="I174" s="10" t="str">
        <f>IF(COUNTA(A174:D174,F174)=0,"",IF(NOT(ISNUMBER(A174)),"缺少有效净值日期",IF(OR(A174&lt;=0,A174&lt;&gt;INT(A174)),"净值日期无效",IF(OR(B174="转换转入",B174="现金分红"),"该类型需实际金额，五项录入不适用",IF(NOT(OR(OR(B174="买入",B174="定投"),B174="卖出",B174="红利再投")),"请选择交易类型",IF(NOT(ISNUMBER(C174)),"缺少成交净值",IF(C174&lt;=0,"成交净值须大于零",IF(NOT(ISNUMBER(D174)),"缺少确认份额",IF(D174&lt;=0,"确认份额须大于零",IF(NOT(ISNUMBER(F174)),"缺少手续费，无费用请填 0",IF(F174&lt;0,"手续费不能为负",IF(AA173="错误","前行待修正",IF(A174&lt;Z173,"日期需按成交顺序递增",IF(AND(B174="红利再投",F174&lt;&gt;0),"红利再投手续费应填 0",IF(AND(B174="红利再投",K173&lt;=0),"红利再投前须有持仓",IF(AND(B174="卖出",D174&gt;K173+0.000001),"卖出份额超过持仓",IF(AND(B174="卖出",F174&gt;=C174*D174),"赎回费不能达到赎回总额",IF(NOT(ISNUMBER(E174)),"自动金额未生成，请检查五项输入",IF(NOT(OR('持仓总览'!$C$7="利润优先",'持仓总览'!$C$7="本金优先")),"请选择卖出分配模式","已计入")))))))))))))))))))</f>
        <v/>
      </c>
      <c r="J174" s="11">
        <f t="shared" si="39">IF(AA174="正常",IF(I174="已计入",IF(OR(OR(B174="买入",B174="定投",B174="转换转入"),B174="红利再投"),D174,IF(B174="卖出",-D174,0)),0),"")</f>
        <v>0</v>
      </c>
      <c r="K174" s="11">
        <f t="shared" si="44">IF(AA174="正常",ROUND(K173+J174,6),"")</f>
        <v>25721.6</v>
      </c>
      <c r="L174" s="11" t="str">
        <f t="shared" si="45">IF(I174="已计入",ROUND(K173*C174,2),"")</f>
        <v/>
      </c>
      <c r="M174" s="11" t="str">
        <f t="shared" si="46">IF(I174="已计入",IF(B174="卖出",MAX(0,L174-Q173-F174),IF(B174="现金分红",MAX(0,L174+E174-Q173),0)),"")</f>
        <v/>
      </c>
      <c r="N174" s="11" t="str">
        <f>IF(I174="已计入",IF(AND(B174="卖出",'持仓总览'!$C$7="本金优先"),MAX(0,E174-Q173),IF(OR(B174="卖出",B174="现金分红"),MIN(E174,M174),0)),"")</f>
        <v/>
      </c>
      <c r="O174" s="11" t="str">
        <f t="shared" si="47">IF(I174="已计入",IF(OR(B174="卖出",B174="现金分红"),MIN(Q173,MAX(0,E174-N174)),0),"")</f>
        <v/>
      </c>
      <c r="P174" s="11" t="str">
        <f t="shared" si="48">IF(I174="已计入",IF(AND(B174="卖出",K174=0),MAX(0,Q173-O174),0),"")</f>
        <v/>
      </c>
      <c r="Q174" s="11">
        <f t="shared" si="49">IF(AA174="正常",IF(I174="已计入",ROUND(Q173+IF(OR(B174="买入",B174="定投",B174="转换转入"),E174,0)-O174-P174,2),Q173),"")</f>
        <v>129570</v>
      </c>
      <c r="R174" s="11" t="str">
        <f t="shared" si="40">IF(I174="已计入",ROUND(K174*C174,2),"")</f>
        <v/>
      </c>
      <c r="S174" s="11" t="str">
        <f t="shared" si="41">IF(I174="已计入",ROUND(R174-Q174,2),"")</f>
        <v/>
      </c>
      <c r="T174" s="12" t="str">
        <f t="shared" si="42">IF(I174="已计入",IF(Q174=0,"",S174/Q174),"")</f>
        <v/>
      </c>
      <c r="U174" s="11">
        <f t="shared" si="50">IF(AA174="正常",U173+IF(AND(I174="已计入",OR(B174="买入",B174="定投",B174="转换转入")),E174,0),"")</f>
        <v>129570</v>
      </c>
      <c r="V174" s="11">
        <f t="shared" si="51">IF(AA174="正常",V173+IF(AND(I174="已计入",OR(B174="卖出",B174="现金分红")),E174,0),"")</f>
        <v>0</v>
      </c>
      <c r="W174" s="11">
        <f t="shared" si="52">IF(AA174="正常",W173+IF(I174="已计入",N174,0),"")</f>
        <v>0</v>
      </c>
      <c r="X174" s="11">
        <f t="shared" si="53">IF(AA174="正常",X173+IF(I174="已计入",P174,0),"")</f>
        <v>0</v>
      </c>
      <c r="Y174" s="11" t="str">
        <f t="shared" si="43">IF(I174="已计入",ROUND(R174+V174-U174,2),"")</f>
        <v/>
      </c>
      <c r="Z174" s="13">
        <f t="shared" si="54">IF(AA174="正常",IF(I174="已计入",A174,Z173),"")</f>
        <v>46239</v>
      </c>
      <c r="AA174" s="10" t="str">
        <f>IF(OR($AA$134="错误",COUNTIF($G$135:G174,"待修正")&gt;0),"错误","正常")</f>
        <v>正常</v>
      </c>
      <c r="AB174" s="14">
        <f t="shared" si="55">IF(AA174="正常",IF(I174="已计入",C174,AB173),"")</f>
        <v>6.347</v>
      </c>
    </row>
    <row r="175" ht="23" customHeight="1">
      <c r="A175" s="36"/>
      <c r="B175" s="37"/>
      <c r="C175" s="38"/>
      <c r="D175" s="39"/>
      <c r="E175" s="44" t="str">
        <f t="shared" si="36">IF(AND(ISNUMBER(C175),ISNUMBER(D175),ISNUMBER(F175)),IF(OR(B175="买入",B175="定投"),ROUND(C175*D175+F175,2),IF(B175="卖出",ROUND(C175*D175-F175,2),IF(B175="红利再投",0,""))),"")</f>
        <v/>
      </c>
      <c r="F175" s="39"/>
      <c r="G175" s="45" t="str">
        <f t="shared" si="37">IF(COUNTA(A175:D175,F175)=0,"",IF(I175="已计入","已录入","待修正"))</f>
        <v/>
      </c>
      <c r="H175" s="46" t="str">
        <f t="shared" si="38">IF(COUNTA(A175:D175,F175)=0,"",IF(B175="红利再投","仅增加份额，不增加现金投入","金额由份额、净值和手续费推算"))</f>
        <v/>
      </c>
      <c r="I175" s="10" t="str">
        <f>IF(COUNTA(A175:D175,F175)=0,"",IF(NOT(ISNUMBER(A175)),"缺少有效净值日期",IF(OR(A175&lt;=0,A175&lt;&gt;INT(A175)),"净值日期无效",IF(OR(B175="转换转入",B175="现金分红"),"该类型需实际金额，五项录入不适用",IF(NOT(OR(OR(B175="买入",B175="定投"),B175="卖出",B175="红利再投")),"请选择交易类型",IF(NOT(ISNUMBER(C175)),"缺少成交净值",IF(C175&lt;=0,"成交净值须大于零",IF(NOT(ISNUMBER(D175)),"缺少确认份额",IF(D175&lt;=0,"确认份额须大于零",IF(NOT(ISNUMBER(F175)),"缺少手续费，无费用请填 0",IF(F175&lt;0,"手续费不能为负",IF(AA174="错误","前行待修正",IF(A175&lt;Z174,"日期需按成交顺序递增",IF(AND(B175="红利再投",F175&lt;&gt;0),"红利再投手续费应填 0",IF(AND(B175="红利再投",K174&lt;=0),"红利再投前须有持仓",IF(AND(B175="卖出",D175&gt;K174+0.000001),"卖出份额超过持仓",IF(AND(B175="卖出",F175&gt;=C175*D175),"赎回费不能达到赎回总额",IF(NOT(ISNUMBER(E175)),"自动金额未生成，请检查五项输入",IF(NOT(OR('持仓总览'!$C$7="利润优先",'持仓总览'!$C$7="本金优先")),"请选择卖出分配模式","已计入")))))))))))))))))))</f>
        <v/>
      </c>
      <c r="J175" s="11">
        <f t="shared" si="39">IF(AA175="正常",IF(I175="已计入",IF(OR(OR(B175="买入",B175="定投",B175="转换转入"),B175="红利再投"),D175,IF(B175="卖出",-D175,0)),0),"")</f>
        <v>0</v>
      </c>
      <c r="K175" s="11">
        <f t="shared" si="44">IF(AA175="正常",ROUND(K174+J175,6),"")</f>
        <v>25721.6</v>
      </c>
      <c r="L175" s="11" t="str">
        <f t="shared" si="45">IF(I175="已计入",ROUND(K174*C175,2),"")</f>
        <v/>
      </c>
      <c r="M175" s="11" t="str">
        <f t="shared" si="46">IF(I175="已计入",IF(B175="卖出",MAX(0,L175-Q174-F175),IF(B175="现金分红",MAX(0,L175+E175-Q174),0)),"")</f>
        <v/>
      </c>
      <c r="N175" s="11" t="str">
        <f>IF(I175="已计入",IF(AND(B175="卖出",'持仓总览'!$C$7="本金优先"),MAX(0,E175-Q174),IF(OR(B175="卖出",B175="现金分红"),MIN(E175,M175),0)),"")</f>
        <v/>
      </c>
      <c r="O175" s="11" t="str">
        <f t="shared" si="47">IF(I175="已计入",IF(OR(B175="卖出",B175="现金分红"),MIN(Q174,MAX(0,E175-N175)),0),"")</f>
        <v/>
      </c>
      <c r="P175" s="11" t="str">
        <f t="shared" si="48">IF(I175="已计入",IF(AND(B175="卖出",K175=0),MAX(0,Q174-O175),0),"")</f>
        <v/>
      </c>
      <c r="Q175" s="11">
        <f t="shared" si="49">IF(AA175="正常",IF(I175="已计入",ROUND(Q174+IF(OR(B175="买入",B175="定投",B175="转换转入"),E175,0)-O175-P175,2),Q174),"")</f>
        <v>129570</v>
      </c>
      <c r="R175" s="11" t="str">
        <f t="shared" si="40">IF(I175="已计入",ROUND(K175*C175,2),"")</f>
        <v/>
      </c>
      <c r="S175" s="11" t="str">
        <f t="shared" si="41">IF(I175="已计入",ROUND(R175-Q175,2),"")</f>
        <v/>
      </c>
      <c r="T175" s="12" t="str">
        <f t="shared" si="42">IF(I175="已计入",IF(Q175=0,"",S175/Q175),"")</f>
        <v/>
      </c>
      <c r="U175" s="11">
        <f t="shared" si="50">IF(AA175="正常",U174+IF(AND(I175="已计入",OR(B175="买入",B175="定投",B175="转换转入")),E175,0),"")</f>
        <v>129570</v>
      </c>
      <c r="V175" s="11">
        <f t="shared" si="51">IF(AA175="正常",V174+IF(AND(I175="已计入",OR(B175="卖出",B175="现金分红")),E175,0),"")</f>
        <v>0</v>
      </c>
      <c r="W175" s="11">
        <f t="shared" si="52">IF(AA175="正常",W174+IF(I175="已计入",N175,0),"")</f>
        <v>0</v>
      </c>
      <c r="X175" s="11">
        <f t="shared" si="53">IF(AA175="正常",X174+IF(I175="已计入",P175,0),"")</f>
        <v>0</v>
      </c>
      <c r="Y175" s="11" t="str">
        <f t="shared" si="43">IF(I175="已计入",ROUND(R175+V175-U175,2),"")</f>
        <v/>
      </c>
      <c r="Z175" s="13">
        <f t="shared" si="54">IF(AA175="正常",IF(I175="已计入",A175,Z174),"")</f>
        <v>46239</v>
      </c>
      <c r="AA175" s="10" t="str">
        <f>IF(OR($AA$134="错误",COUNTIF($G$135:G175,"待修正")&gt;0),"错误","正常")</f>
        <v>正常</v>
      </c>
      <c r="AB175" s="14">
        <f t="shared" si="55">IF(AA175="正常",IF(I175="已计入",C175,AB174),"")</f>
        <v>6.347</v>
      </c>
    </row>
    <row r="176" ht="23" customHeight="1">
      <c r="A176" s="36"/>
      <c r="B176" s="37"/>
      <c r="C176" s="38"/>
      <c r="D176" s="39"/>
      <c r="E176" s="44" t="str">
        <f t="shared" si="36">IF(AND(ISNUMBER(C176),ISNUMBER(D176),ISNUMBER(F176)),IF(OR(B176="买入",B176="定投"),ROUND(C176*D176+F176,2),IF(B176="卖出",ROUND(C176*D176-F176,2),IF(B176="红利再投",0,""))),"")</f>
        <v/>
      </c>
      <c r="F176" s="39"/>
      <c r="G176" s="45" t="str">
        <f t="shared" si="37">IF(COUNTA(A176:D176,F176)=0,"",IF(I176="已计入","已录入","待修正"))</f>
        <v/>
      </c>
      <c r="H176" s="46" t="str">
        <f t="shared" si="38">IF(COUNTA(A176:D176,F176)=0,"",IF(B176="红利再投","仅增加份额，不增加现金投入","金额由份额、净值和手续费推算"))</f>
        <v/>
      </c>
      <c r="I176" s="10" t="str">
        <f>IF(COUNTA(A176:D176,F176)=0,"",IF(NOT(ISNUMBER(A176)),"缺少有效净值日期",IF(OR(A176&lt;=0,A176&lt;&gt;INT(A176)),"净值日期无效",IF(OR(B176="转换转入",B176="现金分红"),"该类型需实际金额，五项录入不适用",IF(NOT(OR(OR(B176="买入",B176="定投"),B176="卖出",B176="红利再投")),"请选择交易类型",IF(NOT(ISNUMBER(C176)),"缺少成交净值",IF(C176&lt;=0,"成交净值须大于零",IF(NOT(ISNUMBER(D176)),"缺少确认份额",IF(D176&lt;=0,"确认份额须大于零",IF(NOT(ISNUMBER(F176)),"缺少手续费，无费用请填 0",IF(F176&lt;0,"手续费不能为负",IF(AA175="错误","前行待修正",IF(A176&lt;Z175,"日期需按成交顺序递增",IF(AND(B176="红利再投",F176&lt;&gt;0),"红利再投手续费应填 0",IF(AND(B176="红利再投",K175&lt;=0),"红利再投前须有持仓",IF(AND(B176="卖出",D176&gt;K175+0.000001),"卖出份额超过持仓",IF(AND(B176="卖出",F176&gt;=C176*D176),"赎回费不能达到赎回总额",IF(NOT(ISNUMBER(E176)),"自动金额未生成，请检查五项输入",IF(NOT(OR('持仓总览'!$C$7="利润优先",'持仓总览'!$C$7="本金优先")),"请选择卖出分配模式","已计入")))))))))))))))))))</f>
        <v/>
      </c>
      <c r="J176" s="11">
        <f t="shared" si="39">IF(AA176="正常",IF(I176="已计入",IF(OR(OR(B176="买入",B176="定投",B176="转换转入"),B176="红利再投"),D176,IF(B176="卖出",-D176,0)),0),"")</f>
        <v>0</v>
      </c>
      <c r="K176" s="11">
        <f t="shared" si="44">IF(AA176="正常",ROUND(K175+J176,6),"")</f>
        <v>25721.6</v>
      </c>
      <c r="L176" s="11" t="str">
        <f t="shared" si="45">IF(I176="已计入",ROUND(K175*C176,2),"")</f>
        <v/>
      </c>
      <c r="M176" s="11" t="str">
        <f t="shared" si="46">IF(I176="已计入",IF(B176="卖出",MAX(0,L176-Q175-F176),IF(B176="现金分红",MAX(0,L176+E176-Q175),0)),"")</f>
        <v/>
      </c>
      <c r="N176" s="11" t="str">
        <f>IF(I176="已计入",IF(AND(B176="卖出",'持仓总览'!$C$7="本金优先"),MAX(0,E176-Q175),IF(OR(B176="卖出",B176="现金分红"),MIN(E176,M176),0)),"")</f>
        <v/>
      </c>
      <c r="O176" s="11" t="str">
        <f t="shared" si="47">IF(I176="已计入",IF(OR(B176="卖出",B176="现金分红"),MIN(Q175,MAX(0,E176-N176)),0),"")</f>
        <v/>
      </c>
      <c r="P176" s="11" t="str">
        <f t="shared" si="48">IF(I176="已计入",IF(AND(B176="卖出",K176=0),MAX(0,Q175-O176),0),"")</f>
        <v/>
      </c>
      <c r="Q176" s="11">
        <f t="shared" si="49">IF(AA176="正常",IF(I176="已计入",ROUND(Q175+IF(OR(B176="买入",B176="定投",B176="转换转入"),E176,0)-O176-P176,2),Q175),"")</f>
        <v>129570</v>
      </c>
      <c r="R176" s="11" t="str">
        <f t="shared" si="40">IF(I176="已计入",ROUND(K176*C176,2),"")</f>
        <v/>
      </c>
      <c r="S176" s="11" t="str">
        <f t="shared" si="41">IF(I176="已计入",ROUND(R176-Q176,2),"")</f>
        <v/>
      </c>
      <c r="T176" s="12" t="str">
        <f t="shared" si="42">IF(I176="已计入",IF(Q176=0,"",S176/Q176),"")</f>
        <v/>
      </c>
      <c r="U176" s="11">
        <f t="shared" si="50">IF(AA176="正常",U175+IF(AND(I176="已计入",OR(B176="买入",B176="定投",B176="转换转入")),E176,0),"")</f>
        <v>129570</v>
      </c>
      <c r="V176" s="11">
        <f t="shared" si="51">IF(AA176="正常",V175+IF(AND(I176="已计入",OR(B176="卖出",B176="现金分红")),E176,0),"")</f>
        <v>0</v>
      </c>
      <c r="W176" s="11">
        <f t="shared" si="52">IF(AA176="正常",W175+IF(I176="已计入",N176,0),"")</f>
        <v>0</v>
      </c>
      <c r="X176" s="11">
        <f t="shared" si="53">IF(AA176="正常",X175+IF(I176="已计入",P176,0),"")</f>
        <v>0</v>
      </c>
      <c r="Y176" s="11" t="str">
        <f t="shared" si="43">IF(I176="已计入",ROUND(R176+V176-U176,2),"")</f>
        <v/>
      </c>
      <c r="Z176" s="13">
        <f t="shared" si="54">IF(AA176="正常",IF(I176="已计入",A176,Z175),"")</f>
        <v>46239</v>
      </c>
      <c r="AA176" s="10" t="str">
        <f>IF(OR($AA$134="错误",COUNTIF($G$135:G176,"待修正")&gt;0),"错误","正常")</f>
        <v>正常</v>
      </c>
      <c r="AB176" s="14">
        <f t="shared" si="55">IF(AA176="正常",IF(I176="已计入",C176,AB175),"")</f>
        <v>6.347</v>
      </c>
    </row>
    <row r="177" ht="23" customHeight="1">
      <c r="A177" s="36"/>
      <c r="B177" s="37"/>
      <c r="C177" s="38"/>
      <c r="D177" s="39"/>
      <c r="E177" s="44" t="str">
        <f t="shared" si="36">IF(AND(ISNUMBER(C177),ISNUMBER(D177),ISNUMBER(F177)),IF(OR(B177="买入",B177="定投"),ROUND(C177*D177+F177,2),IF(B177="卖出",ROUND(C177*D177-F177,2),IF(B177="红利再投",0,""))),"")</f>
        <v/>
      </c>
      <c r="F177" s="39"/>
      <c r="G177" s="45" t="str">
        <f t="shared" si="37">IF(COUNTA(A177:D177,F177)=0,"",IF(I177="已计入","已录入","待修正"))</f>
        <v/>
      </c>
      <c r="H177" s="46" t="str">
        <f t="shared" si="38">IF(COUNTA(A177:D177,F177)=0,"",IF(B177="红利再投","仅增加份额，不增加现金投入","金额由份额、净值和手续费推算"))</f>
        <v/>
      </c>
      <c r="I177" s="10" t="str">
        <f>IF(COUNTA(A177:D177,F177)=0,"",IF(NOT(ISNUMBER(A177)),"缺少有效净值日期",IF(OR(A177&lt;=0,A177&lt;&gt;INT(A177)),"净值日期无效",IF(OR(B177="转换转入",B177="现金分红"),"该类型需实际金额，五项录入不适用",IF(NOT(OR(OR(B177="买入",B177="定投"),B177="卖出",B177="红利再投")),"请选择交易类型",IF(NOT(ISNUMBER(C177)),"缺少成交净值",IF(C177&lt;=0,"成交净值须大于零",IF(NOT(ISNUMBER(D177)),"缺少确认份额",IF(D177&lt;=0,"确认份额须大于零",IF(NOT(ISNUMBER(F177)),"缺少手续费，无费用请填 0",IF(F177&lt;0,"手续费不能为负",IF(AA176="错误","前行待修正",IF(A177&lt;Z176,"日期需按成交顺序递增",IF(AND(B177="红利再投",F177&lt;&gt;0),"红利再投手续费应填 0",IF(AND(B177="红利再投",K176&lt;=0),"红利再投前须有持仓",IF(AND(B177="卖出",D177&gt;K176+0.000001),"卖出份额超过持仓",IF(AND(B177="卖出",F177&gt;=C177*D177),"赎回费不能达到赎回总额",IF(NOT(ISNUMBER(E177)),"自动金额未生成，请检查五项输入",IF(NOT(OR('持仓总览'!$C$7="利润优先",'持仓总览'!$C$7="本金优先")),"请选择卖出分配模式","已计入")))))))))))))))))))</f>
        <v/>
      </c>
      <c r="J177" s="11">
        <f t="shared" si="39">IF(AA177="正常",IF(I177="已计入",IF(OR(OR(B177="买入",B177="定投",B177="转换转入"),B177="红利再投"),D177,IF(B177="卖出",-D177,0)),0),"")</f>
        <v>0</v>
      </c>
      <c r="K177" s="11">
        <f t="shared" si="44">IF(AA177="正常",ROUND(K176+J177,6),"")</f>
        <v>25721.6</v>
      </c>
      <c r="L177" s="11" t="str">
        <f t="shared" si="45">IF(I177="已计入",ROUND(K176*C177,2),"")</f>
        <v/>
      </c>
      <c r="M177" s="11" t="str">
        <f t="shared" si="46">IF(I177="已计入",IF(B177="卖出",MAX(0,L177-Q176-F177),IF(B177="现金分红",MAX(0,L177+E177-Q176),0)),"")</f>
        <v/>
      </c>
      <c r="N177" s="11" t="str">
        <f>IF(I177="已计入",IF(AND(B177="卖出",'持仓总览'!$C$7="本金优先"),MAX(0,E177-Q176),IF(OR(B177="卖出",B177="现金分红"),MIN(E177,M177),0)),"")</f>
        <v/>
      </c>
      <c r="O177" s="11" t="str">
        <f t="shared" si="47">IF(I177="已计入",IF(OR(B177="卖出",B177="现金分红"),MIN(Q176,MAX(0,E177-N177)),0),"")</f>
        <v/>
      </c>
      <c r="P177" s="11" t="str">
        <f t="shared" si="48">IF(I177="已计入",IF(AND(B177="卖出",K177=0),MAX(0,Q176-O177),0),"")</f>
        <v/>
      </c>
      <c r="Q177" s="11">
        <f t="shared" si="49">IF(AA177="正常",IF(I177="已计入",ROUND(Q176+IF(OR(B177="买入",B177="定投",B177="转换转入"),E177,0)-O177-P177,2),Q176),"")</f>
        <v>129570</v>
      </c>
      <c r="R177" s="11" t="str">
        <f t="shared" si="40">IF(I177="已计入",ROUND(K177*C177,2),"")</f>
        <v/>
      </c>
      <c r="S177" s="11" t="str">
        <f t="shared" si="41">IF(I177="已计入",ROUND(R177-Q177,2),"")</f>
        <v/>
      </c>
      <c r="T177" s="12" t="str">
        <f t="shared" si="42">IF(I177="已计入",IF(Q177=0,"",S177/Q177),"")</f>
        <v/>
      </c>
      <c r="U177" s="11">
        <f t="shared" si="50">IF(AA177="正常",U176+IF(AND(I177="已计入",OR(B177="买入",B177="定投",B177="转换转入")),E177,0),"")</f>
        <v>129570</v>
      </c>
      <c r="V177" s="11">
        <f t="shared" si="51">IF(AA177="正常",V176+IF(AND(I177="已计入",OR(B177="卖出",B177="现金分红")),E177,0),"")</f>
        <v>0</v>
      </c>
      <c r="W177" s="11">
        <f t="shared" si="52">IF(AA177="正常",W176+IF(I177="已计入",N177,0),"")</f>
        <v>0</v>
      </c>
      <c r="X177" s="11">
        <f t="shared" si="53">IF(AA177="正常",X176+IF(I177="已计入",P177,0),"")</f>
        <v>0</v>
      </c>
      <c r="Y177" s="11" t="str">
        <f t="shared" si="43">IF(I177="已计入",ROUND(R177+V177-U177,2),"")</f>
        <v/>
      </c>
      <c r="Z177" s="13">
        <f t="shared" si="54">IF(AA177="正常",IF(I177="已计入",A177,Z176),"")</f>
        <v>46239</v>
      </c>
      <c r="AA177" s="10" t="str">
        <f>IF(OR($AA$134="错误",COUNTIF($G$135:G177,"待修正")&gt;0),"错误","正常")</f>
        <v>正常</v>
      </c>
      <c r="AB177" s="14">
        <f t="shared" si="55">IF(AA177="正常",IF(I177="已计入",C177,AB176),"")</f>
        <v>6.347</v>
      </c>
    </row>
    <row r="178" ht="23" customHeight="1">
      <c r="A178" s="36"/>
      <c r="B178" s="37"/>
      <c r="C178" s="38"/>
      <c r="D178" s="39"/>
      <c r="E178" s="44" t="str">
        <f t="shared" si="36">IF(AND(ISNUMBER(C178),ISNUMBER(D178),ISNUMBER(F178)),IF(OR(B178="买入",B178="定投"),ROUND(C178*D178+F178,2),IF(B178="卖出",ROUND(C178*D178-F178,2),IF(B178="红利再投",0,""))),"")</f>
        <v/>
      </c>
      <c r="F178" s="39"/>
      <c r="G178" s="45" t="str">
        <f t="shared" si="37">IF(COUNTA(A178:D178,F178)=0,"",IF(I178="已计入","已录入","待修正"))</f>
        <v/>
      </c>
      <c r="H178" s="46" t="str">
        <f t="shared" si="38">IF(COUNTA(A178:D178,F178)=0,"",IF(B178="红利再投","仅增加份额，不增加现金投入","金额由份额、净值和手续费推算"))</f>
        <v/>
      </c>
      <c r="I178" s="10" t="str">
        <f>IF(COUNTA(A178:D178,F178)=0,"",IF(NOT(ISNUMBER(A178)),"缺少有效净值日期",IF(OR(A178&lt;=0,A178&lt;&gt;INT(A178)),"净值日期无效",IF(OR(B178="转换转入",B178="现金分红"),"该类型需实际金额，五项录入不适用",IF(NOT(OR(OR(B178="买入",B178="定投"),B178="卖出",B178="红利再投")),"请选择交易类型",IF(NOT(ISNUMBER(C178)),"缺少成交净值",IF(C178&lt;=0,"成交净值须大于零",IF(NOT(ISNUMBER(D178)),"缺少确认份额",IF(D178&lt;=0,"确认份额须大于零",IF(NOT(ISNUMBER(F178)),"缺少手续费，无费用请填 0",IF(F178&lt;0,"手续费不能为负",IF(AA177="错误","前行待修正",IF(A178&lt;Z177,"日期需按成交顺序递增",IF(AND(B178="红利再投",F178&lt;&gt;0),"红利再投手续费应填 0",IF(AND(B178="红利再投",K177&lt;=0),"红利再投前须有持仓",IF(AND(B178="卖出",D178&gt;K177+0.000001),"卖出份额超过持仓",IF(AND(B178="卖出",F178&gt;=C178*D178),"赎回费不能达到赎回总额",IF(NOT(ISNUMBER(E178)),"自动金额未生成，请检查五项输入",IF(NOT(OR('持仓总览'!$C$7="利润优先",'持仓总览'!$C$7="本金优先")),"请选择卖出分配模式","已计入")))))))))))))))))))</f>
        <v/>
      </c>
      <c r="J178" s="11">
        <f t="shared" si="39">IF(AA178="正常",IF(I178="已计入",IF(OR(OR(B178="买入",B178="定投",B178="转换转入"),B178="红利再投"),D178,IF(B178="卖出",-D178,0)),0),"")</f>
        <v>0</v>
      </c>
      <c r="K178" s="11">
        <f t="shared" si="44">IF(AA178="正常",ROUND(K177+J178,6),"")</f>
        <v>25721.6</v>
      </c>
      <c r="L178" s="11" t="str">
        <f t="shared" si="45">IF(I178="已计入",ROUND(K177*C178,2),"")</f>
        <v/>
      </c>
      <c r="M178" s="11" t="str">
        <f t="shared" si="46">IF(I178="已计入",IF(B178="卖出",MAX(0,L178-Q177-F178),IF(B178="现金分红",MAX(0,L178+E178-Q177),0)),"")</f>
        <v/>
      </c>
      <c r="N178" s="11" t="str">
        <f>IF(I178="已计入",IF(AND(B178="卖出",'持仓总览'!$C$7="本金优先"),MAX(0,E178-Q177),IF(OR(B178="卖出",B178="现金分红"),MIN(E178,M178),0)),"")</f>
        <v/>
      </c>
      <c r="O178" s="11" t="str">
        <f t="shared" si="47">IF(I178="已计入",IF(OR(B178="卖出",B178="现金分红"),MIN(Q177,MAX(0,E178-N178)),0),"")</f>
        <v/>
      </c>
      <c r="P178" s="11" t="str">
        <f t="shared" si="48">IF(I178="已计入",IF(AND(B178="卖出",K178=0),MAX(0,Q177-O178),0),"")</f>
        <v/>
      </c>
      <c r="Q178" s="11">
        <f t="shared" si="49">IF(AA178="正常",IF(I178="已计入",ROUND(Q177+IF(OR(B178="买入",B178="定投",B178="转换转入"),E178,0)-O178-P178,2),Q177),"")</f>
        <v>129570</v>
      </c>
      <c r="R178" s="11" t="str">
        <f t="shared" si="40">IF(I178="已计入",ROUND(K178*C178,2),"")</f>
        <v/>
      </c>
      <c r="S178" s="11" t="str">
        <f t="shared" si="41">IF(I178="已计入",ROUND(R178-Q178,2),"")</f>
        <v/>
      </c>
      <c r="T178" s="12" t="str">
        <f t="shared" si="42">IF(I178="已计入",IF(Q178=0,"",S178/Q178),"")</f>
        <v/>
      </c>
      <c r="U178" s="11">
        <f t="shared" si="50">IF(AA178="正常",U177+IF(AND(I178="已计入",OR(B178="买入",B178="定投",B178="转换转入")),E178,0),"")</f>
        <v>129570</v>
      </c>
      <c r="V178" s="11">
        <f t="shared" si="51">IF(AA178="正常",V177+IF(AND(I178="已计入",OR(B178="卖出",B178="现金分红")),E178,0),"")</f>
        <v>0</v>
      </c>
      <c r="W178" s="11">
        <f t="shared" si="52">IF(AA178="正常",W177+IF(I178="已计入",N178,0),"")</f>
        <v>0</v>
      </c>
      <c r="X178" s="11">
        <f t="shared" si="53">IF(AA178="正常",X177+IF(I178="已计入",P178,0),"")</f>
        <v>0</v>
      </c>
      <c r="Y178" s="11" t="str">
        <f t="shared" si="43">IF(I178="已计入",ROUND(R178+V178-U178,2),"")</f>
        <v/>
      </c>
      <c r="Z178" s="13">
        <f t="shared" si="54">IF(AA178="正常",IF(I178="已计入",A178,Z177),"")</f>
        <v>46239</v>
      </c>
      <c r="AA178" s="10" t="str">
        <f>IF(OR($AA$134="错误",COUNTIF($G$135:G178,"待修正")&gt;0),"错误","正常")</f>
        <v>正常</v>
      </c>
      <c r="AB178" s="14">
        <f t="shared" si="55">IF(AA178="正常",IF(I178="已计入",C178,AB177),"")</f>
        <v>6.347</v>
      </c>
    </row>
    <row r="179" ht="23" customHeight="1">
      <c r="A179" s="36"/>
      <c r="B179" s="37"/>
      <c r="C179" s="38"/>
      <c r="D179" s="39"/>
      <c r="E179" s="44" t="str">
        <f t="shared" si="36">IF(AND(ISNUMBER(C179),ISNUMBER(D179),ISNUMBER(F179)),IF(OR(B179="买入",B179="定投"),ROUND(C179*D179+F179,2),IF(B179="卖出",ROUND(C179*D179-F179,2),IF(B179="红利再投",0,""))),"")</f>
        <v/>
      </c>
      <c r="F179" s="39"/>
      <c r="G179" s="45" t="str">
        <f t="shared" si="37">IF(COUNTA(A179:D179,F179)=0,"",IF(I179="已计入","已录入","待修正"))</f>
        <v/>
      </c>
      <c r="H179" s="46" t="str">
        <f t="shared" si="38">IF(COUNTA(A179:D179,F179)=0,"",IF(B179="红利再投","仅增加份额，不增加现金投入","金额由份额、净值和手续费推算"))</f>
        <v/>
      </c>
      <c r="I179" s="10" t="str">
        <f>IF(COUNTA(A179:D179,F179)=0,"",IF(NOT(ISNUMBER(A179)),"缺少有效净值日期",IF(OR(A179&lt;=0,A179&lt;&gt;INT(A179)),"净值日期无效",IF(OR(B179="转换转入",B179="现金分红"),"该类型需实际金额，五项录入不适用",IF(NOT(OR(OR(B179="买入",B179="定投"),B179="卖出",B179="红利再投")),"请选择交易类型",IF(NOT(ISNUMBER(C179)),"缺少成交净值",IF(C179&lt;=0,"成交净值须大于零",IF(NOT(ISNUMBER(D179)),"缺少确认份额",IF(D179&lt;=0,"确认份额须大于零",IF(NOT(ISNUMBER(F179)),"缺少手续费，无费用请填 0",IF(F179&lt;0,"手续费不能为负",IF(AA178="错误","前行待修正",IF(A179&lt;Z178,"日期需按成交顺序递增",IF(AND(B179="红利再投",F179&lt;&gt;0),"红利再投手续费应填 0",IF(AND(B179="红利再投",K178&lt;=0),"红利再投前须有持仓",IF(AND(B179="卖出",D179&gt;K178+0.000001),"卖出份额超过持仓",IF(AND(B179="卖出",F179&gt;=C179*D179),"赎回费不能达到赎回总额",IF(NOT(ISNUMBER(E179)),"自动金额未生成，请检查五项输入",IF(NOT(OR('持仓总览'!$C$7="利润优先",'持仓总览'!$C$7="本金优先")),"请选择卖出分配模式","已计入")))))))))))))))))))</f>
        <v/>
      </c>
      <c r="J179" s="11">
        <f t="shared" si="39">IF(AA179="正常",IF(I179="已计入",IF(OR(OR(B179="买入",B179="定投",B179="转换转入"),B179="红利再投"),D179,IF(B179="卖出",-D179,0)),0),"")</f>
        <v>0</v>
      </c>
      <c r="K179" s="11">
        <f t="shared" si="44">IF(AA179="正常",ROUND(K178+J179,6),"")</f>
        <v>25721.6</v>
      </c>
      <c r="L179" s="11" t="str">
        <f t="shared" si="45">IF(I179="已计入",ROUND(K178*C179,2),"")</f>
        <v/>
      </c>
      <c r="M179" s="11" t="str">
        <f t="shared" si="46">IF(I179="已计入",IF(B179="卖出",MAX(0,L179-Q178-F179),IF(B179="现金分红",MAX(0,L179+E179-Q178),0)),"")</f>
        <v/>
      </c>
      <c r="N179" s="11" t="str">
        <f>IF(I179="已计入",IF(AND(B179="卖出",'持仓总览'!$C$7="本金优先"),MAX(0,E179-Q178),IF(OR(B179="卖出",B179="现金分红"),MIN(E179,M179),0)),"")</f>
        <v/>
      </c>
      <c r="O179" s="11" t="str">
        <f t="shared" si="47">IF(I179="已计入",IF(OR(B179="卖出",B179="现金分红"),MIN(Q178,MAX(0,E179-N179)),0),"")</f>
        <v/>
      </c>
      <c r="P179" s="11" t="str">
        <f t="shared" si="48">IF(I179="已计入",IF(AND(B179="卖出",K179=0),MAX(0,Q178-O179),0),"")</f>
        <v/>
      </c>
      <c r="Q179" s="11">
        <f t="shared" si="49">IF(AA179="正常",IF(I179="已计入",ROUND(Q178+IF(OR(B179="买入",B179="定投",B179="转换转入"),E179,0)-O179-P179,2),Q178),"")</f>
        <v>129570</v>
      </c>
      <c r="R179" s="11" t="str">
        <f t="shared" si="40">IF(I179="已计入",ROUND(K179*C179,2),"")</f>
        <v/>
      </c>
      <c r="S179" s="11" t="str">
        <f t="shared" si="41">IF(I179="已计入",ROUND(R179-Q179,2),"")</f>
        <v/>
      </c>
      <c r="T179" s="12" t="str">
        <f t="shared" si="42">IF(I179="已计入",IF(Q179=0,"",S179/Q179),"")</f>
        <v/>
      </c>
      <c r="U179" s="11">
        <f t="shared" si="50">IF(AA179="正常",U178+IF(AND(I179="已计入",OR(B179="买入",B179="定投",B179="转换转入")),E179,0),"")</f>
        <v>129570</v>
      </c>
      <c r="V179" s="11">
        <f t="shared" si="51">IF(AA179="正常",V178+IF(AND(I179="已计入",OR(B179="卖出",B179="现金分红")),E179,0),"")</f>
        <v>0</v>
      </c>
      <c r="W179" s="11">
        <f t="shared" si="52">IF(AA179="正常",W178+IF(I179="已计入",N179,0),"")</f>
        <v>0</v>
      </c>
      <c r="X179" s="11">
        <f t="shared" si="53">IF(AA179="正常",X178+IF(I179="已计入",P179,0),"")</f>
        <v>0</v>
      </c>
      <c r="Y179" s="11" t="str">
        <f t="shared" si="43">IF(I179="已计入",ROUND(R179+V179-U179,2),"")</f>
        <v/>
      </c>
      <c r="Z179" s="13">
        <f t="shared" si="54">IF(AA179="正常",IF(I179="已计入",A179,Z178),"")</f>
        <v>46239</v>
      </c>
      <c r="AA179" s="10" t="str">
        <f>IF(OR($AA$134="错误",COUNTIF($G$135:G179,"待修正")&gt;0),"错误","正常")</f>
        <v>正常</v>
      </c>
      <c r="AB179" s="14">
        <f t="shared" si="55">IF(AA179="正常",IF(I179="已计入",C179,AB178),"")</f>
        <v>6.347</v>
      </c>
    </row>
    <row r="180" ht="23" customHeight="1">
      <c r="A180" s="36"/>
      <c r="B180" s="37"/>
      <c r="C180" s="38"/>
      <c r="D180" s="39"/>
      <c r="E180" s="44" t="str">
        <f t="shared" si="36">IF(AND(ISNUMBER(C180),ISNUMBER(D180),ISNUMBER(F180)),IF(OR(B180="买入",B180="定投"),ROUND(C180*D180+F180,2),IF(B180="卖出",ROUND(C180*D180-F180,2),IF(B180="红利再投",0,""))),"")</f>
        <v/>
      </c>
      <c r="F180" s="39"/>
      <c r="G180" s="45" t="str">
        <f t="shared" si="37">IF(COUNTA(A180:D180,F180)=0,"",IF(I180="已计入","已录入","待修正"))</f>
        <v/>
      </c>
      <c r="H180" s="46" t="str">
        <f t="shared" si="38">IF(COUNTA(A180:D180,F180)=0,"",IF(B180="红利再投","仅增加份额，不增加现金投入","金额由份额、净值和手续费推算"))</f>
        <v/>
      </c>
      <c r="I180" s="10" t="str">
        <f>IF(COUNTA(A180:D180,F180)=0,"",IF(NOT(ISNUMBER(A180)),"缺少有效净值日期",IF(OR(A180&lt;=0,A180&lt;&gt;INT(A180)),"净值日期无效",IF(OR(B180="转换转入",B180="现金分红"),"该类型需实际金额，五项录入不适用",IF(NOT(OR(OR(B180="买入",B180="定投"),B180="卖出",B180="红利再投")),"请选择交易类型",IF(NOT(ISNUMBER(C180)),"缺少成交净值",IF(C180&lt;=0,"成交净值须大于零",IF(NOT(ISNUMBER(D180)),"缺少确认份额",IF(D180&lt;=0,"确认份额须大于零",IF(NOT(ISNUMBER(F180)),"缺少手续费，无费用请填 0",IF(F180&lt;0,"手续费不能为负",IF(AA179="错误","前行待修正",IF(A180&lt;Z179,"日期需按成交顺序递增",IF(AND(B180="红利再投",F180&lt;&gt;0),"红利再投手续费应填 0",IF(AND(B180="红利再投",K179&lt;=0),"红利再投前须有持仓",IF(AND(B180="卖出",D180&gt;K179+0.000001),"卖出份额超过持仓",IF(AND(B180="卖出",F180&gt;=C180*D180),"赎回费不能达到赎回总额",IF(NOT(ISNUMBER(E180)),"自动金额未生成，请检查五项输入",IF(NOT(OR('持仓总览'!$C$7="利润优先",'持仓总览'!$C$7="本金优先")),"请选择卖出分配模式","已计入")))))))))))))))))))</f>
        <v/>
      </c>
      <c r="J180" s="11">
        <f t="shared" si="39">IF(AA180="正常",IF(I180="已计入",IF(OR(OR(B180="买入",B180="定投",B180="转换转入"),B180="红利再投"),D180,IF(B180="卖出",-D180,0)),0),"")</f>
        <v>0</v>
      </c>
      <c r="K180" s="11">
        <f t="shared" si="44">IF(AA180="正常",ROUND(K179+J180,6),"")</f>
        <v>25721.6</v>
      </c>
      <c r="L180" s="11" t="str">
        <f t="shared" si="45">IF(I180="已计入",ROUND(K179*C180,2),"")</f>
        <v/>
      </c>
      <c r="M180" s="11" t="str">
        <f t="shared" si="46">IF(I180="已计入",IF(B180="卖出",MAX(0,L180-Q179-F180),IF(B180="现金分红",MAX(0,L180+E180-Q179),0)),"")</f>
        <v/>
      </c>
      <c r="N180" s="11" t="str">
        <f>IF(I180="已计入",IF(AND(B180="卖出",'持仓总览'!$C$7="本金优先"),MAX(0,E180-Q179),IF(OR(B180="卖出",B180="现金分红"),MIN(E180,M180),0)),"")</f>
        <v/>
      </c>
      <c r="O180" s="11" t="str">
        <f t="shared" si="47">IF(I180="已计入",IF(OR(B180="卖出",B180="现金分红"),MIN(Q179,MAX(0,E180-N180)),0),"")</f>
        <v/>
      </c>
      <c r="P180" s="11" t="str">
        <f t="shared" si="48">IF(I180="已计入",IF(AND(B180="卖出",K180=0),MAX(0,Q179-O180),0),"")</f>
        <v/>
      </c>
      <c r="Q180" s="11">
        <f t="shared" si="49">IF(AA180="正常",IF(I180="已计入",ROUND(Q179+IF(OR(B180="买入",B180="定投",B180="转换转入"),E180,0)-O180-P180,2),Q179),"")</f>
        <v>129570</v>
      </c>
      <c r="R180" s="11" t="str">
        <f t="shared" si="40">IF(I180="已计入",ROUND(K180*C180,2),"")</f>
        <v/>
      </c>
      <c r="S180" s="11" t="str">
        <f t="shared" si="41">IF(I180="已计入",ROUND(R180-Q180,2),"")</f>
        <v/>
      </c>
      <c r="T180" s="12" t="str">
        <f t="shared" si="42">IF(I180="已计入",IF(Q180=0,"",S180/Q180),"")</f>
        <v/>
      </c>
      <c r="U180" s="11">
        <f t="shared" si="50">IF(AA180="正常",U179+IF(AND(I180="已计入",OR(B180="买入",B180="定投",B180="转换转入")),E180,0),"")</f>
        <v>129570</v>
      </c>
      <c r="V180" s="11">
        <f t="shared" si="51">IF(AA180="正常",V179+IF(AND(I180="已计入",OR(B180="卖出",B180="现金分红")),E180,0),"")</f>
        <v>0</v>
      </c>
      <c r="W180" s="11">
        <f t="shared" si="52">IF(AA180="正常",W179+IF(I180="已计入",N180,0),"")</f>
        <v>0</v>
      </c>
      <c r="X180" s="11">
        <f t="shared" si="53">IF(AA180="正常",X179+IF(I180="已计入",P180,0),"")</f>
        <v>0</v>
      </c>
      <c r="Y180" s="11" t="str">
        <f t="shared" si="43">IF(I180="已计入",ROUND(R180+V180-U180,2),"")</f>
        <v/>
      </c>
      <c r="Z180" s="13">
        <f t="shared" si="54">IF(AA180="正常",IF(I180="已计入",A180,Z179),"")</f>
        <v>46239</v>
      </c>
      <c r="AA180" s="10" t="str">
        <f>IF(OR($AA$134="错误",COUNTIF($G$135:G180,"待修正")&gt;0),"错误","正常")</f>
        <v>正常</v>
      </c>
      <c r="AB180" s="14">
        <f t="shared" si="55">IF(AA180="正常",IF(I180="已计入",C180,AB179),"")</f>
        <v>6.347</v>
      </c>
    </row>
    <row r="181" ht="23" customHeight="1">
      <c r="A181" s="36"/>
      <c r="B181" s="37"/>
      <c r="C181" s="38"/>
      <c r="D181" s="39"/>
      <c r="E181" s="44" t="str">
        <f t="shared" ref="E181:E244" si="56">IF(AND(ISNUMBER(C181),ISNUMBER(D181),ISNUMBER(F181)),IF(OR(B181="买入",B181="定投"),ROUND(C181*D181+F181,2),IF(B181="卖出",ROUND(C181*D181-F181,2),IF(B181="红利再投",0,""))),"")</f>
        <v/>
      </c>
      <c r="F181" s="39"/>
      <c r="G181" s="45" t="str">
        <f t="shared" ref="G181:G244" si="57">IF(COUNTA(A181:D181,F181)=0,"",IF(I181="已计入","已录入","待修正"))</f>
        <v/>
      </c>
      <c r="H181" s="46" t="str">
        <f t="shared" ref="H181:H244" si="58">IF(COUNTA(A181:D181,F181)=0,"",IF(B181="红利再投","仅增加份额，不增加现金投入","金额由份额、净值和手续费推算"))</f>
        <v/>
      </c>
      <c r="I181" s="10" t="str">
        <f>IF(COUNTA(A181:D181,F181)=0,"",IF(NOT(ISNUMBER(A181)),"缺少有效净值日期",IF(OR(A181&lt;=0,A181&lt;&gt;INT(A181)),"净值日期无效",IF(OR(B181="转换转入",B181="现金分红"),"该类型需实际金额，五项录入不适用",IF(NOT(OR(OR(B181="买入",B181="定投"),B181="卖出",B181="红利再投")),"请选择交易类型",IF(NOT(ISNUMBER(C181)),"缺少成交净值",IF(C181&lt;=0,"成交净值须大于零",IF(NOT(ISNUMBER(D181)),"缺少确认份额",IF(D181&lt;=0,"确认份额须大于零",IF(NOT(ISNUMBER(F181)),"缺少手续费，无费用请填 0",IF(F181&lt;0,"手续费不能为负",IF(AA180="错误","前行待修正",IF(A181&lt;Z180,"日期需按成交顺序递增",IF(AND(B181="红利再投",F181&lt;&gt;0),"红利再投手续费应填 0",IF(AND(B181="红利再投",K180&lt;=0),"红利再投前须有持仓",IF(AND(B181="卖出",D181&gt;K180+0.000001),"卖出份额超过持仓",IF(AND(B181="卖出",F181&gt;=C181*D181),"赎回费不能达到赎回总额",IF(NOT(ISNUMBER(E181)),"自动金额未生成，请检查五项输入",IF(NOT(OR('持仓总览'!$C$7="利润优先",'持仓总览'!$C$7="本金优先")),"请选择卖出分配模式","已计入")))))))))))))))))))</f>
        <v/>
      </c>
      <c r="J181" s="11">
        <f t="shared" si="39">IF(AA181="正常",IF(I181="已计入",IF(OR(OR(B181="买入",B181="定投",B181="转换转入"),B181="红利再投"),D181,IF(B181="卖出",-D181,0)),0),"")</f>
        <v>0</v>
      </c>
      <c r="K181" s="11">
        <f t="shared" si="44">IF(AA181="正常",ROUND(K180+J181,6),"")</f>
        <v>25721.6</v>
      </c>
      <c r="L181" s="11" t="str">
        <f t="shared" si="45">IF(I181="已计入",ROUND(K180*C181,2),"")</f>
        <v/>
      </c>
      <c r="M181" s="11" t="str">
        <f t="shared" si="46">IF(I181="已计入",IF(B181="卖出",MAX(0,L181-Q180-F181),IF(B181="现金分红",MAX(0,L181+E181-Q180),0)),"")</f>
        <v/>
      </c>
      <c r="N181" s="11" t="str">
        <f>IF(I181="已计入",IF(AND(B181="卖出",'持仓总览'!$C$7="本金优先"),MAX(0,E181-Q180),IF(OR(B181="卖出",B181="现金分红"),MIN(E181,M181),0)),"")</f>
        <v/>
      </c>
      <c r="O181" s="11" t="str">
        <f t="shared" si="47">IF(I181="已计入",IF(OR(B181="卖出",B181="现金分红"),MIN(Q180,MAX(0,E181-N181)),0),"")</f>
        <v/>
      </c>
      <c r="P181" s="11" t="str">
        <f t="shared" si="48">IF(I181="已计入",IF(AND(B181="卖出",K181=0),MAX(0,Q180-O181),0),"")</f>
        <v/>
      </c>
      <c r="Q181" s="11">
        <f t="shared" si="49">IF(AA181="正常",IF(I181="已计入",ROUND(Q180+IF(OR(B181="买入",B181="定投",B181="转换转入"),E181,0)-O181-P181,2),Q180),"")</f>
        <v>129570</v>
      </c>
      <c r="R181" s="11" t="str">
        <f t="shared" si="40">IF(I181="已计入",ROUND(K181*C181,2),"")</f>
        <v/>
      </c>
      <c r="S181" s="11" t="str">
        <f t="shared" si="41">IF(I181="已计入",ROUND(R181-Q181,2),"")</f>
        <v/>
      </c>
      <c r="T181" s="12" t="str">
        <f t="shared" si="42">IF(I181="已计入",IF(Q181=0,"",S181/Q181),"")</f>
        <v/>
      </c>
      <c r="U181" s="11">
        <f t="shared" si="50">IF(AA181="正常",U180+IF(AND(I181="已计入",OR(B181="买入",B181="定投",B181="转换转入")),E181,0),"")</f>
        <v>129570</v>
      </c>
      <c r="V181" s="11">
        <f t="shared" si="51">IF(AA181="正常",V180+IF(AND(I181="已计入",OR(B181="卖出",B181="现金分红")),E181,0),"")</f>
        <v>0</v>
      </c>
      <c r="W181" s="11">
        <f t="shared" si="52">IF(AA181="正常",W180+IF(I181="已计入",N181,0),"")</f>
        <v>0</v>
      </c>
      <c r="X181" s="11">
        <f t="shared" si="53">IF(AA181="正常",X180+IF(I181="已计入",P181,0),"")</f>
        <v>0</v>
      </c>
      <c r="Y181" s="11" t="str">
        <f t="shared" si="43">IF(I181="已计入",ROUND(R181+V181-U181,2),"")</f>
        <v/>
      </c>
      <c r="Z181" s="13">
        <f t="shared" si="54">IF(AA181="正常",IF(I181="已计入",A181,Z180),"")</f>
        <v>46239</v>
      </c>
      <c r="AA181" s="10" t="str">
        <f>IF(OR($AA$134="错误",COUNTIF($G$135:G181,"待修正")&gt;0),"错误","正常")</f>
        <v>正常</v>
      </c>
      <c r="AB181" s="14">
        <f t="shared" si="55">IF(AA181="正常",IF(I181="已计入",C181,AB180),"")</f>
        <v>6.347</v>
      </c>
    </row>
    <row r="182" ht="23" customHeight="1">
      <c r="A182" s="36"/>
      <c r="B182" s="37"/>
      <c r="C182" s="38"/>
      <c r="D182" s="39"/>
      <c r="E182" s="44" t="str">
        <f t="shared" si="56">IF(AND(ISNUMBER(C182),ISNUMBER(D182),ISNUMBER(F182)),IF(OR(B182="买入",B182="定投"),ROUND(C182*D182+F182,2),IF(B182="卖出",ROUND(C182*D182-F182,2),IF(B182="红利再投",0,""))),"")</f>
        <v/>
      </c>
      <c r="F182" s="39"/>
      <c r="G182" s="45" t="str">
        <f t="shared" si="57">IF(COUNTA(A182:D182,F182)=0,"",IF(I182="已计入","已录入","待修正"))</f>
        <v/>
      </c>
      <c r="H182" s="46" t="str">
        <f t="shared" si="58">IF(COUNTA(A182:D182,F182)=0,"",IF(B182="红利再投","仅增加份额，不增加现金投入","金额由份额、净值和手续费推算"))</f>
        <v/>
      </c>
      <c r="I182" s="10" t="str">
        <f>IF(COUNTA(A182:D182,F182)=0,"",IF(NOT(ISNUMBER(A182)),"缺少有效净值日期",IF(OR(A182&lt;=0,A182&lt;&gt;INT(A182)),"净值日期无效",IF(OR(B182="转换转入",B182="现金分红"),"该类型需实际金额，五项录入不适用",IF(NOT(OR(OR(B182="买入",B182="定投"),B182="卖出",B182="红利再投")),"请选择交易类型",IF(NOT(ISNUMBER(C182)),"缺少成交净值",IF(C182&lt;=0,"成交净值须大于零",IF(NOT(ISNUMBER(D182)),"缺少确认份额",IF(D182&lt;=0,"确认份额须大于零",IF(NOT(ISNUMBER(F182)),"缺少手续费，无费用请填 0",IF(F182&lt;0,"手续费不能为负",IF(AA181="错误","前行待修正",IF(A182&lt;Z181,"日期需按成交顺序递增",IF(AND(B182="红利再投",F182&lt;&gt;0),"红利再投手续费应填 0",IF(AND(B182="红利再投",K181&lt;=0),"红利再投前须有持仓",IF(AND(B182="卖出",D182&gt;K181+0.000001),"卖出份额超过持仓",IF(AND(B182="卖出",F182&gt;=C182*D182),"赎回费不能达到赎回总额",IF(NOT(ISNUMBER(E182)),"自动金额未生成，请检查五项输入",IF(NOT(OR('持仓总览'!$C$7="利润优先",'持仓总览'!$C$7="本金优先")),"请选择卖出分配模式","已计入")))))))))))))))))))</f>
        <v/>
      </c>
      <c r="J182" s="11">
        <f t="shared" si="39">IF(AA182="正常",IF(I182="已计入",IF(OR(OR(B182="买入",B182="定投",B182="转换转入"),B182="红利再投"),D182,IF(B182="卖出",-D182,0)),0),"")</f>
        <v>0</v>
      </c>
      <c r="K182" s="11">
        <f t="shared" si="44">IF(AA182="正常",ROUND(K181+J182,6),"")</f>
        <v>25721.6</v>
      </c>
      <c r="L182" s="11" t="str">
        <f t="shared" si="45">IF(I182="已计入",ROUND(K181*C182,2),"")</f>
        <v/>
      </c>
      <c r="M182" s="11" t="str">
        <f t="shared" si="46">IF(I182="已计入",IF(B182="卖出",MAX(0,L182-Q181-F182),IF(B182="现金分红",MAX(0,L182+E182-Q181),0)),"")</f>
        <v/>
      </c>
      <c r="N182" s="11" t="str">
        <f>IF(I182="已计入",IF(AND(B182="卖出",'持仓总览'!$C$7="本金优先"),MAX(0,E182-Q181),IF(OR(B182="卖出",B182="现金分红"),MIN(E182,M182),0)),"")</f>
        <v/>
      </c>
      <c r="O182" s="11" t="str">
        <f t="shared" si="47">IF(I182="已计入",IF(OR(B182="卖出",B182="现金分红"),MIN(Q181,MAX(0,E182-N182)),0),"")</f>
        <v/>
      </c>
      <c r="P182" s="11" t="str">
        <f t="shared" si="48">IF(I182="已计入",IF(AND(B182="卖出",K182=0),MAX(0,Q181-O182),0),"")</f>
        <v/>
      </c>
      <c r="Q182" s="11">
        <f t="shared" si="49">IF(AA182="正常",IF(I182="已计入",ROUND(Q181+IF(OR(B182="买入",B182="定投",B182="转换转入"),E182,0)-O182-P182,2),Q181),"")</f>
        <v>129570</v>
      </c>
      <c r="R182" s="11" t="str">
        <f t="shared" si="40">IF(I182="已计入",ROUND(K182*C182,2),"")</f>
        <v/>
      </c>
      <c r="S182" s="11" t="str">
        <f t="shared" si="41">IF(I182="已计入",ROUND(R182-Q182,2),"")</f>
        <v/>
      </c>
      <c r="T182" s="12" t="str">
        <f t="shared" si="42">IF(I182="已计入",IF(Q182=0,"",S182/Q182),"")</f>
        <v/>
      </c>
      <c r="U182" s="11">
        <f t="shared" si="50">IF(AA182="正常",U181+IF(AND(I182="已计入",OR(B182="买入",B182="定投",B182="转换转入")),E182,0),"")</f>
        <v>129570</v>
      </c>
      <c r="V182" s="11">
        <f t="shared" si="51">IF(AA182="正常",V181+IF(AND(I182="已计入",OR(B182="卖出",B182="现金分红")),E182,0),"")</f>
        <v>0</v>
      </c>
      <c r="W182" s="11">
        <f t="shared" si="52">IF(AA182="正常",W181+IF(I182="已计入",N182,0),"")</f>
        <v>0</v>
      </c>
      <c r="X182" s="11">
        <f t="shared" si="53">IF(AA182="正常",X181+IF(I182="已计入",P182,0),"")</f>
        <v>0</v>
      </c>
      <c r="Y182" s="11" t="str">
        <f t="shared" si="43">IF(I182="已计入",ROUND(R182+V182-U182,2),"")</f>
        <v/>
      </c>
      <c r="Z182" s="13">
        <f t="shared" si="54">IF(AA182="正常",IF(I182="已计入",A182,Z181),"")</f>
        <v>46239</v>
      </c>
      <c r="AA182" s="10" t="str">
        <f>IF(OR($AA$134="错误",COUNTIF($G$135:G182,"待修正")&gt;0),"错误","正常")</f>
        <v>正常</v>
      </c>
      <c r="AB182" s="14">
        <f t="shared" si="55">IF(AA182="正常",IF(I182="已计入",C182,AB181),"")</f>
        <v>6.347</v>
      </c>
    </row>
    <row r="183" ht="23" customHeight="1">
      <c r="A183" s="36"/>
      <c r="B183" s="37"/>
      <c r="C183" s="38"/>
      <c r="D183" s="39"/>
      <c r="E183" s="44" t="str">
        <f t="shared" si="56">IF(AND(ISNUMBER(C183),ISNUMBER(D183),ISNUMBER(F183)),IF(OR(B183="买入",B183="定投"),ROUND(C183*D183+F183,2),IF(B183="卖出",ROUND(C183*D183-F183,2),IF(B183="红利再投",0,""))),"")</f>
        <v/>
      </c>
      <c r="F183" s="39"/>
      <c r="G183" s="45" t="str">
        <f t="shared" si="57">IF(COUNTA(A183:D183,F183)=0,"",IF(I183="已计入","已录入","待修正"))</f>
        <v/>
      </c>
      <c r="H183" s="46" t="str">
        <f t="shared" si="58">IF(COUNTA(A183:D183,F183)=0,"",IF(B183="红利再投","仅增加份额，不增加现金投入","金额由份额、净值和手续费推算"))</f>
        <v/>
      </c>
      <c r="I183" s="10" t="str">
        <f>IF(COUNTA(A183:D183,F183)=0,"",IF(NOT(ISNUMBER(A183)),"缺少有效净值日期",IF(OR(A183&lt;=0,A183&lt;&gt;INT(A183)),"净值日期无效",IF(OR(B183="转换转入",B183="现金分红"),"该类型需实际金额，五项录入不适用",IF(NOT(OR(OR(B183="买入",B183="定投"),B183="卖出",B183="红利再投")),"请选择交易类型",IF(NOT(ISNUMBER(C183)),"缺少成交净值",IF(C183&lt;=0,"成交净值须大于零",IF(NOT(ISNUMBER(D183)),"缺少确认份额",IF(D183&lt;=0,"确认份额须大于零",IF(NOT(ISNUMBER(F183)),"缺少手续费，无费用请填 0",IF(F183&lt;0,"手续费不能为负",IF(AA182="错误","前行待修正",IF(A183&lt;Z182,"日期需按成交顺序递增",IF(AND(B183="红利再投",F183&lt;&gt;0),"红利再投手续费应填 0",IF(AND(B183="红利再投",K182&lt;=0),"红利再投前须有持仓",IF(AND(B183="卖出",D183&gt;K182+0.000001),"卖出份额超过持仓",IF(AND(B183="卖出",F183&gt;=C183*D183),"赎回费不能达到赎回总额",IF(NOT(ISNUMBER(E183)),"自动金额未生成，请检查五项输入",IF(NOT(OR('持仓总览'!$C$7="利润优先",'持仓总览'!$C$7="本金优先")),"请选择卖出分配模式","已计入")))))))))))))))))))</f>
        <v/>
      </c>
      <c r="J183" s="11">
        <f t="shared" si="39">IF(AA183="正常",IF(I183="已计入",IF(OR(OR(B183="买入",B183="定投",B183="转换转入"),B183="红利再投"),D183,IF(B183="卖出",-D183,0)),0),"")</f>
        <v>0</v>
      </c>
      <c r="K183" s="11">
        <f t="shared" si="44">IF(AA183="正常",ROUND(K182+J183,6),"")</f>
        <v>25721.6</v>
      </c>
      <c r="L183" s="11" t="str">
        <f t="shared" si="45">IF(I183="已计入",ROUND(K182*C183,2),"")</f>
        <v/>
      </c>
      <c r="M183" s="11" t="str">
        <f t="shared" si="46">IF(I183="已计入",IF(B183="卖出",MAX(0,L183-Q182-F183),IF(B183="现金分红",MAX(0,L183+E183-Q182),0)),"")</f>
        <v/>
      </c>
      <c r="N183" s="11" t="str">
        <f>IF(I183="已计入",IF(AND(B183="卖出",'持仓总览'!$C$7="本金优先"),MAX(0,E183-Q182),IF(OR(B183="卖出",B183="现金分红"),MIN(E183,M183),0)),"")</f>
        <v/>
      </c>
      <c r="O183" s="11" t="str">
        <f t="shared" si="47">IF(I183="已计入",IF(OR(B183="卖出",B183="现金分红"),MIN(Q182,MAX(0,E183-N183)),0),"")</f>
        <v/>
      </c>
      <c r="P183" s="11" t="str">
        <f t="shared" si="48">IF(I183="已计入",IF(AND(B183="卖出",K183=0),MAX(0,Q182-O183),0),"")</f>
        <v/>
      </c>
      <c r="Q183" s="11">
        <f t="shared" si="49">IF(AA183="正常",IF(I183="已计入",ROUND(Q182+IF(OR(B183="买入",B183="定投",B183="转换转入"),E183,0)-O183-P183,2),Q182),"")</f>
        <v>129570</v>
      </c>
      <c r="R183" s="11" t="str">
        <f t="shared" si="40">IF(I183="已计入",ROUND(K183*C183,2),"")</f>
        <v/>
      </c>
      <c r="S183" s="11" t="str">
        <f t="shared" si="41">IF(I183="已计入",ROUND(R183-Q183,2),"")</f>
        <v/>
      </c>
      <c r="T183" s="12" t="str">
        <f t="shared" si="42">IF(I183="已计入",IF(Q183=0,"",S183/Q183),"")</f>
        <v/>
      </c>
      <c r="U183" s="11">
        <f t="shared" si="50">IF(AA183="正常",U182+IF(AND(I183="已计入",OR(B183="买入",B183="定投",B183="转换转入")),E183,0),"")</f>
        <v>129570</v>
      </c>
      <c r="V183" s="11">
        <f t="shared" si="51">IF(AA183="正常",V182+IF(AND(I183="已计入",OR(B183="卖出",B183="现金分红")),E183,0),"")</f>
        <v>0</v>
      </c>
      <c r="W183" s="11">
        <f t="shared" si="52">IF(AA183="正常",W182+IF(I183="已计入",N183,0),"")</f>
        <v>0</v>
      </c>
      <c r="X183" s="11">
        <f t="shared" si="53">IF(AA183="正常",X182+IF(I183="已计入",P183,0),"")</f>
        <v>0</v>
      </c>
      <c r="Y183" s="11" t="str">
        <f t="shared" si="43">IF(I183="已计入",ROUND(R183+V183-U183,2),"")</f>
        <v/>
      </c>
      <c r="Z183" s="13">
        <f t="shared" si="54">IF(AA183="正常",IF(I183="已计入",A183,Z182),"")</f>
        <v>46239</v>
      </c>
      <c r="AA183" s="10" t="str">
        <f>IF(OR($AA$134="错误",COUNTIF($G$135:G183,"待修正")&gt;0),"错误","正常")</f>
        <v>正常</v>
      </c>
      <c r="AB183" s="14">
        <f t="shared" si="55">IF(AA183="正常",IF(I183="已计入",C183,AB182),"")</f>
        <v>6.347</v>
      </c>
    </row>
    <row r="184" ht="23" customHeight="1">
      <c r="A184" s="36"/>
      <c r="B184" s="37"/>
      <c r="C184" s="38"/>
      <c r="D184" s="39"/>
      <c r="E184" s="44" t="str">
        <f t="shared" si="56">IF(AND(ISNUMBER(C184),ISNUMBER(D184),ISNUMBER(F184)),IF(OR(B184="买入",B184="定投"),ROUND(C184*D184+F184,2),IF(B184="卖出",ROUND(C184*D184-F184,2),IF(B184="红利再投",0,""))),"")</f>
        <v/>
      </c>
      <c r="F184" s="39"/>
      <c r="G184" s="45" t="str">
        <f t="shared" si="57">IF(COUNTA(A184:D184,F184)=0,"",IF(I184="已计入","已录入","待修正"))</f>
        <v/>
      </c>
      <c r="H184" s="46" t="str">
        <f t="shared" si="58">IF(COUNTA(A184:D184,F184)=0,"",IF(B184="红利再投","仅增加份额，不增加现金投入","金额由份额、净值和手续费推算"))</f>
        <v/>
      </c>
      <c r="I184" s="10" t="str">
        <f>IF(COUNTA(A184:D184,F184)=0,"",IF(NOT(ISNUMBER(A184)),"缺少有效净值日期",IF(OR(A184&lt;=0,A184&lt;&gt;INT(A184)),"净值日期无效",IF(OR(B184="转换转入",B184="现金分红"),"该类型需实际金额，五项录入不适用",IF(NOT(OR(OR(B184="买入",B184="定投"),B184="卖出",B184="红利再投")),"请选择交易类型",IF(NOT(ISNUMBER(C184)),"缺少成交净值",IF(C184&lt;=0,"成交净值须大于零",IF(NOT(ISNUMBER(D184)),"缺少确认份额",IF(D184&lt;=0,"确认份额须大于零",IF(NOT(ISNUMBER(F184)),"缺少手续费，无费用请填 0",IF(F184&lt;0,"手续费不能为负",IF(AA183="错误","前行待修正",IF(A184&lt;Z183,"日期需按成交顺序递增",IF(AND(B184="红利再投",F184&lt;&gt;0),"红利再投手续费应填 0",IF(AND(B184="红利再投",K183&lt;=0),"红利再投前须有持仓",IF(AND(B184="卖出",D184&gt;K183+0.000001),"卖出份额超过持仓",IF(AND(B184="卖出",F184&gt;=C184*D184),"赎回费不能达到赎回总额",IF(NOT(ISNUMBER(E184)),"自动金额未生成，请检查五项输入",IF(NOT(OR('持仓总览'!$C$7="利润优先",'持仓总览'!$C$7="本金优先")),"请选择卖出分配模式","已计入")))))))))))))))))))</f>
        <v/>
      </c>
      <c r="J184" s="11">
        <f t="shared" si="39">IF(AA184="正常",IF(I184="已计入",IF(OR(OR(B184="买入",B184="定投",B184="转换转入"),B184="红利再投"),D184,IF(B184="卖出",-D184,0)),0),"")</f>
        <v>0</v>
      </c>
      <c r="K184" s="11">
        <f t="shared" si="44">IF(AA184="正常",ROUND(K183+J184,6),"")</f>
        <v>25721.6</v>
      </c>
      <c r="L184" s="11" t="str">
        <f t="shared" si="45">IF(I184="已计入",ROUND(K183*C184,2),"")</f>
        <v/>
      </c>
      <c r="M184" s="11" t="str">
        <f t="shared" si="46">IF(I184="已计入",IF(B184="卖出",MAX(0,L184-Q183-F184),IF(B184="现金分红",MAX(0,L184+E184-Q183),0)),"")</f>
        <v/>
      </c>
      <c r="N184" s="11" t="str">
        <f>IF(I184="已计入",IF(AND(B184="卖出",'持仓总览'!$C$7="本金优先"),MAX(0,E184-Q183),IF(OR(B184="卖出",B184="现金分红"),MIN(E184,M184),0)),"")</f>
        <v/>
      </c>
      <c r="O184" s="11" t="str">
        <f t="shared" si="47">IF(I184="已计入",IF(OR(B184="卖出",B184="现金分红"),MIN(Q183,MAX(0,E184-N184)),0),"")</f>
        <v/>
      </c>
      <c r="P184" s="11" t="str">
        <f t="shared" si="48">IF(I184="已计入",IF(AND(B184="卖出",K184=0),MAX(0,Q183-O184),0),"")</f>
        <v/>
      </c>
      <c r="Q184" s="11">
        <f t="shared" si="49">IF(AA184="正常",IF(I184="已计入",ROUND(Q183+IF(OR(B184="买入",B184="定投",B184="转换转入"),E184,0)-O184-P184,2),Q183),"")</f>
        <v>129570</v>
      </c>
      <c r="R184" s="11" t="str">
        <f t="shared" si="40">IF(I184="已计入",ROUND(K184*C184,2),"")</f>
        <v/>
      </c>
      <c r="S184" s="11" t="str">
        <f t="shared" si="41">IF(I184="已计入",ROUND(R184-Q184,2),"")</f>
        <v/>
      </c>
      <c r="T184" s="12" t="str">
        <f t="shared" si="42">IF(I184="已计入",IF(Q184=0,"",S184/Q184),"")</f>
        <v/>
      </c>
      <c r="U184" s="11">
        <f t="shared" si="50">IF(AA184="正常",U183+IF(AND(I184="已计入",OR(B184="买入",B184="定投",B184="转换转入")),E184,0),"")</f>
        <v>129570</v>
      </c>
      <c r="V184" s="11">
        <f t="shared" si="51">IF(AA184="正常",V183+IF(AND(I184="已计入",OR(B184="卖出",B184="现金分红")),E184,0),"")</f>
        <v>0</v>
      </c>
      <c r="W184" s="11">
        <f t="shared" si="52">IF(AA184="正常",W183+IF(I184="已计入",N184,0),"")</f>
        <v>0</v>
      </c>
      <c r="X184" s="11">
        <f t="shared" si="53">IF(AA184="正常",X183+IF(I184="已计入",P184,0),"")</f>
        <v>0</v>
      </c>
      <c r="Y184" s="11" t="str">
        <f t="shared" si="43">IF(I184="已计入",ROUND(R184+V184-U184,2),"")</f>
        <v/>
      </c>
      <c r="Z184" s="13">
        <f t="shared" si="54">IF(AA184="正常",IF(I184="已计入",A184,Z183),"")</f>
        <v>46239</v>
      </c>
      <c r="AA184" s="10" t="str">
        <f>IF(OR($AA$134="错误",COUNTIF($G$135:G184,"待修正")&gt;0),"错误","正常")</f>
        <v>正常</v>
      </c>
      <c r="AB184" s="14">
        <f t="shared" si="55">IF(AA184="正常",IF(I184="已计入",C184,AB183),"")</f>
        <v>6.347</v>
      </c>
    </row>
    <row r="185" ht="23" customHeight="1">
      <c r="A185" s="36"/>
      <c r="B185" s="37"/>
      <c r="C185" s="38"/>
      <c r="D185" s="39"/>
      <c r="E185" s="44" t="str">
        <f t="shared" si="56">IF(AND(ISNUMBER(C185),ISNUMBER(D185),ISNUMBER(F185)),IF(OR(B185="买入",B185="定投"),ROUND(C185*D185+F185,2),IF(B185="卖出",ROUND(C185*D185-F185,2),IF(B185="红利再投",0,""))),"")</f>
        <v/>
      </c>
      <c r="F185" s="39"/>
      <c r="G185" s="45" t="str">
        <f t="shared" si="57">IF(COUNTA(A185:D185,F185)=0,"",IF(I185="已计入","已录入","待修正"))</f>
        <v/>
      </c>
      <c r="H185" s="46" t="str">
        <f t="shared" si="58">IF(COUNTA(A185:D185,F185)=0,"",IF(B185="红利再投","仅增加份额，不增加现金投入","金额由份额、净值和手续费推算"))</f>
        <v/>
      </c>
      <c r="I185" s="10" t="str">
        <f>IF(COUNTA(A185:D185,F185)=0,"",IF(NOT(ISNUMBER(A185)),"缺少有效净值日期",IF(OR(A185&lt;=0,A185&lt;&gt;INT(A185)),"净值日期无效",IF(OR(B185="转换转入",B185="现金分红"),"该类型需实际金额，五项录入不适用",IF(NOT(OR(OR(B185="买入",B185="定投"),B185="卖出",B185="红利再投")),"请选择交易类型",IF(NOT(ISNUMBER(C185)),"缺少成交净值",IF(C185&lt;=0,"成交净值须大于零",IF(NOT(ISNUMBER(D185)),"缺少确认份额",IF(D185&lt;=0,"确认份额须大于零",IF(NOT(ISNUMBER(F185)),"缺少手续费，无费用请填 0",IF(F185&lt;0,"手续费不能为负",IF(AA184="错误","前行待修正",IF(A185&lt;Z184,"日期需按成交顺序递增",IF(AND(B185="红利再投",F185&lt;&gt;0),"红利再投手续费应填 0",IF(AND(B185="红利再投",K184&lt;=0),"红利再投前须有持仓",IF(AND(B185="卖出",D185&gt;K184+0.000001),"卖出份额超过持仓",IF(AND(B185="卖出",F185&gt;=C185*D185),"赎回费不能达到赎回总额",IF(NOT(ISNUMBER(E185)),"自动金额未生成，请检查五项输入",IF(NOT(OR('持仓总览'!$C$7="利润优先",'持仓总览'!$C$7="本金优先")),"请选择卖出分配模式","已计入")))))))))))))))))))</f>
        <v/>
      </c>
      <c r="J185" s="11">
        <f t="shared" si="39">IF(AA185="正常",IF(I185="已计入",IF(OR(OR(B185="买入",B185="定投",B185="转换转入"),B185="红利再投"),D185,IF(B185="卖出",-D185,0)),0),"")</f>
        <v>0</v>
      </c>
      <c r="K185" s="11">
        <f t="shared" si="44">IF(AA185="正常",ROUND(K184+J185,6),"")</f>
        <v>25721.6</v>
      </c>
      <c r="L185" s="11" t="str">
        <f t="shared" si="45">IF(I185="已计入",ROUND(K184*C185,2),"")</f>
        <v/>
      </c>
      <c r="M185" s="11" t="str">
        <f t="shared" si="46">IF(I185="已计入",IF(B185="卖出",MAX(0,L185-Q184-F185),IF(B185="现金分红",MAX(0,L185+E185-Q184),0)),"")</f>
        <v/>
      </c>
      <c r="N185" s="11" t="str">
        <f>IF(I185="已计入",IF(AND(B185="卖出",'持仓总览'!$C$7="本金优先"),MAX(0,E185-Q184),IF(OR(B185="卖出",B185="现金分红"),MIN(E185,M185),0)),"")</f>
        <v/>
      </c>
      <c r="O185" s="11" t="str">
        <f t="shared" si="47">IF(I185="已计入",IF(OR(B185="卖出",B185="现金分红"),MIN(Q184,MAX(0,E185-N185)),0),"")</f>
        <v/>
      </c>
      <c r="P185" s="11" t="str">
        <f t="shared" si="48">IF(I185="已计入",IF(AND(B185="卖出",K185=0),MAX(0,Q184-O185),0),"")</f>
        <v/>
      </c>
      <c r="Q185" s="11">
        <f t="shared" si="49">IF(AA185="正常",IF(I185="已计入",ROUND(Q184+IF(OR(B185="买入",B185="定投",B185="转换转入"),E185,0)-O185-P185,2),Q184),"")</f>
        <v>129570</v>
      </c>
      <c r="R185" s="11" t="str">
        <f t="shared" si="40">IF(I185="已计入",ROUND(K185*C185,2),"")</f>
        <v/>
      </c>
      <c r="S185" s="11" t="str">
        <f t="shared" si="41">IF(I185="已计入",ROUND(R185-Q185,2),"")</f>
        <v/>
      </c>
      <c r="T185" s="12" t="str">
        <f t="shared" si="42">IF(I185="已计入",IF(Q185=0,"",S185/Q185),"")</f>
        <v/>
      </c>
      <c r="U185" s="11">
        <f t="shared" si="50">IF(AA185="正常",U184+IF(AND(I185="已计入",OR(B185="买入",B185="定投",B185="转换转入")),E185,0),"")</f>
        <v>129570</v>
      </c>
      <c r="V185" s="11">
        <f t="shared" si="51">IF(AA185="正常",V184+IF(AND(I185="已计入",OR(B185="卖出",B185="现金分红")),E185,0),"")</f>
        <v>0</v>
      </c>
      <c r="W185" s="11">
        <f t="shared" si="52">IF(AA185="正常",W184+IF(I185="已计入",N185,0),"")</f>
        <v>0</v>
      </c>
      <c r="X185" s="11">
        <f t="shared" si="53">IF(AA185="正常",X184+IF(I185="已计入",P185,0),"")</f>
        <v>0</v>
      </c>
      <c r="Y185" s="11" t="str">
        <f t="shared" si="43">IF(I185="已计入",ROUND(R185+V185-U185,2),"")</f>
        <v/>
      </c>
      <c r="Z185" s="13">
        <f t="shared" si="54">IF(AA185="正常",IF(I185="已计入",A185,Z184),"")</f>
        <v>46239</v>
      </c>
      <c r="AA185" s="10" t="str">
        <f>IF(OR($AA$134="错误",COUNTIF($G$135:G185,"待修正")&gt;0),"错误","正常")</f>
        <v>正常</v>
      </c>
      <c r="AB185" s="14">
        <f t="shared" si="55">IF(AA185="正常",IF(I185="已计入",C185,AB184),"")</f>
        <v>6.347</v>
      </c>
    </row>
    <row r="186" ht="23" customHeight="1">
      <c r="A186" s="36"/>
      <c r="B186" s="37"/>
      <c r="C186" s="38"/>
      <c r="D186" s="39"/>
      <c r="E186" s="44" t="str">
        <f t="shared" si="56">IF(AND(ISNUMBER(C186),ISNUMBER(D186),ISNUMBER(F186)),IF(OR(B186="买入",B186="定投"),ROUND(C186*D186+F186,2),IF(B186="卖出",ROUND(C186*D186-F186,2),IF(B186="红利再投",0,""))),"")</f>
        <v/>
      </c>
      <c r="F186" s="39"/>
      <c r="G186" s="45" t="str">
        <f t="shared" si="57">IF(COUNTA(A186:D186,F186)=0,"",IF(I186="已计入","已录入","待修正"))</f>
        <v/>
      </c>
      <c r="H186" s="46" t="str">
        <f t="shared" si="58">IF(COUNTA(A186:D186,F186)=0,"",IF(B186="红利再投","仅增加份额，不增加现金投入","金额由份额、净值和手续费推算"))</f>
        <v/>
      </c>
      <c r="I186" s="10" t="str">
        <f>IF(COUNTA(A186:D186,F186)=0,"",IF(NOT(ISNUMBER(A186)),"缺少有效净值日期",IF(OR(A186&lt;=0,A186&lt;&gt;INT(A186)),"净值日期无效",IF(OR(B186="转换转入",B186="现金分红"),"该类型需实际金额，五项录入不适用",IF(NOT(OR(OR(B186="买入",B186="定投"),B186="卖出",B186="红利再投")),"请选择交易类型",IF(NOT(ISNUMBER(C186)),"缺少成交净值",IF(C186&lt;=0,"成交净值须大于零",IF(NOT(ISNUMBER(D186)),"缺少确认份额",IF(D186&lt;=0,"确认份额须大于零",IF(NOT(ISNUMBER(F186)),"缺少手续费，无费用请填 0",IF(F186&lt;0,"手续费不能为负",IF(AA185="错误","前行待修正",IF(A186&lt;Z185,"日期需按成交顺序递增",IF(AND(B186="红利再投",F186&lt;&gt;0),"红利再投手续费应填 0",IF(AND(B186="红利再投",K185&lt;=0),"红利再投前须有持仓",IF(AND(B186="卖出",D186&gt;K185+0.000001),"卖出份额超过持仓",IF(AND(B186="卖出",F186&gt;=C186*D186),"赎回费不能达到赎回总额",IF(NOT(ISNUMBER(E186)),"自动金额未生成，请检查五项输入",IF(NOT(OR('持仓总览'!$C$7="利润优先",'持仓总览'!$C$7="本金优先")),"请选择卖出分配模式","已计入")))))))))))))))))))</f>
        <v/>
      </c>
      <c r="J186" s="11">
        <f t="shared" si="39">IF(AA186="正常",IF(I186="已计入",IF(OR(OR(B186="买入",B186="定投",B186="转换转入"),B186="红利再投"),D186,IF(B186="卖出",-D186,0)),0),"")</f>
        <v>0</v>
      </c>
      <c r="K186" s="11">
        <f t="shared" si="44">IF(AA186="正常",ROUND(K185+J186,6),"")</f>
        <v>25721.6</v>
      </c>
      <c r="L186" s="11" t="str">
        <f t="shared" si="45">IF(I186="已计入",ROUND(K185*C186,2),"")</f>
        <v/>
      </c>
      <c r="M186" s="11" t="str">
        <f t="shared" si="46">IF(I186="已计入",IF(B186="卖出",MAX(0,L186-Q185-F186),IF(B186="现金分红",MAX(0,L186+E186-Q185),0)),"")</f>
        <v/>
      </c>
      <c r="N186" s="11" t="str">
        <f>IF(I186="已计入",IF(AND(B186="卖出",'持仓总览'!$C$7="本金优先"),MAX(0,E186-Q185),IF(OR(B186="卖出",B186="现金分红"),MIN(E186,M186),0)),"")</f>
        <v/>
      </c>
      <c r="O186" s="11" t="str">
        <f t="shared" si="47">IF(I186="已计入",IF(OR(B186="卖出",B186="现金分红"),MIN(Q185,MAX(0,E186-N186)),0),"")</f>
        <v/>
      </c>
      <c r="P186" s="11" t="str">
        <f t="shared" si="48">IF(I186="已计入",IF(AND(B186="卖出",K186=0),MAX(0,Q185-O186),0),"")</f>
        <v/>
      </c>
      <c r="Q186" s="11">
        <f t="shared" si="49">IF(AA186="正常",IF(I186="已计入",ROUND(Q185+IF(OR(B186="买入",B186="定投",B186="转换转入"),E186,0)-O186-P186,2),Q185),"")</f>
        <v>129570</v>
      </c>
      <c r="R186" s="11" t="str">
        <f t="shared" si="40">IF(I186="已计入",ROUND(K186*C186,2),"")</f>
        <v/>
      </c>
      <c r="S186" s="11" t="str">
        <f t="shared" si="41">IF(I186="已计入",ROUND(R186-Q186,2),"")</f>
        <v/>
      </c>
      <c r="T186" s="12" t="str">
        <f t="shared" si="42">IF(I186="已计入",IF(Q186=0,"",S186/Q186),"")</f>
        <v/>
      </c>
      <c r="U186" s="11">
        <f t="shared" si="50">IF(AA186="正常",U185+IF(AND(I186="已计入",OR(B186="买入",B186="定投",B186="转换转入")),E186,0),"")</f>
        <v>129570</v>
      </c>
      <c r="V186" s="11">
        <f t="shared" si="51">IF(AA186="正常",V185+IF(AND(I186="已计入",OR(B186="卖出",B186="现金分红")),E186,0),"")</f>
        <v>0</v>
      </c>
      <c r="W186" s="11">
        <f t="shared" si="52">IF(AA186="正常",W185+IF(I186="已计入",N186,0),"")</f>
        <v>0</v>
      </c>
      <c r="X186" s="11">
        <f t="shared" si="53">IF(AA186="正常",X185+IF(I186="已计入",P186,0),"")</f>
        <v>0</v>
      </c>
      <c r="Y186" s="11" t="str">
        <f t="shared" si="43">IF(I186="已计入",ROUND(R186+V186-U186,2),"")</f>
        <v/>
      </c>
      <c r="Z186" s="13">
        <f t="shared" si="54">IF(AA186="正常",IF(I186="已计入",A186,Z185),"")</f>
        <v>46239</v>
      </c>
      <c r="AA186" s="10" t="str">
        <f>IF(OR($AA$134="错误",COUNTIF($G$135:G186,"待修正")&gt;0),"错误","正常")</f>
        <v>正常</v>
      </c>
      <c r="AB186" s="14">
        <f t="shared" si="55">IF(AA186="正常",IF(I186="已计入",C186,AB185),"")</f>
        <v>6.347</v>
      </c>
    </row>
    <row r="187" ht="23" customHeight="1">
      <c r="A187" s="36"/>
      <c r="B187" s="37"/>
      <c r="C187" s="38"/>
      <c r="D187" s="39"/>
      <c r="E187" s="44" t="str">
        <f t="shared" si="56">IF(AND(ISNUMBER(C187),ISNUMBER(D187),ISNUMBER(F187)),IF(OR(B187="买入",B187="定投"),ROUND(C187*D187+F187,2),IF(B187="卖出",ROUND(C187*D187-F187,2),IF(B187="红利再投",0,""))),"")</f>
        <v/>
      </c>
      <c r="F187" s="39"/>
      <c r="G187" s="45" t="str">
        <f t="shared" si="57">IF(COUNTA(A187:D187,F187)=0,"",IF(I187="已计入","已录入","待修正"))</f>
        <v/>
      </c>
      <c r="H187" s="46" t="str">
        <f t="shared" si="58">IF(COUNTA(A187:D187,F187)=0,"",IF(B187="红利再投","仅增加份额，不增加现金投入","金额由份额、净值和手续费推算"))</f>
        <v/>
      </c>
      <c r="I187" s="10" t="str">
        <f>IF(COUNTA(A187:D187,F187)=0,"",IF(NOT(ISNUMBER(A187)),"缺少有效净值日期",IF(OR(A187&lt;=0,A187&lt;&gt;INT(A187)),"净值日期无效",IF(OR(B187="转换转入",B187="现金分红"),"该类型需实际金额，五项录入不适用",IF(NOT(OR(OR(B187="买入",B187="定投"),B187="卖出",B187="红利再投")),"请选择交易类型",IF(NOT(ISNUMBER(C187)),"缺少成交净值",IF(C187&lt;=0,"成交净值须大于零",IF(NOT(ISNUMBER(D187)),"缺少确认份额",IF(D187&lt;=0,"确认份额须大于零",IF(NOT(ISNUMBER(F187)),"缺少手续费，无费用请填 0",IF(F187&lt;0,"手续费不能为负",IF(AA186="错误","前行待修正",IF(A187&lt;Z186,"日期需按成交顺序递增",IF(AND(B187="红利再投",F187&lt;&gt;0),"红利再投手续费应填 0",IF(AND(B187="红利再投",K186&lt;=0),"红利再投前须有持仓",IF(AND(B187="卖出",D187&gt;K186+0.000001),"卖出份额超过持仓",IF(AND(B187="卖出",F187&gt;=C187*D187),"赎回费不能达到赎回总额",IF(NOT(ISNUMBER(E187)),"自动金额未生成，请检查五项输入",IF(NOT(OR('持仓总览'!$C$7="利润优先",'持仓总览'!$C$7="本金优先")),"请选择卖出分配模式","已计入")))))))))))))))))))</f>
        <v/>
      </c>
      <c r="J187" s="11">
        <f t="shared" si="39">IF(AA187="正常",IF(I187="已计入",IF(OR(OR(B187="买入",B187="定投",B187="转换转入"),B187="红利再投"),D187,IF(B187="卖出",-D187,0)),0),"")</f>
        <v>0</v>
      </c>
      <c r="K187" s="11">
        <f t="shared" si="44">IF(AA187="正常",ROUND(K186+J187,6),"")</f>
        <v>25721.6</v>
      </c>
      <c r="L187" s="11" t="str">
        <f t="shared" si="45">IF(I187="已计入",ROUND(K186*C187,2),"")</f>
        <v/>
      </c>
      <c r="M187" s="11" t="str">
        <f t="shared" si="46">IF(I187="已计入",IF(B187="卖出",MAX(0,L187-Q186-F187),IF(B187="现金分红",MAX(0,L187+E187-Q186),0)),"")</f>
        <v/>
      </c>
      <c r="N187" s="11" t="str">
        <f>IF(I187="已计入",IF(AND(B187="卖出",'持仓总览'!$C$7="本金优先"),MAX(0,E187-Q186),IF(OR(B187="卖出",B187="现金分红"),MIN(E187,M187),0)),"")</f>
        <v/>
      </c>
      <c r="O187" s="11" t="str">
        <f t="shared" si="47">IF(I187="已计入",IF(OR(B187="卖出",B187="现金分红"),MIN(Q186,MAX(0,E187-N187)),0),"")</f>
        <v/>
      </c>
      <c r="P187" s="11" t="str">
        <f t="shared" si="48">IF(I187="已计入",IF(AND(B187="卖出",K187=0),MAX(0,Q186-O187),0),"")</f>
        <v/>
      </c>
      <c r="Q187" s="11">
        <f t="shared" si="49">IF(AA187="正常",IF(I187="已计入",ROUND(Q186+IF(OR(B187="买入",B187="定投",B187="转换转入"),E187,0)-O187-P187,2),Q186),"")</f>
        <v>129570</v>
      </c>
      <c r="R187" s="11" t="str">
        <f t="shared" si="40">IF(I187="已计入",ROUND(K187*C187,2),"")</f>
        <v/>
      </c>
      <c r="S187" s="11" t="str">
        <f t="shared" si="41">IF(I187="已计入",ROUND(R187-Q187,2),"")</f>
        <v/>
      </c>
      <c r="T187" s="12" t="str">
        <f t="shared" si="42">IF(I187="已计入",IF(Q187=0,"",S187/Q187),"")</f>
        <v/>
      </c>
      <c r="U187" s="11">
        <f t="shared" si="50">IF(AA187="正常",U186+IF(AND(I187="已计入",OR(B187="买入",B187="定投",B187="转换转入")),E187,0),"")</f>
        <v>129570</v>
      </c>
      <c r="V187" s="11">
        <f t="shared" si="51">IF(AA187="正常",V186+IF(AND(I187="已计入",OR(B187="卖出",B187="现金分红")),E187,0),"")</f>
        <v>0</v>
      </c>
      <c r="W187" s="11">
        <f t="shared" si="52">IF(AA187="正常",W186+IF(I187="已计入",N187,0),"")</f>
        <v>0</v>
      </c>
      <c r="X187" s="11">
        <f t="shared" si="53">IF(AA187="正常",X186+IF(I187="已计入",P187,0),"")</f>
        <v>0</v>
      </c>
      <c r="Y187" s="11" t="str">
        <f t="shared" si="43">IF(I187="已计入",ROUND(R187+V187-U187,2),"")</f>
        <v/>
      </c>
      <c r="Z187" s="13">
        <f t="shared" si="54">IF(AA187="正常",IF(I187="已计入",A187,Z186),"")</f>
        <v>46239</v>
      </c>
      <c r="AA187" s="10" t="str">
        <f>IF(OR($AA$134="错误",COUNTIF($G$135:G187,"待修正")&gt;0),"错误","正常")</f>
        <v>正常</v>
      </c>
      <c r="AB187" s="14">
        <f t="shared" si="55">IF(AA187="正常",IF(I187="已计入",C187,AB186),"")</f>
        <v>6.347</v>
      </c>
    </row>
    <row r="188" ht="23" customHeight="1">
      <c r="A188" s="36"/>
      <c r="B188" s="37"/>
      <c r="C188" s="38"/>
      <c r="D188" s="39"/>
      <c r="E188" s="44" t="str">
        <f t="shared" si="56">IF(AND(ISNUMBER(C188),ISNUMBER(D188),ISNUMBER(F188)),IF(OR(B188="买入",B188="定投"),ROUND(C188*D188+F188,2),IF(B188="卖出",ROUND(C188*D188-F188,2),IF(B188="红利再投",0,""))),"")</f>
        <v/>
      </c>
      <c r="F188" s="39"/>
      <c r="G188" s="45" t="str">
        <f t="shared" si="57">IF(COUNTA(A188:D188,F188)=0,"",IF(I188="已计入","已录入","待修正"))</f>
        <v/>
      </c>
      <c r="H188" s="46" t="str">
        <f t="shared" si="58">IF(COUNTA(A188:D188,F188)=0,"",IF(B188="红利再投","仅增加份额，不增加现金投入","金额由份额、净值和手续费推算"))</f>
        <v/>
      </c>
      <c r="I188" s="10" t="str">
        <f>IF(COUNTA(A188:D188,F188)=0,"",IF(NOT(ISNUMBER(A188)),"缺少有效净值日期",IF(OR(A188&lt;=0,A188&lt;&gt;INT(A188)),"净值日期无效",IF(OR(B188="转换转入",B188="现金分红"),"该类型需实际金额，五项录入不适用",IF(NOT(OR(OR(B188="买入",B188="定投"),B188="卖出",B188="红利再投")),"请选择交易类型",IF(NOT(ISNUMBER(C188)),"缺少成交净值",IF(C188&lt;=0,"成交净值须大于零",IF(NOT(ISNUMBER(D188)),"缺少确认份额",IF(D188&lt;=0,"确认份额须大于零",IF(NOT(ISNUMBER(F188)),"缺少手续费，无费用请填 0",IF(F188&lt;0,"手续费不能为负",IF(AA187="错误","前行待修正",IF(A188&lt;Z187,"日期需按成交顺序递增",IF(AND(B188="红利再投",F188&lt;&gt;0),"红利再投手续费应填 0",IF(AND(B188="红利再投",K187&lt;=0),"红利再投前须有持仓",IF(AND(B188="卖出",D188&gt;K187+0.000001),"卖出份额超过持仓",IF(AND(B188="卖出",F188&gt;=C188*D188),"赎回费不能达到赎回总额",IF(NOT(ISNUMBER(E188)),"自动金额未生成，请检查五项输入",IF(NOT(OR('持仓总览'!$C$7="利润优先",'持仓总览'!$C$7="本金优先")),"请选择卖出分配模式","已计入")))))))))))))))))))</f>
        <v/>
      </c>
      <c r="J188" s="11">
        <f t="shared" si="39">IF(AA188="正常",IF(I188="已计入",IF(OR(OR(B188="买入",B188="定投",B188="转换转入"),B188="红利再投"),D188,IF(B188="卖出",-D188,0)),0),"")</f>
        <v>0</v>
      </c>
      <c r="K188" s="11">
        <f t="shared" si="44">IF(AA188="正常",ROUND(K187+J188,6),"")</f>
        <v>25721.6</v>
      </c>
      <c r="L188" s="11" t="str">
        <f t="shared" si="45">IF(I188="已计入",ROUND(K187*C188,2),"")</f>
        <v/>
      </c>
      <c r="M188" s="11" t="str">
        <f t="shared" si="46">IF(I188="已计入",IF(B188="卖出",MAX(0,L188-Q187-F188),IF(B188="现金分红",MAX(0,L188+E188-Q187),0)),"")</f>
        <v/>
      </c>
      <c r="N188" s="11" t="str">
        <f>IF(I188="已计入",IF(AND(B188="卖出",'持仓总览'!$C$7="本金优先"),MAX(0,E188-Q187),IF(OR(B188="卖出",B188="现金分红"),MIN(E188,M188),0)),"")</f>
        <v/>
      </c>
      <c r="O188" s="11" t="str">
        <f t="shared" si="47">IF(I188="已计入",IF(OR(B188="卖出",B188="现金分红"),MIN(Q187,MAX(0,E188-N188)),0),"")</f>
        <v/>
      </c>
      <c r="P188" s="11" t="str">
        <f t="shared" si="48">IF(I188="已计入",IF(AND(B188="卖出",K188=0),MAX(0,Q187-O188),0),"")</f>
        <v/>
      </c>
      <c r="Q188" s="11">
        <f t="shared" si="49">IF(AA188="正常",IF(I188="已计入",ROUND(Q187+IF(OR(B188="买入",B188="定投",B188="转换转入"),E188,0)-O188-P188,2),Q187),"")</f>
        <v>129570</v>
      </c>
      <c r="R188" s="11" t="str">
        <f t="shared" si="40">IF(I188="已计入",ROUND(K188*C188,2),"")</f>
        <v/>
      </c>
      <c r="S188" s="11" t="str">
        <f t="shared" si="41">IF(I188="已计入",ROUND(R188-Q188,2),"")</f>
        <v/>
      </c>
      <c r="T188" s="12" t="str">
        <f t="shared" si="42">IF(I188="已计入",IF(Q188=0,"",S188/Q188),"")</f>
        <v/>
      </c>
      <c r="U188" s="11">
        <f t="shared" si="50">IF(AA188="正常",U187+IF(AND(I188="已计入",OR(B188="买入",B188="定投",B188="转换转入")),E188,0),"")</f>
        <v>129570</v>
      </c>
      <c r="V188" s="11">
        <f t="shared" si="51">IF(AA188="正常",V187+IF(AND(I188="已计入",OR(B188="卖出",B188="现金分红")),E188,0),"")</f>
        <v>0</v>
      </c>
      <c r="W188" s="11">
        <f t="shared" si="52">IF(AA188="正常",W187+IF(I188="已计入",N188,0),"")</f>
        <v>0</v>
      </c>
      <c r="X188" s="11">
        <f t="shared" si="53">IF(AA188="正常",X187+IF(I188="已计入",P188,0),"")</f>
        <v>0</v>
      </c>
      <c r="Y188" s="11" t="str">
        <f t="shared" si="43">IF(I188="已计入",ROUND(R188+V188-U188,2),"")</f>
        <v/>
      </c>
      <c r="Z188" s="13">
        <f t="shared" si="54">IF(AA188="正常",IF(I188="已计入",A188,Z187),"")</f>
        <v>46239</v>
      </c>
      <c r="AA188" s="10" t="str">
        <f>IF(OR($AA$134="错误",COUNTIF($G$135:G188,"待修正")&gt;0),"错误","正常")</f>
        <v>正常</v>
      </c>
      <c r="AB188" s="14">
        <f t="shared" si="55">IF(AA188="正常",IF(I188="已计入",C188,AB187),"")</f>
        <v>6.347</v>
      </c>
    </row>
    <row r="189" ht="23" customHeight="1">
      <c r="A189" s="36"/>
      <c r="B189" s="37"/>
      <c r="C189" s="38"/>
      <c r="D189" s="39"/>
      <c r="E189" s="44" t="str">
        <f t="shared" si="56">IF(AND(ISNUMBER(C189),ISNUMBER(D189),ISNUMBER(F189)),IF(OR(B189="买入",B189="定投"),ROUND(C189*D189+F189,2),IF(B189="卖出",ROUND(C189*D189-F189,2),IF(B189="红利再投",0,""))),"")</f>
        <v/>
      </c>
      <c r="F189" s="39"/>
      <c r="G189" s="45" t="str">
        <f t="shared" si="57">IF(COUNTA(A189:D189,F189)=0,"",IF(I189="已计入","已录入","待修正"))</f>
        <v/>
      </c>
      <c r="H189" s="46" t="str">
        <f t="shared" si="58">IF(COUNTA(A189:D189,F189)=0,"",IF(B189="红利再投","仅增加份额，不增加现金投入","金额由份额、净值和手续费推算"))</f>
        <v/>
      </c>
      <c r="I189" s="10" t="str">
        <f>IF(COUNTA(A189:D189,F189)=0,"",IF(NOT(ISNUMBER(A189)),"缺少有效净值日期",IF(OR(A189&lt;=0,A189&lt;&gt;INT(A189)),"净值日期无效",IF(OR(B189="转换转入",B189="现金分红"),"该类型需实际金额，五项录入不适用",IF(NOT(OR(OR(B189="买入",B189="定投"),B189="卖出",B189="红利再投")),"请选择交易类型",IF(NOT(ISNUMBER(C189)),"缺少成交净值",IF(C189&lt;=0,"成交净值须大于零",IF(NOT(ISNUMBER(D189)),"缺少确认份额",IF(D189&lt;=0,"确认份额须大于零",IF(NOT(ISNUMBER(F189)),"缺少手续费，无费用请填 0",IF(F189&lt;0,"手续费不能为负",IF(AA188="错误","前行待修正",IF(A189&lt;Z188,"日期需按成交顺序递增",IF(AND(B189="红利再投",F189&lt;&gt;0),"红利再投手续费应填 0",IF(AND(B189="红利再投",K188&lt;=0),"红利再投前须有持仓",IF(AND(B189="卖出",D189&gt;K188+0.000001),"卖出份额超过持仓",IF(AND(B189="卖出",F189&gt;=C189*D189),"赎回费不能达到赎回总额",IF(NOT(ISNUMBER(E189)),"自动金额未生成，请检查五项输入",IF(NOT(OR('持仓总览'!$C$7="利润优先",'持仓总览'!$C$7="本金优先")),"请选择卖出分配模式","已计入")))))))))))))))))))</f>
        <v/>
      </c>
      <c r="J189" s="11">
        <f t="shared" si="39">IF(AA189="正常",IF(I189="已计入",IF(OR(OR(B189="买入",B189="定投",B189="转换转入"),B189="红利再投"),D189,IF(B189="卖出",-D189,0)),0),"")</f>
        <v>0</v>
      </c>
      <c r="K189" s="11">
        <f t="shared" si="44">IF(AA189="正常",ROUND(K188+J189,6),"")</f>
        <v>25721.6</v>
      </c>
      <c r="L189" s="11" t="str">
        <f t="shared" si="45">IF(I189="已计入",ROUND(K188*C189,2),"")</f>
        <v/>
      </c>
      <c r="M189" s="11" t="str">
        <f t="shared" si="46">IF(I189="已计入",IF(B189="卖出",MAX(0,L189-Q188-F189),IF(B189="现金分红",MAX(0,L189+E189-Q188),0)),"")</f>
        <v/>
      </c>
      <c r="N189" s="11" t="str">
        <f>IF(I189="已计入",IF(AND(B189="卖出",'持仓总览'!$C$7="本金优先"),MAX(0,E189-Q188),IF(OR(B189="卖出",B189="现金分红"),MIN(E189,M189),0)),"")</f>
        <v/>
      </c>
      <c r="O189" s="11" t="str">
        <f t="shared" si="47">IF(I189="已计入",IF(OR(B189="卖出",B189="现金分红"),MIN(Q188,MAX(0,E189-N189)),0),"")</f>
        <v/>
      </c>
      <c r="P189" s="11" t="str">
        <f t="shared" si="48">IF(I189="已计入",IF(AND(B189="卖出",K189=0),MAX(0,Q188-O189),0),"")</f>
        <v/>
      </c>
      <c r="Q189" s="11">
        <f t="shared" si="49">IF(AA189="正常",IF(I189="已计入",ROUND(Q188+IF(OR(B189="买入",B189="定投",B189="转换转入"),E189,0)-O189-P189,2),Q188),"")</f>
        <v>129570</v>
      </c>
      <c r="R189" s="11" t="str">
        <f t="shared" si="40">IF(I189="已计入",ROUND(K189*C189,2),"")</f>
        <v/>
      </c>
      <c r="S189" s="11" t="str">
        <f t="shared" si="41">IF(I189="已计入",ROUND(R189-Q189,2),"")</f>
        <v/>
      </c>
      <c r="T189" s="12" t="str">
        <f t="shared" si="42">IF(I189="已计入",IF(Q189=0,"",S189/Q189),"")</f>
        <v/>
      </c>
      <c r="U189" s="11">
        <f t="shared" si="50">IF(AA189="正常",U188+IF(AND(I189="已计入",OR(B189="买入",B189="定投",B189="转换转入")),E189,0),"")</f>
        <v>129570</v>
      </c>
      <c r="V189" s="11">
        <f t="shared" si="51">IF(AA189="正常",V188+IF(AND(I189="已计入",OR(B189="卖出",B189="现金分红")),E189,0),"")</f>
        <v>0</v>
      </c>
      <c r="W189" s="11">
        <f t="shared" si="52">IF(AA189="正常",W188+IF(I189="已计入",N189,0),"")</f>
        <v>0</v>
      </c>
      <c r="X189" s="11">
        <f t="shared" si="53">IF(AA189="正常",X188+IF(I189="已计入",P189,0),"")</f>
        <v>0</v>
      </c>
      <c r="Y189" s="11" t="str">
        <f t="shared" si="43">IF(I189="已计入",ROUND(R189+V189-U189,2),"")</f>
        <v/>
      </c>
      <c r="Z189" s="13">
        <f t="shared" si="54">IF(AA189="正常",IF(I189="已计入",A189,Z188),"")</f>
        <v>46239</v>
      </c>
      <c r="AA189" s="10" t="str">
        <f>IF(OR($AA$134="错误",COUNTIF($G$135:G189,"待修正")&gt;0),"错误","正常")</f>
        <v>正常</v>
      </c>
      <c r="AB189" s="14">
        <f t="shared" si="55">IF(AA189="正常",IF(I189="已计入",C189,AB188),"")</f>
        <v>6.347</v>
      </c>
    </row>
    <row r="190" ht="23" customHeight="1">
      <c r="A190" s="36"/>
      <c r="B190" s="37"/>
      <c r="C190" s="38"/>
      <c r="D190" s="39"/>
      <c r="E190" s="44" t="str">
        <f t="shared" si="56">IF(AND(ISNUMBER(C190),ISNUMBER(D190),ISNUMBER(F190)),IF(OR(B190="买入",B190="定投"),ROUND(C190*D190+F190,2),IF(B190="卖出",ROUND(C190*D190-F190,2),IF(B190="红利再投",0,""))),"")</f>
        <v/>
      </c>
      <c r="F190" s="39"/>
      <c r="G190" s="45" t="str">
        <f t="shared" si="57">IF(COUNTA(A190:D190,F190)=0,"",IF(I190="已计入","已录入","待修正"))</f>
        <v/>
      </c>
      <c r="H190" s="46" t="str">
        <f t="shared" si="58">IF(COUNTA(A190:D190,F190)=0,"",IF(B190="红利再投","仅增加份额，不增加现金投入","金额由份额、净值和手续费推算"))</f>
        <v/>
      </c>
      <c r="I190" s="10" t="str">
        <f>IF(COUNTA(A190:D190,F190)=0,"",IF(NOT(ISNUMBER(A190)),"缺少有效净值日期",IF(OR(A190&lt;=0,A190&lt;&gt;INT(A190)),"净值日期无效",IF(OR(B190="转换转入",B190="现金分红"),"该类型需实际金额，五项录入不适用",IF(NOT(OR(OR(B190="买入",B190="定投"),B190="卖出",B190="红利再投")),"请选择交易类型",IF(NOT(ISNUMBER(C190)),"缺少成交净值",IF(C190&lt;=0,"成交净值须大于零",IF(NOT(ISNUMBER(D190)),"缺少确认份额",IF(D190&lt;=0,"确认份额须大于零",IF(NOT(ISNUMBER(F190)),"缺少手续费，无费用请填 0",IF(F190&lt;0,"手续费不能为负",IF(AA189="错误","前行待修正",IF(A190&lt;Z189,"日期需按成交顺序递增",IF(AND(B190="红利再投",F190&lt;&gt;0),"红利再投手续费应填 0",IF(AND(B190="红利再投",K189&lt;=0),"红利再投前须有持仓",IF(AND(B190="卖出",D190&gt;K189+0.000001),"卖出份额超过持仓",IF(AND(B190="卖出",F190&gt;=C190*D190),"赎回费不能达到赎回总额",IF(NOT(ISNUMBER(E190)),"自动金额未生成，请检查五项输入",IF(NOT(OR('持仓总览'!$C$7="利润优先",'持仓总览'!$C$7="本金优先")),"请选择卖出分配模式","已计入")))))))))))))))))))</f>
        <v/>
      </c>
      <c r="J190" s="11">
        <f t="shared" si="39">IF(AA190="正常",IF(I190="已计入",IF(OR(OR(B190="买入",B190="定投",B190="转换转入"),B190="红利再投"),D190,IF(B190="卖出",-D190,0)),0),"")</f>
        <v>0</v>
      </c>
      <c r="K190" s="11">
        <f t="shared" si="44">IF(AA190="正常",ROUND(K189+J190,6),"")</f>
        <v>25721.6</v>
      </c>
      <c r="L190" s="11" t="str">
        <f t="shared" si="45">IF(I190="已计入",ROUND(K189*C190,2),"")</f>
        <v/>
      </c>
      <c r="M190" s="11" t="str">
        <f t="shared" si="46">IF(I190="已计入",IF(B190="卖出",MAX(0,L190-Q189-F190),IF(B190="现金分红",MAX(0,L190+E190-Q189),0)),"")</f>
        <v/>
      </c>
      <c r="N190" s="11" t="str">
        <f>IF(I190="已计入",IF(AND(B190="卖出",'持仓总览'!$C$7="本金优先"),MAX(0,E190-Q189),IF(OR(B190="卖出",B190="现金分红"),MIN(E190,M190),0)),"")</f>
        <v/>
      </c>
      <c r="O190" s="11" t="str">
        <f t="shared" si="47">IF(I190="已计入",IF(OR(B190="卖出",B190="现金分红"),MIN(Q189,MAX(0,E190-N190)),0),"")</f>
        <v/>
      </c>
      <c r="P190" s="11" t="str">
        <f t="shared" si="48">IF(I190="已计入",IF(AND(B190="卖出",K190=0),MAX(0,Q189-O190),0),"")</f>
        <v/>
      </c>
      <c r="Q190" s="11">
        <f t="shared" si="49">IF(AA190="正常",IF(I190="已计入",ROUND(Q189+IF(OR(B190="买入",B190="定投",B190="转换转入"),E190,0)-O190-P190,2),Q189),"")</f>
        <v>129570</v>
      </c>
      <c r="R190" s="11" t="str">
        <f t="shared" si="40">IF(I190="已计入",ROUND(K190*C190,2),"")</f>
        <v/>
      </c>
      <c r="S190" s="11" t="str">
        <f t="shared" si="41">IF(I190="已计入",ROUND(R190-Q190,2),"")</f>
        <v/>
      </c>
      <c r="T190" s="12" t="str">
        <f t="shared" si="42">IF(I190="已计入",IF(Q190=0,"",S190/Q190),"")</f>
        <v/>
      </c>
      <c r="U190" s="11">
        <f t="shared" si="50">IF(AA190="正常",U189+IF(AND(I190="已计入",OR(B190="买入",B190="定投",B190="转换转入")),E190,0),"")</f>
        <v>129570</v>
      </c>
      <c r="V190" s="11">
        <f t="shared" si="51">IF(AA190="正常",V189+IF(AND(I190="已计入",OR(B190="卖出",B190="现金分红")),E190,0),"")</f>
        <v>0</v>
      </c>
      <c r="W190" s="11">
        <f t="shared" si="52">IF(AA190="正常",W189+IF(I190="已计入",N190,0),"")</f>
        <v>0</v>
      </c>
      <c r="X190" s="11">
        <f t="shared" si="53">IF(AA190="正常",X189+IF(I190="已计入",P190,0),"")</f>
        <v>0</v>
      </c>
      <c r="Y190" s="11" t="str">
        <f t="shared" si="43">IF(I190="已计入",ROUND(R190+V190-U190,2),"")</f>
        <v/>
      </c>
      <c r="Z190" s="13">
        <f t="shared" si="54">IF(AA190="正常",IF(I190="已计入",A190,Z189),"")</f>
        <v>46239</v>
      </c>
      <c r="AA190" s="10" t="str">
        <f>IF(OR($AA$134="错误",COUNTIF($G$135:G190,"待修正")&gt;0),"错误","正常")</f>
        <v>正常</v>
      </c>
      <c r="AB190" s="14">
        <f t="shared" si="55">IF(AA190="正常",IF(I190="已计入",C190,AB189),"")</f>
        <v>6.347</v>
      </c>
    </row>
    <row r="191" ht="23" customHeight="1">
      <c r="A191" s="36"/>
      <c r="B191" s="37"/>
      <c r="C191" s="38"/>
      <c r="D191" s="39"/>
      <c r="E191" s="44" t="str">
        <f t="shared" si="56">IF(AND(ISNUMBER(C191),ISNUMBER(D191),ISNUMBER(F191)),IF(OR(B191="买入",B191="定投"),ROUND(C191*D191+F191,2),IF(B191="卖出",ROUND(C191*D191-F191,2),IF(B191="红利再投",0,""))),"")</f>
        <v/>
      </c>
      <c r="F191" s="39"/>
      <c r="G191" s="45" t="str">
        <f t="shared" si="57">IF(COUNTA(A191:D191,F191)=0,"",IF(I191="已计入","已录入","待修正"))</f>
        <v/>
      </c>
      <c r="H191" s="46" t="str">
        <f t="shared" si="58">IF(COUNTA(A191:D191,F191)=0,"",IF(B191="红利再投","仅增加份额，不增加现金投入","金额由份额、净值和手续费推算"))</f>
        <v/>
      </c>
      <c r="I191" s="10" t="str">
        <f>IF(COUNTA(A191:D191,F191)=0,"",IF(NOT(ISNUMBER(A191)),"缺少有效净值日期",IF(OR(A191&lt;=0,A191&lt;&gt;INT(A191)),"净值日期无效",IF(OR(B191="转换转入",B191="现金分红"),"该类型需实际金额，五项录入不适用",IF(NOT(OR(OR(B191="买入",B191="定投"),B191="卖出",B191="红利再投")),"请选择交易类型",IF(NOT(ISNUMBER(C191)),"缺少成交净值",IF(C191&lt;=0,"成交净值须大于零",IF(NOT(ISNUMBER(D191)),"缺少确认份额",IF(D191&lt;=0,"确认份额须大于零",IF(NOT(ISNUMBER(F191)),"缺少手续费，无费用请填 0",IF(F191&lt;0,"手续费不能为负",IF(AA190="错误","前行待修正",IF(A191&lt;Z190,"日期需按成交顺序递增",IF(AND(B191="红利再投",F191&lt;&gt;0),"红利再投手续费应填 0",IF(AND(B191="红利再投",K190&lt;=0),"红利再投前须有持仓",IF(AND(B191="卖出",D191&gt;K190+0.000001),"卖出份额超过持仓",IF(AND(B191="卖出",F191&gt;=C191*D191),"赎回费不能达到赎回总额",IF(NOT(ISNUMBER(E191)),"自动金额未生成，请检查五项输入",IF(NOT(OR('持仓总览'!$C$7="利润优先",'持仓总览'!$C$7="本金优先")),"请选择卖出分配模式","已计入")))))))))))))))))))</f>
        <v/>
      </c>
      <c r="J191" s="11">
        <f t="shared" si="39">IF(AA191="正常",IF(I191="已计入",IF(OR(OR(B191="买入",B191="定投",B191="转换转入"),B191="红利再投"),D191,IF(B191="卖出",-D191,0)),0),"")</f>
        <v>0</v>
      </c>
      <c r="K191" s="11">
        <f t="shared" si="44">IF(AA191="正常",ROUND(K190+J191,6),"")</f>
        <v>25721.6</v>
      </c>
      <c r="L191" s="11" t="str">
        <f t="shared" si="45">IF(I191="已计入",ROUND(K190*C191,2),"")</f>
        <v/>
      </c>
      <c r="M191" s="11" t="str">
        <f t="shared" si="46">IF(I191="已计入",IF(B191="卖出",MAX(0,L191-Q190-F191),IF(B191="现金分红",MAX(0,L191+E191-Q190),0)),"")</f>
        <v/>
      </c>
      <c r="N191" s="11" t="str">
        <f>IF(I191="已计入",IF(AND(B191="卖出",'持仓总览'!$C$7="本金优先"),MAX(0,E191-Q190),IF(OR(B191="卖出",B191="现金分红"),MIN(E191,M191),0)),"")</f>
        <v/>
      </c>
      <c r="O191" s="11" t="str">
        <f t="shared" si="47">IF(I191="已计入",IF(OR(B191="卖出",B191="现金分红"),MIN(Q190,MAX(0,E191-N191)),0),"")</f>
        <v/>
      </c>
      <c r="P191" s="11" t="str">
        <f t="shared" si="48">IF(I191="已计入",IF(AND(B191="卖出",K191=0),MAX(0,Q190-O191),0),"")</f>
        <v/>
      </c>
      <c r="Q191" s="11">
        <f t="shared" si="49">IF(AA191="正常",IF(I191="已计入",ROUND(Q190+IF(OR(B191="买入",B191="定投",B191="转换转入"),E191,0)-O191-P191,2),Q190),"")</f>
        <v>129570</v>
      </c>
      <c r="R191" s="11" t="str">
        <f t="shared" si="40">IF(I191="已计入",ROUND(K191*C191,2),"")</f>
        <v/>
      </c>
      <c r="S191" s="11" t="str">
        <f t="shared" si="41">IF(I191="已计入",ROUND(R191-Q191,2),"")</f>
        <v/>
      </c>
      <c r="T191" s="12" t="str">
        <f t="shared" si="42">IF(I191="已计入",IF(Q191=0,"",S191/Q191),"")</f>
        <v/>
      </c>
      <c r="U191" s="11">
        <f t="shared" si="50">IF(AA191="正常",U190+IF(AND(I191="已计入",OR(B191="买入",B191="定投",B191="转换转入")),E191,0),"")</f>
        <v>129570</v>
      </c>
      <c r="V191" s="11">
        <f t="shared" si="51">IF(AA191="正常",V190+IF(AND(I191="已计入",OR(B191="卖出",B191="现金分红")),E191,0),"")</f>
        <v>0</v>
      </c>
      <c r="W191" s="11">
        <f t="shared" si="52">IF(AA191="正常",W190+IF(I191="已计入",N191,0),"")</f>
        <v>0</v>
      </c>
      <c r="X191" s="11">
        <f t="shared" si="53">IF(AA191="正常",X190+IF(I191="已计入",P191,0),"")</f>
        <v>0</v>
      </c>
      <c r="Y191" s="11" t="str">
        <f t="shared" si="43">IF(I191="已计入",ROUND(R191+V191-U191,2),"")</f>
        <v/>
      </c>
      <c r="Z191" s="13">
        <f t="shared" si="54">IF(AA191="正常",IF(I191="已计入",A191,Z190),"")</f>
        <v>46239</v>
      </c>
      <c r="AA191" s="10" t="str">
        <f>IF(OR($AA$134="错误",COUNTIF($G$135:G191,"待修正")&gt;0),"错误","正常")</f>
        <v>正常</v>
      </c>
      <c r="AB191" s="14">
        <f t="shared" si="55">IF(AA191="正常",IF(I191="已计入",C191,AB190),"")</f>
        <v>6.347</v>
      </c>
    </row>
    <row r="192" ht="23" customHeight="1">
      <c r="A192" s="36"/>
      <c r="B192" s="37"/>
      <c r="C192" s="38"/>
      <c r="D192" s="39"/>
      <c r="E192" s="44" t="str">
        <f t="shared" si="56">IF(AND(ISNUMBER(C192),ISNUMBER(D192),ISNUMBER(F192)),IF(OR(B192="买入",B192="定投"),ROUND(C192*D192+F192,2),IF(B192="卖出",ROUND(C192*D192-F192,2),IF(B192="红利再投",0,""))),"")</f>
        <v/>
      </c>
      <c r="F192" s="39"/>
      <c r="G192" s="45" t="str">
        <f t="shared" si="57">IF(COUNTA(A192:D192,F192)=0,"",IF(I192="已计入","已录入","待修正"))</f>
        <v/>
      </c>
      <c r="H192" s="46" t="str">
        <f t="shared" si="58">IF(COUNTA(A192:D192,F192)=0,"",IF(B192="红利再投","仅增加份额，不增加现金投入","金额由份额、净值和手续费推算"))</f>
        <v/>
      </c>
      <c r="I192" s="10" t="str">
        <f>IF(COUNTA(A192:D192,F192)=0,"",IF(NOT(ISNUMBER(A192)),"缺少有效净值日期",IF(OR(A192&lt;=0,A192&lt;&gt;INT(A192)),"净值日期无效",IF(OR(B192="转换转入",B192="现金分红"),"该类型需实际金额，五项录入不适用",IF(NOT(OR(OR(B192="买入",B192="定投"),B192="卖出",B192="红利再投")),"请选择交易类型",IF(NOT(ISNUMBER(C192)),"缺少成交净值",IF(C192&lt;=0,"成交净值须大于零",IF(NOT(ISNUMBER(D192)),"缺少确认份额",IF(D192&lt;=0,"确认份额须大于零",IF(NOT(ISNUMBER(F192)),"缺少手续费，无费用请填 0",IF(F192&lt;0,"手续费不能为负",IF(AA191="错误","前行待修正",IF(A192&lt;Z191,"日期需按成交顺序递增",IF(AND(B192="红利再投",F192&lt;&gt;0),"红利再投手续费应填 0",IF(AND(B192="红利再投",K191&lt;=0),"红利再投前须有持仓",IF(AND(B192="卖出",D192&gt;K191+0.000001),"卖出份额超过持仓",IF(AND(B192="卖出",F192&gt;=C192*D192),"赎回费不能达到赎回总额",IF(NOT(ISNUMBER(E192)),"自动金额未生成，请检查五项输入",IF(NOT(OR('持仓总览'!$C$7="利润优先",'持仓总览'!$C$7="本金优先")),"请选择卖出分配模式","已计入")))))))))))))))))))</f>
        <v/>
      </c>
      <c r="J192" s="11">
        <f t="shared" si="39">IF(AA192="正常",IF(I192="已计入",IF(OR(OR(B192="买入",B192="定投",B192="转换转入"),B192="红利再投"),D192,IF(B192="卖出",-D192,0)),0),"")</f>
        <v>0</v>
      </c>
      <c r="K192" s="11">
        <f t="shared" si="44">IF(AA192="正常",ROUND(K191+J192,6),"")</f>
        <v>25721.6</v>
      </c>
      <c r="L192" s="11" t="str">
        <f t="shared" si="45">IF(I192="已计入",ROUND(K191*C192,2),"")</f>
        <v/>
      </c>
      <c r="M192" s="11" t="str">
        <f t="shared" si="46">IF(I192="已计入",IF(B192="卖出",MAX(0,L192-Q191-F192),IF(B192="现金分红",MAX(0,L192+E192-Q191),0)),"")</f>
        <v/>
      </c>
      <c r="N192" s="11" t="str">
        <f>IF(I192="已计入",IF(AND(B192="卖出",'持仓总览'!$C$7="本金优先"),MAX(0,E192-Q191),IF(OR(B192="卖出",B192="现金分红"),MIN(E192,M192),0)),"")</f>
        <v/>
      </c>
      <c r="O192" s="11" t="str">
        <f t="shared" si="47">IF(I192="已计入",IF(OR(B192="卖出",B192="现金分红"),MIN(Q191,MAX(0,E192-N192)),0),"")</f>
        <v/>
      </c>
      <c r="P192" s="11" t="str">
        <f t="shared" si="48">IF(I192="已计入",IF(AND(B192="卖出",K192=0),MAX(0,Q191-O192),0),"")</f>
        <v/>
      </c>
      <c r="Q192" s="11">
        <f t="shared" si="49">IF(AA192="正常",IF(I192="已计入",ROUND(Q191+IF(OR(B192="买入",B192="定投",B192="转换转入"),E192,0)-O192-P192,2),Q191),"")</f>
        <v>129570</v>
      </c>
      <c r="R192" s="11" t="str">
        <f t="shared" si="40">IF(I192="已计入",ROUND(K192*C192,2),"")</f>
        <v/>
      </c>
      <c r="S192" s="11" t="str">
        <f t="shared" si="41">IF(I192="已计入",ROUND(R192-Q192,2),"")</f>
        <v/>
      </c>
      <c r="T192" s="12" t="str">
        <f t="shared" si="42">IF(I192="已计入",IF(Q192=0,"",S192/Q192),"")</f>
        <v/>
      </c>
      <c r="U192" s="11">
        <f t="shared" si="50">IF(AA192="正常",U191+IF(AND(I192="已计入",OR(B192="买入",B192="定投",B192="转换转入")),E192,0),"")</f>
        <v>129570</v>
      </c>
      <c r="V192" s="11">
        <f t="shared" si="51">IF(AA192="正常",V191+IF(AND(I192="已计入",OR(B192="卖出",B192="现金分红")),E192,0),"")</f>
        <v>0</v>
      </c>
      <c r="W192" s="11">
        <f t="shared" si="52">IF(AA192="正常",W191+IF(I192="已计入",N192,0),"")</f>
        <v>0</v>
      </c>
      <c r="X192" s="11">
        <f t="shared" si="53">IF(AA192="正常",X191+IF(I192="已计入",P192,0),"")</f>
        <v>0</v>
      </c>
      <c r="Y192" s="11" t="str">
        <f t="shared" si="43">IF(I192="已计入",ROUND(R192+V192-U192,2),"")</f>
        <v/>
      </c>
      <c r="Z192" s="13">
        <f t="shared" si="54">IF(AA192="正常",IF(I192="已计入",A192,Z191),"")</f>
        <v>46239</v>
      </c>
      <c r="AA192" s="10" t="str">
        <f>IF(OR($AA$134="错误",COUNTIF($G$135:G192,"待修正")&gt;0),"错误","正常")</f>
        <v>正常</v>
      </c>
      <c r="AB192" s="14">
        <f t="shared" si="55">IF(AA192="正常",IF(I192="已计入",C192,AB191),"")</f>
        <v>6.347</v>
      </c>
    </row>
    <row r="193" ht="23" customHeight="1">
      <c r="A193" s="36"/>
      <c r="B193" s="37"/>
      <c r="C193" s="38"/>
      <c r="D193" s="39"/>
      <c r="E193" s="44" t="str">
        <f t="shared" si="56">IF(AND(ISNUMBER(C193),ISNUMBER(D193),ISNUMBER(F193)),IF(OR(B193="买入",B193="定投"),ROUND(C193*D193+F193,2),IF(B193="卖出",ROUND(C193*D193-F193,2),IF(B193="红利再投",0,""))),"")</f>
        <v/>
      </c>
      <c r="F193" s="39"/>
      <c r="G193" s="45" t="str">
        <f t="shared" si="57">IF(COUNTA(A193:D193,F193)=0,"",IF(I193="已计入","已录入","待修正"))</f>
        <v/>
      </c>
      <c r="H193" s="46" t="str">
        <f t="shared" si="58">IF(COUNTA(A193:D193,F193)=0,"",IF(B193="红利再投","仅增加份额，不增加现金投入","金额由份额、净值和手续费推算"))</f>
        <v/>
      </c>
      <c r="I193" s="10" t="str">
        <f>IF(COUNTA(A193:D193,F193)=0,"",IF(NOT(ISNUMBER(A193)),"缺少有效净值日期",IF(OR(A193&lt;=0,A193&lt;&gt;INT(A193)),"净值日期无效",IF(OR(B193="转换转入",B193="现金分红"),"该类型需实际金额，五项录入不适用",IF(NOT(OR(OR(B193="买入",B193="定投"),B193="卖出",B193="红利再投")),"请选择交易类型",IF(NOT(ISNUMBER(C193)),"缺少成交净值",IF(C193&lt;=0,"成交净值须大于零",IF(NOT(ISNUMBER(D193)),"缺少确认份额",IF(D193&lt;=0,"确认份额须大于零",IF(NOT(ISNUMBER(F193)),"缺少手续费，无费用请填 0",IF(F193&lt;0,"手续费不能为负",IF(AA192="错误","前行待修正",IF(A193&lt;Z192,"日期需按成交顺序递增",IF(AND(B193="红利再投",F193&lt;&gt;0),"红利再投手续费应填 0",IF(AND(B193="红利再投",K192&lt;=0),"红利再投前须有持仓",IF(AND(B193="卖出",D193&gt;K192+0.000001),"卖出份额超过持仓",IF(AND(B193="卖出",F193&gt;=C193*D193),"赎回费不能达到赎回总额",IF(NOT(ISNUMBER(E193)),"自动金额未生成，请检查五项输入",IF(NOT(OR('持仓总览'!$C$7="利润优先",'持仓总览'!$C$7="本金优先")),"请选择卖出分配模式","已计入")))))))))))))))))))</f>
        <v/>
      </c>
      <c r="J193" s="11">
        <f t="shared" si="39">IF(AA193="正常",IF(I193="已计入",IF(OR(OR(B193="买入",B193="定投",B193="转换转入"),B193="红利再投"),D193,IF(B193="卖出",-D193,0)),0),"")</f>
        <v>0</v>
      </c>
      <c r="K193" s="11">
        <f t="shared" si="44">IF(AA193="正常",ROUND(K192+J193,6),"")</f>
        <v>25721.6</v>
      </c>
      <c r="L193" s="11" t="str">
        <f t="shared" si="45">IF(I193="已计入",ROUND(K192*C193,2),"")</f>
        <v/>
      </c>
      <c r="M193" s="11" t="str">
        <f t="shared" si="46">IF(I193="已计入",IF(B193="卖出",MAX(0,L193-Q192-F193),IF(B193="现金分红",MAX(0,L193+E193-Q192),0)),"")</f>
        <v/>
      </c>
      <c r="N193" s="11" t="str">
        <f>IF(I193="已计入",IF(AND(B193="卖出",'持仓总览'!$C$7="本金优先"),MAX(0,E193-Q192),IF(OR(B193="卖出",B193="现金分红"),MIN(E193,M193),0)),"")</f>
        <v/>
      </c>
      <c r="O193" s="11" t="str">
        <f t="shared" si="47">IF(I193="已计入",IF(OR(B193="卖出",B193="现金分红"),MIN(Q192,MAX(0,E193-N193)),0),"")</f>
        <v/>
      </c>
      <c r="P193" s="11" t="str">
        <f t="shared" si="48">IF(I193="已计入",IF(AND(B193="卖出",K193=0),MAX(0,Q192-O193),0),"")</f>
        <v/>
      </c>
      <c r="Q193" s="11">
        <f t="shared" si="49">IF(AA193="正常",IF(I193="已计入",ROUND(Q192+IF(OR(B193="买入",B193="定投",B193="转换转入"),E193,0)-O193-P193,2),Q192),"")</f>
        <v>129570</v>
      </c>
      <c r="R193" s="11" t="str">
        <f t="shared" si="40">IF(I193="已计入",ROUND(K193*C193,2),"")</f>
        <v/>
      </c>
      <c r="S193" s="11" t="str">
        <f t="shared" si="41">IF(I193="已计入",ROUND(R193-Q193,2),"")</f>
        <v/>
      </c>
      <c r="T193" s="12" t="str">
        <f t="shared" si="42">IF(I193="已计入",IF(Q193=0,"",S193/Q193),"")</f>
        <v/>
      </c>
      <c r="U193" s="11">
        <f t="shared" si="50">IF(AA193="正常",U192+IF(AND(I193="已计入",OR(B193="买入",B193="定投",B193="转换转入")),E193,0),"")</f>
        <v>129570</v>
      </c>
      <c r="V193" s="11">
        <f t="shared" si="51">IF(AA193="正常",V192+IF(AND(I193="已计入",OR(B193="卖出",B193="现金分红")),E193,0),"")</f>
        <v>0</v>
      </c>
      <c r="W193" s="11">
        <f t="shared" si="52">IF(AA193="正常",W192+IF(I193="已计入",N193,0),"")</f>
        <v>0</v>
      </c>
      <c r="X193" s="11">
        <f t="shared" si="53">IF(AA193="正常",X192+IF(I193="已计入",P193,0),"")</f>
        <v>0</v>
      </c>
      <c r="Y193" s="11" t="str">
        <f t="shared" si="43">IF(I193="已计入",ROUND(R193+V193-U193,2),"")</f>
        <v/>
      </c>
      <c r="Z193" s="13">
        <f t="shared" si="54">IF(AA193="正常",IF(I193="已计入",A193,Z192),"")</f>
        <v>46239</v>
      </c>
      <c r="AA193" s="10" t="str">
        <f>IF(OR($AA$134="错误",COUNTIF($G$135:G193,"待修正")&gt;0),"错误","正常")</f>
        <v>正常</v>
      </c>
      <c r="AB193" s="14">
        <f t="shared" si="55">IF(AA193="正常",IF(I193="已计入",C193,AB192),"")</f>
        <v>6.347</v>
      </c>
    </row>
    <row r="194" ht="23" customHeight="1">
      <c r="A194" s="36"/>
      <c r="B194" s="37"/>
      <c r="C194" s="38"/>
      <c r="D194" s="39"/>
      <c r="E194" s="44" t="str">
        <f t="shared" si="56">IF(AND(ISNUMBER(C194),ISNUMBER(D194),ISNUMBER(F194)),IF(OR(B194="买入",B194="定投"),ROUND(C194*D194+F194,2),IF(B194="卖出",ROUND(C194*D194-F194,2),IF(B194="红利再投",0,""))),"")</f>
        <v/>
      </c>
      <c r="F194" s="39"/>
      <c r="G194" s="45" t="str">
        <f t="shared" si="57">IF(COUNTA(A194:D194,F194)=0,"",IF(I194="已计入","已录入","待修正"))</f>
        <v/>
      </c>
      <c r="H194" s="46" t="str">
        <f t="shared" si="58">IF(COUNTA(A194:D194,F194)=0,"",IF(B194="红利再投","仅增加份额，不增加现金投入","金额由份额、净值和手续费推算"))</f>
        <v/>
      </c>
      <c r="I194" s="10" t="str">
        <f>IF(COUNTA(A194:D194,F194)=0,"",IF(NOT(ISNUMBER(A194)),"缺少有效净值日期",IF(OR(A194&lt;=0,A194&lt;&gt;INT(A194)),"净值日期无效",IF(OR(B194="转换转入",B194="现金分红"),"该类型需实际金额，五项录入不适用",IF(NOT(OR(OR(B194="买入",B194="定投"),B194="卖出",B194="红利再投")),"请选择交易类型",IF(NOT(ISNUMBER(C194)),"缺少成交净值",IF(C194&lt;=0,"成交净值须大于零",IF(NOT(ISNUMBER(D194)),"缺少确认份额",IF(D194&lt;=0,"确认份额须大于零",IF(NOT(ISNUMBER(F194)),"缺少手续费，无费用请填 0",IF(F194&lt;0,"手续费不能为负",IF(AA193="错误","前行待修正",IF(A194&lt;Z193,"日期需按成交顺序递增",IF(AND(B194="红利再投",F194&lt;&gt;0),"红利再投手续费应填 0",IF(AND(B194="红利再投",K193&lt;=0),"红利再投前须有持仓",IF(AND(B194="卖出",D194&gt;K193+0.000001),"卖出份额超过持仓",IF(AND(B194="卖出",F194&gt;=C194*D194),"赎回费不能达到赎回总额",IF(NOT(ISNUMBER(E194)),"自动金额未生成，请检查五项输入",IF(NOT(OR('持仓总览'!$C$7="利润优先",'持仓总览'!$C$7="本金优先")),"请选择卖出分配模式","已计入")))))))))))))))))))</f>
        <v/>
      </c>
      <c r="J194" s="11">
        <f t="shared" si="39">IF(AA194="正常",IF(I194="已计入",IF(OR(OR(B194="买入",B194="定投",B194="转换转入"),B194="红利再投"),D194,IF(B194="卖出",-D194,0)),0),"")</f>
        <v>0</v>
      </c>
      <c r="K194" s="11">
        <f t="shared" si="44">IF(AA194="正常",ROUND(K193+J194,6),"")</f>
        <v>25721.6</v>
      </c>
      <c r="L194" s="11" t="str">
        <f t="shared" si="45">IF(I194="已计入",ROUND(K193*C194,2),"")</f>
        <v/>
      </c>
      <c r="M194" s="11" t="str">
        <f t="shared" si="46">IF(I194="已计入",IF(B194="卖出",MAX(0,L194-Q193-F194),IF(B194="现金分红",MAX(0,L194+E194-Q193),0)),"")</f>
        <v/>
      </c>
      <c r="N194" s="11" t="str">
        <f>IF(I194="已计入",IF(AND(B194="卖出",'持仓总览'!$C$7="本金优先"),MAX(0,E194-Q193),IF(OR(B194="卖出",B194="现金分红"),MIN(E194,M194),0)),"")</f>
        <v/>
      </c>
      <c r="O194" s="11" t="str">
        <f t="shared" si="47">IF(I194="已计入",IF(OR(B194="卖出",B194="现金分红"),MIN(Q193,MAX(0,E194-N194)),0),"")</f>
        <v/>
      </c>
      <c r="P194" s="11" t="str">
        <f t="shared" si="48">IF(I194="已计入",IF(AND(B194="卖出",K194=0),MAX(0,Q193-O194),0),"")</f>
        <v/>
      </c>
      <c r="Q194" s="11">
        <f t="shared" si="49">IF(AA194="正常",IF(I194="已计入",ROUND(Q193+IF(OR(B194="买入",B194="定投",B194="转换转入"),E194,0)-O194-P194,2),Q193),"")</f>
        <v>129570</v>
      </c>
      <c r="R194" s="11" t="str">
        <f t="shared" si="40">IF(I194="已计入",ROUND(K194*C194,2),"")</f>
        <v/>
      </c>
      <c r="S194" s="11" t="str">
        <f t="shared" si="41">IF(I194="已计入",ROUND(R194-Q194,2),"")</f>
        <v/>
      </c>
      <c r="T194" s="12" t="str">
        <f t="shared" si="42">IF(I194="已计入",IF(Q194=0,"",S194/Q194),"")</f>
        <v/>
      </c>
      <c r="U194" s="11">
        <f t="shared" si="50">IF(AA194="正常",U193+IF(AND(I194="已计入",OR(B194="买入",B194="定投",B194="转换转入")),E194,0),"")</f>
        <v>129570</v>
      </c>
      <c r="V194" s="11">
        <f t="shared" si="51">IF(AA194="正常",V193+IF(AND(I194="已计入",OR(B194="卖出",B194="现金分红")),E194,0),"")</f>
        <v>0</v>
      </c>
      <c r="W194" s="11">
        <f t="shared" si="52">IF(AA194="正常",W193+IF(I194="已计入",N194,0),"")</f>
        <v>0</v>
      </c>
      <c r="X194" s="11">
        <f t="shared" si="53">IF(AA194="正常",X193+IF(I194="已计入",P194,0),"")</f>
        <v>0</v>
      </c>
      <c r="Y194" s="11" t="str">
        <f t="shared" si="43">IF(I194="已计入",ROUND(R194+V194-U194,2),"")</f>
        <v/>
      </c>
      <c r="Z194" s="13">
        <f t="shared" si="54">IF(AA194="正常",IF(I194="已计入",A194,Z193),"")</f>
        <v>46239</v>
      </c>
      <c r="AA194" s="10" t="str">
        <f>IF(OR($AA$134="错误",COUNTIF($G$135:G194,"待修正")&gt;0),"错误","正常")</f>
        <v>正常</v>
      </c>
      <c r="AB194" s="14">
        <f t="shared" si="55">IF(AA194="正常",IF(I194="已计入",C194,AB193),"")</f>
        <v>6.347</v>
      </c>
    </row>
    <row r="195" ht="23" customHeight="1">
      <c r="A195" s="36"/>
      <c r="B195" s="37"/>
      <c r="C195" s="38"/>
      <c r="D195" s="39"/>
      <c r="E195" s="44" t="str">
        <f t="shared" si="56">IF(AND(ISNUMBER(C195),ISNUMBER(D195),ISNUMBER(F195)),IF(OR(B195="买入",B195="定投"),ROUND(C195*D195+F195,2),IF(B195="卖出",ROUND(C195*D195-F195,2),IF(B195="红利再投",0,""))),"")</f>
        <v/>
      </c>
      <c r="F195" s="39"/>
      <c r="G195" s="45" t="str">
        <f t="shared" si="57">IF(COUNTA(A195:D195,F195)=0,"",IF(I195="已计入","已录入","待修正"))</f>
        <v/>
      </c>
      <c r="H195" s="46" t="str">
        <f t="shared" si="58">IF(COUNTA(A195:D195,F195)=0,"",IF(B195="红利再投","仅增加份额，不增加现金投入","金额由份额、净值和手续费推算"))</f>
        <v/>
      </c>
      <c r="I195" s="10" t="str">
        <f>IF(COUNTA(A195:D195,F195)=0,"",IF(NOT(ISNUMBER(A195)),"缺少有效净值日期",IF(OR(A195&lt;=0,A195&lt;&gt;INT(A195)),"净值日期无效",IF(OR(B195="转换转入",B195="现金分红"),"该类型需实际金额，五项录入不适用",IF(NOT(OR(OR(B195="买入",B195="定投"),B195="卖出",B195="红利再投")),"请选择交易类型",IF(NOT(ISNUMBER(C195)),"缺少成交净值",IF(C195&lt;=0,"成交净值须大于零",IF(NOT(ISNUMBER(D195)),"缺少确认份额",IF(D195&lt;=0,"确认份额须大于零",IF(NOT(ISNUMBER(F195)),"缺少手续费，无费用请填 0",IF(F195&lt;0,"手续费不能为负",IF(AA194="错误","前行待修正",IF(A195&lt;Z194,"日期需按成交顺序递增",IF(AND(B195="红利再投",F195&lt;&gt;0),"红利再投手续费应填 0",IF(AND(B195="红利再投",K194&lt;=0),"红利再投前须有持仓",IF(AND(B195="卖出",D195&gt;K194+0.000001),"卖出份额超过持仓",IF(AND(B195="卖出",F195&gt;=C195*D195),"赎回费不能达到赎回总额",IF(NOT(ISNUMBER(E195)),"自动金额未生成，请检查五项输入",IF(NOT(OR('持仓总览'!$C$7="利润优先",'持仓总览'!$C$7="本金优先")),"请选择卖出分配模式","已计入")))))))))))))))))))</f>
        <v/>
      </c>
      <c r="J195" s="11">
        <f t="shared" si="39">IF(AA195="正常",IF(I195="已计入",IF(OR(OR(B195="买入",B195="定投",B195="转换转入"),B195="红利再投"),D195,IF(B195="卖出",-D195,0)),0),"")</f>
        <v>0</v>
      </c>
      <c r="K195" s="11">
        <f t="shared" si="44">IF(AA195="正常",ROUND(K194+J195,6),"")</f>
        <v>25721.6</v>
      </c>
      <c r="L195" s="11" t="str">
        <f t="shared" si="45">IF(I195="已计入",ROUND(K194*C195,2),"")</f>
        <v/>
      </c>
      <c r="M195" s="11" t="str">
        <f t="shared" si="46">IF(I195="已计入",IF(B195="卖出",MAX(0,L195-Q194-F195),IF(B195="现金分红",MAX(0,L195+E195-Q194),0)),"")</f>
        <v/>
      </c>
      <c r="N195" s="11" t="str">
        <f>IF(I195="已计入",IF(AND(B195="卖出",'持仓总览'!$C$7="本金优先"),MAX(0,E195-Q194),IF(OR(B195="卖出",B195="现金分红"),MIN(E195,M195),0)),"")</f>
        <v/>
      </c>
      <c r="O195" s="11" t="str">
        <f t="shared" si="47">IF(I195="已计入",IF(OR(B195="卖出",B195="现金分红"),MIN(Q194,MAX(0,E195-N195)),0),"")</f>
        <v/>
      </c>
      <c r="P195" s="11" t="str">
        <f t="shared" si="48">IF(I195="已计入",IF(AND(B195="卖出",K195=0),MAX(0,Q194-O195),0),"")</f>
        <v/>
      </c>
      <c r="Q195" s="11">
        <f t="shared" si="49">IF(AA195="正常",IF(I195="已计入",ROUND(Q194+IF(OR(B195="买入",B195="定投",B195="转换转入"),E195,0)-O195-P195,2),Q194),"")</f>
        <v>129570</v>
      </c>
      <c r="R195" s="11" t="str">
        <f t="shared" si="40">IF(I195="已计入",ROUND(K195*C195,2),"")</f>
        <v/>
      </c>
      <c r="S195" s="11" t="str">
        <f t="shared" si="41">IF(I195="已计入",ROUND(R195-Q195,2),"")</f>
        <v/>
      </c>
      <c r="T195" s="12" t="str">
        <f t="shared" si="42">IF(I195="已计入",IF(Q195=0,"",S195/Q195),"")</f>
        <v/>
      </c>
      <c r="U195" s="11">
        <f t="shared" si="50">IF(AA195="正常",U194+IF(AND(I195="已计入",OR(B195="买入",B195="定投",B195="转换转入")),E195,0),"")</f>
        <v>129570</v>
      </c>
      <c r="V195" s="11">
        <f t="shared" si="51">IF(AA195="正常",V194+IF(AND(I195="已计入",OR(B195="卖出",B195="现金分红")),E195,0),"")</f>
        <v>0</v>
      </c>
      <c r="W195" s="11">
        <f t="shared" si="52">IF(AA195="正常",W194+IF(I195="已计入",N195,0),"")</f>
        <v>0</v>
      </c>
      <c r="X195" s="11">
        <f t="shared" si="53">IF(AA195="正常",X194+IF(I195="已计入",P195,0),"")</f>
        <v>0</v>
      </c>
      <c r="Y195" s="11" t="str">
        <f t="shared" si="43">IF(I195="已计入",ROUND(R195+V195-U195,2),"")</f>
        <v/>
      </c>
      <c r="Z195" s="13">
        <f t="shared" si="54">IF(AA195="正常",IF(I195="已计入",A195,Z194),"")</f>
        <v>46239</v>
      </c>
      <c r="AA195" s="10" t="str">
        <f>IF(OR($AA$134="错误",COUNTIF($G$135:G195,"待修正")&gt;0),"错误","正常")</f>
        <v>正常</v>
      </c>
      <c r="AB195" s="14">
        <f t="shared" si="55">IF(AA195="正常",IF(I195="已计入",C195,AB194),"")</f>
        <v>6.347</v>
      </c>
    </row>
    <row r="196" ht="23" customHeight="1">
      <c r="A196" s="36"/>
      <c r="B196" s="37"/>
      <c r="C196" s="38"/>
      <c r="D196" s="39"/>
      <c r="E196" s="44" t="str">
        <f t="shared" si="56">IF(AND(ISNUMBER(C196),ISNUMBER(D196),ISNUMBER(F196)),IF(OR(B196="买入",B196="定投"),ROUND(C196*D196+F196,2),IF(B196="卖出",ROUND(C196*D196-F196,2),IF(B196="红利再投",0,""))),"")</f>
        <v/>
      </c>
      <c r="F196" s="39"/>
      <c r="G196" s="45" t="str">
        <f t="shared" si="57">IF(COUNTA(A196:D196,F196)=0,"",IF(I196="已计入","已录入","待修正"))</f>
        <v/>
      </c>
      <c r="H196" s="46" t="str">
        <f t="shared" si="58">IF(COUNTA(A196:D196,F196)=0,"",IF(B196="红利再投","仅增加份额，不增加现金投入","金额由份额、净值和手续费推算"))</f>
        <v/>
      </c>
      <c r="I196" s="10" t="str">
        <f>IF(COUNTA(A196:D196,F196)=0,"",IF(NOT(ISNUMBER(A196)),"缺少有效净值日期",IF(OR(A196&lt;=0,A196&lt;&gt;INT(A196)),"净值日期无效",IF(OR(B196="转换转入",B196="现金分红"),"该类型需实际金额，五项录入不适用",IF(NOT(OR(OR(B196="买入",B196="定投"),B196="卖出",B196="红利再投")),"请选择交易类型",IF(NOT(ISNUMBER(C196)),"缺少成交净值",IF(C196&lt;=0,"成交净值须大于零",IF(NOT(ISNUMBER(D196)),"缺少确认份额",IF(D196&lt;=0,"确认份额须大于零",IF(NOT(ISNUMBER(F196)),"缺少手续费，无费用请填 0",IF(F196&lt;0,"手续费不能为负",IF(AA195="错误","前行待修正",IF(A196&lt;Z195,"日期需按成交顺序递增",IF(AND(B196="红利再投",F196&lt;&gt;0),"红利再投手续费应填 0",IF(AND(B196="红利再投",K195&lt;=0),"红利再投前须有持仓",IF(AND(B196="卖出",D196&gt;K195+0.000001),"卖出份额超过持仓",IF(AND(B196="卖出",F196&gt;=C196*D196),"赎回费不能达到赎回总额",IF(NOT(ISNUMBER(E196)),"自动金额未生成，请检查五项输入",IF(NOT(OR('持仓总览'!$C$7="利润优先",'持仓总览'!$C$7="本金优先")),"请选择卖出分配模式","已计入")))))))))))))))))))</f>
        <v/>
      </c>
      <c r="J196" s="11">
        <f t="shared" si="39">IF(AA196="正常",IF(I196="已计入",IF(OR(OR(B196="买入",B196="定投",B196="转换转入"),B196="红利再投"),D196,IF(B196="卖出",-D196,0)),0),"")</f>
        <v>0</v>
      </c>
      <c r="K196" s="11">
        <f t="shared" si="44">IF(AA196="正常",ROUND(K195+J196,6),"")</f>
        <v>25721.6</v>
      </c>
      <c r="L196" s="11" t="str">
        <f t="shared" si="45">IF(I196="已计入",ROUND(K195*C196,2),"")</f>
        <v/>
      </c>
      <c r="M196" s="11" t="str">
        <f t="shared" si="46">IF(I196="已计入",IF(B196="卖出",MAX(0,L196-Q195-F196),IF(B196="现金分红",MAX(0,L196+E196-Q195),0)),"")</f>
        <v/>
      </c>
      <c r="N196" s="11" t="str">
        <f>IF(I196="已计入",IF(AND(B196="卖出",'持仓总览'!$C$7="本金优先"),MAX(0,E196-Q195),IF(OR(B196="卖出",B196="现金分红"),MIN(E196,M196),0)),"")</f>
        <v/>
      </c>
      <c r="O196" s="11" t="str">
        <f t="shared" si="47">IF(I196="已计入",IF(OR(B196="卖出",B196="现金分红"),MIN(Q195,MAX(0,E196-N196)),0),"")</f>
        <v/>
      </c>
      <c r="P196" s="11" t="str">
        <f t="shared" si="48">IF(I196="已计入",IF(AND(B196="卖出",K196=0),MAX(0,Q195-O196),0),"")</f>
        <v/>
      </c>
      <c r="Q196" s="11">
        <f t="shared" si="49">IF(AA196="正常",IF(I196="已计入",ROUND(Q195+IF(OR(B196="买入",B196="定投",B196="转换转入"),E196,0)-O196-P196,2),Q195),"")</f>
        <v>129570</v>
      </c>
      <c r="R196" s="11" t="str">
        <f t="shared" si="40">IF(I196="已计入",ROUND(K196*C196,2),"")</f>
        <v/>
      </c>
      <c r="S196" s="11" t="str">
        <f t="shared" si="41">IF(I196="已计入",ROUND(R196-Q196,2),"")</f>
        <v/>
      </c>
      <c r="T196" s="12" t="str">
        <f t="shared" si="42">IF(I196="已计入",IF(Q196=0,"",S196/Q196),"")</f>
        <v/>
      </c>
      <c r="U196" s="11">
        <f t="shared" si="50">IF(AA196="正常",U195+IF(AND(I196="已计入",OR(B196="买入",B196="定投",B196="转换转入")),E196,0),"")</f>
        <v>129570</v>
      </c>
      <c r="V196" s="11">
        <f t="shared" si="51">IF(AA196="正常",V195+IF(AND(I196="已计入",OR(B196="卖出",B196="现金分红")),E196,0),"")</f>
        <v>0</v>
      </c>
      <c r="W196" s="11">
        <f t="shared" si="52">IF(AA196="正常",W195+IF(I196="已计入",N196,0),"")</f>
        <v>0</v>
      </c>
      <c r="X196" s="11">
        <f t="shared" si="53">IF(AA196="正常",X195+IF(I196="已计入",P196,0),"")</f>
        <v>0</v>
      </c>
      <c r="Y196" s="11" t="str">
        <f t="shared" si="43">IF(I196="已计入",ROUND(R196+V196-U196,2),"")</f>
        <v/>
      </c>
      <c r="Z196" s="13">
        <f t="shared" si="54">IF(AA196="正常",IF(I196="已计入",A196,Z195),"")</f>
        <v>46239</v>
      </c>
      <c r="AA196" s="10" t="str">
        <f>IF(OR($AA$134="错误",COUNTIF($G$135:G196,"待修正")&gt;0),"错误","正常")</f>
        <v>正常</v>
      </c>
      <c r="AB196" s="14">
        <f t="shared" si="55">IF(AA196="正常",IF(I196="已计入",C196,AB195),"")</f>
        <v>6.347</v>
      </c>
    </row>
    <row r="197" ht="23" customHeight="1">
      <c r="A197" s="36"/>
      <c r="B197" s="37"/>
      <c r="C197" s="38"/>
      <c r="D197" s="39"/>
      <c r="E197" s="44" t="str">
        <f t="shared" si="56">IF(AND(ISNUMBER(C197),ISNUMBER(D197),ISNUMBER(F197)),IF(OR(B197="买入",B197="定投"),ROUND(C197*D197+F197,2),IF(B197="卖出",ROUND(C197*D197-F197,2),IF(B197="红利再投",0,""))),"")</f>
        <v/>
      </c>
      <c r="F197" s="39"/>
      <c r="G197" s="45" t="str">
        <f t="shared" si="57">IF(COUNTA(A197:D197,F197)=0,"",IF(I197="已计入","已录入","待修正"))</f>
        <v/>
      </c>
      <c r="H197" s="46" t="str">
        <f t="shared" si="58">IF(COUNTA(A197:D197,F197)=0,"",IF(B197="红利再投","仅增加份额，不增加现金投入","金额由份额、净值和手续费推算"))</f>
        <v/>
      </c>
      <c r="I197" s="10" t="str">
        <f>IF(COUNTA(A197:D197,F197)=0,"",IF(NOT(ISNUMBER(A197)),"缺少有效净值日期",IF(OR(A197&lt;=0,A197&lt;&gt;INT(A197)),"净值日期无效",IF(OR(B197="转换转入",B197="现金分红"),"该类型需实际金额，五项录入不适用",IF(NOT(OR(OR(B197="买入",B197="定投"),B197="卖出",B197="红利再投")),"请选择交易类型",IF(NOT(ISNUMBER(C197)),"缺少成交净值",IF(C197&lt;=0,"成交净值须大于零",IF(NOT(ISNUMBER(D197)),"缺少确认份额",IF(D197&lt;=0,"确认份额须大于零",IF(NOT(ISNUMBER(F197)),"缺少手续费，无费用请填 0",IF(F197&lt;0,"手续费不能为负",IF(AA196="错误","前行待修正",IF(A197&lt;Z196,"日期需按成交顺序递增",IF(AND(B197="红利再投",F197&lt;&gt;0),"红利再投手续费应填 0",IF(AND(B197="红利再投",K196&lt;=0),"红利再投前须有持仓",IF(AND(B197="卖出",D197&gt;K196+0.000001),"卖出份额超过持仓",IF(AND(B197="卖出",F197&gt;=C197*D197),"赎回费不能达到赎回总额",IF(NOT(ISNUMBER(E197)),"自动金额未生成，请检查五项输入",IF(NOT(OR('持仓总览'!$C$7="利润优先",'持仓总览'!$C$7="本金优先")),"请选择卖出分配模式","已计入")))))))))))))))))))</f>
        <v/>
      </c>
      <c r="J197" s="11">
        <f t="shared" si="39">IF(AA197="正常",IF(I197="已计入",IF(OR(OR(B197="买入",B197="定投",B197="转换转入"),B197="红利再投"),D197,IF(B197="卖出",-D197,0)),0),"")</f>
        <v>0</v>
      </c>
      <c r="K197" s="11">
        <f t="shared" si="44">IF(AA197="正常",ROUND(K196+J197,6),"")</f>
        <v>25721.6</v>
      </c>
      <c r="L197" s="11" t="str">
        <f t="shared" si="45">IF(I197="已计入",ROUND(K196*C197,2),"")</f>
        <v/>
      </c>
      <c r="M197" s="11" t="str">
        <f t="shared" si="46">IF(I197="已计入",IF(B197="卖出",MAX(0,L197-Q196-F197),IF(B197="现金分红",MAX(0,L197+E197-Q196),0)),"")</f>
        <v/>
      </c>
      <c r="N197" s="11" t="str">
        <f>IF(I197="已计入",IF(AND(B197="卖出",'持仓总览'!$C$7="本金优先"),MAX(0,E197-Q196),IF(OR(B197="卖出",B197="现金分红"),MIN(E197,M197),0)),"")</f>
        <v/>
      </c>
      <c r="O197" s="11" t="str">
        <f t="shared" si="47">IF(I197="已计入",IF(OR(B197="卖出",B197="现金分红"),MIN(Q196,MAX(0,E197-N197)),0),"")</f>
        <v/>
      </c>
      <c r="P197" s="11" t="str">
        <f t="shared" si="48">IF(I197="已计入",IF(AND(B197="卖出",K197=0),MAX(0,Q196-O197),0),"")</f>
        <v/>
      </c>
      <c r="Q197" s="11">
        <f t="shared" si="49">IF(AA197="正常",IF(I197="已计入",ROUND(Q196+IF(OR(B197="买入",B197="定投",B197="转换转入"),E197,0)-O197-P197,2),Q196),"")</f>
        <v>129570</v>
      </c>
      <c r="R197" s="11" t="str">
        <f t="shared" si="40">IF(I197="已计入",ROUND(K197*C197,2),"")</f>
        <v/>
      </c>
      <c r="S197" s="11" t="str">
        <f t="shared" si="41">IF(I197="已计入",ROUND(R197-Q197,2),"")</f>
        <v/>
      </c>
      <c r="T197" s="12" t="str">
        <f t="shared" si="42">IF(I197="已计入",IF(Q197=0,"",S197/Q197),"")</f>
        <v/>
      </c>
      <c r="U197" s="11">
        <f t="shared" si="50">IF(AA197="正常",U196+IF(AND(I197="已计入",OR(B197="买入",B197="定投",B197="转换转入")),E197,0),"")</f>
        <v>129570</v>
      </c>
      <c r="V197" s="11">
        <f t="shared" si="51">IF(AA197="正常",V196+IF(AND(I197="已计入",OR(B197="卖出",B197="现金分红")),E197,0),"")</f>
        <v>0</v>
      </c>
      <c r="W197" s="11">
        <f t="shared" si="52">IF(AA197="正常",W196+IF(I197="已计入",N197,0),"")</f>
        <v>0</v>
      </c>
      <c r="X197" s="11">
        <f t="shared" si="53">IF(AA197="正常",X196+IF(I197="已计入",P197,0),"")</f>
        <v>0</v>
      </c>
      <c r="Y197" s="11" t="str">
        <f t="shared" si="43">IF(I197="已计入",ROUND(R197+V197-U197,2),"")</f>
        <v/>
      </c>
      <c r="Z197" s="13">
        <f t="shared" si="54">IF(AA197="正常",IF(I197="已计入",A197,Z196),"")</f>
        <v>46239</v>
      </c>
      <c r="AA197" s="10" t="str">
        <f>IF(OR($AA$134="错误",COUNTIF($G$135:G197,"待修正")&gt;0),"错误","正常")</f>
        <v>正常</v>
      </c>
      <c r="AB197" s="14">
        <f t="shared" si="55">IF(AA197="正常",IF(I197="已计入",C197,AB196),"")</f>
        <v>6.347</v>
      </c>
    </row>
    <row r="198" ht="23" customHeight="1">
      <c r="A198" s="36"/>
      <c r="B198" s="37"/>
      <c r="C198" s="38"/>
      <c r="D198" s="39"/>
      <c r="E198" s="44" t="str">
        <f t="shared" si="56">IF(AND(ISNUMBER(C198),ISNUMBER(D198),ISNUMBER(F198)),IF(OR(B198="买入",B198="定投"),ROUND(C198*D198+F198,2),IF(B198="卖出",ROUND(C198*D198-F198,2),IF(B198="红利再投",0,""))),"")</f>
        <v/>
      </c>
      <c r="F198" s="39"/>
      <c r="G198" s="45" t="str">
        <f t="shared" si="57">IF(COUNTA(A198:D198,F198)=0,"",IF(I198="已计入","已录入","待修正"))</f>
        <v/>
      </c>
      <c r="H198" s="46" t="str">
        <f t="shared" si="58">IF(COUNTA(A198:D198,F198)=0,"",IF(B198="红利再投","仅增加份额，不增加现金投入","金额由份额、净值和手续费推算"))</f>
        <v/>
      </c>
      <c r="I198" s="10" t="str">
        <f>IF(COUNTA(A198:D198,F198)=0,"",IF(NOT(ISNUMBER(A198)),"缺少有效净值日期",IF(OR(A198&lt;=0,A198&lt;&gt;INT(A198)),"净值日期无效",IF(OR(B198="转换转入",B198="现金分红"),"该类型需实际金额，五项录入不适用",IF(NOT(OR(OR(B198="买入",B198="定投"),B198="卖出",B198="红利再投")),"请选择交易类型",IF(NOT(ISNUMBER(C198)),"缺少成交净值",IF(C198&lt;=0,"成交净值须大于零",IF(NOT(ISNUMBER(D198)),"缺少确认份额",IF(D198&lt;=0,"确认份额须大于零",IF(NOT(ISNUMBER(F198)),"缺少手续费，无费用请填 0",IF(F198&lt;0,"手续费不能为负",IF(AA197="错误","前行待修正",IF(A198&lt;Z197,"日期需按成交顺序递增",IF(AND(B198="红利再投",F198&lt;&gt;0),"红利再投手续费应填 0",IF(AND(B198="红利再投",K197&lt;=0),"红利再投前须有持仓",IF(AND(B198="卖出",D198&gt;K197+0.000001),"卖出份额超过持仓",IF(AND(B198="卖出",F198&gt;=C198*D198),"赎回费不能达到赎回总额",IF(NOT(ISNUMBER(E198)),"自动金额未生成，请检查五项输入",IF(NOT(OR('持仓总览'!$C$7="利润优先",'持仓总览'!$C$7="本金优先")),"请选择卖出分配模式","已计入")))))))))))))))))))</f>
        <v/>
      </c>
      <c r="J198" s="11">
        <f t="shared" si="39">IF(AA198="正常",IF(I198="已计入",IF(OR(OR(B198="买入",B198="定投",B198="转换转入"),B198="红利再投"),D198,IF(B198="卖出",-D198,0)),0),"")</f>
        <v>0</v>
      </c>
      <c r="K198" s="11">
        <f t="shared" si="44">IF(AA198="正常",ROUND(K197+J198,6),"")</f>
        <v>25721.6</v>
      </c>
      <c r="L198" s="11" t="str">
        <f t="shared" si="45">IF(I198="已计入",ROUND(K197*C198,2),"")</f>
        <v/>
      </c>
      <c r="M198" s="11" t="str">
        <f t="shared" si="46">IF(I198="已计入",IF(B198="卖出",MAX(0,L198-Q197-F198),IF(B198="现金分红",MAX(0,L198+E198-Q197),0)),"")</f>
        <v/>
      </c>
      <c r="N198" s="11" t="str">
        <f>IF(I198="已计入",IF(AND(B198="卖出",'持仓总览'!$C$7="本金优先"),MAX(0,E198-Q197),IF(OR(B198="卖出",B198="现金分红"),MIN(E198,M198),0)),"")</f>
        <v/>
      </c>
      <c r="O198" s="11" t="str">
        <f t="shared" si="47">IF(I198="已计入",IF(OR(B198="卖出",B198="现金分红"),MIN(Q197,MAX(0,E198-N198)),0),"")</f>
        <v/>
      </c>
      <c r="P198" s="11" t="str">
        <f t="shared" si="48">IF(I198="已计入",IF(AND(B198="卖出",K198=0),MAX(0,Q197-O198),0),"")</f>
        <v/>
      </c>
      <c r="Q198" s="11">
        <f t="shared" si="49">IF(AA198="正常",IF(I198="已计入",ROUND(Q197+IF(OR(B198="买入",B198="定投",B198="转换转入"),E198,0)-O198-P198,2),Q197),"")</f>
        <v>129570</v>
      </c>
      <c r="R198" s="11" t="str">
        <f t="shared" si="40">IF(I198="已计入",ROUND(K198*C198,2),"")</f>
        <v/>
      </c>
      <c r="S198" s="11" t="str">
        <f t="shared" si="41">IF(I198="已计入",ROUND(R198-Q198,2),"")</f>
        <v/>
      </c>
      <c r="T198" s="12" t="str">
        <f t="shared" si="42">IF(I198="已计入",IF(Q198=0,"",S198/Q198),"")</f>
        <v/>
      </c>
      <c r="U198" s="11">
        <f t="shared" si="50">IF(AA198="正常",U197+IF(AND(I198="已计入",OR(B198="买入",B198="定投",B198="转换转入")),E198,0),"")</f>
        <v>129570</v>
      </c>
      <c r="V198" s="11">
        <f t="shared" si="51">IF(AA198="正常",V197+IF(AND(I198="已计入",OR(B198="卖出",B198="现金分红")),E198,0),"")</f>
        <v>0</v>
      </c>
      <c r="W198" s="11">
        <f t="shared" si="52">IF(AA198="正常",W197+IF(I198="已计入",N198,0),"")</f>
        <v>0</v>
      </c>
      <c r="X198" s="11">
        <f t="shared" si="53">IF(AA198="正常",X197+IF(I198="已计入",P198,0),"")</f>
        <v>0</v>
      </c>
      <c r="Y198" s="11" t="str">
        <f t="shared" si="43">IF(I198="已计入",ROUND(R198+V198-U198,2),"")</f>
        <v/>
      </c>
      <c r="Z198" s="13">
        <f t="shared" si="54">IF(AA198="正常",IF(I198="已计入",A198,Z197),"")</f>
        <v>46239</v>
      </c>
      <c r="AA198" s="10" t="str">
        <f>IF(OR($AA$134="错误",COUNTIF($G$135:G198,"待修正")&gt;0),"错误","正常")</f>
        <v>正常</v>
      </c>
      <c r="AB198" s="14">
        <f t="shared" si="55">IF(AA198="正常",IF(I198="已计入",C198,AB197),"")</f>
        <v>6.347</v>
      </c>
    </row>
    <row r="199" ht="23" customHeight="1">
      <c r="A199" s="36"/>
      <c r="B199" s="37"/>
      <c r="C199" s="38"/>
      <c r="D199" s="39"/>
      <c r="E199" s="44" t="str">
        <f t="shared" si="56">IF(AND(ISNUMBER(C199),ISNUMBER(D199),ISNUMBER(F199)),IF(OR(B199="买入",B199="定投"),ROUND(C199*D199+F199,2),IF(B199="卖出",ROUND(C199*D199-F199,2),IF(B199="红利再投",0,""))),"")</f>
        <v/>
      </c>
      <c r="F199" s="39"/>
      <c r="G199" s="45" t="str">
        <f t="shared" si="57">IF(COUNTA(A199:D199,F199)=0,"",IF(I199="已计入","已录入","待修正"))</f>
        <v/>
      </c>
      <c r="H199" s="46" t="str">
        <f t="shared" si="58">IF(COUNTA(A199:D199,F199)=0,"",IF(B199="红利再投","仅增加份额，不增加现金投入","金额由份额、净值和手续费推算"))</f>
        <v/>
      </c>
      <c r="I199" s="10" t="str">
        <f>IF(COUNTA(A199:D199,F199)=0,"",IF(NOT(ISNUMBER(A199)),"缺少有效净值日期",IF(OR(A199&lt;=0,A199&lt;&gt;INT(A199)),"净值日期无效",IF(OR(B199="转换转入",B199="现金分红"),"该类型需实际金额，五项录入不适用",IF(NOT(OR(OR(B199="买入",B199="定投"),B199="卖出",B199="红利再投")),"请选择交易类型",IF(NOT(ISNUMBER(C199)),"缺少成交净值",IF(C199&lt;=0,"成交净值须大于零",IF(NOT(ISNUMBER(D199)),"缺少确认份额",IF(D199&lt;=0,"确认份额须大于零",IF(NOT(ISNUMBER(F199)),"缺少手续费，无费用请填 0",IF(F199&lt;0,"手续费不能为负",IF(AA198="错误","前行待修正",IF(A199&lt;Z198,"日期需按成交顺序递增",IF(AND(B199="红利再投",F199&lt;&gt;0),"红利再投手续费应填 0",IF(AND(B199="红利再投",K198&lt;=0),"红利再投前须有持仓",IF(AND(B199="卖出",D199&gt;K198+0.000001),"卖出份额超过持仓",IF(AND(B199="卖出",F199&gt;=C199*D199),"赎回费不能达到赎回总额",IF(NOT(ISNUMBER(E199)),"自动金额未生成，请检查五项输入",IF(NOT(OR('持仓总览'!$C$7="利润优先",'持仓总览'!$C$7="本金优先")),"请选择卖出分配模式","已计入")))))))))))))))))))</f>
        <v/>
      </c>
      <c r="J199" s="11">
        <f t="shared" ref="J199:J262" si="59">IF(AA199="正常",IF(I199="已计入",IF(OR(OR(B199="买入",B199="定投",B199="转换转入"),B199="红利再投"),D199,IF(B199="卖出",-D199,0)),0),"")</f>
        <v>0</v>
      </c>
      <c r="K199" s="11">
        <f t="shared" si="44">IF(AA199="正常",ROUND(K198+J199,6),"")</f>
        <v>25721.6</v>
      </c>
      <c r="L199" s="11" t="str">
        <f t="shared" si="45">IF(I199="已计入",ROUND(K198*C199,2),"")</f>
        <v/>
      </c>
      <c r="M199" s="11" t="str">
        <f t="shared" si="46">IF(I199="已计入",IF(B199="卖出",MAX(0,L199-Q198-F199),IF(B199="现金分红",MAX(0,L199+E199-Q198),0)),"")</f>
        <v/>
      </c>
      <c r="N199" s="11" t="str">
        <f>IF(I199="已计入",IF(AND(B199="卖出",'持仓总览'!$C$7="本金优先"),MAX(0,E199-Q198),IF(OR(B199="卖出",B199="现金分红"),MIN(E199,M199),0)),"")</f>
        <v/>
      </c>
      <c r="O199" s="11" t="str">
        <f t="shared" si="47">IF(I199="已计入",IF(OR(B199="卖出",B199="现金分红"),MIN(Q198,MAX(0,E199-N199)),0),"")</f>
        <v/>
      </c>
      <c r="P199" s="11" t="str">
        <f t="shared" si="48">IF(I199="已计入",IF(AND(B199="卖出",K199=0),MAX(0,Q198-O199),0),"")</f>
        <v/>
      </c>
      <c r="Q199" s="11">
        <f t="shared" si="49">IF(AA199="正常",IF(I199="已计入",ROUND(Q198+IF(OR(B199="买入",B199="定投",B199="转换转入"),E199,0)-O199-P199,2),Q198),"")</f>
        <v>129570</v>
      </c>
      <c r="R199" s="11" t="str">
        <f t="shared" ref="R199:R262" si="60">IF(I199="已计入",ROUND(K199*C199,2),"")</f>
        <v/>
      </c>
      <c r="S199" s="11" t="str">
        <f t="shared" ref="S199:S262" si="61">IF(I199="已计入",ROUND(R199-Q199,2),"")</f>
        <v/>
      </c>
      <c r="T199" s="12" t="str">
        <f t="shared" ref="T199:T262" si="62">IF(I199="已计入",IF(Q199=0,"",S199/Q199),"")</f>
        <v/>
      </c>
      <c r="U199" s="11">
        <f t="shared" si="50">IF(AA199="正常",U198+IF(AND(I199="已计入",OR(B199="买入",B199="定投",B199="转换转入")),E199,0),"")</f>
        <v>129570</v>
      </c>
      <c r="V199" s="11">
        <f t="shared" si="51">IF(AA199="正常",V198+IF(AND(I199="已计入",OR(B199="卖出",B199="现金分红")),E199,0),"")</f>
        <v>0</v>
      </c>
      <c r="W199" s="11">
        <f t="shared" si="52">IF(AA199="正常",W198+IF(I199="已计入",N199,0),"")</f>
        <v>0</v>
      </c>
      <c r="X199" s="11">
        <f t="shared" si="53">IF(AA199="正常",X198+IF(I199="已计入",P199,0),"")</f>
        <v>0</v>
      </c>
      <c r="Y199" s="11" t="str">
        <f t="shared" ref="Y199:Y262" si="63">IF(I199="已计入",ROUND(R199+V199-U199,2),"")</f>
        <v/>
      </c>
      <c r="Z199" s="13">
        <f t="shared" si="54">IF(AA199="正常",IF(I199="已计入",A199,Z198),"")</f>
        <v>46239</v>
      </c>
      <c r="AA199" s="10" t="str">
        <f>IF(OR($AA$134="错误",COUNTIF($G$135:G199,"待修正")&gt;0),"错误","正常")</f>
        <v>正常</v>
      </c>
      <c r="AB199" s="14">
        <f t="shared" si="55">IF(AA199="正常",IF(I199="已计入",C199,AB198),"")</f>
        <v>6.347</v>
      </c>
    </row>
    <row r="200" ht="23" customHeight="1">
      <c r="A200" s="36"/>
      <c r="B200" s="37"/>
      <c r="C200" s="38"/>
      <c r="D200" s="39"/>
      <c r="E200" s="44" t="str">
        <f t="shared" si="56">IF(AND(ISNUMBER(C200),ISNUMBER(D200),ISNUMBER(F200)),IF(OR(B200="买入",B200="定投"),ROUND(C200*D200+F200,2),IF(B200="卖出",ROUND(C200*D200-F200,2),IF(B200="红利再投",0,""))),"")</f>
        <v/>
      </c>
      <c r="F200" s="39"/>
      <c r="G200" s="45" t="str">
        <f t="shared" si="57">IF(COUNTA(A200:D200,F200)=0,"",IF(I200="已计入","已录入","待修正"))</f>
        <v/>
      </c>
      <c r="H200" s="46" t="str">
        <f t="shared" si="58">IF(COUNTA(A200:D200,F200)=0,"",IF(B200="红利再投","仅增加份额，不增加现金投入","金额由份额、净值和手续费推算"))</f>
        <v/>
      </c>
      <c r="I200" s="10" t="str">
        <f>IF(COUNTA(A200:D200,F200)=0,"",IF(NOT(ISNUMBER(A200)),"缺少有效净值日期",IF(OR(A200&lt;=0,A200&lt;&gt;INT(A200)),"净值日期无效",IF(OR(B200="转换转入",B200="现金分红"),"该类型需实际金额，五项录入不适用",IF(NOT(OR(OR(B200="买入",B200="定投"),B200="卖出",B200="红利再投")),"请选择交易类型",IF(NOT(ISNUMBER(C200)),"缺少成交净值",IF(C200&lt;=0,"成交净值须大于零",IF(NOT(ISNUMBER(D200)),"缺少确认份额",IF(D200&lt;=0,"确认份额须大于零",IF(NOT(ISNUMBER(F200)),"缺少手续费，无费用请填 0",IF(F200&lt;0,"手续费不能为负",IF(AA199="错误","前行待修正",IF(A200&lt;Z199,"日期需按成交顺序递增",IF(AND(B200="红利再投",F200&lt;&gt;0),"红利再投手续费应填 0",IF(AND(B200="红利再投",K199&lt;=0),"红利再投前须有持仓",IF(AND(B200="卖出",D200&gt;K199+0.000001),"卖出份额超过持仓",IF(AND(B200="卖出",F200&gt;=C200*D200),"赎回费不能达到赎回总额",IF(NOT(ISNUMBER(E200)),"自动金额未生成，请检查五项输入",IF(NOT(OR('持仓总览'!$C$7="利润优先",'持仓总览'!$C$7="本金优先")),"请选择卖出分配模式","已计入")))))))))))))))))))</f>
        <v/>
      </c>
      <c r="J200" s="11">
        <f t="shared" si="59">IF(AA200="正常",IF(I200="已计入",IF(OR(OR(B200="买入",B200="定投",B200="转换转入"),B200="红利再投"),D200,IF(B200="卖出",-D200,0)),0),"")</f>
        <v>0</v>
      </c>
      <c r="K200" s="11">
        <f t="shared" ref="K200:K263" si="64">IF(AA200="正常",ROUND(K199+J200,6),"")</f>
        <v>25721.6</v>
      </c>
      <c r="L200" s="11" t="str">
        <f t="shared" ref="L200:L263" si="65">IF(I200="已计入",ROUND(K199*C200,2),"")</f>
        <v/>
      </c>
      <c r="M200" s="11" t="str">
        <f t="shared" ref="M200:M263" si="66">IF(I200="已计入",IF(B200="卖出",MAX(0,L200-Q199-F200),IF(B200="现金分红",MAX(0,L200+E200-Q199),0)),"")</f>
        <v/>
      </c>
      <c r="N200" s="11" t="str">
        <f>IF(I200="已计入",IF(AND(B200="卖出",'持仓总览'!$C$7="本金优先"),MAX(0,E200-Q199),IF(OR(B200="卖出",B200="现金分红"),MIN(E200,M200),0)),"")</f>
        <v/>
      </c>
      <c r="O200" s="11" t="str">
        <f t="shared" ref="O200:O263" si="67">IF(I200="已计入",IF(OR(B200="卖出",B200="现金分红"),MIN(Q199,MAX(0,E200-N200)),0),"")</f>
        <v/>
      </c>
      <c r="P200" s="11" t="str">
        <f t="shared" ref="P200:P263" si="68">IF(I200="已计入",IF(AND(B200="卖出",K200=0),MAX(0,Q199-O200),0),"")</f>
        <v/>
      </c>
      <c r="Q200" s="11">
        <f t="shared" ref="Q200:Q263" si="69">IF(AA200="正常",IF(I200="已计入",ROUND(Q199+IF(OR(B200="买入",B200="定投",B200="转换转入"),E200,0)-O200-P200,2),Q199),"")</f>
        <v>129570</v>
      </c>
      <c r="R200" s="11" t="str">
        <f t="shared" si="60">IF(I200="已计入",ROUND(K200*C200,2),"")</f>
        <v/>
      </c>
      <c r="S200" s="11" t="str">
        <f t="shared" si="61">IF(I200="已计入",ROUND(R200-Q200,2),"")</f>
        <v/>
      </c>
      <c r="T200" s="12" t="str">
        <f t="shared" si="62">IF(I200="已计入",IF(Q200=0,"",S200/Q200),"")</f>
        <v/>
      </c>
      <c r="U200" s="11">
        <f t="shared" ref="U200:U263" si="70">IF(AA200="正常",U199+IF(AND(I200="已计入",OR(B200="买入",B200="定投",B200="转换转入")),E200,0),"")</f>
        <v>129570</v>
      </c>
      <c r="V200" s="11">
        <f t="shared" ref="V200:V263" si="71">IF(AA200="正常",V199+IF(AND(I200="已计入",OR(B200="卖出",B200="现金分红")),E200,0),"")</f>
        <v>0</v>
      </c>
      <c r="W200" s="11">
        <f t="shared" ref="W200:W263" si="72">IF(AA200="正常",W199+IF(I200="已计入",N200,0),"")</f>
        <v>0</v>
      </c>
      <c r="X200" s="11">
        <f t="shared" ref="X200:X263" si="73">IF(AA200="正常",X199+IF(I200="已计入",P200,0),"")</f>
        <v>0</v>
      </c>
      <c r="Y200" s="11" t="str">
        <f t="shared" si="63">IF(I200="已计入",ROUND(R200+V200-U200,2),"")</f>
        <v/>
      </c>
      <c r="Z200" s="13">
        <f t="shared" ref="Z200:Z263" si="74">IF(AA200="正常",IF(I200="已计入",A200,Z199),"")</f>
        <v>46239</v>
      </c>
      <c r="AA200" s="10" t="str">
        <f>IF(OR($AA$134="错误",COUNTIF($G$135:G200,"待修正")&gt;0),"错误","正常")</f>
        <v>正常</v>
      </c>
      <c r="AB200" s="14">
        <f t="shared" ref="AB200:AB263" si="75">IF(AA200="正常",IF(I200="已计入",C200,AB199),"")</f>
        <v>6.347</v>
      </c>
    </row>
    <row r="201" ht="23" customHeight="1">
      <c r="A201" s="36"/>
      <c r="B201" s="37"/>
      <c r="C201" s="38"/>
      <c r="D201" s="39"/>
      <c r="E201" s="44" t="str">
        <f t="shared" si="56">IF(AND(ISNUMBER(C201),ISNUMBER(D201),ISNUMBER(F201)),IF(OR(B201="买入",B201="定投"),ROUND(C201*D201+F201,2),IF(B201="卖出",ROUND(C201*D201-F201,2),IF(B201="红利再投",0,""))),"")</f>
        <v/>
      </c>
      <c r="F201" s="39"/>
      <c r="G201" s="45" t="str">
        <f t="shared" si="57">IF(COUNTA(A201:D201,F201)=0,"",IF(I201="已计入","已录入","待修正"))</f>
        <v/>
      </c>
      <c r="H201" s="46" t="str">
        <f t="shared" si="58">IF(COUNTA(A201:D201,F201)=0,"",IF(B201="红利再投","仅增加份额，不增加现金投入","金额由份额、净值和手续费推算"))</f>
        <v/>
      </c>
      <c r="I201" s="10" t="str">
        <f>IF(COUNTA(A201:D201,F201)=0,"",IF(NOT(ISNUMBER(A201)),"缺少有效净值日期",IF(OR(A201&lt;=0,A201&lt;&gt;INT(A201)),"净值日期无效",IF(OR(B201="转换转入",B201="现金分红"),"该类型需实际金额，五项录入不适用",IF(NOT(OR(OR(B201="买入",B201="定投"),B201="卖出",B201="红利再投")),"请选择交易类型",IF(NOT(ISNUMBER(C201)),"缺少成交净值",IF(C201&lt;=0,"成交净值须大于零",IF(NOT(ISNUMBER(D201)),"缺少确认份额",IF(D201&lt;=0,"确认份额须大于零",IF(NOT(ISNUMBER(F201)),"缺少手续费，无费用请填 0",IF(F201&lt;0,"手续费不能为负",IF(AA200="错误","前行待修正",IF(A201&lt;Z200,"日期需按成交顺序递增",IF(AND(B201="红利再投",F201&lt;&gt;0),"红利再投手续费应填 0",IF(AND(B201="红利再投",K200&lt;=0),"红利再投前须有持仓",IF(AND(B201="卖出",D201&gt;K200+0.000001),"卖出份额超过持仓",IF(AND(B201="卖出",F201&gt;=C201*D201),"赎回费不能达到赎回总额",IF(NOT(ISNUMBER(E201)),"自动金额未生成，请检查五项输入",IF(NOT(OR('持仓总览'!$C$7="利润优先",'持仓总览'!$C$7="本金优先")),"请选择卖出分配模式","已计入")))))))))))))))))))</f>
        <v/>
      </c>
      <c r="J201" s="11">
        <f t="shared" si="59">IF(AA201="正常",IF(I201="已计入",IF(OR(OR(B201="买入",B201="定投",B201="转换转入"),B201="红利再投"),D201,IF(B201="卖出",-D201,0)),0),"")</f>
        <v>0</v>
      </c>
      <c r="K201" s="11">
        <f t="shared" si="64">IF(AA201="正常",ROUND(K200+J201,6),"")</f>
        <v>25721.6</v>
      </c>
      <c r="L201" s="11" t="str">
        <f t="shared" si="65">IF(I201="已计入",ROUND(K200*C201,2),"")</f>
        <v/>
      </c>
      <c r="M201" s="11" t="str">
        <f t="shared" si="66">IF(I201="已计入",IF(B201="卖出",MAX(0,L201-Q200-F201),IF(B201="现金分红",MAX(0,L201+E201-Q200),0)),"")</f>
        <v/>
      </c>
      <c r="N201" s="11" t="str">
        <f>IF(I201="已计入",IF(AND(B201="卖出",'持仓总览'!$C$7="本金优先"),MAX(0,E201-Q200),IF(OR(B201="卖出",B201="现金分红"),MIN(E201,M201),0)),"")</f>
        <v/>
      </c>
      <c r="O201" s="11" t="str">
        <f t="shared" si="67">IF(I201="已计入",IF(OR(B201="卖出",B201="现金分红"),MIN(Q200,MAX(0,E201-N201)),0),"")</f>
        <v/>
      </c>
      <c r="P201" s="11" t="str">
        <f t="shared" si="68">IF(I201="已计入",IF(AND(B201="卖出",K201=0),MAX(0,Q200-O201),0),"")</f>
        <v/>
      </c>
      <c r="Q201" s="11">
        <f t="shared" si="69">IF(AA201="正常",IF(I201="已计入",ROUND(Q200+IF(OR(B201="买入",B201="定投",B201="转换转入"),E201,0)-O201-P201,2),Q200),"")</f>
        <v>129570</v>
      </c>
      <c r="R201" s="11" t="str">
        <f t="shared" si="60">IF(I201="已计入",ROUND(K201*C201,2),"")</f>
        <v/>
      </c>
      <c r="S201" s="11" t="str">
        <f t="shared" si="61">IF(I201="已计入",ROUND(R201-Q201,2),"")</f>
        <v/>
      </c>
      <c r="T201" s="12" t="str">
        <f t="shared" si="62">IF(I201="已计入",IF(Q201=0,"",S201/Q201),"")</f>
        <v/>
      </c>
      <c r="U201" s="11">
        <f t="shared" si="70">IF(AA201="正常",U200+IF(AND(I201="已计入",OR(B201="买入",B201="定投",B201="转换转入")),E201,0),"")</f>
        <v>129570</v>
      </c>
      <c r="V201" s="11">
        <f t="shared" si="71">IF(AA201="正常",V200+IF(AND(I201="已计入",OR(B201="卖出",B201="现金分红")),E201,0),"")</f>
        <v>0</v>
      </c>
      <c r="W201" s="11">
        <f t="shared" si="72">IF(AA201="正常",W200+IF(I201="已计入",N201,0),"")</f>
        <v>0</v>
      </c>
      <c r="X201" s="11">
        <f t="shared" si="73">IF(AA201="正常",X200+IF(I201="已计入",P201,0),"")</f>
        <v>0</v>
      </c>
      <c r="Y201" s="11" t="str">
        <f t="shared" si="63">IF(I201="已计入",ROUND(R201+V201-U201,2),"")</f>
        <v/>
      </c>
      <c r="Z201" s="13">
        <f t="shared" si="74">IF(AA201="正常",IF(I201="已计入",A201,Z200),"")</f>
        <v>46239</v>
      </c>
      <c r="AA201" s="10" t="str">
        <f>IF(OR($AA$134="错误",COUNTIF($G$135:G201,"待修正")&gt;0),"错误","正常")</f>
        <v>正常</v>
      </c>
      <c r="AB201" s="14">
        <f t="shared" si="75">IF(AA201="正常",IF(I201="已计入",C201,AB200),"")</f>
        <v>6.347</v>
      </c>
    </row>
    <row r="202" ht="23" customHeight="1">
      <c r="A202" s="36"/>
      <c r="B202" s="37"/>
      <c r="C202" s="38"/>
      <c r="D202" s="39"/>
      <c r="E202" s="44" t="str">
        <f t="shared" si="56">IF(AND(ISNUMBER(C202),ISNUMBER(D202),ISNUMBER(F202)),IF(OR(B202="买入",B202="定投"),ROUND(C202*D202+F202,2),IF(B202="卖出",ROUND(C202*D202-F202,2),IF(B202="红利再投",0,""))),"")</f>
        <v/>
      </c>
      <c r="F202" s="39"/>
      <c r="G202" s="45" t="str">
        <f t="shared" si="57">IF(COUNTA(A202:D202,F202)=0,"",IF(I202="已计入","已录入","待修正"))</f>
        <v/>
      </c>
      <c r="H202" s="46" t="str">
        <f t="shared" si="58">IF(COUNTA(A202:D202,F202)=0,"",IF(B202="红利再投","仅增加份额，不增加现金投入","金额由份额、净值和手续费推算"))</f>
        <v/>
      </c>
      <c r="I202" s="10" t="str">
        <f>IF(COUNTA(A202:D202,F202)=0,"",IF(NOT(ISNUMBER(A202)),"缺少有效净值日期",IF(OR(A202&lt;=0,A202&lt;&gt;INT(A202)),"净值日期无效",IF(OR(B202="转换转入",B202="现金分红"),"该类型需实际金额，五项录入不适用",IF(NOT(OR(OR(B202="买入",B202="定投"),B202="卖出",B202="红利再投")),"请选择交易类型",IF(NOT(ISNUMBER(C202)),"缺少成交净值",IF(C202&lt;=0,"成交净值须大于零",IF(NOT(ISNUMBER(D202)),"缺少确认份额",IF(D202&lt;=0,"确认份额须大于零",IF(NOT(ISNUMBER(F202)),"缺少手续费，无费用请填 0",IF(F202&lt;0,"手续费不能为负",IF(AA201="错误","前行待修正",IF(A202&lt;Z201,"日期需按成交顺序递增",IF(AND(B202="红利再投",F202&lt;&gt;0),"红利再投手续费应填 0",IF(AND(B202="红利再投",K201&lt;=0),"红利再投前须有持仓",IF(AND(B202="卖出",D202&gt;K201+0.000001),"卖出份额超过持仓",IF(AND(B202="卖出",F202&gt;=C202*D202),"赎回费不能达到赎回总额",IF(NOT(ISNUMBER(E202)),"自动金额未生成，请检查五项输入",IF(NOT(OR('持仓总览'!$C$7="利润优先",'持仓总览'!$C$7="本金优先")),"请选择卖出分配模式","已计入")))))))))))))))))))</f>
        <v/>
      </c>
      <c r="J202" s="11">
        <f t="shared" si="59">IF(AA202="正常",IF(I202="已计入",IF(OR(OR(B202="买入",B202="定投",B202="转换转入"),B202="红利再投"),D202,IF(B202="卖出",-D202,0)),0),"")</f>
        <v>0</v>
      </c>
      <c r="K202" s="11">
        <f t="shared" si="64">IF(AA202="正常",ROUND(K201+J202,6),"")</f>
        <v>25721.6</v>
      </c>
      <c r="L202" s="11" t="str">
        <f t="shared" si="65">IF(I202="已计入",ROUND(K201*C202,2),"")</f>
        <v/>
      </c>
      <c r="M202" s="11" t="str">
        <f t="shared" si="66">IF(I202="已计入",IF(B202="卖出",MAX(0,L202-Q201-F202),IF(B202="现金分红",MAX(0,L202+E202-Q201),0)),"")</f>
        <v/>
      </c>
      <c r="N202" s="11" t="str">
        <f>IF(I202="已计入",IF(AND(B202="卖出",'持仓总览'!$C$7="本金优先"),MAX(0,E202-Q201),IF(OR(B202="卖出",B202="现金分红"),MIN(E202,M202),0)),"")</f>
        <v/>
      </c>
      <c r="O202" s="11" t="str">
        <f t="shared" si="67">IF(I202="已计入",IF(OR(B202="卖出",B202="现金分红"),MIN(Q201,MAX(0,E202-N202)),0),"")</f>
        <v/>
      </c>
      <c r="P202" s="11" t="str">
        <f t="shared" si="68">IF(I202="已计入",IF(AND(B202="卖出",K202=0),MAX(0,Q201-O202),0),"")</f>
        <v/>
      </c>
      <c r="Q202" s="11">
        <f t="shared" si="69">IF(AA202="正常",IF(I202="已计入",ROUND(Q201+IF(OR(B202="买入",B202="定投",B202="转换转入"),E202,0)-O202-P202,2),Q201),"")</f>
        <v>129570</v>
      </c>
      <c r="R202" s="11" t="str">
        <f t="shared" si="60">IF(I202="已计入",ROUND(K202*C202,2),"")</f>
        <v/>
      </c>
      <c r="S202" s="11" t="str">
        <f t="shared" si="61">IF(I202="已计入",ROUND(R202-Q202,2),"")</f>
        <v/>
      </c>
      <c r="T202" s="12" t="str">
        <f t="shared" si="62">IF(I202="已计入",IF(Q202=0,"",S202/Q202),"")</f>
        <v/>
      </c>
      <c r="U202" s="11">
        <f t="shared" si="70">IF(AA202="正常",U201+IF(AND(I202="已计入",OR(B202="买入",B202="定投",B202="转换转入")),E202,0),"")</f>
        <v>129570</v>
      </c>
      <c r="V202" s="11">
        <f t="shared" si="71">IF(AA202="正常",V201+IF(AND(I202="已计入",OR(B202="卖出",B202="现金分红")),E202,0),"")</f>
        <v>0</v>
      </c>
      <c r="W202" s="11">
        <f t="shared" si="72">IF(AA202="正常",W201+IF(I202="已计入",N202,0),"")</f>
        <v>0</v>
      </c>
      <c r="X202" s="11">
        <f t="shared" si="73">IF(AA202="正常",X201+IF(I202="已计入",P202,0),"")</f>
        <v>0</v>
      </c>
      <c r="Y202" s="11" t="str">
        <f t="shared" si="63">IF(I202="已计入",ROUND(R202+V202-U202,2),"")</f>
        <v/>
      </c>
      <c r="Z202" s="13">
        <f t="shared" si="74">IF(AA202="正常",IF(I202="已计入",A202,Z201),"")</f>
        <v>46239</v>
      </c>
      <c r="AA202" s="10" t="str">
        <f>IF(OR($AA$134="错误",COUNTIF($G$135:G202,"待修正")&gt;0),"错误","正常")</f>
        <v>正常</v>
      </c>
      <c r="AB202" s="14">
        <f t="shared" si="75">IF(AA202="正常",IF(I202="已计入",C202,AB201),"")</f>
        <v>6.347</v>
      </c>
    </row>
    <row r="203" ht="23" customHeight="1">
      <c r="A203" s="36"/>
      <c r="B203" s="37"/>
      <c r="C203" s="38"/>
      <c r="D203" s="39"/>
      <c r="E203" s="44" t="str">
        <f t="shared" si="56">IF(AND(ISNUMBER(C203),ISNUMBER(D203),ISNUMBER(F203)),IF(OR(B203="买入",B203="定投"),ROUND(C203*D203+F203,2),IF(B203="卖出",ROUND(C203*D203-F203,2),IF(B203="红利再投",0,""))),"")</f>
        <v/>
      </c>
      <c r="F203" s="39"/>
      <c r="G203" s="45" t="str">
        <f t="shared" si="57">IF(COUNTA(A203:D203,F203)=0,"",IF(I203="已计入","已录入","待修正"))</f>
        <v/>
      </c>
      <c r="H203" s="46" t="str">
        <f t="shared" si="58">IF(COUNTA(A203:D203,F203)=0,"",IF(B203="红利再投","仅增加份额，不增加现金投入","金额由份额、净值和手续费推算"))</f>
        <v/>
      </c>
      <c r="I203" s="10" t="str">
        <f>IF(COUNTA(A203:D203,F203)=0,"",IF(NOT(ISNUMBER(A203)),"缺少有效净值日期",IF(OR(A203&lt;=0,A203&lt;&gt;INT(A203)),"净值日期无效",IF(OR(B203="转换转入",B203="现金分红"),"该类型需实际金额，五项录入不适用",IF(NOT(OR(OR(B203="买入",B203="定投"),B203="卖出",B203="红利再投")),"请选择交易类型",IF(NOT(ISNUMBER(C203)),"缺少成交净值",IF(C203&lt;=0,"成交净值须大于零",IF(NOT(ISNUMBER(D203)),"缺少确认份额",IF(D203&lt;=0,"确认份额须大于零",IF(NOT(ISNUMBER(F203)),"缺少手续费，无费用请填 0",IF(F203&lt;0,"手续费不能为负",IF(AA202="错误","前行待修正",IF(A203&lt;Z202,"日期需按成交顺序递增",IF(AND(B203="红利再投",F203&lt;&gt;0),"红利再投手续费应填 0",IF(AND(B203="红利再投",K202&lt;=0),"红利再投前须有持仓",IF(AND(B203="卖出",D203&gt;K202+0.000001),"卖出份额超过持仓",IF(AND(B203="卖出",F203&gt;=C203*D203),"赎回费不能达到赎回总额",IF(NOT(ISNUMBER(E203)),"自动金额未生成，请检查五项输入",IF(NOT(OR('持仓总览'!$C$7="利润优先",'持仓总览'!$C$7="本金优先")),"请选择卖出分配模式","已计入")))))))))))))))))))</f>
        <v/>
      </c>
      <c r="J203" s="11">
        <f t="shared" si="59">IF(AA203="正常",IF(I203="已计入",IF(OR(OR(B203="买入",B203="定投",B203="转换转入"),B203="红利再投"),D203,IF(B203="卖出",-D203,0)),0),"")</f>
        <v>0</v>
      </c>
      <c r="K203" s="11">
        <f t="shared" si="64">IF(AA203="正常",ROUND(K202+J203,6),"")</f>
        <v>25721.6</v>
      </c>
      <c r="L203" s="11" t="str">
        <f t="shared" si="65">IF(I203="已计入",ROUND(K202*C203,2),"")</f>
        <v/>
      </c>
      <c r="M203" s="11" t="str">
        <f t="shared" si="66">IF(I203="已计入",IF(B203="卖出",MAX(0,L203-Q202-F203),IF(B203="现金分红",MAX(0,L203+E203-Q202),0)),"")</f>
        <v/>
      </c>
      <c r="N203" s="11" t="str">
        <f>IF(I203="已计入",IF(AND(B203="卖出",'持仓总览'!$C$7="本金优先"),MAX(0,E203-Q202),IF(OR(B203="卖出",B203="现金分红"),MIN(E203,M203),0)),"")</f>
        <v/>
      </c>
      <c r="O203" s="11" t="str">
        <f t="shared" si="67">IF(I203="已计入",IF(OR(B203="卖出",B203="现金分红"),MIN(Q202,MAX(0,E203-N203)),0),"")</f>
        <v/>
      </c>
      <c r="P203" s="11" t="str">
        <f t="shared" si="68">IF(I203="已计入",IF(AND(B203="卖出",K203=0),MAX(0,Q202-O203),0),"")</f>
        <v/>
      </c>
      <c r="Q203" s="11">
        <f t="shared" si="69">IF(AA203="正常",IF(I203="已计入",ROUND(Q202+IF(OR(B203="买入",B203="定投",B203="转换转入"),E203,0)-O203-P203,2),Q202),"")</f>
        <v>129570</v>
      </c>
      <c r="R203" s="11" t="str">
        <f t="shared" si="60">IF(I203="已计入",ROUND(K203*C203,2),"")</f>
        <v/>
      </c>
      <c r="S203" s="11" t="str">
        <f t="shared" si="61">IF(I203="已计入",ROUND(R203-Q203,2),"")</f>
        <v/>
      </c>
      <c r="T203" s="12" t="str">
        <f t="shared" si="62">IF(I203="已计入",IF(Q203=0,"",S203/Q203),"")</f>
        <v/>
      </c>
      <c r="U203" s="11">
        <f t="shared" si="70">IF(AA203="正常",U202+IF(AND(I203="已计入",OR(B203="买入",B203="定投",B203="转换转入")),E203,0),"")</f>
        <v>129570</v>
      </c>
      <c r="V203" s="11">
        <f t="shared" si="71">IF(AA203="正常",V202+IF(AND(I203="已计入",OR(B203="卖出",B203="现金分红")),E203,0),"")</f>
        <v>0</v>
      </c>
      <c r="W203" s="11">
        <f t="shared" si="72">IF(AA203="正常",W202+IF(I203="已计入",N203,0),"")</f>
        <v>0</v>
      </c>
      <c r="X203" s="11">
        <f t="shared" si="73">IF(AA203="正常",X202+IF(I203="已计入",P203,0),"")</f>
        <v>0</v>
      </c>
      <c r="Y203" s="11" t="str">
        <f t="shared" si="63">IF(I203="已计入",ROUND(R203+V203-U203,2),"")</f>
        <v/>
      </c>
      <c r="Z203" s="13">
        <f t="shared" si="74">IF(AA203="正常",IF(I203="已计入",A203,Z202),"")</f>
        <v>46239</v>
      </c>
      <c r="AA203" s="10" t="str">
        <f>IF(OR($AA$134="错误",COUNTIF($G$135:G203,"待修正")&gt;0),"错误","正常")</f>
        <v>正常</v>
      </c>
      <c r="AB203" s="14">
        <f t="shared" si="75">IF(AA203="正常",IF(I203="已计入",C203,AB202),"")</f>
        <v>6.347</v>
      </c>
    </row>
    <row r="204" ht="23" customHeight="1">
      <c r="A204" s="36"/>
      <c r="B204" s="37"/>
      <c r="C204" s="38"/>
      <c r="D204" s="39"/>
      <c r="E204" s="44" t="str">
        <f t="shared" si="56">IF(AND(ISNUMBER(C204),ISNUMBER(D204),ISNUMBER(F204)),IF(OR(B204="买入",B204="定投"),ROUND(C204*D204+F204,2),IF(B204="卖出",ROUND(C204*D204-F204,2),IF(B204="红利再投",0,""))),"")</f>
        <v/>
      </c>
      <c r="F204" s="39"/>
      <c r="G204" s="45" t="str">
        <f t="shared" si="57">IF(COUNTA(A204:D204,F204)=0,"",IF(I204="已计入","已录入","待修正"))</f>
        <v/>
      </c>
      <c r="H204" s="46" t="str">
        <f t="shared" si="58">IF(COUNTA(A204:D204,F204)=0,"",IF(B204="红利再投","仅增加份额，不增加现金投入","金额由份额、净值和手续费推算"))</f>
        <v/>
      </c>
      <c r="I204" s="10" t="str">
        <f>IF(COUNTA(A204:D204,F204)=0,"",IF(NOT(ISNUMBER(A204)),"缺少有效净值日期",IF(OR(A204&lt;=0,A204&lt;&gt;INT(A204)),"净值日期无效",IF(OR(B204="转换转入",B204="现金分红"),"该类型需实际金额，五项录入不适用",IF(NOT(OR(OR(B204="买入",B204="定投"),B204="卖出",B204="红利再投")),"请选择交易类型",IF(NOT(ISNUMBER(C204)),"缺少成交净值",IF(C204&lt;=0,"成交净值须大于零",IF(NOT(ISNUMBER(D204)),"缺少确认份额",IF(D204&lt;=0,"确认份额须大于零",IF(NOT(ISNUMBER(F204)),"缺少手续费，无费用请填 0",IF(F204&lt;0,"手续费不能为负",IF(AA203="错误","前行待修正",IF(A204&lt;Z203,"日期需按成交顺序递增",IF(AND(B204="红利再投",F204&lt;&gt;0),"红利再投手续费应填 0",IF(AND(B204="红利再投",K203&lt;=0),"红利再投前须有持仓",IF(AND(B204="卖出",D204&gt;K203+0.000001),"卖出份额超过持仓",IF(AND(B204="卖出",F204&gt;=C204*D204),"赎回费不能达到赎回总额",IF(NOT(ISNUMBER(E204)),"自动金额未生成，请检查五项输入",IF(NOT(OR('持仓总览'!$C$7="利润优先",'持仓总览'!$C$7="本金优先")),"请选择卖出分配模式","已计入")))))))))))))))))))</f>
        <v/>
      </c>
      <c r="J204" s="11">
        <f t="shared" si="59">IF(AA204="正常",IF(I204="已计入",IF(OR(OR(B204="买入",B204="定投",B204="转换转入"),B204="红利再投"),D204,IF(B204="卖出",-D204,0)),0),"")</f>
        <v>0</v>
      </c>
      <c r="K204" s="11">
        <f t="shared" si="64">IF(AA204="正常",ROUND(K203+J204,6),"")</f>
        <v>25721.6</v>
      </c>
      <c r="L204" s="11" t="str">
        <f t="shared" si="65">IF(I204="已计入",ROUND(K203*C204,2),"")</f>
        <v/>
      </c>
      <c r="M204" s="11" t="str">
        <f t="shared" si="66">IF(I204="已计入",IF(B204="卖出",MAX(0,L204-Q203-F204),IF(B204="现金分红",MAX(0,L204+E204-Q203),0)),"")</f>
        <v/>
      </c>
      <c r="N204" s="11" t="str">
        <f>IF(I204="已计入",IF(AND(B204="卖出",'持仓总览'!$C$7="本金优先"),MAX(0,E204-Q203),IF(OR(B204="卖出",B204="现金分红"),MIN(E204,M204),0)),"")</f>
        <v/>
      </c>
      <c r="O204" s="11" t="str">
        <f t="shared" si="67">IF(I204="已计入",IF(OR(B204="卖出",B204="现金分红"),MIN(Q203,MAX(0,E204-N204)),0),"")</f>
        <v/>
      </c>
      <c r="P204" s="11" t="str">
        <f t="shared" si="68">IF(I204="已计入",IF(AND(B204="卖出",K204=0),MAX(0,Q203-O204),0),"")</f>
        <v/>
      </c>
      <c r="Q204" s="11">
        <f t="shared" si="69">IF(AA204="正常",IF(I204="已计入",ROUND(Q203+IF(OR(B204="买入",B204="定投",B204="转换转入"),E204,0)-O204-P204,2),Q203),"")</f>
        <v>129570</v>
      </c>
      <c r="R204" s="11" t="str">
        <f t="shared" si="60">IF(I204="已计入",ROUND(K204*C204,2),"")</f>
        <v/>
      </c>
      <c r="S204" s="11" t="str">
        <f t="shared" si="61">IF(I204="已计入",ROUND(R204-Q204,2),"")</f>
        <v/>
      </c>
      <c r="T204" s="12" t="str">
        <f t="shared" si="62">IF(I204="已计入",IF(Q204=0,"",S204/Q204),"")</f>
        <v/>
      </c>
      <c r="U204" s="11">
        <f t="shared" si="70">IF(AA204="正常",U203+IF(AND(I204="已计入",OR(B204="买入",B204="定投",B204="转换转入")),E204,0),"")</f>
        <v>129570</v>
      </c>
      <c r="V204" s="11">
        <f t="shared" si="71">IF(AA204="正常",V203+IF(AND(I204="已计入",OR(B204="卖出",B204="现金分红")),E204,0),"")</f>
        <v>0</v>
      </c>
      <c r="W204" s="11">
        <f t="shared" si="72">IF(AA204="正常",W203+IF(I204="已计入",N204,0),"")</f>
        <v>0</v>
      </c>
      <c r="X204" s="11">
        <f t="shared" si="73">IF(AA204="正常",X203+IF(I204="已计入",P204,0),"")</f>
        <v>0</v>
      </c>
      <c r="Y204" s="11" t="str">
        <f t="shared" si="63">IF(I204="已计入",ROUND(R204+V204-U204,2),"")</f>
        <v/>
      </c>
      <c r="Z204" s="13">
        <f t="shared" si="74">IF(AA204="正常",IF(I204="已计入",A204,Z203),"")</f>
        <v>46239</v>
      </c>
      <c r="AA204" s="10" t="str">
        <f>IF(OR($AA$134="错误",COUNTIF($G$135:G204,"待修正")&gt;0),"错误","正常")</f>
        <v>正常</v>
      </c>
      <c r="AB204" s="14">
        <f t="shared" si="75">IF(AA204="正常",IF(I204="已计入",C204,AB203),"")</f>
        <v>6.347</v>
      </c>
    </row>
    <row r="205" ht="23" customHeight="1">
      <c r="A205" s="36"/>
      <c r="B205" s="37"/>
      <c r="C205" s="38"/>
      <c r="D205" s="39"/>
      <c r="E205" s="44" t="str">
        <f t="shared" si="56">IF(AND(ISNUMBER(C205),ISNUMBER(D205),ISNUMBER(F205)),IF(OR(B205="买入",B205="定投"),ROUND(C205*D205+F205,2),IF(B205="卖出",ROUND(C205*D205-F205,2),IF(B205="红利再投",0,""))),"")</f>
        <v/>
      </c>
      <c r="F205" s="39"/>
      <c r="G205" s="45" t="str">
        <f t="shared" si="57">IF(COUNTA(A205:D205,F205)=0,"",IF(I205="已计入","已录入","待修正"))</f>
        <v/>
      </c>
      <c r="H205" s="46" t="str">
        <f t="shared" si="58">IF(COUNTA(A205:D205,F205)=0,"",IF(B205="红利再投","仅增加份额，不增加现金投入","金额由份额、净值和手续费推算"))</f>
        <v/>
      </c>
      <c r="I205" s="10" t="str">
        <f>IF(COUNTA(A205:D205,F205)=0,"",IF(NOT(ISNUMBER(A205)),"缺少有效净值日期",IF(OR(A205&lt;=0,A205&lt;&gt;INT(A205)),"净值日期无效",IF(OR(B205="转换转入",B205="现金分红"),"该类型需实际金额，五项录入不适用",IF(NOT(OR(OR(B205="买入",B205="定投"),B205="卖出",B205="红利再投")),"请选择交易类型",IF(NOT(ISNUMBER(C205)),"缺少成交净值",IF(C205&lt;=0,"成交净值须大于零",IF(NOT(ISNUMBER(D205)),"缺少确认份额",IF(D205&lt;=0,"确认份额须大于零",IF(NOT(ISNUMBER(F205)),"缺少手续费，无费用请填 0",IF(F205&lt;0,"手续费不能为负",IF(AA204="错误","前行待修正",IF(A205&lt;Z204,"日期需按成交顺序递增",IF(AND(B205="红利再投",F205&lt;&gt;0),"红利再投手续费应填 0",IF(AND(B205="红利再投",K204&lt;=0),"红利再投前须有持仓",IF(AND(B205="卖出",D205&gt;K204+0.000001),"卖出份额超过持仓",IF(AND(B205="卖出",F205&gt;=C205*D205),"赎回费不能达到赎回总额",IF(NOT(ISNUMBER(E205)),"自动金额未生成，请检查五项输入",IF(NOT(OR('持仓总览'!$C$7="利润优先",'持仓总览'!$C$7="本金优先")),"请选择卖出分配模式","已计入")))))))))))))))))))</f>
        <v/>
      </c>
      <c r="J205" s="11">
        <f t="shared" si="59">IF(AA205="正常",IF(I205="已计入",IF(OR(OR(B205="买入",B205="定投",B205="转换转入"),B205="红利再投"),D205,IF(B205="卖出",-D205,0)),0),"")</f>
        <v>0</v>
      </c>
      <c r="K205" s="11">
        <f t="shared" si="64">IF(AA205="正常",ROUND(K204+J205,6),"")</f>
        <v>25721.6</v>
      </c>
      <c r="L205" s="11" t="str">
        <f t="shared" si="65">IF(I205="已计入",ROUND(K204*C205,2),"")</f>
        <v/>
      </c>
      <c r="M205" s="11" t="str">
        <f t="shared" si="66">IF(I205="已计入",IF(B205="卖出",MAX(0,L205-Q204-F205),IF(B205="现金分红",MAX(0,L205+E205-Q204),0)),"")</f>
        <v/>
      </c>
      <c r="N205" s="11" t="str">
        <f>IF(I205="已计入",IF(AND(B205="卖出",'持仓总览'!$C$7="本金优先"),MAX(0,E205-Q204),IF(OR(B205="卖出",B205="现金分红"),MIN(E205,M205),0)),"")</f>
        <v/>
      </c>
      <c r="O205" s="11" t="str">
        <f t="shared" si="67">IF(I205="已计入",IF(OR(B205="卖出",B205="现金分红"),MIN(Q204,MAX(0,E205-N205)),0),"")</f>
        <v/>
      </c>
      <c r="P205" s="11" t="str">
        <f t="shared" si="68">IF(I205="已计入",IF(AND(B205="卖出",K205=0),MAX(0,Q204-O205),0),"")</f>
        <v/>
      </c>
      <c r="Q205" s="11">
        <f t="shared" si="69">IF(AA205="正常",IF(I205="已计入",ROUND(Q204+IF(OR(B205="买入",B205="定投",B205="转换转入"),E205,0)-O205-P205,2),Q204),"")</f>
        <v>129570</v>
      </c>
      <c r="R205" s="11" t="str">
        <f t="shared" si="60">IF(I205="已计入",ROUND(K205*C205,2),"")</f>
        <v/>
      </c>
      <c r="S205" s="11" t="str">
        <f t="shared" si="61">IF(I205="已计入",ROUND(R205-Q205,2),"")</f>
        <v/>
      </c>
      <c r="T205" s="12" t="str">
        <f t="shared" si="62">IF(I205="已计入",IF(Q205=0,"",S205/Q205),"")</f>
        <v/>
      </c>
      <c r="U205" s="11">
        <f t="shared" si="70">IF(AA205="正常",U204+IF(AND(I205="已计入",OR(B205="买入",B205="定投",B205="转换转入")),E205,0),"")</f>
        <v>129570</v>
      </c>
      <c r="V205" s="11">
        <f t="shared" si="71">IF(AA205="正常",V204+IF(AND(I205="已计入",OR(B205="卖出",B205="现金分红")),E205,0),"")</f>
        <v>0</v>
      </c>
      <c r="W205" s="11">
        <f t="shared" si="72">IF(AA205="正常",W204+IF(I205="已计入",N205,0),"")</f>
        <v>0</v>
      </c>
      <c r="X205" s="11">
        <f t="shared" si="73">IF(AA205="正常",X204+IF(I205="已计入",P205,0),"")</f>
        <v>0</v>
      </c>
      <c r="Y205" s="11" t="str">
        <f t="shared" si="63">IF(I205="已计入",ROUND(R205+V205-U205,2),"")</f>
        <v/>
      </c>
      <c r="Z205" s="13">
        <f t="shared" si="74">IF(AA205="正常",IF(I205="已计入",A205,Z204),"")</f>
        <v>46239</v>
      </c>
      <c r="AA205" s="10" t="str">
        <f>IF(OR($AA$134="错误",COUNTIF($G$135:G205,"待修正")&gt;0),"错误","正常")</f>
        <v>正常</v>
      </c>
      <c r="AB205" s="14">
        <f t="shared" si="75">IF(AA205="正常",IF(I205="已计入",C205,AB204),"")</f>
        <v>6.347</v>
      </c>
    </row>
    <row r="206" ht="23" customHeight="1">
      <c r="A206" s="36"/>
      <c r="B206" s="37"/>
      <c r="C206" s="38"/>
      <c r="D206" s="39"/>
      <c r="E206" s="44" t="str">
        <f t="shared" si="56">IF(AND(ISNUMBER(C206),ISNUMBER(D206),ISNUMBER(F206)),IF(OR(B206="买入",B206="定投"),ROUND(C206*D206+F206,2),IF(B206="卖出",ROUND(C206*D206-F206,2),IF(B206="红利再投",0,""))),"")</f>
        <v/>
      </c>
      <c r="F206" s="39"/>
      <c r="G206" s="45" t="str">
        <f t="shared" si="57">IF(COUNTA(A206:D206,F206)=0,"",IF(I206="已计入","已录入","待修正"))</f>
        <v/>
      </c>
      <c r="H206" s="46" t="str">
        <f t="shared" si="58">IF(COUNTA(A206:D206,F206)=0,"",IF(B206="红利再投","仅增加份额，不增加现金投入","金额由份额、净值和手续费推算"))</f>
        <v/>
      </c>
      <c r="I206" s="10" t="str">
        <f>IF(COUNTA(A206:D206,F206)=0,"",IF(NOT(ISNUMBER(A206)),"缺少有效净值日期",IF(OR(A206&lt;=0,A206&lt;&gt;INT(A206)),"净值日期无效",IF(OR(B206="转换转入",B206="现金分红"),"该类型需实际金额，五项录入不适用",IF(NOT(OR(OR(B206="买入",B206="定投"),B206="卖出",B206="红利再投")),"请选择交易类型",IF(NOT(ISNUMBER(C206)),"缺少成交净值",IF(C206&lt;=0,"成交净值须大于零",IF(NOT(ISNUMBER(D206)),"缺少确认份额",IF(D206&lt;=0,"确认份额须大于零",IF(NOT(ISNUMBER(F206)),"缺少手续费，无费用请填 0",IF(F206&lt;0,"手续费不能为负",IF(AA205="错误","前行待修正",IF(A206&lt;Z205,"日期需按成交顺序递增",IF(AND(B206="红利再投",F206&lt;&gt;0),"红利再投手续费应填 0",IF(AND(B206="红利再投",K205&lt;=0),"红利再投前须有持仓",IF(AND(B206="卖出",D206&gt;K205+0.000001),"卖出份额超过持仓",IF(AND(B206="卖出",F206&gt;=C206*D206),"赎回费不能达到赎回总额",IF(NOT(ISNUMBER(E206)),"自动金额未生成，请检查五项输入",IF(NOT(OR('持仓总览'!$C$7="利润优先",'持仓总览'!$C$7="本金优先")),"请选择卖出分配模式","已计入")))))))))))))))))))</f>
        <v/>
      </c>
      <c r="J206" s="11">
        <f t="shared" si="59">IF(AA206="正常",IF(I206="已计入",IF(OR(OR(B206="买入",B206="定投",B206="转换转入"),B206="红利再投"),D206,IF(B206="卖出",-D206,0)),0),"")</f>
        <v>0</v>
      </c>
      <c r="K206" s="11">
        <f t="shared" si="64">IF(AA206="正常",ROUND(K205+J206,6),"")</f>
        <v>25721.6</v>
      </c>
      <c r="L206" s="11" t="str">
        <f t="shared" si="65">IF(I206="已计入",ROUND(K205*C206,2),"")</f>
        <v/>
      </c>
      <c r="M206" s="11" t="str">
        <f t="shared" si="66">IF(I206="已计入",IF(B206="卖出",MAX(0,L206-Q205-F206),IF(B206="现金分红",MAX(0,L206+E206-Q205),0)),"")</f>
        <v/>
      </c>
      <c r="N206" s="11" t="str">
        <f>IF(I206="已计入",IF(AND(B206="卖出",'持仓总览'!$C$7="本金优先"),MAX(0,E206-Q205),IF(OR(B206="卖出",B206="现金分红"),MIN(E206,M206),0)),"")</f>
        <v/>
      </c>
      <c r="O206" s="11" t="str">
        <f t="shared" si="67">IF(I206="已计入",IF(OR(B206="卖出",B206="现金分红"),MIN(Q205,MAX(0,E206-N206)),0),"")</f>
        <v/>
      </c>
      <c r="P206" s="11" t="str">
        <f t="shared" si="68">IF(I206="已计入",IF(AND(B206="卖出",K206=0),MAX(0,Q205-O206),0),"")</f>
        <v/>
      </c>
      <c r="Q206" s="11">
        <f t="shared" si="69">IF(AA206="正常",IF(I206="已计入",ROUND(Q205+IF(OR(B206="买入",B206="定投",B206="转换转入"),E206,0)-O206-P206,2),Q205),"")</f>
        <v>129570</v>
      </c>
      <c r="R206" s="11" t="str">
        <f t="shared" si="60">IF(I206="已计入",ROUND(K206*C206,2),"")</f>
        <v/>
      </c>
      <c r="S206" s="11" t="str">
        <f t="shared" si="61">IF(I206="已计入",ROUND(R206-Q206,2),"")</f>
        <v/>
      </c>
      <c r="T206" s="12" t="str">
        <f t="shared" si="62">IF(I206="已计入",IF(Q206=0,"",S206/Q206),"")</f>
        <v/>
      </c>
      <c r="U206" s="11">
        <f t="shared" si="70">IF(AA206="正常",U205+IF(AND(I206="已计入",OR(B206="买入",B206="定投",B206="转换转入")),E206,0),"")</f>
        <v>129570</v>
      </c>
      <c r="V206" s="11">
        <f t="shared" si="71">IF(AA206="正常",V205+IF(AND(I206="已计入",OR(B206="卖出",B206="现金分红")),E206,0),"")</f>
        <v>0</v>
      </c>
      <c r="W206" s="11">
        <f t="shared" si="72">IF(AA206="正常",W205+IF(I206="已计入",N206,0),"")</f>
        <v>0</v>
      </c>
      <c r="X206" s="11">
        <f t="shared" si="73">IF(AA206="正常",X205+IF(I206="已计入",P206,0),"")</f>
        <v>0</v>
      </c>
      <c r="Y206" s="11" t="str">
        <f t="shared" si="63">IF(I206="已计入",ROUND(R206+V206-U206,2),"")</f>
        <v/>
      </c>
      <c r="Z206" s="13">
        <f t="shared" si="74">IF(AA206="正常",IF(I206="已计入",A206,Z205),"")</f>
        <v>46239</v>
      </c>
      <c r="AA206" s="10" t="str">
        <f>IF(OR($AA$134="错误",COUNTIF($G$135:G206,"待修正")&gt;0),"错误","正常")</f>
        <v>正常</v>
      </c>
      <c r="AB206" s="14">
        <f t="shared" si="75">IF(AA206="正常",IF(I206="已计入",C206,AB205),"")</f>
        <v>6.347</v>
      </c>
    </row>
    <row r="207" ht="23" customHeight="1">
      <c r="A207" s="36"/>
      <c r="B207" s="37"/>
      <c r="C207" s="38"/>
      <c r="D207" s="39"/>
      <c r="E207" s="44" t="str">
        <f t="shared" si="56">IF(AND(ISNUMBER(C207),ISNUMBER(D207),ISNUMBER(F207)),IF(OR(B207="买入",B207="定投"),ROUND(C207*D207+F207,2),IF(B207="卖出",ROUND(C207*D207-F207,2),IF(B207="红利再投",0,""))),"")</f>
        <v/>
      </c>
      <c r="F207" s="39"/>
      <c r="G207" s="45" t="str">
        <f t="shared" si="57">IF(COUNTA(A207:D207,F207)=0,"",IF(I207="已计入","已录入","待修正"))</f>
        <v/>
      </c>
      <c r="H207" s="46" t="str">
        <f t="shared" si="58">IF(COUNTA(A207:D207,F207)=0,"",IF(B207="红利再投","仅增加份额，不增加现金投入","金额由份额、净值和手续费推算"))</f>
        <v/>
      </c>
      <c r="I207" s="10" t="str">
        <f>IF(COUNTA(A207:D207,F207)=0,"",IF(NOT(ISNUMBER(A207)),"缺少有效净值日期",IF(OR(A207&lt;=0,A207&lt;&gt;INT(A207)),"净值日期无效",IF(OR(B207="转换转入",B207="现金分红"),"该类型需实际金额，五项录入不适用",IF(NOT(OR(OR(B207="买入",B207="定投"),B207="卖出",B207="红利再投")),"请选择交易类型",IF(NOT(ISNUMBER(C207)),"缺少成交净值",IF(C207&lt;=0,"成交净值须大于零",IF(NOT(ISNUMBER(D207)),"缺少确认份额",IF(D207&lt;=0,"确认份额须大于零",IF(NOT(ISNUMBER(F207)),"缺少手续费，无费用请填 0",IF(F207&lt;0,"手续费不能为负",IF(AA206="错误","前行待修正",IF(A207&lt;Z206,"日期需按成交顺序递增",IF(AND(B207="红利再投",F207&lt;&gt;0),"红利再投手续费应填 0",IF(AND(B207="红利再投",K206&lt;=0),"红利再投前须有持仓",IF(AND(B207="卖出",D207&gt;K206+0.000001),"卖出份额超过持仓",IF(AND(B207="卖出",F207&gt;=C207*D207),"赎回费不能达到赎回总额",IF(NOT(ISNUMBER(E207)),"自动金额未生成，请检查五项输入",IF(NOT(OR('持仓总览'!$C$7="利润优先",'持仓总览'!$C$7="本金优先")),"请选择卖出分配模式","已计入")))))))))))))))))))</f>
        <v/>
      </c>
      <c r="J207" s="11">
        <f t="shared" si="59">IF(AA207="正常",IF(I207="已计入",IF(OR(OR(B207="买入",B207="定投",B207="转换转入"),B207="红利再投"),D207,IF(B207="卖出",-D207,0)),0),"")</f>
        <v>0</v>
      </c>
      <c r="K207" s="11">
        <f t="shared" si="64">IF(AA207="正常",ROUND(K206+J207,6),"")</f>
        <v>25721.6</v>
      </c>
      <c r="L207" s="11" t="str">
        <f t="shared" si="65">IF(I207="已计入",ROUND(K206*C207,2),"")</f>
        <v/>
      </c>
      <c r="M207" s="11" t="str">
        <f t="shared" si="66">IF(I207="已计入",IF(B207="卖出",MAX(0,L207-Q206-F207),IF(B207="现金分红",MAX(0,L207+E207-Q206),0)),"")</f>
        <v/>
      </c>
      <c r="N207" s="11" t="str">
        <f>IF(I207="已计入",IF(AND(B207="卖出",'持仓总览'!$C$7="本金优先"),MAX(0,E207-Q206),IF(OR(B207="卖出",B207="现金分红"),MIN(E207,M207),0)),"")</f>
        <v/>
      </c>
      <c r="O207" s="11" t="str">
        <f t="shared" si="67">IF(I207="已计入",IF(OR(B207="卖出",B207="现金分红"),MIN(Q206,MAX(0,E207-N207)),0),"")</f>
        <v/>
      </c>
      <c r="P207" s="11" t="str">
        <f t="shared" si="68">IF(I207="已计入",IF(AND(B207="卖出",K207=0),MAX(0,Q206-O207),0),"")</f>
        <v/>
      </c>
      <c r="Q207" s="11">
        <f t="shared" si="69">IF(AA207="正常",IF(I207="已计入",ROUND(Q206+IF(OR(B207="买入",B207="定投",B207="转换转入"),E207,0)-O207-P207,2),Q206),"")</f>
        <v>129570</v>
      </c>
      <c r="R207" s="11" t="str">
        <f t="shared" si="60">IF(I207="已计入",ROUND(K207*C207,2),"")</f>
        <v/>
      </c>
      <c r="S207" s="11" t="str">
        <f t="shared" si="61">IF(I207="已计入",ROUND(R207-Q207,2),"")</f>
        <v/>
      </c>
      <c r="T207" s="12" t="str">
        <f t="shared" si="62">IF(I207="已计入",IF(Q207=0,"",S207/Q207),"")</f>
        <v/>
      </c>
      <c r="U207" s="11">
        <f t="shared" si="70">IF(AA207="正常",U206+IF(AND(I207="已计入",OR(B207="买入",B207="定投",B207="转换转入")),E207,0),"")</f>
        <v>129570</v>
      </c>
      <c r="V207" s="11">
        <f t="shared" si="71">IF(AA207="正常",V206+IF(AND(I207="已计入",OR(B207="卖出",B207="现金分红")),E207,0),"")</f>
        <v>0</v>
      </c>
      <c r="W207" s="11">
        <f t="shared" si="72">IF(AA207="正常",W206+IF(I207="已计入",N207,0),"")</f>
        <v>0</v>
      </c>
      <c r="X207" s="11">
        <f t="shared" si="73">IF(AA207="正常",X206+IF(I207="已计入",P207,0),"")</f>
        <v>0</v>
      </c>
      <c r="Y207" s="11" t="str">
        <f t="shared" si="63">IF(I207="已计入",ROUND(R207+V207-U207,2),"")</f>
        <v/>
      </c>
      <c r="Z207" s="13">
        <f t="shared" si="74">IF(AA207="正常",IF(I207="已计入",A207,Z206),"")</f>
        <v>46239</v>
      </c>
      <c r="AA207" s="10" t="str">
        <f>IF(OR($AA$134="错误",COUNTIF($G$135:G207,"待修正")&gt;0),"错误","正常")</f>
        <v>正常</v>
      </c>
      <c r="AB207" s="14">
        <f t="shared" si="75">IF(AA207="正常",IF(I207="已计入",C207,AB206),"")</f>
        <v>6.347</v>
      </c>
    </row>
    <row r="208" ht="23" customHeight="1">
      <c r="A208" s="36"/>
      <c r="B208" s="37"/>
      <c r="C208" s="38"/>
      <c r="D208" s="39"/>
      <c r="E208" s="44" t="str">
        <f t="shared" si="56">IF(AND(ISNUMBER(C208),ISNUMBER(D208),ISNUMBER(F208)),IF(OR(B208="买入",B208="定投"),ROUND(C208*D208+F208,2),IF(B208="卖出",ROUND(C208*D208-F208,2),IF(B208="红利再投",0,""))),"")</f>
        <v/>
      </c>
      <c r="F208" s="39"/>
      <c r="G208" s="45" t="str">
        <f t="shared" si="57">IF(COUNTA(A208:D208,F208)=0,"",IF(I208="已计入","已录入","待修正"))</f>
        <v/>
      </c>
      <c r="H208" s="46" t="str">
        <f t="shared" si="58">IF(COUNTA(A208:D208,F208)=0,"",IF(B208="红利再投","仅增加份额，不增加现金投入","金额由份额、净值和手续费推算"))</f>
        <v/>
      </c>
      <c r="I208" s="10" t="str">
        <f>IF(COUNTA(A208:D208,F208)=0,"",IF(NOT(ISNUMBER(A208)),"缺少有效净值日期",IF(OR(A208&lt;=0,A208&lt;&gt;INT(A208)),"净值日期无效",IF(OR(B208="转换转入",B208="现金分红"),"该类型需实际金额，五项录入不适用",IF(NOT(OR(OR(B208="买入",B208="定投"),B208="卖出",B208="红利再投")),"请选择交易类型",IF(NOT(ISNUMBER(C208)),"缺少成交净值",IF(C208&lt;=0,"成交净值须大于零",IF(NOT(ISNUMBER(D208)),"缺少确认份额",IF(D208&lt;=0,"确认份额须大于零",IF(NOT(ISNUMBER(F208)),"缺少手续费，无费用请填 0",IF(F208&lt;0,"手续费不能为负",IF(AA207="错误","前行待修正",IF(A208&lt;Z207,"日期需按成交顺序递增",IF(AND(B208="红利再投",F208&lt;&gt;0),"红利再投手续费应填 0",IF(AND(B208="红利再投",K207&lt;=0),"红利再投前须有持仓",IF(AND(B208="卖出",D208&gt;K207+0.000001),"卖出份额超过持仓",IF(AND(B208="卖出",F208&gt;=C208*D208),"赎回费不能达到赎回总额",IF(NOT(ISNUMBER(E208)),"自动金额未生成，请检查五项输入",IF(NOT(OR('持仓总览'!$C$7="利润优先",'持仓总览'!$C$7="本金优先")),"请选择卖出分配模式","已计入")))))))))))))))))))</f>
        <v/>
      </c>
      <c r="J208" s="11">
        <f t="shared" si="59">IF(AA208="正常",IF(I208="已计入",IF(OR(OR(B208="买入",B208="定投",B208="转换转入"),B208="红利再投"),D208,IF(B208="卖出",-D208,0)),0),"")</f>
        <v>0</v>
      </c>
      <c r="K208" s="11">
        <f t="shared" si="64">IF(AA208="正常",ROUND(K207+J208,6),"")</f>
        <v>25721.6</v>
      </c>
      <c r="L208" s="11" t="str">
        <f t="shared" si="65">IF(I208="已计入",ROUND(K207*C208,2),"")</f>
        <v/>
      </c>
      <c r="M208" s="11" t="str">
        <f t="shared" si="66">IF(I208="已计入",IF(B208="卖出",MAX(0,L208-Q207-F208),IF(B208="现金分红",MAX(0,L208+E208-Q207),0)),"")</f>
        <v/>
      </c>
      <c r="N208" s="11" t="str">
        <f>IF(I208="已计入",IF(AND(B208="卖出",'持仓总览'!$C$7="本金优先"),MAX(0,E208-Q207),IF(OR(B208="卖出",B208="现金分红"),MIN(E208,M208),0)),"")</f>
        <v/>
      </c>
      <c r="O208" s="11" t="str">
        <f t="shared" si="67">IF(I208="已计入",IF(OR(B208="卖出",B208="现金分红"),MIN(Q207,MAX(0,E208-N208)),0),"")</f>
        <v/>
      </c>
      <c r="P208" s="11" t="str">
        <f t="shared" si="68">IF(I208="已计入",IF(AND(B208="卖出",K208=0),MAX(0,Q207-O208),0),"")</f>
        <v/>
      </c>
      <c r="Q208" s="11">
        <f t="shared" si="69">IF(AA208="正常",IF(I208="已计入",ROUND(Q207+IF(OR(B208="买入",B208="定投",B208="转换转入"),E208,0)-O208-P208,2),Q207),"")</f>
        <v>129570</v>
      </c>
      <c r="R208" s="11" t="str">
        <f t="shared" si="60">IF(I208="已计入",ROUND(K208*C208,2),"")</f>
        <v/>
      </c>
      <c r="S208" s="11" t="str">
        <f t="shared" si="61">IF(I208="已计入",ROUND(R208-Q208,2),"")</f>
        <v/>
      </c>
      <c r="T208" s="12" t="str">
        <f t="shared" si="62">IF(I208="已计入",IF(Q208=0,"",S208/Q208),"")</f>
        <v/>
      </c>
      <c r="U208" s="11">
        <f t="shared" si="70">IF(AA208="正常",U207+IF(AND(I208="已计入",OR(B208="买入",B208="定投",B208="转换转入")),E208,0),"")</f>
        <v>129570</v>
      </c>
      <c r="V208" s="11">
        <f t="shared" si="71">IF(AA208="正常",V207+IF(AND(I208="已计入",OR(B208="卖出",B208="现金分红")),E208,0),"")</f>
        <v>0</v>
      </c>
      <c r="W208" s="11">
        <f t="shared" si="72">IF(AA208="正常",W207+IF(I208="已计入",N208,0),"")</f>
        <v>0</v>
      </c>
      <c r="X208" s="11">
        <f t="shared" si="73">IF(AA208="正常",X207+IF(I208="已计入",P208,0),"")</f>
        <v>0</v>
      </c>
      <c r="Y208" s="11" t="str">
        <f t="shared" si="63">IF(I208="已计入",ROUND(R208+V208-U208,2),"")</f>
        <v/>
      </c>
      <c r="Z208" s="13">
        <f t="shared" si="74">IF(AA208="正常",IF(I208="已计入",A208,Z207),"")</f>
        <v>46239</v>
      </c>
      <c r="AA208" s="10" t="str">
        <f>IF(OR($AA$134="错误",COUNTIF($G$135:G208,"待修正")&gt;0),"错误","正常")</f>
        <v>正常</v>
      </c>
      <c r="AB208" s="14">
        <f t="shared" si="75">IF(AA208="正常",IF(I208="已计入",C208,AB207),"")</f>
        <v>6.347</v>
      </c>
    </row>
    <row r="209" ht="23" customHeight="1">
      <c r="A209" s="36"/>
      <c r="B209" s="37"/>
      <c r="C209" s="38"/>
      <c r="D209" s="39"/>
      <c r="E209" s="44" t="str">
        <f t="shared" si="56">IF(AND(ISNUMBER(C209),ISNUMBER(D209),ISNUMBER(F209)),IF(OR(B209="买入",B209="定投"),ROUND(C209*D209+F209,2),IF(B209="卖出",ROUND(C209*D209-F209,2),IF(B209="红利再投",0,""))),"")</f>
        <v/>
      </c>
      <c r="F209" s="39"/>
      <c r="G209" s="45" t="str">
        <f t="shared" si="57">IF(COUNTA(A209:D209,F209)=0,"",IF(I209="已计入","已录入","待修正"))</f>
        <v/>
      </c>
      <c r="H209" s="46" t="str">
        <f t="shared" si="58">IF(COUNTA(A209:D209,F209)=0,"",IF(B209="红利再投","仅增加份额，不增加现金投入","金额由份额、净值和手续费推算"))</f>
        <v/>
      </c>
      <c r="I209" s="10" t="str">
        <f>IF(COUNTA(A209:D209,F209)=0,"",IF(NOT(ISNUMBER(A209)),"缺少有效净值日期",IF(OR(A209&lt;=0,A209&lt;&gt;INT(A209)),"净值日期无效",IF(OR(B209="转换转入",B209="现金分红"),"该类型需实际金额，五项录入不适用",IF(NOT(OR(OR(B209="买入",B209="定投"),B209="卖出",B209="红利再投")),"请选择交易类型",IF(NOT(ISNUMBER(C209)),"缺少成交净值",IF(C209&lt;=0,"成交净值须大于零",IF(NOT(ISNUMBER(D209)),"缺少确认份额",IF(D209&lt;=0,"确认份额须大于零",IF(NOT(ISNUMBER(F209)),"缺少手续费，无费用请填 0",IF(F209&lt;0,"手续费不能为负",IF(AA208="错误","前行待修正",IF(A209&lt;Z208,"日期需按成交顺序递增",IF(AND(B209="红利再投",F209&lt;&gt;0),"红利再投手续费应填 0",IF(AND(B209="红利再投",K208&lt;=0),"红利再投前须有持仓",IF(AND(B209="卖出",D209&gt;K208+0.000001),"卖出份额超过持仓",IF(AND(B209="卖出",F209&gt;=C209*D209),"赎回费不能达到赎回总额",IF(NOT(ISNUMBER(E209)),"自动金额未生成，请检查五项输入",IF(NOT(OR('持仓总览'!$C$7="利润优先",'持仓总览'!$C$7="本金优先")),"请选择卖出分配模式","已计入")))))))))))))))))))</f>
        <v/>
      </c>
      <c r="J209" s="11">
        <f t="shared" si="59">IF(AA209="正常",IF(I209="已计入",IF(OR(OR(B209="买入",B209="定投",B209="转换转入"),B209="红利再投"),D209,IF(B209="卖出",-D209,0)),0),"")</f>
        <v>0</v>
      </c>
      <c r="K209" s="11">
        <f t="shared" si="64">IF(AA209="正常",ROUND(K208+J209,6),"")</f>
        <v>25721.6</v>
      </c>
      <c r="L209" s="11" t="str">
        <f t="shared" si="65">IF(I209="已计入",ROUND(K208*C209,2),"")</f>
        <v/>
      </c>
      <c r="M209" s="11" t="str">
        <f t="shared" si="66">IF(I209="已计入",IF(B209="卖出",MAX(0,L209-Q208-F209),IF(B209="现金分红",MAX(0,L209+E209-Q208),0)),"")</f>
        <v/>
      </c>
      <c r="N209" s="11" t="str">
        <f>IF(I209="已计入",IF(AND(B209="卖出",'持仓总览'!$C$7="本金优先"),MAX(0,E209-Q208),IF(OR(B209="卖出",B209="现金分红"),MIN(E209,M209),0)),"")</f>
        <v/>
      </c>
      <c r="O209" s="11" t="str">
        <f t="shared" si="67">IF(I209="已计入",IF(OR(B209="卖出",B209="现金分红"),MIN(Q208,MAX(0,E209-N209)),0),"")</f>
        <v/>
      </c>
      <c r="P209" s="11" t="str">
        <f t="shared" si="68">IF(I209="已计入",IF(AND(B209="卖出",K209=0),MAX(0,Q208-O209),0),"")</f>
        <v/>
      </c>
      <c r="Q209" s="11">
        <f t="shared" si="69">IF(AA209="正常",IF(I209="已计入",ROUND(Q208+IF(OR(B209="买入",B209="定投",B209="转换转入"),E209,0)-O209-P209,2),Q208),"")</f>
        <v>129570</v>
      </c>
      <c r="R209" s="11" t="str">
        <f t="shared" si="60">IF(I209="已计入",ROUND(K209*C209,2),"")</f>
        <v/>
      </c>
      <c r="S209" s="11" t="str">
        <f t="shared" si="61">IF(I209="已计入",ROUND(R209-Q209,2),"")</f>
        <v/>
      </c>
      <c r="T209" s="12" t="str">
        <f t="shared" si="62">IF(I209="已计入",IF(Q209=0,"",S209/Q209),"")</f>
        <v/>
      </c>
      <c r="U209" s="11">
        <f t="shared" si="70">IF(AA209="正常",U208+IF(AND(I209="已计入",OR(B209="买入",B209="定投",B209="转换转入")),E209,0),"")</f>
        <v>129570</v>
      </c>
      <c r="V209" s="11">
        <f t="shared" si="71">IF(AA209="正常",V208+IF(AND(I209="已计入",OR(B209="卖出",B209="现金分红")),E209,0),"")</f>
        <v>0</v>
      </c>
      <c r="W209" s="11">
        <f t="shared" si="72">IF(AA209="正常",W208+IF(I209="已计入",N209,0),"")</f>
        <v>0</v>
      </c>
      <c r="X209" s="11">
        <f t="shared" si="73">IF(AA209="正常",X208+IF(I209="已计入",P209,0),"")</f>
        <v>0</v>
      </c>
      <c r="Y209" s="11" t="str">
        <f t="shared" si="63">IF(I209="已计入",ROUND(R209+V209-U209,2),"")</f>
        <v/>
      </c>
      <c r="Z209" s="13">
        <f t="shared" si="74">IF(AA209="正常",IF(I209="已计入",A209,Z208),"")</f>
        <v>46239</v>
      </c>
      <c r="AA209" s="10" t="str">
        <f>IF(OR($AA$134="错误",COUNTIF($G$135:G209,"待修正")&gt;0),"错误","正常")</f>
        <v>正常</v>
      </c>
      <c r="AB209" s="14">
        <f t="shared" si="75">IF(AA209="正常",IF(I209="已计入",C209,AB208),"")</f>
        <v>6.347</v>
      </c>
    </row>
    <row r="210" ht="23" customHeight="1">
      <c r="A210" s="36"/>
      <c r="B210" s="37"/>
      <c r="C210" s="38"/>
      <c r="D210" s="39"/>
      <c r="E210" s="44" t="str">
        <f t="shared" si="56">IF(AND(ISNUMBER(C210),ISNUMBER(D210),ISNUMBER(F210)),IF(OR(B210="买入",B210="定投"),ROUND(C210*D210+F210,2),IF(B210="卖出",ROUND(C210*D210-F210,2),IF(B210="红利再投",0,""))),"")</f>
        <v/>
      </c>
      <c r="F210" s="39"/>
      <c r="G210" s="45" t="str">
        <f t="shared" si="57">IF(COUNTA(A210:D210,F210)=0,"",IF(I210="已计入","已录入","待修正"))</f>
        <v/>
      </c>
      <c r="H210" s="46" t="str">
        <f t="shared" si="58">IF(COUNTA(A210:D210,F210)=0,"",IF(B210="红利再投","仅增加份额，不增加现金投入","金额由份额、净值和手续费推算"))</f>
        <v/>
      </c>
      <c r="I210" s="10" t="str">
        <f>IF(COUNTA(A210:D210,F210)=0,"",IF(NOT(ISNUMBER(A210)),"缺少有效净值日期",IF(OR(A210&lt;=0,A210&lt;&gt;INT(A210)),"净值日期无效",IF(OR(B210="转换转入",B210="现金分红"),"该类型需实际金额，五项录入不适用",IF(NOT(OR(OR(B210="买入",B210="定投"),B210="卖出",B210="红利再投")),"请选择交易类型",IF(NOT(ISNUMBER(C210)),"缺少成交净值",IF(C210&lt;=0,"成交净值须大于零",IF(NOT(ISNUMBER(D210)),"缺少确认份额",IF(D210&lt;=0,"确认份额须大于零",IF(NOT(ISNUMBER(F210)),"缺少手续费，无费用请填 0",IF(F210&lt;0,"手续费不能为负",IF(AA209="错误","前行待修正",IF(A210&lt;Z209,"日期需按成交顺序递增",IF(AND(B210="红利再投",F210&lt;&gt;0),"红利再投手续费应填 0",IF(AND(B210="红利再投",K209&lt;=0),"红利再投前须有持仓",IF(AND(B210="卖出",D210&gt;K209+0.000001),"卖出份额超过持仓",IF(AND(B210="卖出",F210&gt;=C210*D210),"赎回费不能达到赎回总额",IF(NOT(ISNUMBER(E210)),"自动金额未生成，请检查五项输入",IF(NOT(OR('持仓总览'!$C$7="利润优先",'持仓总览'!$C$7="本金优先")),"请选择卖出分配模式","已计入")))))))))))))))))))</f>
        <v/>
      </c>
      <c r="J210" s="11">
        <f t="shared" si="59">IF(AA210="正常",IF(I210="已计入",IF(OR(OR(B210="买入",B210="定投",B210="转换转入"),B210="红利再投"),D210,IF(B210="卖出",-D210,0)),0),"")</f>
        <v>0</v>
      </c>
      <c r="K210" s="11">
        <f t="shared" si="64">IF(AA210="正常",ROUND(K209+J210,6),"")</f>
        <v>25721.6</v>
      </c>
      <c r="L210" s="11" t="str">
        <f t="shared" si="65">IF(I210="已计入",ROUND(K209*C210,2),"")</f>
        <v/>
      </c>
      <c r="M210" s="11" t="str">
        <f t="shared" si="66">IF(I210="已计入",IF(B210="卖出",MAX(0,L210-Q209-F210),IF(B210="现金分红",MAX(0,L210+E210-Q209),0)),"")</f>
        <v/>
      </c>
      <c r="N210" s="11" t="str">
        <f>IF(I210="已计入",IF(AND(B210="卖出",'持仓总览'!$C$7="本金优先"),MAX(0,E210-Q209),IF(OR(B210="卖出",B210="现金分红"),MIN(E210,M210),0)),"")</f>
        <v/>
      </c>
      <c r="O210" s="11" t="str">
        <f t="shared" si="67">IF(I210="已计入",IF(OR(B210="卖出",B210="现金分红"),MIN(Q209,MAX(0,E210-N210)),0),"")</f>
        <v/>
      </c>
      <c r="P210" s="11" t="str">
        <f t="shared" si="68">IF(I210="已计入",IF(AND(B210="卖出",K210=0),MAX(0,Q209-O210),0),"")</f>
        <v/>
      </c>
      <c r="Q210" s="11">
        <f t="shared" si="69">IF(AA210="正常",IF(I210="已计入",ROUND(Q209+IF(OR(B210="买入",B210="定投",B210="转换转入"),E210,0)-O210-P210,2),Q209),"")</f>
        <v>129570</v>
      </c>
      <c r="R210" s="11" t="str">
        <f t="shared" si="60">IF(I210="已计入",ROUND(K210*C210,2),"")</f>
        <v/>
      </c>
      <c r="S210" s="11" t="str">
        <f t="shared" si="61">IF(I210="已计入",ROUND(R210-Q210,2),"")</f>
        <v/>
      </c>
      <c r="T210" s="12" t="str">
        <f t="shared" si="62">IF(I210="已计入",IF(Q210=0,"",S210/Q210),"")</f>
        <v/>
      </c>
      <c r="U210" s="11">
        <f t="shared" si="70">IF(AA210="正常",U209+IF(AND(I210="已计入",OR(B210="买入",B210="定投",B210="转换转入")),E210,0),"")</f>
        <v>129570</v>
      </c>
      <c r="V210" s="11">
        <f t="shared" si="71">IF(AA210="正常",V209+IF(AND(I210="已计入",OR(B210="卖出",B210="现金分红")),E210,0),"")</f>
        <v>0</v>
      </c>
      <c r="W210" s="11">
        <f t="shared" si="72">IF(AA210="正常",W209+IF(I210="已计入",N210,0),"")</f>
        <v>0</v>
      </c>
      <c r="X210" s="11">
        <f t="shared" si="73">IF(AA210="正常",X209+IF(I210="已计入",P210,0),"")</f>
        <v>0</v>
      </c>
      <c r="Y210" s="11" t="str">
        <f t="shared" si="63">IF(I210="已计入",ROUND(R210+V210-U210,2),"")</f>
        <v/>
      </c>
      <c r="Z210" s="13">
        <f t="shared" si="74">IF(AA210="正常",IF(I210="已计入",A210,Z209),"")</f>
        <v>46239</v>
      </c>
      <c r="AA210" s="10" t="str">
        <f>IF(OR($AA$134="错误",COUNTIF($G$135:G210,"待修正")&gt;0),"错误","正常")</f>
        <v>正常</v>
      </c>
      <c r="AB210" s="14">
        <f t="shared" si="75">IF(AA210="正常",IF(I210="已计入",C210,AB209),"")</f>
        <v>6.347</v>
      </c>
    </row>
    <row r="211" ht="23" customHeight="1">
      <c r="A211" s="36"/>
      <c r="B211" s="37"/>
      <c r="C211" s="38"/>
      <c r="D211" s="39"/>
      <c r="E211" s="44" t="str">
        <f t="shared" si="56">IF(AND(ISNUMBER(C211),ISNUMBER(D211),ISNUMBER(F211)),IF(OR(B211="买入",B211="定投"),ROUND(C211*D211+F211,2),IF(B211="卖出",ROUND(C211*D211-F211,2),IF(B211="红利再投",0,""))),"")</f>
        <v/>
      </c>
      <c r="F211" s="39"/>
      <c r="G211" s="45" t="str">
        <f t="shared" si="57">IF(COUNTA(A211:D211,F211)=0,"",IF(I211="已计入","已录入","待修正"))</f>
        <v/>
      </c>
      <c r="H211" s="46" t="str">
        <f t="shared" si="58">IF(COUNTA(A211:D211,F211)=0,"",IF(B211="红利再投","仅增加份额，不增加现金投入","金额由份额、净值和手续费推算"))</f>
        <v/>
      </c>
      <c r="I211" s="10" t="str">
        <f>IF(COUNTA(A211:D211,F211)=0,"",IF(NOT(ISNUMBER(A211)),"缺少有效净值日期",IF(OR(A211&lt;=0,A211&lt;&gt;INT(A211)),"净值日期无效",IF(OR(B211="转换转入",B211="现金分红"),"该类型需实际金额，五项录入不适用",IF(NOT(OR(OR(B211="买入",B211="定投"),B211="卖出",B211="红利再投")),"请选择交易类型",IF(NOT(ISNUMBER(C211)),"缺少成交净值",IF(C211&lt;=0,"成交净值须大于零",IF(NOT(ISNUMBER(D211)),"缺少确认份额",IF(D211&lt;=0,"确认份额须大于零",IF(NOT(ISNUMBER(F211)),"缺少手续费，无费用请填 0",IF(F211&lt;0,"手续费不能为负",IF(AA210="错误","前行待修正",IF(A211&lt;Z210,"日期需按成交顺序递增",IF(AND(B211="红利再投",F211&lt;&gt;0),"红利再投手续费应填 0",IF(AND(B211="红利再投",K210&lt;=0),"红利再投前须有持仓",IF(AND(B211="卖出",D211&gt;K210+0.000001),"卖出份额超过持仓",IF(AND(B211="卖出",F211&gt;=C211*D211),"赎回费不能达到赎回总额",IF(NOT(ISNUMBER(E211)),"自动金额未生成，请检查五项输入",IF(NOT(OR('持仓总览'!$C$7="利润优先",'持仓总览'!$C$7="本金优先")),"请选择卖出分配模式","已计入")))))))))))))))))))</f>
        <v/>
      </c>
      <c r="J211" s="11">
        <f t="shared" si="59">IF(AA211="正常",IF(I211="已计入",IF(OR(OR(B211="买入",B211="定投",B211="转换转入"),B211="红利再投"),D211,IF(B211="卖出",-D211,0)),0),"")</f>
        <v>0</v>
      </c>
      <c r="K211" s="11">
        <f t="shared" si="64">IF(AA211="正常",ROUND(K210+J211,6),"")</f>
        <v>25721.6</v>
      </c>
      <c r="L211" s="11" t="str">
        <f t="shared" si="65">IF(I211="已计入",ROUND(K210*C211,2),"")</f>
        <v/>
      </c>
      <c r="M211" s="11" t="str">
        <f t="shared" si="66">IF(I211="已计入",IF(B211="卖出",MAX(0,L211-Q210-F211),IF(B211="现金分红",MAX(0,L211+E211-Q210),0)),"")</f>
        <v/>
      </c>
      <c r="N211" s="11" t="str">
        <f>IF(I211="已计入",IF(AND(B211="卖出",'持仓总览'!$C$7="本金优先"),MAX(0,E211-Q210),IF(OR(B211="卖出",B211="现金分红"),MIN(E211,M211),0)),"")</f>
        <v/>
      </c>
      <c r="O211" s="11" t="str">
        <f t="shared" si="67">IF(I211="已计入",IF(OR(B211="卖出",B211="现金分红"),MIN(Q210,MAX(0,E211-N211)),0),"")</f>
        <v/>
      </c>
      <c r="P211" s="11" t="str">
        <f t="shared" si="68">IF(I211="已计入",IF(AND(B211="卖出",K211=0),MAX(0,Q210-O211),0),"")</f>
        <v/>
      </c>
      <c r="Q211" s="11">
        <f t="shared" si="69">IF(AA211="正常",IF(I211="已计入",ROUND(Q210+IF(OR(B211="买入",B211="定投",B211="转换转入"),E211,0)-O211-P211,2),Q210),"")</f>
        <v>129570</v>
      </c>
      <c r="R211" s="11" t="str">
        <f t="shared" si="60">IF(I211="已计入",ROUND(K211*C211,2),"")</f>
        <v/>
      </c>
      <c r="S211" s="11" t="str">
        <f t="shared" si="61">IF(I211="已计入",ROUND(R211-Q211,2),"")</f>
        <v/>
      </c>
      <c r="T211" s="12" t="str">
        <f t="shared" si="62">IF(I211="已计入",IF(Q211=0,"",S211/Q211),"")</f>
        <v/>
      </c>
      <c r="U211" s="11">
        <f t="shared" si="70">IF(AA211="正常",U210+IF(AND(I211="已计入",OR(B211="买入",B211="定投",B211="转换转入")),E211,0),"")</f>
        <v>129570</v>
      </c>
      <c r="V211" s="11">
        <f t="shared" si="71">IF(AA211="正常",V210+IF(AND(I211="已计入",OR(B211="卖出",B211="现金分红")),E211,0),"")</f>
        <v>0</v>
      </c>
      <c r="W211" s="11">
        <f t="shared" si="72">IF(AA211="正常",W210+IF(I211="已计入",N211,0),"")</f>
        <v>0</v>
      </c>
      <c r="X211" s="11">
        <f t="shared" si="73">IF(AA211="正常",X210+IF(I211="已计入",P211,0),"")</f>
        <v>0</v>
      </c>
      <c r="Y211" s="11" t="str">
        <f t="shared" si="63">IF(I211="已计入",ROUND(R211+V211-U211,2),"")</f>
        <v/>
      </c>
      <c r="Z211" s="13">
        <f t="shared" si="74">IF(AA211="正常",IF(I211="已计入",A211,Z210),"")</f>
        <v>46239</v>
      </c>
      <c r="AA211" s="10" t="str">
        <f>IF(OR($AA$134="错误",COUNTIF($G$135:G211,"待修正")&gt;0),"错误","正常")</f>
        <v>正常</v>
      </c>
      <c r="AB211" s="14">
        <f t="shared" si="75">IF(AA211="正常",IF(I211="已计入",C211,AB210),"")</f>
        <v>6.347</v>
      </c>
    </row>
    <row r="212" ht="23" customHeight="1">
      <c r="A212" s="36"/>
      <c r="B212" s="37"/>
      <c r="C212" s="38"/>
      <c r="D212" s="39"/>
      <c r="E212" s="44" t="str">
        <f t="shared" si="56">IF(AND(ISNUMBER(C212),ISNUMBER(D212),ISNUMBER(F212)),IF(OR(B212="买入",B212="定投"),ROUND(C212*D212+F212,2),IF(B212="卖出",ROUND(C212*D212-F212,2),IF(B212="红利再投",0,""))),"")</f>
        <v/>
      </c>
      <c r="F212" s="39"/>
      <c r="G212" s="45" t="str">
        <f t="shared" si="57">IF(COUNTA(A212:D212,F212)=0,"",IF(I212="已计入","已录入","待修正"))</f>
        <v/>
      </c>
      <c r="H212" s="46" t="str">
        <f t="shared" si="58">IF(COUNTA(A212:D212,F212)=0,"",IF(B212="红利再投","仅增加份额，不增加现金投入","金额由份额、净值和手续费推算"))</f>
        <v/>
      </c>
      <c r="I212" s="10" t="str">
        <f>IF(COUNTA(A212:D212,F212)=0,"",IF(NOT(ISNUMBER(A212)),"缺少有效净值日期",IF(OR(A212&lt;=0,A212&lt;&gt;INT(A212)),"净值日期无效",IF(OR(B212="转换转入",B212="现金分红"),"该类型需实际金额，五项录入不适用",IF(NOT(OR(OR(B212="买入",B212="定投"),B212="卖出",B212="红利再投")),"请选择交易类型",IF(NOT(ISNUMBER(C212)),"缺少成交净值",IF(C212&lt;=0,"成交净值须大于零",IF(NOT(ISNUMBER(D212)),"缺少确认份额",IF(D212&lt;=0,"确认份额须大于零",IF(NOT(ISNUMBER(F212)),"缺少手续费，无费用请填 0",IF(F212&lt;0,"手续费不能为负",IF(AA211="错误","前行待修正",IF(A212&lt;Z211,"日期需按成交顺序递增",IF(AND(B212="红利再投",F212&lt;&gt;0),"红利再投手续费应填 0",IF(AND(B212="红利再投",K211&lt;=0),"红利再投前须有持仓",IF(AND(B212="卖出",D212&gt;K211+0.000001),"卖出份额超过持仓",IF(AND(B212="卖出",F212&gt;=C212*D212),"赎回费不能达到赎回总额",IF(NOT(ISNUMBER(E212)),"自动金额未生成，请检查五项输入",IF(NOT(OR('持仓总览'!$C$7="利润优先",'持仓总览'!$C$7="本金优先")),"请选择卖出分配模式","已计入")))))))))))))))))))</f>
        <v/>
      </c>
      <c r="J212" s="11">
        <f t="shared" si="59">IF(AA212="正常",IF(I212="已计入",IF(OR(OR(B212="买入",B212="定投",B212="转换转入"),B212="红利再投"),D212,IF(B212="卖出",-D212,0)),0),"")</f>
        <v>0</v>
      </c>
      <c r="K212" s="11">
        <f t="shared" si="64">IF(AA212="正常",ROUND(K211+J212,6),"")</f>
        <v>25721.6</v>
      </c>
      <c r="L212" s="11" t="str">
        <f t="shared" si="65">IF(I212="已计入",ROUND(K211*C212,2),"")</f>
        <v/>
      </c>
      <c r="M212" s="11" t="str">
        <f t="shared" si="66">IF(I212="已计入",IF(B212="卖出",MAX(0,L212-Q211-F212),IF(B212="现金分红",MAX(0,L212+E212-Q211),0)),"")</f>
        <v/>
      </c>
      <c r="N212" s="11" t="str">
        <f>IF(I212="已计入",IF(AND(B212="卖出",'持仓总览'!$C$7="本金优先"),MAX(0,E212-Q211),IF(OR(B212="卖出",B212="现金分红"),MIN(E212,M212),0)),"")</f>
        <v/>
      </c>
      <c r="O212" s="11" t="str">
        <f t="shared" si="67">IF(I212="已计入",IF(OR(B212="卖出",B212="现金分红"),MIN(Q211,MAX(0,E212-N212)),0),"")</f>
        <v/>
      </c>
      <c r="P212" s="11" t="str">
        <f t="shared" si="68">IF(I212="已计入",IF(AND(B212="卖出",K212=0),MAX(0,Q211-O212),0),"")</f>
        <v/>
      </c>
      <c r="Q212" s="11">
        <f t="shared" si="69">IF(AA212="正常",IF(I212="已计入",ROUND(Q211+IF(OR(B212="买入",B212="定投",B212="转换转入"),E212,0)-O212-P212,2),Q211),"")</f>
        <v>129570</v>
      </c>
      <c r="R212" s="11" t="str">
        <f t="shared" si="60">IF(I212="已计入",ROUND(K212*C212,2),"")</f>
        <v/>
      </c>
      <c r="S212" s="11" t="str">
        <f t="shared" si="61">IF(I212="已计入",ROUND(R212-Q212,2),"")</f>
        <v/>
      </c>
      <c r="T212" s="12" t="str">
        <f t="shared" si="62">IF(I212="已计入",IF(Q212=0,"",S212/Q212),"")</f>
        <v/>
      </c>
      <c r="U212" s="11">
        <f t="shared" si="70">IF(AA212="正常",U211+IF(AND(I212="已计入",OR(B212="买入",B212="定投",B212="转换转入")),E212,0),"")</f>
        <v>129570</v>
      </c>
      <c r="V212" s="11">
        <f t="shared" si="71">IF(AA212="正常",V211+IF(AND(I212="已计入",OR(B212="卖出",B212="现金分红")),E212,0),"")</f>
        <v>0</v>
      </c>
      <c r="W212" s="11">
        <f t="shared" si="72">IF(AA212="正常",W211+IF(I212="已计入",N212,0),"")</f>
        <v>0</v>
      </c>
      <c r="X212" s="11">
        <f t="shared" si="73">IF(AA212="正常",X211+IF(I212="已计入",P212,0),"")</f>
        <v>0</v>
      </c>
      <c r="Y212" s="11" t="str">
        <f t="shared" si="63">IF(I212="已计入",ROUND(R212+V212-U212,2),"")</f>
        <v/>
      </c>
      <c r="Z212" s="13">
        <f t="shared" si="74">IF(AA212="正常",IF(I212="已计入",A212,Z211),"")</f>
        <v>46239</v>
      </c>
      <c r="AA212" s="10" t="str">
        <f>IF(OR($AA$134="错误",COUNTIF($G$135:G212,"待修正")&gt;0),"错误","正常")</f>
        <v>正常</v>
      </c>
      <c r="AB212" s="14">
        <f t="shared" si="75">IF(AA212="正常",IF(I212="已计入",C212,AB211),"")</f>
        <v>6.347</v>
      </c>
    </row>
    <row r="213" ht="23" customHeight="1">
      <c r="A213" s="36"/>
      <c r="B213" s="37"/>
      <c r="C213" s="38"/>
      <c r="D213" s="39"/>
      <c r="E213" s="44" t="str">
        <f t="shared" si="56">IF(AND(ISNUMBER(C213),ISNUMBER(D213),ISNUMBER(F213)),IF(OR(B213="买入",B213="定投"),ROUND(C213*D213+F213,2),IF(B213="卖出",ROUND(C213*D213-F213,2),IF(B213="红利再投",0,""))),"")</f>
        <v/>
      </c>
      <c r="F213" s="39"/>
      <c r="G213" s="45" t="str">
        <f t="shared" si="57">IF(COUNTA(A213:D213,F213)=0,"",IF(I213="已计入","已录入","待修正"))</f>
        <v/>
      </c>
      <c r="H213" s="46" t="str">
        <f t="shared" si="58">IF(COUNTA(A213:D213,F213)=0,"",IF(B213="红利再投","仅增加份额，不增加现金投入","金额由份额、净值和手续费推算"))</f>
        <v/>
      </c>
      <c r="I213" s="10" t="str">
        <f>IF(COUNTA(A213:D213,F213)=0,"",IF(NOT(ISNUMBER(A213)),"缺少有效净值日期",IF(OR(A213&lt;=0,A213&lt;&gt;INT(A213)),"净值日期无效",IF(OR(B213="转换转入",B213="现金分红"),"该类型需实际金额，五项录入不适用",IF(NOT(OR(OR(B213="买入",B213="定投"),B213="卖出",B213="红利再投")),"请选择交易类型",IF(NOT(ISNUMBER(C213)),"缺少成交净值",IF(C213&lt;=0,"成交净值须大于零",IF(NOT(ISNUMBER(D213)),"缺少确认份额",IF(D213&lt;=0,"确认份额须大于零",IF(NOT(ISNUMBER(F213)),"缺少手续费，无费用请填 0",IF(F213&lt;0,"手续费不能为负",IF(AA212="错误","前行待修正",IF(A213&lt;Z212,"日期需按成交顺序递增",IF(AND(B213="红利再投",F213&lt;&gt;0),"红利再投手续费应填 0",IF(AND(B213="红利再投",K212&lt;=0),"红利再投前须有持仓",IF(AND(B213="卖出",D213&gt;K212+0.000001),"卖出份额超过持仓",IF(AND(B213="卖出",F213&gt;=C213*D213),"赎回费不能达到赎回总额",IF(NOT(ISNUMBER(E213)),"自动金额未生成，请检查五项输入",IF(NOT(OR('持仓总览'!$C$7="利润优先",'持仓总览'!$C$7="本金优先")),"请选择卖出分配模式","已计入")))))))))))))))))))</f>
        <v/>
      </c>
      <c r="J213" s="11">
        <f t="shared" si="59">IF(AA213="正常",IF(I213="已计入",IF(OR(OR(B213="买入",B213="定投",B213="转换转入"),B213="红利再投"),D213,IF(B213="卖出",-D213,0)),0),"")</f>
        <v>0</v>
      </c>
      <c r="K213" s="11">
        <f t="shared" si="64">IF(AA213="正常",ROUND(K212+J213,6),"")</f>
        <v>25721.6</v>
      </c>
      <c r="L213" s="11" t="str">
        <f t="shared" si="65">IF(I213="已计入",ROUND(K212*C213,2),"")</f>
        <v/>
      </c>
      <c r="M213" s="11" t="str">
        <f t="shared" si="66">IF(I213="已计入",IF(B213="卖出",MAX(0,L213-Q212-F213),IF(B213="现金分红",MAX(0,L213+E213-Q212),0)),"")</f>
        <v/>
      </c>
      <c r="N213" s="11" t="str">
        <f>IF(I213="已计入",IF(AND(B213="卖出",'持仓总览'!$C$7="本金优先"),MAX(0,E213-Q212),IF(OR(B213="卖出",B213="现金分红"),MIN(E213,M213),0)),"")</f>
        <v/>
      </c>
      <c r="O213" s="11" t="str">
        <f t="shared" si="67">IF(I213="已计入",IF(OR(B213="卖出",B213="现金分红"),MIN(Q212,MAX(0,E213-N213)),0),"")</f>
        <v/>
      </c>
      <c r="P213" s="11" t="str">
        <f t="shared" si="68">IF(I213="已计入",IF(AND(B213="卖出",K213=0),MAX(0,Q212-O213),0),"")</f>
        <v/>
      </c>
      <c r="Q213" s="11">
        <f t="shared" si="69">IF(AA213="正常",IF(I213="已计入",ROUND(Q212+IF(OR(B213="买入",B213="定投",B213="转换转入"),E213,0)-O213-P213,2),Q212),"")</f>
        <v>129570</v>
      </c>
      <c r="R213" s="11" t="str">
        <f t="shared" si="60">IF(I213="已计入",ROUND(K213*C213,2),"")</f>
        <v/>
      </c>
      <c r="S213" s="11" t="str">
        <f t="shared" si="61">IF(I213="已计入",ROUND(R213-Q213,2),"")</f>
        <v/>
      </c>
      <c r="T213" s="12" t="str">
        <f t="shared" si="62">IF(I213="已计入",IF(Q213=0,"",S213/Q213),"")</f>
        <v/>
      </c>
      <c r="U213" s="11">
        <f t="shared" si="70">IF(AA213="正常",U212+IF(AND(I213="已计入",OR(B213="买入",B213="定投",B213="转换转入")),E213,0),"")</f>
        <v>129570</v>
      </c>
      <c r="V213" s="11">
        <f t="shared" si="71">IF(AA213="正常",V212+IF(AND(I213="已计入",OR(B213="卖出",B213="现金分红")),E213,0),"")</f>
        <v>0</v>
      </c>
      <c r="W213" s="11">
        <f t="shared" si="72">IF(AA213="正常",W212+IF(I213="已计入",N213,0),"")</f>
        <v>0</v>
      </c>
      <c r="X213" s="11">
        <f t="shared" si="73">IF(AA213="正常",X212+IF(I213="已计入",P213,0),"")</f>
        <v>0</v>
      </c>
      <c r="Y213" s="11" t="str">
        <f t="shared" si="63">IF(I213="已计入",ROUND(R213+V213-U213,2),"")</f>
        <v/>
      </c>
      <c r="Z213" s="13">
        <f t="shared" si="74">IF(AA213="正常",IF(I213="已计入",A213,Z212),"")</f>
        <v>46239</v>
      </c>
      <c r="AA213" s="10" t="str">
        <f>IF(OR($AA$134="错误",COUNTIF($G$135:G213,"待修正")&gt;0),"错误","正常")</f>
        <v>正常</v>
      </c>
      <c r="AB213" s="14">
        <f t="shared" si="75">IF(AA213="正常",IF(I213="已计入",C213,AB212),"")</f>
        <v>6.347</v>
      </c>
    </row>
    <row r="214" ht="23" customHeight="1">
      <c r="A214" s="36"/>
      <c r="B214" s="37"/>
      <c r="C214" s="38"/>
      <c r="D214" s="39"/>
      <c r="E214" s="44" t="str">
        <f t="shared" si="56">IF(AND(ISNUMBER(C214),ISNUMBER(D214),ISNUMBER(F214)),IF(OR(B214="买入",B214="定投"),ROUND(C214*D214+F214,2),IF(B214="卖出",ROUND(C214*D214-F214,2),IF(B214="红利再投",0,""))),"")</f>
        <v/>
      </c>
      <c r="F214" s="39"/>
      <c r="G214" s="45" t="str">
        <f t="shared" si="57">IF(COUNTA(A214:D214,F214)=0,"",IF(I214="已计入","已录入","待修正"))</f>
        <v/>
      </c>
      <c r="H214" s="46" t="str">
        <f t="shared" si="58">IF(COUNTA(A214:D214,F214)=0,"",IF(B214="红利再投","仅增加份额，不增加现金投入","金额由份额、净值和手续费推算"))</f>
        <v/>
      </c>
      <c r="I214" s="10" t="str">
        <f>IF(COUNTA(A214:D214,F214)=0,"",IF(NOT(ISNUMBER(A214)),"缺少有效净值日期",IF(OR(A214&lt;=0,A214&lt;&gt;INT(A214)),"净值日期无效",IF(OR(B214="转换转入",B214="现金分红"),"该类型需实际金额，五项录入不适用",IF(NOT(OR(OR(B214="买入",B214="定投"),B214="卖出",B214="红利再投")),"请选择交易类型",IF(NOT(ISNUMBER(C214)),"缺少成交净值",IF(C214&lt;=0,"成交净值须大于零",IF(NOT(ISNUMBER(D214)),"缺少确认份额",IF(D214&lt;=0,"确认份额须大于零",IF(NOT(ISNUMBER(F214)),"缺少手续费，无费用请填 0",IF(F214&lt;0,"手续费不能为负",IF(AA213="错误","前行待修正",IF(A214&lt;Z213,"日期需按成交顺序递增",IF(AND(B214="红利再投",F214&lt;&gt;0),"红利再投手续费应填 0",IF(AND(B214="红利再投",K213&lt;=0),"红利再投前须有持仓",IF(AND(B214="卖出",D214&gt;K213+0.000001),"卖出份额超过持仓",IF(AND(B214="卖出",F214&gt;=C214*D214),"赎回费不能达到赎回总额",IF(NOT(ISNUMBER(E214)),"自动金额未生成，请检查五项输入",IF(NOT(OR('持仓总览'!$C$7="利润优先",'持仓总览'!$C$7="本金优先")),"请选择卖出分配模式","已计入")))))))))))))))))))</f>
        <v/>
      </c>
      <c r="J214" s="11">
        <f t="shared" si="59">IF(AA214="正常",IF(I214="已计入",IF(OR(OR(B214="买入",B214="定投",B214="转换转入"),B214="红利再投"),D214,IF(B214="卖出",-D214,0)),0),"")</f>
        <v>0</v>
      </c>
      <c r="K214" s="11">
        <f t="shared" si="64">IF(AA214="正常",ROUND(K213+J214,6),"")</f>
        <v>25721.6</v>
      </c>
      <c r="L214" s="11" t="str">
        <f t="shared" si="65">IF(I214="已计入",ROUND(K213*C214,2),"")</f>
        <v/>
      </c>
      <c r="M214" s="11" t="str">
        <f t="shared" si="66">IF(I214="已计入",IF(B214="卖出",MAX(0,L214-Q213-F214),IF(B214="现金分红",MAX(0,L214+E214-Q213),0)),"")</f>
        <v/>
      </c>
      <c r="N214" s="11" t="str">
        <f>IF(I214="已计入",IF(AND(B214="卖出",'持仓总览'!$C$7="本金优先"),MAX(0,E214-Q213),IF(OR(B214="卖出",B214="现金分红"),MIN(E214,M214),0)),"")</f>
        <v/>
      </c>
      <c r="O214" s="11" t="str">
        <f t="shared" si="67">IF(I214="已计入",IF(OR(B214="卖出",B214="现金分红"),MIN(Q213,MAX(0,E214-N214)),0),"")</f>
        <v/>
      </c>
      <c r="P214" s="11" t="str">
        <f t="shared" si="68">IF(I214="已计入",IF(AND(B214="卖出",K214=0),MAX(0,Q213-O214),0),"")</f>
        <v/>
      </c>
      <c r="Q214" s="11">
        <f t="shared" si="69">IF(AA214="正常",IF(I214="已计入",ROUND(Q213+IF(OR(B214="买入",B214="定投",B214="转换转入"),E214,0)-O214-P214,2),Q213),"")</f>
        <v>129570</v>
      </c>
      <c r="R214" s="11" t="str">
        <f t="shared" si="60">IF(I214="已计入",ROUND(K214*C214,2),"")</f>
        <v/>
      </c>
      <c r="S214" s="11" t="str">
        <f t="shared" si="61">IF(I214="已计入",ROUND(R214-Q214,2),"")</f>
        <v/>
      </c>
      <c r="T214" s="12" t="str">
        <f t="shared" si="62">IF(I214="已计入",IF(Q214=0,"",S214/Q214),"")</f>
        <v/>
      </c>
      <c r="U214" s="11">
        <f t="shared" si="70">IF(AA214="正常",U213+IF(AND(I214="已计入",OR(B214="买入",B214="定投",B214="转换转入")),E214,0),"")</f>
        <v>129570</v>
      </c>
      <c r="V214" s="11">
        <f t="shared" si="71">IF(AA214="正常",V213+IF(AND(I214="已计入",OR(B214="卖出",B214="现金分红")),E214,0),"")</f>
        <v>0</v>
      </c>
      <c r="W214" s="11">
        <f t="shared" si="72">IF(AA214="正常",W213+IF(I214="已计入",N214,0),"")</f>
        <v>0</v>
      </c>
      <c r="X214" s="11">
        <f t="shared" si="73">IF(AA214="正常",X213+IF(I214="已计入",P214,0),"")</f>
        <v>0</v>
      </c>
      <c r="Y214" s="11" t="str">
        <f t="shared" si="63">IF(I214="已计入",ROUND(R214+V214-U214,2),"")</f>
        <v/>
      </c>
      <c r="Z214" s="13">
        <f t="shared" si="74">IF(AA214="正常",IF(I214="已计入",A214,Z213),"")</f>
        <v>46239</v>
      </c>
      <c r="AA214" s="10" t="str">
        <f>IF(OR($AA$134="错误",COUNTIF($G$135:G214,"待修正")&gt;0),"错误","正常")</f>
        <v>正常</v>
      </c>
      <c r="AB214" s="14">
        <f t="shared" si="75">IF(AA214="正常",IF(I214="已计入",C214,AB213),"")</f>
        <v>6.347</v>
      </c>
    </row>
    <row r="215" ht="23" customHeight="1">
      <c r="A215" s="36"/>
      <c r="B215" s="37"/>
      <c r="C215" s="38"/>
      <c r="D215" s="39"/>
      <c r="E215" s="44" t="str">
        <f t="shared" si="56">IF(AND(ISNUMBER(C215),ISNUMBER(D215),ISNUMBER(F215)),IF(OR(B215="买入",B215="定投"),ROUND(C215*D215+F215,2),IF(B215="卖出",ROUND(C215*D215-F215,2),IF(B215="红利再投",0,""))),"")</f>
        <v/>
      </c>
      <c r="F215" s="39"/>
      <c r="G215" s="45" t="str">
        <f t="shared" si="57">IF(COUNTA(A215:D215,F215)=0,"",IF(I215="已计入","已录入","待修正"))</f>
        <v/>
      </c>
      <c r="H215" s="46" t="str">
        <f t="shared" si="58">IF(COUNTA(A215:D215,F215)=0,"",IF(B215="红利再投","仅增加份额，不增加现金投入","金额由份额、净值和手续费推算"))</f>
        <v/>
      </c>
      <c r="I215" s="10" t="str">
        <f>IF(COUNTA(A215:D215,F215)=0,"",IF(NOT(ISNUMBER(A215)),"缺少有效净值日期",IF(OR(A215&lt;=0,A215&lt;&gt;INT(A215)),"净值日期无效",IF(OR(B215="转换转入",B215="现金分红"),"该类型需实际金额，五项录入不适用",IF(NOT(OR(OR(B215="买入",B215="定投"),B215="卖出",B215="红利再投")),"请选择交易类型",IF(NOT(ISNUMBER(C215)),"缺少成交净值",IF(C215&lt;=0,"成交净值须大于零",IF(NOT(ISNUMBER(D215)),"缺少确认份额",IF(D215&lt;=0,"确认份额须大于零",IF(NOT(ISNUMBER(F215)),"缺少手续费，无费用请填 0",IF(F215&lt;0,"手续费不能为负",IF(AA214="错误","前行待修正",IF(A215&lt;Z214,"日期需按成交顺序递增",IF(AND(B215="红利再投",F215&lt;&gt;0),"红利再投手续费应填 0",IF(AND(B215="红利再投",K214&lt;=0),"红利再投前须有持仓",IF(AND(B215="卖出",D215&gt;K214+0.000001),"卖出份额超过持仓",IF(AND(B215="卖出",F215&gt;=C215*D215),"赎回费不能达到赎回总额",IF(NOT(ISNUMBER(E215)),"自动金额未生成，请检查五项输入",IF(NOT(OR('持仓总览'!$C$7="利润优先",'持仓总览'!$C$7="本金优先")),"请选择卖出分配模式","已计入")))))))))))))))))))</f>
        <v/>
      </c>
      <c r="J215" s="11">
        <f t="shared" si="59">IF(AA215="正常",IF(I215="已计入",IF(OR(OR(B215="买入",B215="定投",B215="转换转入"),B215="红利再投"),D215,IF(B215="卖出",-D215,0)),0),"")</f>
        <v>0</v>
      </c>
      <c r="K215" s="11">
        <f t="shared" si="64">IF(AA215="正常",ROUND(K214+J215,6),"")</f>
        <v>25721.6</v>
      </c>
      <c r="L215" s="11" t="str">
        <f t="shared" si="65">IF(I215="已计入",ROUND(K214*C215,2),"")</f>
        <v/>
      </c>
      <c r="M215" s="11" t="str">
        <f t="shared" si="66">IF(I215="已计入",IF(B215="卖出",MAX(0,L215-Q214-F215),IF(B215="现金分红",MAX(0,L215+E215-Q214),0)),"")</f>
        <v/>
      </c>
      <c r="N215" s="11" t="str">
        <f>IF(I215="已计入",IF(AND(B215="卖出",'持仓总览'!$C$7="本金优先"),MAX(0,E215-Q214),IF(OR(B215="卖出",B215="现金分红"),MIN(E215,M215),0)),"")</f>
        <v/>
      </c>
      <c r="O215" s="11" t="str">
        <f t="shared" si="67">IF(I215="已计入",IF(OR(B215="卖出",B215="现金分红"),MIN(Q214,MAX(0,E215-N215)),0),"")</f>
        <v/>
      </c>
      <c r="P215" s="11" t="str">
        <f t="shared" si="68">IF(I215="已计入",IF(AND(B215="卖出",K215=0),MAX(0,Q214-O215),0),"")</f>
        <v/>
      </c>
      <c r="Q215" s="11">
        <f t="shared" si="69">IF(AA215="正常",IF(I215="已计入",ROUND(Q214+IF(OR(B215="买入",B215="定投",B215="转换转入"),E215,0)-O215-P215,2),Q214),"")</f>
        <v>129570</v>
      </c>
      <c r="R215" s="11" t="str">
        <f t="shared" si="60">IF(I215="已计入",ROUND(K215*C215,2),"")</f>
        <v/>
      </c>
      <c r="S215" s="11" t="str">
        <f t="shared" si="61">IF(I215="已计入",ROUND(R215-Q215,2),"")</f>
        <v/>
      </c>
      <c r="T215" s="12" t="str">
        <f t="shared" si="62">IF(I215="已计入",IF(Q215=0,"",S215/Q215),"")</f>
        <v/>
      </c>
      <c r="U215" s="11">
        <f t="shared" si="70">IF(AA215="正常",U214+IF(AND(I215="已计入",OR(B215="买入",B215="定投",B215="转换转入")),E215,0),"")</f>
        <v>129570</v>
      </c>
      <c r="V215" s="11">
        <f t="shared" si="71">IF(AA215="正常",V214+IF(AND(I215="已计入",OR(B215="卖出",B215="现金分红")),E215,0),"")</f>
        <v>0</v>
      </c>
      <c r="W215" s="11">
        <f t="shared" si="72">IF(AA215="正常",W214+IF(I215="已计入",N215,0),"")</f>
        <v>0</v>
      </c>
      <c r="X215" s="11">
        <f t="shared" si="73">IF(AA215="正常",X214+IF(I215="已计入",P215,0),"")</f>
        <v>0</v>
      </c>
      <c r="Y215" s="11" t="str">
        <f t="shared" si="63">IF(I215="已计入",ROUND(R215+V215-U215,2),"")</f>
        <v/>
      </c>
      <c r="Z215" s="13">
        <f t="shared" si="74">IF(AA215="正常",IF(I215="已计入",A215,Z214),"")</f>
        <v>46239</v>
      </c>
      <c r="AA215" s="10" t="str">
        <f>IF(OR($AA$134="错误",COUNTIF($G$135:G215,"待修正")&gt;0),"错误","正常")</f>
        <v>正常</v>
      </c>
      <c r="AB215" s="14">
        <f t="shared" si="75">IF(AA215="正常",IF(I215="已计入",C215,AB214),"")</f>
        <v>6.347</v>
      </c>
    </row>
    <row r="216" ht="23" customHeight="1">
      <c r="A216" s="36"/>
      <c r="B216" s="37"/>
      <c r="C216" s="38"/>
      <c r="D216" s="39"/>
      <c r="E216" s="44" t="str">
        <f t="shared" si="56">IF(AND(ISNUMBER(C216),ISNUMBER(D216),ISNUMBER(F216)),IF(OR(B216="买入",B216="定投"),ROUND(C216*D216+F216,2),IF(B216="卖出",ROUND(C216*D216-F216,2),IF(B216="红利再投",0,""))),"")</f>
        <v/>
      </c>
      <c r="F216" s="39"/>
      <c r="G216" s="45" t="str">
        <f t="shared" si="57">IF(COUNTA(A216:D216,F216)=0,"",IF(I216="已计入","已录入","待修正"))</f>
        <v/>
      </c>
      <c r="H216" s="46" t="str">
        <f t="shared" si="58">IF(COUNTA(A216:D216,F216)=0,"",IF(B216="红利再投","仅增加份额，不增加现金投入","金额由份额、净值和手续费推算"))</f>
        <v/>
      </c>
      <c r="I216" s="10" t="str">
        <f>IF(COUNTA(A216:D216,F216)=0,"",IF(NOT(ISNUMBER(A216)),"缺少有效净值日期",IF(OR(A216&lt;=0,A216&lt;&gt;INT(A216)),"净值日期无效",IF(OR(B216="转换转入",B216="现金分红"),"该类型需实际金额，五项录入不适用",IF(NOT(OR(OR(B216="买入",B216="定投"),B216="卖出",B216="红利再投")),"请选择交易类型",IF(NOT(ISNUMBER(C216)),"缺少成交净值",IF(C216&lt;=0,"成交净值须大于零",IF(NOT(ISNUMBER(D216)),"缺少确认份额",IF(D216&lt;=0,"确认份额须大于零",IF(NOT(ISNUMBER(F216)),"缺少手续费，无费用请填 0",IF(F216&lt;0,"手续费不能为负",IF(AA215="错误","前行待修正",IF(A216&lt;Z215,"日期需按成交顺序递增",IF(AND(B216="红利再投",F216&lt;&gt;0),"红利再投手续费应填 0",IF(AND(B216="红利再投",K215&lt;=0),"红利再投前须有持仓",IF(AND(B216="卖出",D216&gt;K215+0.000001),"卖出份额超过持仓",IF(AND(B216="卖出",F216&gt;=C216*D216),"赎回费不能达到赎回总额",IF(NOT(ISNUMBER(E216)),"自动金额未生成，请检查五项输入",IF(NOT(OR('持仓总览'!$C$7="利润优先",'持仓总览'!$C$7="本金优先")),"请选择卖出分配模式","已计入")))))))))))))))))))</f>
        <v/>
      </c>
      <c r="J216" s="11">
        <f t="shared" si="59">IF(AA216="正常",IF(I216="已计入",IF(OR(OR(B216="买入",B216="定投",B216="转换转入"),B216="红利再投"),D216,IF(B216="卖出",-D216,0)),0),"")</f>
        <v>0</v>
      </c>
      <c r="K216" s="11">
        <f t="shared" si="64">IF(AA216="正常",ROUND(K215+J216,6),"")</f>
        <v>25721.6</v>
      </c>
      <c r="L216" s="11" t="str">
        <f t="shared" si="65">IF(I216="已计入",ROUND(K215*C216,2),"")</f>
        <v/>
      </c>
      <c r="M216" s="11" t="str">
        <f t="shared" si="66">IF(I216="已计入",IF(B216="卖出",MAX(0,L216-Q215-F216),IF(B216="现金分红",MAX(0,L216+E216-Q215),0)),"")</f>
        <v/>
      </c>
      <c r="N216" s="11" t="str">
        <f>IF(I216="已计入",IF(AND(B216="卖出",'持仓总览'!$C$7="本金优先"),MAX(0,E216-Q215),IF(OR(B216="卖出",B216="现金分红"),MIN(E216,M216),0)),"")</f>
        <v/>
      </c>
      <c r="O216" s="11" t="str">
        <f t="shared" si="67">IF(I216="已计入",IF(OR(B216="卖出",B216="现金分红"),MIN(Q215,MAX(0,E216-N216)),0),"")</f>
        <v/>
      </c>
      <c r="P216" s="11" t="str">
        <f t="shared" si="68">IF(I216="已计入",IF(AND(B216="卖出",K216=0),MAX(0,Q215-O216),0),"")</f>
        <v/>
      </c>
      <c r="Q216" s="11">
        <f t="shared" si="69">IF(AA216="正常",IF(I216="已计入",ROUND(Q215+IF(OR(B216="买入",B216="定投",B216="转换转入"),E216,0)-O216-P216,2),Q215),"")</f>
        <v>129570</v>
      </c>
      <c r="R216" s="11" t="str">
        <f t="shared" si="60">IF(I216="已计入",ROUND(K216*C216,2),"")</f>
        <v/>
      </c>
      <c r="S216" s="11" t="str">
        <f t="shared" si="61">IF(I216="已计入",ROUND(R216-Q216,2),"")</f>
        <v/>
      </c>
      <c r="T216" s="12" t="str">
        <f t="shared" si="62">IF(I216="已计入",IF(Q216=0,"",S216/Q216),"")</f>
        <v/>
      </c>
      <c r="U216" s="11">
        <f t="shared" si="70">IF(AA216="正常",U215+IF(AND(I216="已计入",OR(B216="买入",B216="定投",B216="转换转入")),E216,0),"")</f>
        <v>129570</v>
      </c>
      <c r="V216" s="11">
        <f t="shared" si="71">IF(AA216="正常",V215+IF(AND(I216="已计入",OR(B216="卖出",B216="现金分红")),E216,0),"")</f>
        <v>0</v>
      </c>
      <c r="W216" s="11">
        <f t="shared" si="72">IF(AA216="正常",W215+IF(I216="已计入",N216,0),"")</f>
        <v>0</v>
      </c>
      <c r="X216" s="11">
        <f t="shared" si="73">IF(AA216="正常",X215+IF(I216="已计入",P216,0),"")</f>
        <v>0</v>
      </c>
      <c r="Y216" s="11" t="str">
        <f t="shared" si="63">IF(I216="已计入",ROUND(R216+V216-U216,2),"")</f>
        <v/>
      </c>
      <c r="Z216" s="13">
        <f t="shared" si="74">IF(AA216="正常",IF(I216="已计入",A216,Z215),"")</f>
        <v>46239</v>
      </c>
      <c r="AA216" s="10" t="str">
        <f>IF(OR($AA$134="错误",COUNTIF($G$135:G216,"待修正")&gt;0),"错误","正常")</f>
        <v>正常</v>
      </c>
      <c r="AB216" s="14">
        <f t="shared" si="75">IF(AA216="正常",IF(I216="已计入",C216,AB215),"")</f>
        <v>6.347</v>
      </c>
    </row>
    <row r="217" ht="23" customHeight="1">
      <c r="A217" s="36"/>
      <c r="B217" s="37"/>
      <c r="C217" s="38"/>
      <c r="D217" s="39"/>
      <c r="E217" s="44" t="str">
        <f t="shared" si="56">IF(AND(ISNUMBER(C217),ISNUMBER(D217),ISNUMBER(F217)),IF(OR(B217="买入",B217="定投"),ROUND(C217*D217+F217,2),IF(B217="卖出",ROUND(C217*D217-F217,2),IF(B217="红利再投",0,""))),"")</f>
        <v/>
      </c>
      <c r="F217" s="39"/>
      <c r="G217" s="45" t="str">
        <f t="shared" si="57">IF(COUNTA(A217:D217,F217)=0,"",IF(I217="已计入","已录入","待修正"))</f>
        <v/>
      </c>
      <c r="H217" s="46" t="str">
        <f t="shared" si="58">IF(COUNTA(A217:D217,F217)=0,"",IF(B217="红利再投","仅增加份额，不增加现金投入","金额由份额、净值和手续费推算"))</f>
        <v/>
      </c>
      <c r="I217" s="10" t="str">
        <f>IF(COUNTA(A217:D217,F217)=0,"",IF(NOT(ISNUMBER(A217)),"缺少有效净值日期",IF(OR(A217&lt;=0,A217&lt;&gt;INT(A217)),"净值日期无效",IF(OR(B217="转换转入",B217="现金分红"),"该类型需实际金额，五项录入不适用",IF(NOT(OR(OR(B217="买入",B217="定投"),B217="卖出",B217="红利再投")),"请选择交易类型",IF(NOT(ISNUMBER(C217)),"缺少成交净值",IF(C217&lt;=0,"成交净值须大于零",IF(NOT(ISNUMBER(D217)),"缺少确认份额",IF(D217&lt;=0,"确认份额须大于零",IF(NOT(ISNUMBER(F217)),"缺少手续费，无费用请填 0",IF(F217&lt;0,"手续费不能为负",IF(AA216="错误","前行待修正",IF(A217&lt;Z216,"日期需按成交顺序递增",IF(AND(B217="红利再投",F217&lt;&gt;0),"红利再投手续费应填 0",IF(AND(B217="红利再投",K216&lt;=0),"红利再投前须有持仓",IF(AND(B217="卖出",D217&gt;K216+0.000001),"卖出份额超过持仓",IF(AND(B217="卖出",F217&gt;=C217*D217),"赎回费不能达到赎回总额",IF(NOT(ISNUMBER(E217)),"自动金额未生成，请检查五项输入",IF(NOT(OR('持仓总览'!$C$7="利润优先",'持仓总览'!$C$7="本金优先")),"请选择卖出分配模式","已计入")))))))))))))))))))</f>
        <v/>
      </c>
      <c r="J217" s="11">
        <f t="shared" si="59">IF(AA217="正常",IF(I217="已计入",IF(OR(OR(B217="买入",B217="定投",B217="转换转入"),B217="红利再投"),D217,IF(B217="卖出",-D217,0)),0),"")</f>
        <v>0</v>
      </c>
      <c r="K217" s="11">
        <f t="shared" si="64">IF(AA217="正常",ROUND(K216+J217,6),"")</f>
        <v>25721.6</v>
      </c>
      <c r="L217" s="11" t="str">
        <f t="shared" si="65">IF(I217="已计入",ROUND(K216*C217,2),"")</f>
        <v/>
      </c>
      <c r="M217" s="11" t="str">
        <f t="shared" si="66">IF(I217="已计入",IF(B217="卖出",MAX(0,L217-Q216-F217),IF(B217="现金分红",MAX(0,L217+E217-Q216),0)),"")</f>
        <v/>
      </c>
      <c r="N217" s="11" t="str">
        <f>IF(I217="已计入",IF(AND(B217="卖出",'持仓总览'!$C$7="本金优先"),MAX(0,E217-Q216),IF(OR(B217="卖出",B217="现金分红"),MIN(E217,M217),0)),"")</f>
        <v/>
      </c>
      <c r="O217" s="11" t="str">
        <f t="shared" si="67">IF(I217="已计入",IF(OR(B217="卖出",B217="现金分红"),MIN(Q216,MAX(0,E217-N217)),0),"")</f>
        <v/>
      </c>
      <c r="P217" s="11" t="str">
        <f t="shared" si="68">IF(I217="已计入",IF(AND(B217="卖出",K217=0),MAX(0,Q216-O217),0),"")</f>
        <v/>
      </c>
      <c r="Q217" s="11">
        <f t="shared" si="69">IF(AA217="正常",IF(I217="已计入",ROUND(Q216+IF(OR(B217="买入",B217="定投",B217="转换转入"),E217,0)-O217-P217,2),Q216),"")</f>
        <v>129570</v>
      </c>
      <c r="R217" s="11" t="str">
        <f t="shared" si="60">IF(I217="已计入",ROUND(K217*C217,2),"")</f>
        <v/>
      </c>
      <c r="S217" s="11" t="str">
        <f t="shared" si="61">IF(I217="已计入",ROUND(R217-Q217,2),"")</f>
        <v/>
      </c>
      <c r="T217" s="12" t="str">
        <f t="shared" si="62">IF(I217="已计入",IF(Q217=0,"",S217/Q217),"")</f>
        <v/>
      </c>
      <c r="U217" s="11">
        <f t="shared" si="70">IF(AA217="正常",U216+IF(AND(I217="已计入",OR(B217="买入",B217="定投",B217="转换转入")),E217,0),"")</f>
        <v>129570</v>
      </c>
      <c r="V217" s="11">
        <f t="shared" si="71">IF(AA217="正常",V216+IF(AND(I217="已计入",OR(B217="卖出",B217="现金分红")),E217,0),"")</f>
        <v>0</v>
      </c>
      <c r="W217" s="11">
        <f t="shared" si="72">IF(AA217="正常",W216+IF(I217="已计入",N217,0),"")</f>
        <v>0</v>
      </c>
      <c r="X217" s="11">
        <f t="shared" si="73">IF(AA217="正常",X216+IF(I217="已计入",P217,0),"")</f>
        <v>0</v>
      </c>
      <c r="Y217" s="11" t="str">
        <f t="shared" si="63">IF(I217="已计入",ROUND(R217+V217-U217,2),"")</f>
        <v/>
      </c>
      <c r="Z217" s="13">
        <f t="shared" si="74">IF(AA217="正常",IF(I217="已计入",A217,Z216),"")</f>
        <v>46239</v>
      </c>
      <c r="AA217" s="10" t="str">
        <f>IF(OR($AA$134="错误",COUNTIF($G$135:G217,"待修正")&gt;0),"错误","正常")</f>
        <v>正常</v>
      </c>
      <c r="AB217" s="14">
        <f t="shared" si="75">IF(AA217="正常",IF(I217="已计入",C217,AB216),"")</f>
        <v>6.347</v>
      </c>
    </row>
    <row r="218" ht="23" customHeight="1">
      <c r="A218" s="36"/>
      <c r="B218" s="37"/>
      <c r="C218" s="38"/>
      <c r="D218" s="39"/>
      <c r="E218" s="44" t="str">
        <f t="shared" si="56">IF(AND(ISNUMBER(C218),ISNUMBER(D218),ISNUMBER(F218)),IF(OR(B218="买入",B218="定投"),ROUND(C218*D218+F218,2),IF(B218="卖出",ROUND(C218*D218-F218,2),IF(B218="红利再投",0,""))),"")</f>
        <v/>
      </c>
      <c r="F218" s="39"/>
      <c r="G218" s="45" t="str">
        <f t="shared" si="57">IF(COUNTA(A218:D218,F218)=0,"",IF(I218="已计入","已录入","待修正"))</f>
        <v/>
      </c>
      <c r="H218" s="46" t="str">
        <f t="shared" si="58">IF(COUNTA(A218:D218,F218)=0,"",IF(B218="红利再投","仅增加份额，不增加现金投入","金额由份额、净值和手续费推算"))</f>
        <v/>
      </c>
      <c r="I218" s="10" t="str">
        <f>IF(COUNTA(A218:D218,F218)=0,"",IF(NOT(ISNUMBER(A218)),"缺少有效净值日期",IF(OR(A218&lt;=0,A218&lt;&gt;INT(A218)),"净值日期无效",IF(OR(B218="转换转入",B218="现金分红"),"该类型需实际金额，五项录入不适用",IF(NOT(OR(OR(B218="买入",B218="定投"),B218="卖出",B218="红利再投")),"请选择交易类型",IF(NOT(ISNUMBER(C218)),"缺少成交净值",IF(C218&lt;=0,"成交净值须大于零",IF(NOT(ISNUMBER(D218)),"缺少确认份额",IF(D218&lt;=0,"确认份额须大于零",IF(NOT(ISNUMBER(F218)),"缺少手续费，无费用请填 0",IF(F218&lt;0,"手续费不能为负",IF(AA217="错误","前行待修正",IF(A218&lt;Z217,"日期需按成交顺序递增",IF(AND(B218="红利再投",F218&lt;&gt;0),"红利再投手续费应填 0",IF(AND(B218="红利再投",K217&lt;=0),"红利再投前须有持仓",IF(AND(B218="卖出",D218&gt;K217+0.000001),"卖出份额超过持仓",IF(AND(B218="卖出",F218&gt;=C218*D218),"赎回费不能达到赎回总额",IF(NOT(ISNUMBER(E218)),"自动金额未生成，请检查五项输入",IF(NOT(OR('持仓总览'!$C$7="利润优先",'持仓总览'!$C$7="本金优先")),"请选择卖出分配模式","已计入")))))))))))))))))))</f>
        <v/>
      </c>
      <c r="J218" s="11">
        <f t="shared" si="59">IF(AA218="正常",IF(I218="已计入",IF(OR(OR(B218="买入",B218="定投",B218="转换转入"),B218="红利再投"),D218,IF(B218="卖出",-D218,0)),0),"")</f>
        <v>0</v>
      </c>
      <c r="K218" s="11">
        <f t="shared" si="64">IF(AA218="正常",ROUND(K217+J218,6),"")</f>
        <v>25721.6</v>
      </c>
      <c r="L218" s="11" t="str">
        <f t="shared" si="65">IF(I218="已计入",ROUND(K217*C218,2),"")</f>
        <v/>
      </c>
      <c r="M218" s="11" t="str">
        <f t="shared" si="66">IF(I218="已计入",IF(B218="卖出",MAX(0,L218-Q217-F218),IF(B218="现金分红",MAX(0,L218+E218-Q217),0)),"")</f>
        <v/>
      </c>
      <c r="N218" s="11" t="str">
        <f>IF(I218="已计入",IF(AND(B218="卖出",'持仓总览'!$C$7="本金优先"),MAX(0,E218-Q217),IF(OR(B218="卖出",B218="现金分红"),MIN(E218,M218),0)),"")</f>
        <v/>
      </c>
      <c r="O218" s="11" t="str">
        <f t="shared" si="67">IF(I218="已计入",IF(OR(B218="卖出",B218="现金分红"),MIN(Q217,MAX(0,E218-N218)),0),"")</f>
        <v/>
      </c>
      <c r="P218" s="11" t="str">
        <f t="shared" si="68">IF(I218="已计入",IF(AND(B218="卖出",K218=0),MAX(0,Q217-O218),0),"")</f>
        <v/>
      </c>
      <c r="Q218" s="11">
        <f t="shared" si="69">IF(AA218="正常",IF(I218="已计入",ROUND(Q217+IF(OR(B218="买入",B218="定投",B218="转换转入"),E218,0)-O218-P218,2),Q217),"")</f>
        <v>129570</v>
      </c>
      <c r="R218" s="11" t="str">
        <f t="shared" si="60">IF(I218="已计入",ROUND(K218*C218,2),"")</f>
        <v/>
      </c>
      <c r="S218" s="11" t="str">
        <f t="shared" si="61">IF(I218="已计入",ROUND(R218-Q218,2),"")</f>
        <v/>
      </c>
      <c r="T218" s="12" t="str">
        <f t="shared" si="62">IF(I218="已计入",IF(Q218=0,"",S218/Q218),"")</f>
        <v/>
      </c>
      <c r="U218" s="11">
        <f t="shared" si="70">IF(AA218="正常",U217+IF(AND(I218="已计入",OR(B218="买入",B218="定投",B218="转换转入")),E218,0),"")</f>
        <v>129570</v>
      </c>
      <c r="V218" s="11">
        <f t="shared" si="71">IF(AA218="正常",V217+IF(AND(I218="已计入",OR(B218="卖出",B218="现金分红")),E218,0),"")</f>
        <v>0</v>
      </c>
      <c r="W218" s="11">
        <f t="shared" si="72">IF(AA218="正常",W217+IF(I218="已计入",N218,0),"")</f>
        <v>0</v>
      </c>
      <c r="X218" s="11">
        <f t="shared" si="73">IF(AA218="正常",X217+IF(I218="已计入",P218,0),"")</f>
        <v>0</v>
      </c>
      <c r="Y218" s="11" t="str">
        <f t="shared" si="63">IF(I218="已计入",ROUND(R218+V218-U218,2),"")</f>
        <v/>
      </c>
      <c r="Z218" s="13">
        <f t="shared" si="74">IF(AA218="正常",IF(I218="已计入",A218,Z217),"")</f>
        <v>46239</v>
      </c>
      <c r="AA218" s="10" t="str">
        <f>IF(OR($AA$134="错误",COUNTIF($G$135:G218,"待修正")&gt;0),"错误","正常")</f>
        <v>正常</v>
      </c>
      <c r="AB218" s="14">
        <f t="shared" si="75">IF(AA218="正常",IF(I218="已计入",C218,AB217),"")</f>
        <v>6.347</v>
      </c>
    </row>
    <row r="219" ht="23" customHeight="1">
      <c r="A219" s="36"/>
      <c r="B219" s="37"/>
      <c r="C219" s="38"/>
      <c r="D219" s="39"/>
      <c r="E219" s="44" t="str">
        <f t="shared" si="56">IF(AND(ISNUMBER(C219),ISNUMBER(D219),ISNUMBER(F219)),IF(OR(B219="买入",B219="定投"),ROUND(C219*D219+F219,2),IF(B219="卖出",ROUND(C219*D219-F219,2),IF(B219="红利再投",0,""))),"")</f>
        <v/>
      </c>
      <c r="F219" s="39"/>
      <c r="G219" s="45" t="str">
        <f t="shared" si="57">IF(COUNTA(A219:D219,F219)=0,"",IF(I219="已计入","已录入","待修正"))</f>
        <v/>
      </c>
      <c r="H219" s="46" t="str">
        <f t="shared" si="58">IF(COUNTA(A219:D219,F219)=0,"",IF(B219="红利再投","仅增加份额，不增加现金投入","金额由份额、净值和手续费推算"))</f>
        <v/>
      </c>
      <c r="I219" s="10" t="str">
        <f>IF(COUNTA(A219:D219,F219)=0,"",IF(NOT(ISNUMBER(A219)),"缺少有效净值日期",IF(OR(A219&lt;=0,A219&lt;&gt;INT(A219)),"净值日期无效",IF(OR(B219="转换转入",B219="现金分红"),"该类型需实际金额，五项录入不适用",IF(NOT(OR(OR(B219="买入",B219="定投"),B219="卖出",B219="红利再投")),"请选择交易类型",IF(NOT(ISNUMBER(C219)),"缺少成交净值",IF(C219&lt;=0,"成交净值须大于零",IF(NOT(ISNUMBER(D219)),"缺少确认份额",IF(D219&lt;=0,"确认份额须大于零",IF(NOT(ISNUMBER(F219)),"缺少手续费，无费用请填 0",IF(F219&lt;0,"手续费不能为负",IF(AA218="错误","前行待修正",IF(A219&lt;Z218,"日期需按成交顺序递增",IF(AND(B219="红利再投",F219&lt;&gt;0),"红利再投手续费应填 0",IF(AND(B219="红利再投",K218&lt;=0),"红利再投前须有持仓",IF(AND(B219="卖出",D219&gt;K218+0.000001),"卖出份额超过持仓",IF(AND(B219="卖出",F219&gt;=C219*D219),"赎回费不能达到赎回总额",IF(NOT(ISNUMBER(E219)),"自动金额未生成，请检查五项输入",IF(NOT(OR('持仓总览'!$C$7="利润优先",'持仓总览'!$C$7="本金优先")),"请选择卖出分配模式","已计入")))))))))))))))))))</f>
        <v/>
      </c>
      <c r="J219" s="11">
        <f t="shared" si="59">IF(AA219="正常",IF(I219="已计入",IF(OR(OR(B219="买入",B219="定投",B219="转换转入"),B219="红利再投"),D219,IF(B219="卖出",-D219,0)),0),"")</f>
        <v>0</v>
      </c>
      <c r="K219" s="11">
        <f t="shared" si="64">IF(AA219="正常",ROUND(K218+J219,6),"")</f>
        <v>25721.6</v>
      </c>
      <c r="L219" s="11" t="str">
        <f t="shared" si="65">IF(I219="已计入",ROUND(K218*C219,2),"")</f>
        <v/>
      </c>
      <c r="M219" s="11" t="str">
        <f t="shared" si="66">IF(I219="已计入",IF(B219="卖出",MAX(0,L219-Q218-F219),IF(B219="现金分红",MAX(0,L219+E219-Q218),0)),"")</f>
        <v/>
      </c>
      <c r="N219" s="11" t="str">
        <f>IF(I219="已计入",IF(AND(B219="卖出",'持仓总览'!$C$7="本金优先"),MAX(0,E219-Q218),IF(OR(B219="卖出",B219="现金分红"),MIN(E219,M219),0)),"")</f>
        <v/>
      </c>
      <c r="O219" s="11" t="str">
        <f t="shared" si="67">IF(I219="已计入",IF(OR(B219="卖出",B219="现金分红"),MIN(Q218,MAX(0,E219-N219)),0),"")</f>
        <v/>
      </c>
      <c r="P219" s="11" t="str">
        <f t="shared" si="68">IF(I219="已计入",IF(AND(B219="卖出",K219=0),MAX(0,Q218-O219),0),"")</f>
        <v/>
      </c>
      <c r="Q219" s="11">
        <f t="shared" si="69">IF(AA219="正常",IF(I219="已计入",ROUND(Q218+IF(OR(B219="买入",B219="定投",B219="转换转入"),E219,0)-O219-P219,2),Q218),"")</f>
        <v>129570</v>
      </c>
      <c r="R219" s="11" t="str">
        <f t="shared" si="60">IF(I219="已计入",ROUND(K219*C219,2),"")</f>
        <v/>
      </c>
      <c r="S219" s="11" t="str">
        <f t="shared" si="61">IF(I219="已计入",ROUND(R219-Q219,2),"")</f>
        <v/>
      </c>
      <c r="T219" s="12" t="str">
        <f t="shared" si="62">IF(I219="已计入",IF(Q219=0,"",S219/Q219),"")</f>
        <v/>
      </c>
      <c r="U219" s="11">
        <f t="shared" si="70">IF(AA219="正常",U218+IF(AND(I219="已计入",OR(B219="买入",B219="定投",B219="转换转入")),E219,0),"")</f>
        <v>129570</v>
      </c>
      <c r="V219" s="11">
        <f t="shared" si="71">IF(AA219="正常",V218+IF(AND(I219="已计入",OR(B219="卖出",B219="现金分红")),E219,0),"")</f>
        <v>0</v>
      </c>
      <c r="W219" s="11">
        <f t="shared" si="72">IF(AA219="正常",W218+IF(I219="已计入",N219,0),"")</f>
        <v>0</v>
      </c>
      <c r="X219" s="11">
        <f t="shared" si="73">IF(AA219="正常",X218+IF(I219="已计入",P219,0),"")</f>
        <v>0</v>
      </c>
      <c r="Y219" s="11" t="str">
        <f t="shared" si="63">IF(I219="已计入",ROUND(R219+V219-U219,2),"")</f>
        <v/>
      </c>
      <c r="Z219" s="13">
        <f t="shared" si="74">IF(AA219="正常",IF(I219="已计入",A219,Z218),"")</f>
        <v>46239</v>
      </c>
      <c r="AA219" s="10" t="str">
        <f>IF(OR($AA$134="错误",COUNTIF($G$135:G219,"待修正")&gt;0),"错误","正常")</f>
        <v>正常</v>
      </c>
      <c r="AB219" s="14">
        <f t="shared" si="75">IF(AA219="正常",IF(I219="已计入",C219,AB218),"")</f>
        <v>6.347</v>
      </c>
    </row>
    <row r="220" ht="23" customHeight="1">
      <c r="A220" s="36"/>
      <c r="B220" s="37"/>
      <c r="C220" s="38"/>
      <c r="D220" s="39"/>
      <c r="E220" s="44" t="str">
        <f t="shared" si="56">IF(AND(ISNUMBER(C220),ISNUMBER(D220),ISNUMBER(F220)),IF(OR(B220="买入",B220="定投"),ROUND(C220*D220+F220,2),IF(B220="卖出",ROUND(C220*D220-F220,2),IF(B220="红利再投",0,""))),"")</f>
        <v/>
      </c>
      <c r="F220" s="39"/>
      <c r="G220" s="45" t="str">
        <f t="shared" si="57">IF(COUNTA(A220:D220,F220)=0,"",IF(I220="已计入","已录入","待修正"))</f>
        <v/>
      </c>
      <c r="H220" s="46" t="str">
        <f t="shared" si="58">IF(COUNTA(A220:D220,F220)=0,"",IF(B220="红利再投","仅增加份额，不增加现金投入","金额由份额、净值和手续费推算"))</f>
        <v/>
      </c>
      <c r="I220" s="10" t="str">
        <f>IF(COUNTA(A220:D220,F220)=0,"",IF(NOT(ISNUMBER(A220)),"缺少有效净值日期",IF(OR(A220&lt;=0,A220&lt;&gt;INT(A220)),"净值日期无效",IF(OR(B220="转换转入",B220="现金分红"),"该类型需实际金额，五项录入不适用",IF(NOT(OR(OR(B220="买入",B220="定投"),B220="卖出",B220="红利再投")),"请选择交易类型",IF(NOT(ISNUMBER(C220)),"缺少成交净值",IF(C220&lt;=0,"成交净值须大于零",IF(NOT(ISNUMBER(D220)),"缺少确认份额",IF(D220&lt;=0,"确认份额须大于零",IF(NOT(ISNUMBER(F220)),"缺少手续费，无费用请填 0",IF(F220&lt;0,"手续费不能为负",IF(AA219="错误","前行待修正",IF(A220&lt;Z219,"日期需按成交顺序递增",IF(AND(B220="红利再投",F220&lt;&gt;0),"红利再投手续费应填 0",IF(AND(B220="红利再投",K219&lt;=0),"红利再投前须有持仓",IF(AND(B220="卖出",D220&gt;K219+0.000001),"卖出份额超过持仓",IF(AND(B220="卖出",F220&gt;=C220*D220),"赎回费不能达到赎回总额",IF(NOT(ISNUMBER(E220)),"自动金额未生成，请检查五项输入",IF(NOT(OR('持仓总览'!$C$7="利润优先",'持仓总览'!$C$7="本金优先")),"请选择卖出分配模式","已计入")))))))))))))))))))</f>
        <v/>
      </c>
      <c r="J220" s="11">
        <f t="shared" si="59">IF(AA220="正常",IF(I220="已计入",IF(OR(OR(B220="买入",B220="定投",B220="转换转入"),B220="红利再投"),D220,IF(B220="卖出",-D220,0)),0),"")</f>
        <v>0</v>
      </c>
      <c r="K220" s="11">
        <f t="shared" si="64">IF(AA220="正常",ROUND(K219+J220,6),"")</f>
        <v>25721.6</v>
      </c>
      <c r="L220" s="11" t="str">
        <f t="shared" si="65">IF(I220="已计入",ROUND(K219*C220,2),"")</f>
        <v/>
      </c>
      <c r="M220" s="11" t="str">
        <f t="shared" si="66">IF(I220="已计入",IF(B220="卖出",MAX(0,L220-Q219-F220),IF(B220="现金分红",MAX(0,L220+E220-Q219),0)),"")</f>
        <v/>
      </c>
      <c r="N220" s="11" t="str">
        <f>IF(I220="已计入",IF(AND(B220="卖出",'持仓总览'!$C$7="本金优先"),MAX(0,E220-Q219),IF(OR(B220="卖出",B220="现金分红"),MIN(E220,M220),0)),"")</f>
        <v/>
      </c>
      <c r="O220" s="11" t="str">
        <f t="shared" si="67">IF(I220="已计入",IF(OR(B220="卖出",B220="现金分红"),MIN(Q219,MAX(0,E220-N220)),0),"")</f>
        <v/>
      </c>
      <c r="P220" s="11" t="str">
        <f t="shared" si="68">IF(I220="已计入",IF(AND(B220="卖出",K220=0),MAX(0,Q219-O220),0),"")</f>
        <v/>
      </c>
      <c r="Q220" s="11">
        <f t="shared" si="69">IF(AA220="正常",IF(I220="已计入",ROUND(Q219+IF(OR(B220="买入",B220="定投",B220="转换转入"),E220,0)-O220-P220,2),Q219),"")</f>
        <v>129570</v>
      </c>
      <c r="R220" s="11" t="str">
        <f t="shared" si="60">IF(I220="已计入",ROUND(K220*C220,2),"")</f>
        <v/>
      </c>
      <c r="S220" s="11" t="str">
        <f t="shared" si="61">IF(I220="已计入",ROUND(R220-Q220,2),"")</f>
        <v/>
      </c>
      <c r="T220" s="12" t="str">
        <f t="shared" si="62">IF(I220="已计入",IF(Q220=0,"",S220/Q220),"")</f>
        <v/>
      </c>
      <c r="U220" s="11">
        <f t="shared" si="70">IF(AA220="正常",U219+IF(AND(I220="已计入",OR(B220="买入",B220="定投",B220="转换转入")),E220,0),"")</f>
        <v>129570</v>
      </c>
      <c r="V220" s="11">
        <f t="shared" si="71">IF(AA220="正常",V219+IF(AND(I220="已计入",OR(B220="卖出",B220="现金分红")),E220,0),"")</f>
        <v>0</v>
      </c>
      <c r="W220" s="11">
        <f t="shared" si="72">IF(AA220="正常",W219+IF(I220="已计入",N220,0),"")</f>
        <v>0</v>
      </c>
      <c r="X220" s="11">
        <f t="shared" si="73">IF(AA220="正常",X219+IF(I220="已计入",P220,0),"")</f>
        <v>0</v>
      </c>
      <c r="Y220" s="11" t="str">
        <f t="shared" si="63">IF(I220="已计入",ROUND(R220+V220-U220,2),"")</f>
        <v/>
      </c>
      <c r="Z220" s="13">
        <f t="shared" si="74">IF(AA220="正常",IF(I220="已计入",A220,Z219),"")</f>
        <v>46239</v>
      </c>
      <c r="AA220" s="10" t="str">
        <f>IF(OR($AA$134="错误",COUNTIF($G$135:G220,"待修正")&gt;0),"错误","正常")</f>
        <v>正常</v>
      </c>
      <c r="AB220" s="14">
        <f t="shared" si="75">IF(AA220="正常",IF(I220="已计入",C220,AB219),"")</f>
        <v>6.347</v>
      </c>
    </row>
    <row r="221" ht="23" customHeight="1">
      <c r="A221" s="36"/>
      <c r="B221" s="37"/>
      <c r="C221" s="38"/>
      <c r="D221" s="39"/>
      <c r="E221" s="44" t="str">
        <f t="shared" si="56">IF(AND(ISNUMBER(C221),ISNUMBER(D221),ISNUMBER(F221)),IF(OR(B221="买入",B221="定投"),ROUND(C221*D221+F221,2),IF(B221="卖出",ROUND(C221*D221-F221,2),IF(B221="红利再投",0,""))),"")</f>
        <v/>
      </c>
      <c r="F221" s="39"/>
      <c r="G221" s="45" t="str">
        <f t="shared" si="57">IF(COUNTA(A221:D221,F221)=0,"",IF(I221="已计入","已录入","待修正"))</f>
        <v/>
      </c>
      <c r="H221" s="46" t="str">
        <f t="shared" si="58">IF(COUNTA(A221:D221,F221)=0,"",IF(B221="红利再投","仅增加份额，不增加现金投入","金额由份额、净值和手续费推算"))</f>
        <v/>
      </c>
      <c r="I221" s="10" t="str">
        <f>IF(COUNTA(A221:D221,F221)=0,"",IF(NOT(ISNUMBER(A221)),"缺少有效净值日期",IF(OR(A221&lt;=0,A221&lt;&gt;INT(A221)),"净值日期无效",IF(OR(B221="转换转入",B221="现金分红"),"该类型需实际金额，五项录入不适用",IF(NOT(OR(OR(B221="买入",B221="定投"),B221="卖出",B221="红利再投")),"请选择交易类型",IF(NOT(ISNUMBER(C221)),"缺少成交净值",IF(C221&lt;=0,"成交净值须大于零",IF(NOT(ISNUMBER(D221)),"缺少确认份额",IF(D221&lt;=0,"确认份额须大于零",IF(NOT(ISNUMBER(F221)),"缺少手续费，无费用请填 0",IF(F221&lt;0,"手续费不能为负",IF(AA220="错误","前行待修正",IF(A221&lt;Z220,"日期需按成交顺序递增",IF(AND(B221="红利再投",F221&lt;&gt;0),"红利再投手续费应填 0",IF(AND(B221="红利再投",K220&lt;=0),"红利再投前须有持仓",IF(AND(B221="卖出",D221&gt;K220+0.000001),"卖出份额超过持仓",IF(AND(B221="卖出",F221&gt;=C221*D221),"赎回费不能达到赎回总额",IF(NOT(ISNUMBER(E221)),"自动金额未生成，请检查五项输入",IF(NOT(OR('持仓总览'!$C$7="利润优先",'持仓总览'!$C$7="本金优先")),"请选择卖出分配模式","已计入")))))))))))))))))))</f>
        <v/>
      </c>
      <c r="J221" s="11">
        <f t="shared" si="59">IF(AA221="正常",IF(I221="已计入",IF(OR(OR(B221="买入",B221="定投",B221="转换转入"),B221="红利再投"),D221,IF(B221="卖出",-D221,0)),0),"")</f>
        <v>0</v>
      </c>
      <c r="K221" s="11">
        <f t="shared" si="64">IF(AA221="正常",ROUND(K220+J221,6),"")</f>
        <v>25721.6</v>
      </c>
      <c r="L221" s="11" t="str">
        <f t="shared" si="65">IF(I221="已计入",ROUND(K220*C221,2),"")</f>
        <v/>
      </c>
      <c r="M221" s="11" t="str">
        <f t="shared" si="66">IF(I221="已计入",IF(B221="卖出",MAX(0,L221-Q220-F221),IF(B221="现金分红",MAX(0,L221+E221-Q220),0)),"")</f>
        <v/>
      </c>
      <c r="N221" s="11" t="str">
        <f>IF(I221="已计入",IF(AND(B221="卖出",'持仓总览'!$C$7="本金优先"),MAX(0,E221-Q220),IF(OR(B221="卖出",B221="现金分红"),MIN(E221,M221),0)),"")</f>
        <v/>
      </c>
      <c r="O221" s="11" t="str">
        <f t="shared" si="67">IF(I221="已计入",IF(OR(B221="卖出",B221="现金分红"),MIN(Q220,MAX(0,E221-N221)),0),"")</f>
        <v/>
      </c>
      <c r="P221" s="11" t="str">
        <f t="shared" si="68">IF(I221="已计入",IF(AND(B221="卖出",K221=0),MAX(0,Q220-O221),0),"")</f>
        <v/>
      </c>
      <c r="Q221" s="11">
        <f t="shared" si="69">IF(AA221="正常",IF(I221="已计入",ROUND(Q220+IF(OR(B221="买入",B221="定投",B221="转换转入"),E221,0)-O221-P221,2),Q220),"")</f>
        <v>129570</v>
      </c>
      <c r="R221" s="11" t="str">
        <f t="shared" si="60">IF(I221="已计入",ROUND(K221*C221,2),"")</f>
        <v/>
      </c>
      <c r="S221" s="11" t="str">
        <f t="shared" si="61">IF(I221="已计入",ROUND(R221-Q221,2),"")</f>
        <v/>
      </c>
      <c r="T221" s="12" t="str">
        <f t="shared" si="62">IF(I221="已计入",IF(Q221=0,"",S221/Q221),"")</f>
        <v/>
      </c>
      <c r="U221" s="11">
        <f t="shared" si="70">IF(AA221="正常",U220+IF(AND(I221="已计入",OR(B221="买入",B221="定投",B221="转换转入")),E221,0),"")</f>
        <v>129570</v>
      </c>
      <c r="V221" s="11">
        <f t="shared" si="71">IF(AA221="正常",V220+IF(AND(I221="已计入",OR(B221="卖出",B221="现金分红")),E221,0),"")</f>
        <v>0</v>
      </c>
      <c r="W221" s="11">
        <f t="shared" si="72">IF(AA221="正常",W220+IF(I221="已计入",N221,0),"")</f>
        <v>0</v>
      </c>
      <c r="X221" s="11">
        <f t="shared" si="73">IF(AA221="正常",X220+IF(I221="已计入",P221,0),"")</f>
        <v>0</v>
      </c>
      <c r="Y221" s="11" t="str">
        <f t="shared" si="63">IF(I221="已计入",ROUND(R221+V221-U221,2),"")</f>
        <v/>
      </c>
      <c r="Z221" s="13">
        <f t="shared" si="74">IF(AA221="正常",IF(I221="已计入",A221,Z220),"")</f>
        <v>46239</v>
      </c>
      <c r="AA221" s="10" t="str">
        <f>IF(OR($AA$134="错误",COUNTIF($G$135:G221,"待修正")&gt;0),"错误","正常")</f>
        <v>正常</v>
      </c>
      <c r="AB221" s="14">
        <f t="shared" si="75">IF(AA221="正常",IF(I221="已计入",C221,AB220),"")</f>
        <v>6.347</v>
      </c>
    </row>
    <row r="222" ht="23" customHeight="1">
      <c r="A222" s="36"/>
      <c r="B222" s="37"/>
      <c r="C222" s="38"/>
      <c r="D222" s="39"/>
      <c r="E222" s="44" t="str">
        <f t="shared" si="56">IF(AND(ISNUMBER(C222),ISNUMBER(D222),ISNUMBER(F222)),IF(OR(B222="买入",B222="定投"),ROUND(C222*D222+F222,2),IF(B222="卖出",ROUND(C222*D222-F222,2),IF(B222="红利再投",0,""))),"")</f>
        <v/>
      </c>
      <c r="F222" s="39"/>
      <c r="G222" s="45" t="str">
        <f t="shared" si="57">IF(COUNTA(A222:D222,F222)=0,"",IF(I222="已计入","已录入","待修正"))</f>
        <v/>
      </c>
      <c r="H222" s="46" t="str">
        <f t="shared" si="58">IF(COUNTA(A222:D222,F222)=0,"",IF(B222="红利再投","仅增加份额，不增加现金投入","金额由份额、净值和手续费推算"))</f>
        <v/>
      </c>
      <c r="I222" s="10" t="str">
        <f>IF(COUNTA(A222:D222,F222)=0,"",IF(NOT(ISNUMBER(A222)),"缺少有效净值日期",IF(OR(A222&lt;=0,A222&lt;&gt;INT(A222)),"净值日期无效",IF(OR(B222="转换转入",B222="现金分红"),"该类型需实际金额，五项录入不适用",IF(NOT(OR(OR(B222="买入",B222="定投"),B222="卖出",B222="红利再投")),"请选择交易类型",IF(NOT(ISNUMBER(C222)),"缺少成交净值",IF(C222&lt;=0,"成交净值须大于零",IF(NOT(ISNUMBER(D222)),"缺少确认份额",IF(D222&lt;=0,"确认份额须大于零",IF(NOT(ISNUMBER(F222)),"缺少手续费，无费用请填 0",IF(F222&lt;0,"手续费不能为负",IF(AA221="错误","前行待修正",IF(A222&lt;Z221,"日期需按成交顺序递增",IF(AND(B222="红利再投",F222&lt;&gt;0),"红利再投手续费应填 0",IF(AND(B222="红利再投",K221&lt;=0),"红利再投前须有持仓",IF(AND(B222="卖出",D222&gt;K221+0.000001),"卖出份额超过持仓",IF(AND(B222="卖出",F222&gt;=C222*D222),"赎回费不能达到赎回总额",IF(NOT(ISNUMBER(E222)),"自动金额未生成，请检查五项输入",IF(NOT(OR('持仓总览'!$C$7="利润优先",'持仓总览'!$C$7="本金优先")),"请选择卖出分配模式","已计入")))))))))))))))))))</f>
        <v/>
      </c>
      <c r="J222" s="11">
        <f t="shared" si="59">IF(AA222="正常",IF(I222="已计入",IF(OR(OR(B222="买入",B222="定投",B222="转换转入"),B222="红利再投"),D222,IF(B222="卖出",-D222,0)),0),"")</f>
        <v>0</v>
      </c>
      <c r="K222" s="11">
        <f t="shared" si="64">IF(AA222="正常",ROUND(K221+J222,6),"")</f>
        <v>25721.6</v>
      </c>
      <c r="L222" s="11" t="str">
        <f t="shared" si="65">IF(I222="已计入",ROUND(K221*C222,2),"")</f>
        <v/>
      </c>
      <c r="M222" s="11" t="str">
        <f t="shared" si="66">IF(I222="已计入",IF(B222="卖出",MAX(0,L222-Q221-F222),IF(B222="现金分红",MAX(0,L222+E222-Q221),0)),"")</f>
        <v/>
      </c>
      <c r="N222" s="11" t="str">
        <f>IF(I222="已计入",IF(AND(B222="卖出",'持仓总览'!$C$7="本金优先"),MAX(0,E222-Q221),IF(OR(B222="卖出",B222="现金分红"),MIN(E222,M222),0)),"")</f>
        <v/>
      </c>
      <c r="O222" s="11" t="str">
        <f t="shared" si="67">IF(I222="已计入",IF(OR(B222="卖出",B222="现金分红"),MIN(Q221,MAX(0,E222-N222)),0),"")</f>
        <v/>
      </c>
      <c r="P222" s="11" t="str">
        <f t="shared" si="68">IF(I222="已计入",IF(AND(B222="卖出",K222=0),MAX(0,Q221-O222),0),"")</f>
        <v/>
      </c>
      <c r="Q222" s="11">
        <f t="shared" si="69">IF(AA222="正常",IF(I222="已计入",ROUND(Q221+IF(OR(B222="买入",B222="定投",B222="转换转入"),E222,0)-O222-P222,2),Q221),"")</f>
        <v>129570</v>
      </c>
      <c r="R222" s="11" t="str">
        <f t="shared" si="60">IF(I222="已计入",ROUND(K222*C222,2),"")</f>
        <v/>
      </c>
      <c r="S222" s="11" t="str">
        <f t="shared" si="61">IF(I222="已计入",ROUND(R222-Q222,2),"")</f>
        <v/>
      </c>
      <c r="T222" s="12" t="str">
        <f t="shared" si="62">IF(I222="已计入",IF(Q222=0,"",S222/Q222),"")</f>
        <v/>
      </c>
      <c r="U222" s="11">
        <f t="shared" si="70">IF(AA222="正常",U221+IF(AND(I222="已计入",OR(B222="买入",B222="定投",B222="转换转入")),E222,0),"")</f>
        <v>129570</v>
      </c>
      <c r="V222" s="11">
        <f t="shared" si="71">IF(AA222="正常",V221+IF(AND(I222="已计入",OR(B222="卖出",B222="现金分红")),E222,0),"")</f>
        <v>0</v>
      </c>
      <c r="W222" s="11">
        <f t="shared" si="72">IF(AA222="正常",W221+IF(I222="已计入",N222,0),"")</f>
        <v>0</v>
      </c>
      <c r="X222" s="11">
        <f t="shared" si="73">IF(AA222="正常",X221+IF(I222="已计入",P222,0),"")</f>
        <v>0</v>
      </c>
      <c r="Y222" s="11" t="str">
        <f t="shared" si="63">IF(I222="已计入",ROUND(R222+V222-U222,2),"")</f>
        <v/>
      </c>
      <c r="Z222" s="13">
        <f t="shared" si="74">IF(AA222="正常",IF(I222="已计入",A222,Z221),"")</f>
        <v>46239</v>
      </c>
      <c r="AA222" s="10" t="str">
        <f>IF(OR($AA$134="错误",COUNTIF($G$135:G222,"待修正")&gt;0),"错误","正常")</f>
        <v>正常</v>
      </c>
      <c r="AB222" s="14">
        <f t="shared" si="75">IF(AA222="正常",IF(I222="已计入",C222,AB221),"")</f>
        <v>6.347</v>
      </c>
    </row>
    <row r="223" ht="23" customHeight="1">
      <c r="A223" s="36"/>
      <c r="B223" s="37"/>
      <c r="C223" s="38"/>
      <c r="D223" s="39"/>
      <c r="E223" s="44" t="str">
        <f t="shared" si="56">IF(AND(ISNUMBER(C223),ISNUMBER(D223),ISNUMBER(F223)),IF(OR(B223="买入",B223="定投"),ROUND(C223*D223+F223,2),IF(B223="卖出",ROUND(C223*D223-F223,2),IF(B223="红利再投",0,""))),"")</f>
        <v/>
      </c>
      <c r="F223" s="39"/>
      <c r="G223" s="45" t="str">
        <f t="shared" si="57">IF(COUNTA(A223:D223,F223)=0,"",IF(I223="已计入","已录入","待修正"))</f>
        <v/>
      </c>
      <c r="H223" s="46" t="str">
        <f t="shared" si="58">IF(COUNTA(A223:D223,F223)=0,"",IF(B223="红利再投","仅增加份额，不增加现金投入","金额由份额、净值和手续费推算"))</f>
        <v/>
      </c>
      <c r="I223" s="10" t="str">
        <f>IF(COUNTA(A223:D223,F223)=0,"",IF(NOT(ISNUMBER(A223)),"缺少有效净值日期",IF(OR(A223&lt;=0,A223&lt;&gt;INT(A223)),"净值日期无效",IF(OR(B223="转换转入",B223="现金分红"),"该类型需实际金额，五项录入不适用",IF(NOT(OR(OR(B223="买入",B223="定投"),B223="卖出",B223="红利再投")),"请选择交易类型",IF(NOT(ISNUMBER(C223)),"缺少成交净值",IF(C223&lt;=0,"成交净值须大于零",IF(NOT(ISNUMBER(D223)),"缺少确认份额",IF(D223&lt;=0,"确认份额须大于零",IF(NOT(ISNUMBER(F223)),"缺少手续费，无费用请填 0",IF(F223&lt;0,"手续费不能为负",IF(AA222="错误","前行待修正",IF(A223&lt;Z222,"日期需按成交顺序递增",IF(AND(B223="红利再投",F223&lt;&gt;0),"红利再投手续费应填 0",IF(AND(B223="红利再投",K222&lt;=0),"红利再投前须有持仓",IF(AND(B223="卖出",D223&gt;K222+0.000001),"卖出份额超过持仓",IF(AND(B223="卖出",F223&gt;=C223*D223),"赎回费不能达到赎回总额",IF(NOT(ISNUMBER(E223)),"自动金额未生成，请检查五项输入",IF(NOT(OR('持仓总览'!$C$7="利润优先",'持仓总览'!$C$7="本金优先")),"请选择卖出分配模式","已计入")))))))))))))))))))</f>
        <v/>
      </c>
      <c r="J223" s="11">
        <f t="shared" si="59">IF(AA223="正常",IF(I223="已计入",IF(OR(OR(B223="买入",B223="定投",B223="转换转入"),B223="红利再投"),D223,IF(B223="卖出",-D223,0)),0),"")</f>
        <v>0</v>
      </c>
      <c r="K223" s="11">
        <f t="shared" si="64">IF(AA223="正常",ROUND(K222+J223,6),"")</f>
        <v>25721.6</v>
      </c>
      <c r="L223" s="11" t="str">
        <f t="shared" si="65">IF(I223="已计入",ROUND(K222*C223,2),"")</f>
        <v/>
      </c>
      <c r="M223" s="11" t="str">
        <f t="shared" si="66">IF(I223="已计入",IF(B223="卖出",MAX(0,L223-Q222-F223),IF(B223="现金分红",MAX(0,L223+E223-Q222),0)),"")</f>
        <v/>
      </c>
      <c r="N223" s="11" t="str">
        <f>IF(I223="已计入",IF(AND(B223="卖出",'持仓总览'!$C$7="本金优先"),MAX(0,E223-Q222),IF(OR(B223="卖出",B223="现金分红"),MIN(E223,M223),0)),"")</f>
        <v/>
      </c>
      <c r="O223" s="11" t="str">
        <f t="shared" si="67">IF(I223="已计入",IF(OR(B223="卖出",B223="现金分红"),MIN(Q222,MAX(0,E223-N223)),0),"")</f>
        <v/>
      </c>
      <c r="P223" s="11" t="str">
        <f t="shared" si="68">IF(I223="已计入",IF(AND(B223="卖出",K223=0),MAX(0,Q222-O223),0),"")</f>
        <v/>
      </c>
      <c r="Q223" s="11">
        <f t="shared" si="69">IF(AA223="正常",IF(I223="已计入",ROUND(Q222+IF(OR(B223="买入",B223="定投",B223="转换转入"),E223,0)-O223-P223,2),Q222),"")</f>
        <v>129570</v>
      </c>
      <c r="R223" s="11" t="str">
        <f t="shared" si="60">IF(I223="已计入",ROUND(K223*C223,2),"")</f>
        <v/>
      </c>
      <c r="S223" s="11" t="str">
        <f t="shared" si="61">IF(I223="已计入",ROUND(R223-Q223,2),"")</f>
        <v/>
      </c>
      <c r="T223" s="12" t="str">
        <f t="shared" si="62">IF(I223="已计入",IF(Q223=0,"",S223/Q223),"")</f>
        <v/>
      </c>
      <c r="U223" s="11">
        <f t="shared" si="70">IF(AA223="正常",U222+IF(AND(I223="已计入",OR(B223="买入",B223="定投",B223="转换转入")),E223,0),"")</f>
        <v>129570</v>
      </c>
      <c r="V223" s="11">
        <f t="shared" si="71">IF(AA223="正常",V222+IF(AND(I223="已计入",OR(B223="卖出",B223="现金分红")),E223,0),"")</f>
        <v>0</v>
      </c>
      <c r="W223" s="11">
        <f t="shared" si="72">IF(AA223="正常",W222+IF(I223="已计入",N223,0),"")</f>
        <v>0</v>
      </c>
      <c r="X223" s="11">
        <f t="shared" si="73">IF(AA223="正常",X222+IF(I223="已计入",P223,0),"")</f>
        <v>0</v>
      </c>
      <c r="Y223" s="11" t="str">
        <f t="shared" si="63">IF(I223="已计入",ROUND(R223+V223-U223,2),"")</f>
        <v/>
      </c>
      <c r="Z223" s="13">
        <f t="shared" si="74">IF(AA223="正常",IF(I223="已计入",A223,Z222),"")</f>
        <v>46239</v>
      </c>
      <c r="AA223" s="10" t="str">
        <f>IF(OR($AA$134="错误",COUNTIF($G$135:G223,"待修正")&gt;0),"错误","正常")</f>
        <v>正常</v>
      </c>
      <c r="AB223" s="14">
        <f t="shared" si="75">IF(AA223="正常",IF(I223="已计入",C223,AB222),"")</f>
        <v>6.347</v>
      </c>
    </row>
    <row r="224" ht="23" customHeight="1">
      <c r="A224" s="36"/>
      <c r="B224" s="37"/>
      <c r="C224" s="38"/>
      <c r="D224" s="39"/>
      <c r="E224" s="44" t="str">
        <f t="shared" si="56">IF(AND(ISNUMBER(C224),ISNUMBER(D224),ISNUMBER(F224)),IF(OR(B224="买入",B224="定投"),ROUND(C224*D224+F224,2),IF(B224="卖出",ROUND(C224*D224-F224,2),IF(B224="红利再投",0,""))),"")</f>
        <v/>
      </c>
      <c r="F224" s="39"/>
      <c r="G224" s="45" t="str">
        <f t="shared" si="57">IF(COUNTA(A224:D224,F224)=0,"",IF(I224="已计入","已录入","待修正"))</f>
        <v/>
      </c>
      <c r="H224" s="46" t="str">
        <f t="shared" si="58">IF(COUNTA(A224:D224,F224)=0,"",IF(B224="红利再投","仅增加份额，不增加现金投入","金额由份额、净值和手续费推算"))</f>
        <v/>
      </c>
      <c r="I224" s="10" t="str">
        <f>IF(COUNTA(A224:D224,F224)=0,"",IF(NOT(ISNUMBER(A224)),"缺少有效净值日期",IF(OR(A224&lt;=0,A224&lt;&gt;INT(A224)),"净值日期无效",IF(OR(B224="转换转入",B224="现金分红"),"该类型需实际金额，五项录入不适用",IF(NOT(OR(OR(B224="买入",B224="定投"),B224="卖出",B224="红利再投")),"请选择交易类型",IF(NOT(ISNUMBER(C224)),"缺少成交净值",IF(C224&lt;=0,"成交净值须大于零",IF(NOT(ISNUMBER(D224)),"缺少确认份额",IF(D224&lt;=0,"确认份额须大于零",IF(NOT(ISNUMBER(F224)),"缺少手续费，无费用请填 0",IF(F224&lt;0,"手续费不能为负",IF(AA223="错误","前行待修正",IF(A224&lt;Z223,"日期需按成交顺序递增",IF(AND(B224="红利再投",F224&lt;&gt;0),"红利再投手续费应填 0",IF(AND(B224="红利再投",K223&lt;=0),"红利再投前须有持仓",IF(AND(B224="卖出",D224&gt;K223+0.000001),"卖出份额超过持仓",IF(AND(B224="卖出",F224&gt;=C224*D224),"赎回费不能达到赎回总额",IF(NOT(ISNUMBER(E224)),"自动金额未生成，请检查五项输入",IF(NOT(OR('持仓总览'!$C$7="利润优先",'持仓总览'!$C$7="本金优先")),"请选择卖出分配模式","已计入")))))))))))))))))))</f>
        <v/>
      </c>
      <c r="J224" s="11">
        <f t="shared" si="59">IF(AA224="正常",IF(I224="已计入",IF(OR(OR(B224="买入",B224="定投",B224="转换转入"),B224="红利再投"),D224,IF(B224="卖出",-D224,0)),0),"")</f>
        <v>0</v>
      </c>
      <c r="K224" s="11">
        <f t="shared" si="64">IF(AA224="正常",ROUND(K223+J224,6),"")</f>
        <v>25721.6</v>
      </c>
      <c r="L224" s="11" t="str">
        <f t="shared" si="65">IF(I224="已计入",ROUND(K223*C224,2),"")</f>
        <v/>
      </c>
      <c r="M224" s="11" t="str">
        <f t="shared" si="66">IF(I224="已计入",IF(B224="卖出",MAX(0,L224-Q223-F224),IF(B224="现金分红",MAX(0,L224+E224-Q223),0)),"")</f>
        <v/>
      </c>
      <c r="N224" s="11" t="str">
        <f>IF(I224="已计入",IF(AND(B224="卖出",'持仓总览'!$C$7="本金优先"),MAX(0,E224-Q223),IF(OR(B224="卖出",B224="现金分红"),MIN(E224,M224),0)),"")</f>
        <v/>
      </c>
      <c r="O224" s="11" t="str">
        <f t="shared" si="67">IF(I224="已计入",IF(OR(B224="卖出",B224="现金分红"),MIN(Q223,MAX(0,E224-N224)),0),"")</f>
        <v/>
      </c>
      <c r="P224" s="11" t="str">
        <f t="shared" si="68">IF(I224="已计入",IF(AND(B224="卖出",K224=0),MAX(0,Q223-O224),0),"")</f>
        <v/>
      </c>
      <c r="Q224" s="11">
        <f t="shared" si="69">IF(AA224="正常",IF(I224="已计入",ROUND(Q223+IF(OR(B224="买入",B224="定投",B224="转换转入"),E224,0)-O224-P224,2),Q223),"")</f>
        <v>129570</v>
      </c>
      <c r="R224" s="11" t="str">
        <f t="shared" si="60">IF(I224="已计入",ROUND(K224*C224,2),"")</f>
        <v/>
      </c>
      <c r="S224" s="11" t="str">
        <f t="shared" si="61">IF(I224="已计入",ROUND(R224-Q224,2),"")</f>
        <v/>
      </c>
      <c r="T224" s="12" t="str">
        <f t="shared" si="62">IF(I224="已计入",IF(Q224=0,"",S224/Q224),"")</f>
        <v/>
      </c>
      <c r="U224" s="11">
        <f t="shared" si="70">IF(AA224="正常",U223+IF(AND(I224="已计入",OR(B224="买入",B224="定投",B224="转换转入")),E224,0),"")</f>
        <v>129570</v>
      </c>
      <c r="V224" s="11">
        <f t="shared" si="71">IF(AA224="正常",V223+IF(AND(I224="已计入",OR(B224="卖出",B224="现金分红")),E224,0),"")</f>
        <v>0</v>
      </c>
      <c r="W224" s="11">
        <f t="shared" si="72">IF(AA224="正常",W223+IF(I224="已计入",N224,0),"")</f>
        <v>0</v>
      </c>
      <c r="X224" s="11">
        <f t="shared" si="73">IF(AA224="正常",X223+IF(I224="已计入",P224,0),"")</f>
        <v>0</v>
      </c>
      <c r="Y224" s="11" t="str">
        <f t="shared" si="63">IF(I224="已计入",ROUND(R224+V224-U224,2),"")</f>
        <v/>
      </c>
      <c r="Z224" s="13">
        <f t="shared" si="74">IF(AA224="正常",IF(I224="已计入",A224,Z223),"")</f>
        <v>46239</v>
      </c>
      <c r="AA224" s="10" t="str">
        <f>IF(OR($AA$134="错误",COUNTIF($G$135:G224,"待修正")&gt;0),"错误","正常")</f>
        <v>正常</v>
      </c>
      <c r="AB224" s="14">
        <f t="shared" si="75">IF(AA224="正常",IF(I224="已计入",C224,AB223),"")</f>
        <v>6.347</v>
      </c>
    </row>
    <row r="225" ht="23" customHeight="1">
      <c r="A225" s="36"/>
      <c r="B225" s="37"/>
      <c r="C225" s="38"/>
      <c r="D225" s="39"/>
      <c r="E225" s="44" t="str">
        <f t="shared" si="56">IF(AND(ISNUMBER(C225),ISNUMBER(D225),ISNUMBER(F225)),IF(OR(B225="买入",B225="定投"),ROUND(C225*D225+F225,2),IF(B225="卖出",ROUND(C225*D225-F225,2),IF(B225="红利再投",0,""))),"")</f>
        <v/>
      </c>
      <c r="F225" s="39"/>
      <c r="G225" s="45" t="str">
        <f t="shared" si="57">IF(COUNTA(A225:D225,F225)=0,"",IF(I225="已计入","已录入","待修正"))</f>
        <v/>
      </c>
      <c r="H225" s="46" t="str">
        <f t="shared" si="58">IF(COUNTA(A225:D225,F225)=0,"",IF(B225="红利再投","仅增加份额，不增加现金投入","金额由份额、净值和手续费推算"))</f>
        <v/>
      </c>
      <c r="I225" s="10" t="str">
        <f>IF(COUNTA(A225:D225,F225)=0,"",IF(NOT(ISNUMBER(A225)),"缺少有效净值日期",IF(OR(A225&lt;=0,A225&lt;&gt;INT(A225)),"净值日期无效",IF(OR(B225="转换转入",B225="现金分红"),"该类型需实际金额，五项录入不适用",IF(NOT(OR(OR(B225="买入",B225="定投"),B225="卖出",B225="红利再投")),"请选择交易类型",IF(NOT(ISNUMBER(C225)),"缺少成交净值",IF(C225&lt;=0,"成交净值须大于零",IF(NOT(ISNUMBER(D225)),"缺少确认份额",IF(D225&lt;=0,"确认份额须大于零",IF(NOT(ISNUMBER(F225)),"缺少手续费，无费用请填 0",IF(F225&lt;0,"手续费不能为负",IF(AA224="错误","前行待修正",IF(A225&lt;Z224,"日期需按成交顺序递增",IF(AND(B225="红利再投",F225&lt;&gt;0),"红利再投手续费应填 0",IF(AND(B225="红利再投",K224&lt;=0),"红利再投前须有持仓",IF(AND(B225="卖出",D225&gt;K224+0.000001),"卖出份额超过持仓",IF(AND(B225="卖出",F225&gt;=C225*D225),"赎回费不能达到赎回总额",IF(NOT(ISNUMBER(E225)),"自动金额未生成，请检查五项输入",IF(NOT(OR('持仓总览'!$C$7="利润优先",'持仓总览'!$C$7="本金优先")),"请选择卖出分配模式","已计入")))))))))))))))))))</f>
        <v/>
      </c>
      <c r="J225" s="11">
        <f t="shared" si="59">IF(AA225="正常",IF(I225="已计入",IF(OR(OR(B225="买入",B225="定投",B225="转换转入"),B225="红利再投"),D225,IF(B225="卖出",-D225,0)),0),"")</f>
        <v>0</v>
      </c>
      <c r="K225" s="11">
        <f t="shared" si="64">IF(AA225="正常",ROUND(K224+J225,6),"")</f>
        <v>25721.6</v>
      </c>
      <c r="L225" s="11" t="str">
        <f t="shared" si="65">IF(I225="已计入",ROUND(K224*C225,2),"")</f>
        <v/>
      </c>
      <c r="M225" s="11" t="str">
        <f t="shared" si="66">IF(I225="已计入",IF(B225="卖出",MAX(0,L225-Q224-F225),IF(B225="现金分红",MAX(0,L225+E225-Q224),0)),"")</f>
        <v/>
      </c>
      <c r="N225" s="11" t="str">
        <f>IF(I225="已计入",IF(AND(B225="卖出",'持仓总览'!$C$7="本金优先"),MAX(0,E225-Q224),IF(OR(B225="卖出",B225="现金分红"),MIN(E225,M225),0)),"")</f>
        <v/>
      </c>
      <c r="O225" s="11" t="str">
        <f t="shared" si="67">IF(I225="已计入",IF(OR(B225="卖出",B225="现金分红"),MIN(Q224,MAX(0,E225-N225)),0),"")</f>
        <v/>
      </c>
      <c r="P225" s="11" t="str">
        <f t="shared" si="68">IF(I225="已计入",IF(AND(B225="卖出",K225=0),MAX(0,Q224-O225),0),"")</f>
        <v/>
      </c>
      <c r="Q225" s="11">
        <f t="shared" si="69">IF(AA225="正常",IF(I225="已计入",ROUND(Q224+IF(OR(B225="买入",B225="定投",B225="转换转入"),E225,0)-O225-P225,2),Q224),"")</f>
        <v>129570</v>
      </c>
      <c r="R225" s="11" t="str">
        <f t="shared" si="60">IF(I225="已计入",ROUND(K225*C225,2),"")</f>
        <v/>
      </c>
      <c r="S225" s="11" t="str">
        <f t="shared" si="61">IF(I225="已计入",ROUND(R225-Q225,2),"")</f>
        <v/>
      </c>
      <c r="T225" s="12" t="str">
        <f t="shared" si="62">IF(I225="已计入",IF(Q225=0,"",S225/Q225),"")</f>
        <v/>
      </c>
      <c r="U225" s="11">
        <f t="shared" si="70">IF(AA225="正常",U224+IF(AND(I225="已计入",OR(B225="买入",B225="定投",B225="转换转入")),E225,0),"")</f>
        <v>129570</v>
      </c>
      <c r="V225" s="11">
        <f t="shared" si="71">IF(AA225="正常",V224+IF(AND(I225="已计入",OR(B225="卖出",B225="现金分红")),E225,0),"")</f>
        <v>0</v>
      </c>
      <c r="W225" s="11">
        <f t="shared" si="72">IF(AA225="正常",W224+IF(I225="已计入",N225,0),"")</f>
        <v>0</v>
      </c>
      <c r="X225" s="11">
        <f t="shared" si="73">IF(AA225="正常",X224+IF(I225="已计入",P225,0),"")</f>
        <v>0</v>
      </c>
      <c r="Y225" s="11" t="str">
        <f t="shared" si="63">IF(I225="已计入",ROUND(R225+V225-U225,2),"")</f>
        <v/>
      </c>
      <c r="Z225" s="13">
        <f t="shared" si="74">IF(AA225="正常",IF(I225="已计入",A225,Z224),"")</f>
        <v>46239</v>
      </c>
      <c r="AA225" s="10" t="str">
        <f>IF(OR($AA$134="错误",COUNTIF($G$135:G225,"待修正")&gt;0),"错误","正常")</f>
        <v>正常</v>
      </c>
      <c r="AB225" s="14">
        <f t="shared" si="75">IF(AA225="正常",IF(I225="已计入",C225,AB224),"")</f>
        <v>6.347</v>
      </c>
    </row>
    <row r="226" ht="23" customHeight="1">
      <c r="A226" s="36"/>
      <c r="B226" s="37"/>
      <c r="C226" s="38"/>
      <c r="D226" s="39"/>
      <c r="E226" s="44" t="str">
        <f t="shared" si="56">IF(AND(ISNUMBER(C226),ISNUMBER(D226),ISNUMBER(F226)),IF(OR(B226="买入",B226="定投"),ROUND(C226*D226+F226,2),IF(B226="卖出",ROUND(C226*D226-F226,2),IF(B226="红利再投",0,""))),"")</f>
        <v/>
      </c>
      <c r="F226" s="39"/>
      <c r="G226" s="45" t="str">
        <f t="shared" si="57">IF(COUNTA(A226:D226,F226)=0,"",IF(I226="已计入","已录入","待修正"))</f>
        <v/>
      </c>
      <c r="H226" s="46" t="str">
        <f t="shared" si="58">IF(COUNTA(A226:D226,F226)=0,"",IF(B226="红利再投","仅增加份额，不增加现金投入","金额由份额、净值和手续费推算"))</f>
        <v/>
      </c>
      <c r="I226" s="10" t="str">
        <f>IF(COUNTA(A226:D226,F226)=0,"",IF(NOT(ISNUMBER(A226)),"缺少有效净值日期",IF(OR(A226&lt;=0,A226&lt;&gt;INT(A226)),"净值日期无效",IF(OR(B226="转换转入",B226="现金分红"),"该类型需实际金额，五项录入不适用",IF(NOT(OR(OR(B226="买入",B226="定投"),B226="卖出",B226="红利再投")),"请选择交易类型",IF(NOT(ISNUMBER(C226)),"缺少成交净值",IF(C226&lt;=0,"成交净值须大于零",IF(NOT(ISNUMBER(D226)),"缺少确认份额",IF(D226&lt;=0,"确认份额须大于零",IF(NOT(ISNUMBER(F226)),"缺少手续费，无费用请填 0",IF(F226&lt;0,"手续费不能为负",IF(AA225="错误","前行待修正",IF(A226&lt;Z225,"日期需按成交顺序递增",IF(AND(B226="红利再投",F226&lt;&gt;0),"红利再投手续费应填 0",IF(AND(B226="红利再投",K225&lt;=0),"红利再投前须有持仓",IF(AND(B226="卖出",D226&gt;K225+0.000001),"卖出份额超过持仓",IF(AND(B226="卖出",F226&gt;=C226*D226),"赎回费不能达到赎回总额",IF(NOT(ISNUMBER(E226)),"自动金额未生成，请检查五项输入",IF(NOT(OR('持仓总览'!$C$7="利润优先",'持仓总览'!$C$7="本金优先")),"请选择卖出分配模式","已计入")))))))))))))))))))</f>
        <v/>
      </c>
      <c r="J226" s="11">
        <f t="shared" si="59">IF(AA226="正常",IF(I226="已计入",IF(OR(OR(B226="买入",B226="定投",B226="转换转入"),B226="红利再投"),D226,IF(B226="卖出",-D226,0)),0),"")</f>
        <v>0</v>
      </c>
      <c r="K226" s="11">
        <f t="shared" si="64">IF(AA226="正常",ROUND(K225+J226,6),"")</f>
        <v>25721.6</v>
      </c>
      <c r="L226" s="11" t="str">
        <f t="shared" si="65">IF(I226="已计入",ROUND(K225*C226,2),"")</f>
        <v/>
      </c>
      <c r="M226" s="11" t="str">
        <f t="shared" si="66">IF(I226="已计入",IF(B226="卖出",MAX(0,L226-Q225-F226),IF(B226="现金分红",MAX(0,L226+E226-Q225),0)),"")</f>
        <v/>
      </c>
      <c r="N226" s="11" t="str">
        <f>IF(I226="已计入",IF(AND(B226="卖出",'持仓总览'!$C$7="本金优先"),MAX(0,E226-Q225),IF(OR(B226="卖出",B226="现金分红"),MIN(E226,M226),0)),"")</f>
        <v/>
      </c>
      <c r="O226" s="11" t="str">
        <f t="shared" si="67">IF(I226="已计入",IF(OR(B226="卖出",B226="现金分红"),MIN(Q225,MAX(0,E226-N226)),0),"")</f>
        <v/>
      </c>
      <c r="P226" s="11" t="str">
        <f t="shared" si="68">IF(I226="已计入",IF(AND(B226="卖出",K226=0),MAX(0,Q225-O226),0),"")</f>
        <v/>
      </c>
      <c r="Q226" s="11">
        <f t="shared" si="69">IF(AA226="正常",IF(I226="已计入",ROUND(Q225+IF(OR(B226="买入",B226="定投",B226="转换转入"),E226,0)-O226-P226,2),Q225),"")</f>
        <v>129570</v>
      </c>
      <c r="R226" s="11" t="str">
        <f t="shared" si="60">IF(I226="已计入",ROUND(K226*C226,2),"")</f>
        <v/>
      </c>
      <c r="S226" s="11" t="str">
        <f t="shared" si="61">IF(I226="已计入",ROUND(R226-Q226,2),"")</f>
        <v/>
      </c>
      <c r="T226" s="12" t="str">
        <f t="shared" si="62">IF(I226="已计入",IF(Q226=0,"",S226/Q226),"")</f>
        <v/>
      </c>
      <c r="U226" s="11">
        <f t="shared" si="70">IF(AA226="正常",U225+IF(AND(I226="已计入",OR(B226="买入",B226="定投",B226="转换转入")),E226,0),"")</f>
        <v>129570</v>
      </c>
      <c r="V226" s="11">
        <f t="shared" si="71">IF(AA226="正常",V225+IF(AND(I226="已计入",OR(B226="卖出",B226="现金分红")),E226,0),"")</f>
        <v>0</v>
      </c>
      <c r="W226" s="11">
        <f t="shared" si="72">IF(AA226="正常",W225+IF(I226="已计入",N226,0),"")</f>
        <v>0</v>
      </c>
      <c r="X226" s="11">
        <f t="shared" si="73">IF(AA226="正常",X225+IF(I226="已计入",P226,0),"")</f>
        <v>0</v>
      </c>
      <c r="Y226" s="11" t="str">
        <f t="shared" si="63">IF(I226="已计入",ROUND(R226+V226-U226,2),"")</f>
        <v/>
      </c>
      <c r="Z226" s="13">
        <f t="shared" si="74">IF(AA226="正常",IF(I226="已计入",A226,Z225),"")</f>
        <v>46239</v>
      </c>
      <c r="AA226" s="10" t="str">
        <f>IF(OR($AA$134="错误",COUNTIF($G$135:G226,"待修正")&gt;0),"错误","正常")</f>
        <v>正常</v>
      </c>
      <c r="AB226" s="14">
        <f t="shared" si="75">IF(AA226="正常",IF(I226="已计入",C226,AB225),"")</f>
        <v>6.347</v>
      </c>
    </row>
    <row r="227" ht="23" customHeight="1">
      <c r="A227" s="36"/>
      <c r="B227" s="37"/>
      <c r="C227" s="38"/>
      <c r="D227" s="39"/>
      <c r="E227" s="44" t="str">
        <f t="shared" si="56">IF(AND(ISNUMBER(C227),ISNUMBER(D227),ISNUMBER(F227)),IF(OR(B227="买入",B227="定投"),ROUND(C227*D227+F227,2),IF(B227="卖出",ROUND(C227*D227-F227,2),IF(B227="红利再投",0,""))),"")</f>
        <v/>
      </c>
      <c r="F227" s="39"/>
      <c r="G227" s="45" t="str">
        <f t="shared" si="57">IF(COUNTA(A227:D227,F227)=0,"",IF(I227="已计入","已录入","待修正"))</f>
        <v/>
      </c>
      <c r="H227" s="46" t="str">
        <f t="shared" si="58">IF(COUNTA(A227:D227,F227)=0,"",IF(B227="红利再投","仅增加份额，不增加现金投入","金额由份额、净值和手续费推算"))</f>
        <v/>
      </c>
      <c r="I227" s="10" t="str">
        <f>IF(COUNTA(A227:D227,F227)=0,"",IF(NOT(ISNUMBER(A227)),"缺少有效净值日期",IF(OR(A227&lt;=0,A227&lt;&gt;INT(A227)),"净值日期无效",IF(OR(B227="转换转入",B227="现金分红"),"该类型需实际金额，五项录入不适用",IF(NOT(OR(OR(B227="买入",B227="定投"),B227="卖出",B227="红利再投")),"请选择交易类型",IF(NOT(ISNUMBER(C227)),"缺少成交净值",IF(C227&lt;=0,"成交净值须大于零",IF(NOT(ISNUMBER(D227)),"缺少确认份额",IF(D227&lt;=0,"确认份额须大于零",IF(NOT(ISNUMBER(F227)),"缺少手续费，无费用请填 0",IF(F227&lt;0,"手续费不能为负",IF(AA226="错误","前行待修正",IF(A227&lt;Z226,"日期需按成交顺序递增",IF(AND(B227="红利再投",F227&lt;&gt;0),"红利再投手续费应填 0",IF(AND(B227="红利再投",K226&lt;=0),"红利再投前须有持仓",IF(AND(B227="卖出",D227&gt;K226+0.000001),"卖出份额超过持仓",IF(AND(B227="卖出",F227&gt;=C227*D227),"赎回费不能达到赎回总额",IF(NOT(ISNUMBER(E227)),"自动金额未生成，请检查五项输入",IF(NOT(OR('持仓总览'!$C$7="利润优先",'持仓总览'!$C$7="本金优先")),"请选择卖出分配模式","已计入")))))))))))))))))))</f>
        <v/>
      </c>
      <c r="J227" s="11">
        <f t="shared" si="59">IF(AA227="正常",IF(I227="已计入",IF(OR(OR(B227="买入",B227="定投",B227="转换转入"),B227="红利再投"),D227,IF(B227="卖出",-D227,0)),0),"")</f>
        <v>0</v>
      </c>
      <c r="K227" s="11">
        <f t="shared" si="64">IF(AA227="正常",ROUND(K226+J227,6),"")</f>
        <v>25721.6</v>
      </c>
      <c r="L227" s="11" t="str">
        <f t="shared" si="65">IF(I227="已计入",ROUND(K226*C227,2),"")</f>
        <v/>
      </c>
      <c r="M227" s="11" t="str">
        <f t="shared" si="66">IF(I227="已计入",IF(B227="卖出",MAX(0,L227-Q226-F227),IF(B227="现金分红",MAX(0,L227+E227-Q226),0)),"")</f>
        <v/>
      </c>
      <c r="N227" s="11" t="str">
        <f>IF(I227="已计入",IF(AND(B227="卖出",'持仓总览'!$C$7="本金优先"),MAX(0,E227-Q226),IF(OR(B227="卖出",B227="现金分红"),MIN(E227,M227),0)),"")</f>
        <v/>
      </c>
      <c r="O227" s="11" t="str">
        <f t="shared" si="67">IF(I227="已计入",IF(OR(B227="卖出",B227="现金分红"),MIN(Q226,MAX(0,E227-N227)),0),"")</f>
        <v/>
      </c>
      <c r="P227" s="11" t="str">
        <f t="shared" si="68">IF(I227="已计入",IF(AND(B227="卖出",K227=0),MAX(0,Q226-O227),0),"")</f>
        <v/>
      </c>
      <c r="Q227" s="11">
        <f t="shared" si="69">IF(AA227="正常",IF(I227="已计入",ROUND(Q226+IF(OR(B227="买入",B227="定投",B227="转换转入"),E227,0)-O227-P227,2),Q226),"")</f>
        <v>129570</v>
      </c>
      <c r="R227" s="11" t="str">
        <f t="shared" si="60">IF(I227="已计入",ROUND(K227*C227,2),"")</f>
        <v/>
      </c>
      <c r="S227" s="11" t="str">
        <f t="shared" si="61">IF(I227="已计入",ROUND(R227-Q227,2),"")</f>
        <v/>
      </c>
      <c r="T227" s="12" t="str">
        <f t="shared" si="62">IF(I227="已计入",IF(Q227=0,"",S227/Q227),"")</f>
        <v/>
      </c>
      <c r="U227" s="11">
        <f t="shared" si="70">IF(AA227="正常",U226+IF(AND(I227="已计入",OR(B227="买入",B227="定投",B227="转换转入")),E227,0),"")</f>
        <v>129570</v>
      </c>
      <c r="V227" s="11">
        <f t="shared" si="71">IF(AA227="正常",V226+IF(AND(I227="已计入",OR(B227="卖出",B227="现金分红")),E227,0),"")</f>
        <v>0</v>
      </c>
      <c r="W227" s="11">
        <f t="shared" si="72">IF(AA227="正常",W226+IF(I227="已计入",N227,0),"")</f>
        <v>0</v>
      </c>
      <c r="X227" s="11">
        <f t="shared" si="73">IF(AA227="正常",X226+IF(I227="已计入",P227,0),"")</f>
        <v>0</v>
      </c>
      <c r="Y227" s="11" t="str">
        <f t="shared" si="63">IF(I227="已计入",ROUND(R227+V227-U227,2),"")</f>
        <v/>
      </c>
      <c r="Z227" s="13">
        <f t="shared" si="74">IF(AA227="正常",IF(I227="已计入",A227,Z226),"")</f>
        <v>46239</v>
      </c>
      <c r="AA227" s="10" t="str">
        <f>IF(OR($AA$134="错误",COUNTIF($G$135:G227,"待修正")&gt;0),"错误","正常")</f>
        <v>正常</v>
      </c>
      <c r="AB227" s="14">
        <f t="shared" si="75">IF(AA227="正常",IF(I227="已计入",C227,AB226),"")</f>
        <v>6.347</v>
      </c>
    </row>
    <row r="228" ht="23" customHeight="1">
      <c r="A228" s="36"/>
      <c r="B228" s="37"/>
      <c r="C228" s="38"/>
      <c r="D228" s="39"/>
      <c r="E228" s="44" t="str">
        <f t="shared" si="56">IF(AND(ISNUMBER(C228),ISNUMBER(D228),ISNUMBER(F228)),IF(OR(B228="买入",B228="定投"),ROUND(C228*D228+F228,2),IF(B228="卖出",ROUND(C228*D228-F228,2),IF(B228="红利再投",0,""))),"")</f>
        <v/>
      </c>
      <c r="F228" s="39"/>
      <c r="G228" s="45" t="str">
        <f t="shared" si="57">IF(COUNTA(A228:D228,F228)=0,"",IF(I228="已计入","已录入","待修正"))</f>
        <v/>
      </c>
      <c r="H228" s="46" t="str">
        <f t="shared" si="58">IF(COUNTA(A228:D228,F228)=0,"",IF(B228="红利再投","仅增加份额，不增加现金投入","金额由份额、净值和手续费推算"))</f>
        <v/>
      </c>
      <c r="I228" s="10" t="str">
        <f>IF(COUNTA(A228:D228,F228)=0,"",IF(NOT(ISNUMBER(A228)),"缺少有效净值日期",IF(OR(A228&lt;=0,A228&lt;&gt;INT(A228)),"净值日期无效",IF(OR(B228="转换转入",B228="现金分红"),"该类型需实际金额，五项录入不适用",IF(NOT(OR(OR(B228="买入",B228="定投"),B228="卖出",B228="红利再投")),"请选择交易类型",IF(NOT(ISNUMBER(C228)),"缺少成交净值",IF(C228&lt;=0,"成交净值须大于零",IF(NOT(ISNUMBER(D228)),"缺少确认份额",IF(D228&lt;=0,"确认份额须大于零",IF(NOT(ISNUMBER(F228)),"缺少手续费，无费用请填 0",IF(F228&lt;0,"手续费不能为负",IF(AA227="错误","前行待修正",IF(A228&lt;Z227,"日期需按成交顺序递增",IF(AND(B228="红利再投",F228&lt;&gt;0),"红利再投手续费应填 0",IF(AND(B228="红利再投",K227&lt;=0),"红利再投前须有持仓",IF(AND(B228="卖出",D228&gt;K227+0.000001),"卖出份额超过持仓",IF(AND(B228="卖出",F228&gt;=C228*D228),"赎回费不能达到赎回总额",IF(NOT(ISNUMBER(E228)),"自动金额未生成，请检查五项输入",IF(NOT(OR('持仓总览'!$C$7="利润优先",'持仓总览'!$C$7="本金优先")),"请选择卖出分配模式","已计入")))))))))))))))))))</f>
        <v/>
      </c>
      <c r="J228" s="11">
        <f t="shared" si="59">IF(AA228="正常",IF(I228="已计入",IF(OR(OR(B228="买入",B228="定投",B228="转换转入"),B228="红利再投"),D228,IF(B228="卖出",-D228,0)),0),"")</f>
        <v>0</v>
      </c>
      <c r="K228" s="11">
        <f t="shared" si="64">IF(AA228="正常",ROUND(K227+J228,6),"")</f>
        <v>25721.6</v>
      </c>
      <c r="L228" s="11" t="str">
        <f t="shared" si="65">IF(I228="已计入",ROUND(K227*C228,2),"")</f>
        <v/>
      </c>
      <c r="M228" s="11" t="str">
        <f t="shared" si="66">IF(I228="已计入",IF(B228="卖出",MAX(0,L228-Q227-F228),IF(B228="现金分红",MAX(0,L228+E228-Q227),0)),"")</f>
        <v/>
      </c>
      <c r="N228" s="11" t="str">
        <f>IF(I228="已计入",IF(AND(B228="卖出",'持仓总览'!$C$7="本金优先"),MAX(0,E228-Q227),IF(OR(B228="卖出",B228="现金分红"),MIN(E228,M228),0)),"")</f>
        <v/>
      </c>
      <c r="O228" s="11" t="str">
        <f t="shared" si="67">IF(I228="已计入",IF(OR(B228="卖出",B228="现金分红"),MIN(Q227,MAX(0,E228-N228)),0),"")</f>
        <v/>
      </c>
      <c r="P228" s="11" t="str">
        <f t="shared" si="68">IF(I228="已计入",IF(AND(B228="卖出",K228=0),MAX(0,Q227-O228),0),"")</f>
        <v/>
      </c>
      <c r="Q228" s="11">
        <f t="shared" si="69">IF(AA228="正常",IF(I228="已计入",ROUND(Q227+IF(OR(B228="买入",B228="定投",B228="转换转入"),E228,0)-O228-P228,2),Q227),"")</f>
        <v>129570</v>
      </c>
      <c r="R228" s="11" t="str">
        <f t="shared" si="60">IF(I228="已计入",ROUND(K228*C228,2),"")</f>
        <v/>
      </c>
      <c r="S228" s="11" t="str">
        <f t="shared" si="61">IF(I228="已计入",ROUND(R228-Q228,2),"")</f>
        <v/>
      </c>
      <c r="T228" s="12" t="str">
        <f t="shared" si="62">IF(I228="已计入",IF(Q228=0,"",S228/Q228),"")</f>
        <v/>
      </c>
      <c r="U228" s="11">
        <f t="shared" si="70">IF(AA228="正常",U227+IF(AND(I228="已计入",OR(B228="买入",B228="定投",B228="转换转入")),E228,0),"")</f>
        <v>129570</v>
      </c>
      <c r="V228" s="11">
        <f t="shared" si="71">IF(AA228="正常",V227+IF(AND(I228="已计入",OR(B228="卖出",B228="现金分红")),E228,0),"")</f>
        <v>0</v>
      </c>
      <c r="W228" s="11">
        <f t="shared" si="72">IF(AA228="正常",W227+IF(I228="已计入",N228,0),"")</f>
        <v>0</v>
      </c>
      <c r="X228" s="11">
        <f t="shared" si="73">IF(AA228="正常",X227+IF(I228="已计入",P228,0),"")</f>
        <v>0</v>
      </c>
      <c r="Y228" s="11" t="str">
        <f t="shared" si="63">IF(I228="已计入",ROUND(R228+V228-U228,2),"")</f>
        <v/>
      </c>
      <c r="Z228" s="13">
        <f t="shared" si="74">IF(AA228="正常",IF(I228="已计入",A228,Z227),"")</f>
        <v>46239</v>
      </c>
      <c r="AA228" s="10" t="str">
        <f>IF(OR($AA$134="错误",COUNTIF($G$135:G228,"待修正")&gt;0),"错误","正常")</f>
        <v>正常</v>
      </c>
      <c r="AB228" s="14">
        <f t="shared" si="75">IF(AA228="正常",IF(I228="已计入",C228,AB227),"")</f>
        <v>6.347</v>
      </c>
    </row>
    <row r="229" ht="23" customHeight="1">
      <c r="A229" s="36"/>
      <c r="B229" s="37"/>
      <c r="C229" s="38"/>
      <c r="D229" s="39"/>
      <c r="E229" s="44" t="str">
        <f t="shared" si="56">IF(AND(ISNUMBER(C229),ISNUMBER(D229),ISNUMBER(F229)),IF(OR(B229="买入",B229="定投"),ROUND(C229*D229+F229,2),IF(B229="卖出",ROUND(C229*D229-F229,2),IF(B229="红利再投",0,""))),"")</f>
        <v/>
      </c>
      <c r="F229" s="39"/>
      <c r="G229" s="45" t="str">
        <f t="shared" si="57">IF(COUNTA(A229:D229,F229)=0,"",IF(I229="已计入","已录入","待修正"))</f>
        <v/>
      </c>
      <c r="H229" s="46" t="str">
        <f t="shared" si="58">IF(COUNTA(A229:D229,F229)=0,"",IF(B229="红利再投","仅增加份额，不增加现金投入","金额由份额、净值和手续费推算"))</f>
        <v/>
      </c>
      <c r="I229" s="10" t="str">
        <f>IF(COUNTA(A229:D229,F229)=0,"",IF(NOT(ISNUMBER(A229)),"缺少有效净值日期",IF(OR(A229&lt;=0,A229&lt;&gt;INT(A229)),"净值日期无效",IF(OR(B229="转换转入",B229="现金分红"),"该类型需实际金额，五项录入不适用",IF(NOT(OR(OR(B229="买入",B229="定投"),B229="卖出",B229="红利再投")),"请选择交易类型",IF(NOT(ISNUMBER(C229)),"缺少成交净值",IF(C229&lt;=0,"成交净值须大于零",IF(NOT(ISNUMBER(D229)),"缺少确认份额",IF(D229&lt;=0,"确认份额须大于零",IF(NOT(ISNUMBER(F229)),"缺少手续费，无费用请填 0",IF(F229&lt;0,"手续费不能为负",IF(AA228="错误","前行待修正",IF(A229&lt;Z228,"日期需按成交顺序递增",IF(AND(B229="红利再投",F229&lt;&gt;0),"红利再投手续费应填 0",IF(AND(B229="红利再投",K228&lt;=0),"红利再投前须有持仓",IF(AND(B229="卖出",D229&gt;K228+0.000001),"卖出份额超过持仓",IF(AND(B229="卖出",F229&gt;=C229*D229),"赎回费不能达到赎回总额",IF(NOT(ISNUMBER(E229)),"自动金额未生成，请检查五项输入",IF(NOT(OR('持仓总览'!$C$7="利润优先",'持仓总览'!$C$7="本金优先")),"请选择卖出分配模式","已计入")))))))))))))))))))</f>
        <v/>
      </c>
      <c r="J229" s="11">
        <f t="shared" si="59">IF(AA229="正常",IF(I229="已计入",IF(OR(OR(B229="买入",B229="定投",B229="转换转入"),B229="红利再投"),D229,IF(B229="卖出",-D229,0)),0),"")</f>
        <v>0</v>
      </c>
      <c r="K229" s="11">
        <f t="shared" si="64">IF(AA229="正常",ROUND(K228+J229,6),"")</f>
        <v>25721.6</v>
      </c>
      <c r="L229" s="11" t="str">
        <f t="shared" si="65">IF(I229="已计入",ROUND(K228*C229,2),"")</f>
        <v/>
      </c>
      <c r="M229" s="11" t="str">
        <f t="shared" si="66">IF(I229="已计入",IF(B229="卖出",MAX(0,L229-Q228-F229),IF(B229="现金分红",MAX(0,L229+E229-Q228),0)),"")</f>
        <v/>
      </c>
      <c r="N229" s="11" t="str">
        <f>IF(I229="已计入",IF(AND(B229="卖出",'持仓总览'!$C$7="本金优先"),MAX(0,E229-Q228),IF(OR(B229="卖出",B229="现金分红"),MIN(E229,M229),0)),"")</f>
        <v/>
      </c>
      <c r="O229" s="11" t="str">
        <f t="shared" si="67">IF(I229="已计入",IF(OR(B229="卖出",B229="现金分红"),MIN(Q228,MAX(0,E229-N229)),0),"")</f>
        <v/>
      </c>
      <c r="P229" s="11" t="str">
        <f t="shared" si="68">IF(I229="已计入",IF(AND(B229="卖出",K229=0),MAX(0,Q228-O229),0),"")</f>
        <v/>
      </c>
      <c r="Q229" s="11">
        <f t="shared" si="69">IF(AA229="正常",IF(I229="已计入",ROUND(Q228+IF(OR(B229="买入",B229="定投",B229="转换转入"),E229,0)-O229-P229,2),Q228),"")</f>
        <v>129570</v>
      </c>
      <c r="R229" s="11" t="str">
        <f t="shared" si="60">IF(I229="已计入",ROUND(K229*C229,2),"")</f>
        <v/>
      </c>
      <c r="S229" s="11" t="str">
        <f t="shared" si="61">IF(I229="已计入",ROUND(R229-Q229,2),"")</f>
        <v/>
      </c>
      <c r="T229" s="12" t="str">
        <f t="shared" si="62">IF(I229="已计入",IF(Q229=0,"",S229/Q229),"")</f>
        <v/>
      </c>
      <c r="U229" s="11">
        <f t="shared" si="70">IF(AA229="正常",U228+IF(AND(I229="已计入",OR(B229="买入",B229="定投",B229="转换转入")),E229,0),"")</f>
        <v>129570</v>
      </c>
      <c r="V229" s="11">
        <f t="shared" si="71">IF(AA229="正常",V228+IF(AND(I229="已计入",OR(B229="卖出",B229="现金分红")),E229,0),"")</f>
        <v>0</v>
      </c>
      <c r="W229" s="11">
        <f t="shared" si="72">IF(AA229="正常",W228+IF(I229="已计入",N229,0),"")</f>
        <v>0</v>
      </c>
      <c r="X229" s="11">
        <f t="shared" si="73">IF(AA229="正常",X228+IF(I229="已计入",P229,0),"")</f>
        <v>0</v>
      </c>
      <c r="Y229" s="11" t="str">
        <f t="shared" si="63">IF(I229="已计入",ROUND(R229+V229-U229,2),"")</f>
        <v/>
      </c>
      <c r="Z229" s="13">
        <f t="shared" si="74">IF(AA229="正常",IF(I229="已计入",A229,Z228),"")</f>
        <v>46239</v>
      </c>
      <c r="AA229" s="10" t="str">
        <f>IF(OR($AA$134="错误",COUNTIF($G$135:G229,"待修正")&gt;0),"错误","正常")</f>
        <v>正常</v>
      </c>
      <c r="AB229" s="14">
        <f t="shared" si="75">IF(AA229="正常",IF(I229="已计入",C229,AB228),"")</f>
        <v>6.347</v>
      </c>
    </row>
    <row r="230" ht="23" customHeight="1">
      <c r="A230" s="36"/>
      <c r="B230" s="37"/>
      <c r="C230" s="38"/>
      <c r="D230" s="39"/>
      <c r="E230" s="44" t="str">
        <f t="shared" si="56">IF(AND(ISNUMBER(C230),ISNUMBER(D230),ISNUMBER(F230)),IF(OR(B230="买入",B230="定投"),ROUND(C230*D230+F230,2),IF(B230="卖出",ROUND(C230*D230-F230,2),IF(B230="红利再投",0,""))),"")</f>
        <v/>
      </c>
      <c r="F230" s="39"/>
      <c r="G230" s="45" t="str">
        <f t="shared" si="57">IF(COUNTA(A230:D230,F230)=0,"",IF(I230="已计入","已录入","待修正"))</f>
        <v/>
      </c>
      <c r="H230" s="46" t="str">
        <f t="shared" si="58">IF(COUNTA(A230:D230,F230)=0,"",IF(B230="红利再投","仅增加份额，不增加现金投入","金额由份额、净值和手续费推算"))</f>
        <v/>
      </c>
      <c r="I230" s="10" t="str">
        <f>IF(COUNTA(A230:D230,F230)=0,"",IF(NOT(ISNUMBER(A230)),"缺少有效净值日期",IF(OR(A230&lt;=0,A230&lt;&gt;INT(A230)),"净值日期无效",IF(OR(B230="转换转入",B230="现金分红"),"该类型需实际金额，五项录入不适用",IF(NOT(OR(OR(B230="买入",B230="定投"),B230="卖出",B230="红利再投")),"请选择交易类型",IF(NOT(ISNUMBER(C230)),"缺少成交净值",IF(C230&lt;=0,"成交净值须大于零",IF(NOT(ISNUMBER(D230)),"缺少确认份额",IF(D230&lt;=0,"确认份额须大于零",IF(NOT(ISNUMBER(F230)),"缺少手续费，无费用请填 0",IF(F230&lt;0,"手续费不能为负",IF(AA229="错误","前行待修正",IF(A230&lt;Z229,"日期需按成交顺序递增",IF(AND(B230="红利再投",F230&lt;&gt;0),"红利再投手续费应填 0",IF(AND(B230="红利再投",K229&lt;=0),"红利再投前须有持仓",IF(AND(B230="卖出",D230&gt;K229+0.000001),"卖出份额超过持仓",IF(AND(B230="卖出",F230&gt;=C230*D230),"赎回费不能达到赎回总额",IF(NOT(ISNUMBER(E230)),"自动金额未生成，请检查五项输入",IF(NOT(OR('持仓总览'!$C$7="利润优先",'持仓总览'!$C$7="本金优先")),"请选择卖出分配模式","已计入")))))))))))))))))))</f>
        <v/>
      </c>
      <c r="J230" s="11">
        <f t="shared" si="59">IF(AA230="正常",IF(I230="已计入",IF(OR(OR(B230="买入",B230="定投",B230="转换转入"),B230="红利再投"),D230,IF(B230="卖出",-D230,0)),0),"")</f>
        <v>0</v>
      </c>
      <c r="K230" s="11">
        <f t="shared" si="64">IF(AA230="正常",ROUND(K229+J230,6),"")</f>
        <v>25721.6</v>
      </c>
      <c r="L230" s="11" t="str">
        <f t="shared" si="65">IF(I230="已计入",ROUND(K229*C230,2),"")</f>
        <v/>
      </c>
      <c r="M230" s="11" t="str">
        <f t="shared" si="66">IF(I230="已计入",IF(B230="卖出",MAX(0,L230-Q229-F230),IF(B230="现金分红",MAX(0,L230+E230-Q229),0)),"")</f>
        <v/>
      </c>
      <c r="N230" s="11" t="str">
        <f>IF(I230="已计入",IF(AND(B230="卖出",'持仓总览'!$C$7="本金优先"),MAX(0,E230-Q229),IF(OR(B230="卖出",B230="现金分红"),MIN(E230,M230),0)),"")</f>
        <v/>
      </c>
      <c r="O230" s="11" t="str">
        <f t="shared" si="67">IF(I230="已计入",IF(OR(B230="卖出",B230="现金分红"),MIN(Q229,MAX(0,E230-N230)),0),"")</f>
        <v/>
      </c>
      <c r="P230" s="11" t="str">
        <f t="shared" si="68">IF(I230="已计入",IF(AND(B230="卖出",K230=0),MAX(0,Q229-O230),0),"")</f>
        <v/>
      </c>
      <c r="Q230" s="11">
        <f t="shared" si="69">IF(AA230="正常",IF(I230="已计入",ROUND(Q229+IF(OR(B230="买入",B230="定投",B230="转换转入"),E230,0)-O230-P230,2),Q229),"")</f>
        <v>129570</v>
      </c>
      <c r="R230" s="11" t="str">
        <f t="shared" si="60">IF(I230="已计入",ROUND(K230*C230,2),"")</f>
        <v/>
      </c>
      <c r="S230" s="11" t="str">
        <f t="shared" si="61">IF(I230="已计入",ROUND(R230-Q230,2),"")</f>
        <v/>
      </c>
      <c r="T230" s="12" t="str">
        <f t="shared" si="62">IF(I230="已计入",IF(Q230=0,"",S230/Q230),"")</f>
        <v/>
      </c>
      <c r="U230" s="11">
        <f t="shared" si="70">IF(AA230="正常",U229+IF(AND(I230="已计入",OR(B230="买入",B230="定投",B230="转换转入")),E230,0),"")</f>
        <v>129570</v>
      </c>
      <c r="V230" s="11">
        <f t="shared" si="71">IF(AA230="正常",V229+IF(AND(I230="已计入",OR(B230="卖出",B230="现金分红")),E230,0),"")</f>
        <v>0</v>
      </c>
      <c r="W230" s="11">
        <f t="shared" si="72">IF(AA230="正常",W229+IF(I230="已计入",N230,0),"")</f>
        <v>0</v>
      </c>
      <c r="X230" s="11">
        <f t="shared" si="73">IF(AA230="正常",X229+IF(I230="已计入",P230,0),"")</f>
        <v>0</v>
      </c>
      <c r="Y230" s="11" t="str">
        <f t="shared" si="63">IF(I230="已计入",ROUND(R230+V230-U230,2),"")</f>
        <v/>
      </c>
      <c r="Z230" s="13">
        <f t="shared" si="74">IF(AA230="正常",IF(I230="已计入",A230,Z229),"")</f>
        <v>46239</v>
      </c>
      <c r="AA230" s="10" t="str">
        <f>IF(OR($AA$134="错误",COUNTIF($G$135:G230,"待修正")&gt;0),"错误","正常")</f>
        <v>正常</v>
      </c>
      <c r="AB230" s="14">
        <f t="shared" si="75">IF(AA230="正常",IF(I230="已计入",C230,AB229),"")</f>
        <v>6.347</v>
      </c>
    </row>
    <row r="231" ht="23" customHeight="1">
      <c r="A231" s="36"/>
      <c r="B231" s="37"/>
      <c r="C231" s="38"/>
      <c r="D231" s="39"/>
      <c r="E231" s="44" t="str">
        <f t="shared" si="56">IF(AND(ISNUMBER(C231),ISNUMBER(D231),ISNUMBER(F231)),IF(OR(B231="买入",B231="定投"),ROUND(C231*D231+F231,2),IF(B231="卖出",ROUND(C231*D231-F231,2),IF(B231="红利再投",0,""))),"")</f>
        <v/>
      </c>
      <c r="F231" s="39"/>
      <c r="G231" s="45" t="str">
        <f t="shared" si="57">IF(COUNTA(A231:D231,F231)=0,"",IF(I231="已计入","已录入","待修正"))</f>
        <v/>
      </c>
      <c r="H231" s="46" t="str">
        <f t="shared" si="58">IF(COUNTA(A231:D231,F231)=0,"",IF(B231="红利再投","仅增加份额，不增加现金投入","金额由份额、净值和手续费推算"))</f>
        <v/>
      </c>
      <c r="I231" s="10" t="str">
        <f>IF(COUNTA(A231:D231,F231)=0,"",IF(NOT(ISNUMBER(A231)),"缺少有效净值日期",IF(OR(A231&lt;=0,A231&lt;&gt;INT(A231)),"净值日期无效",IF(OR(B231="转换转入",B231="现金分红"),"该类型需实际金额，五项录入不适用",IF(NOT(OR(OR(B231="买入",B231="定投"),B231="卖出",B231="红利再投")),"请选择交易类型",IF(NOT(ISNUMBER(C231)),"缺少成交净值",IF(C231&lt;=0,"成交净值须大于零",IF(NOT(ISNUMBER(D231)),"缺少确认份额",IF(D231&lt;=0,"确认份额须大于零",IF(NOT(ISNUMBER(F231)),"缺少手续费，无费用请填 0",IF(F231&lt;0,"手续费不能为负",IF(AA230="错误","前行待修正",IF(A231&lt;Z230,"日期需按成交顺序递增",IF(AND(B231="红利再投",F231&lt;&gt;0),"红利再投手续费应填 0",IF(AND(B231="红利再投",K230&lt;=0),"红利再投前须有持仓",IF(AND(B231="卖出",D231&gt;K230+0.000001),"卖出份额超过持仓",IF(AND(B231="卖出",F231&gt;=C231*D231),"赎回费不能达到赎回总额",IF(NOT(ISNUMBER(E231)),"自动金额未生成，请检查五项输入",IF(NOT(OR('持仓总览'!$C$7="利润优先",'持仓总览'!$C$7="本金优先")),"请选择卖出分配模式","已计入")))))))))))))))))))</f>
        <v/>
      </c>
      <c r="J231" s="11">
        <f t="shared" si="59">IF(AA231="正常",IF(I231="已计入",IF(OR(OR(B231="买入",B231="定投",B231="转换转入"),B231="红利再投"),D231,IF(B231="卖出",-D231,0)),0),"")</f>
        <v>0</v>
      </c>
      <c r="K231" s="11">
        <f t="shared" si="64">IF(AA231="正常",ROUND(K230+J231,6),"")</f>
        <v>25721.6</v>
      </c>
      <c r="L231" s="11" t="str">
        <f t="shared" si="65">IF(I231="已计入",ROUND(K230*C231,2),"")</f>
        <v/>
      </c>
      <c r="M231" s="11" t="str">
        <f t="shared" si="66">IF(I231="已计入",IF(B231="卖出",MAX(0,L231-Q230-F231),IF(B231="现金分红",MAX(0,L231+E231-Q230),0)),"")</f>
        <v/>
      </c>
      <c r="N231" s="11" t="str">
        <f>IF(I231="已计入",IF(AND(B231="卖出",'持仓总览'!$C$7="本金优先"),MAX(0,E231-Q230),IF(OR(B231="卖出",B231="现金分红"),MIN(E231,M231),0)),"")</f>
        <v/>
      </c>
      <c r="O231" s="11" t="str">
        <f t="shared" si="67">IF(I231="已计入",IF(OR(B231="卖出",B231="现金分红"),MIN(Q230,MAX(0,E231-N231)),0),"")</f>
        <v/>
      </c>
      <c r="P231" s="11" t="str">
        <f t="shared" si="68">IF(I231="已计入",IF(AND(B231="卖出",K231=0),MAX(0,Q230-O231),0),"")</f>
        <v/>
      </c>
      <c r="Q231" s="11">
        <f t="shared" si="69">IF(AA231="正常",IF(I231="已计入",ROUND(Q230+IF(OR(B231="买入",B231="定投",B231="转换转入"),E231,0)-O231-P231,2),Q230),"")</f>
        <v>129570</v>
      </c>
      <c r="R231" s="11" t="str">
        <f t="shared" si="60">IF(I231="已计入",ROUND(K231*C231,2),"")</f>
        <v/>
      </c>
      <c r="S231" s="11" t="str">
        <f t="shared" si="61">IF(I231="已计入",ROUND(R231-Q231,2),"")</f>
        <v/>
      </c>
      <c r="T231" s="12" t="str">
        <f t="shared" si="62">IF(I231="已计入",IF(Q231=0,"",S231/Q231),"")</f>
        <v/>
      </c>
      <c r="U231" s="11">
        <f t="shared" si="70">IF(AA231="正常",U230+IF(AND(I231="已计入",OR(B231="买入",B231="定投",B231="转换转入")),E231,0),"")</f>
        <v>129570</v>
      </c>
      <c r="V231" s="11">
        <f t="shared" si="71">IF(AA231="正常",V230+IF(AND(I231="已计入",OR(B231="卖出",B231="现金分红")),E231,0),"")</f>
        <v>0</v>
      </c>
      <c r="W231" s="11">
        <f t="shared" si="72">IF(AA231="正常",W230+IF(I231="已计入",N231,0),"")</f>
        <v>0</v>
      </c>
      <c r="X231" s="11">
        <f t="shared" si="73">IF(AA231="正常",X230+IF(I231="已计入",P231,0),"")</f>
        <v>0</v>
      </c>
      <c r="Y231" s="11" t="str">
        <f t="shared" si="63">IF(I231="已计入",ROUND(R231+V231-U231,2),"")</f>
        <v/>
      </c>
      <c r="Z231" s="13">
        <f t="shared" si="74">IF(AA231="正常",IF(I231="已计入",A231,Z230),"")</f>
        <v>46239</v>
      </c>
      <c r="AA231" s="10" t="str">
        <f>IF(OR($AA$134="错误",COUNTIF($G$135:G231,"待修正")&gt;0),"错误","正常")</f>
        <v>正常</v>
      </c>
      <c r="AB231" s="14">
        <f t="shared" si="75">IF(AA231="正常",IF(I231="已计入",C231,AB230),"")</f>
        <v>6.347</v>
      </c>
    </row>
    <row r="232" ht="23" customHeight="1">
      <c r="A232" s="36"/>
      <c r="B232" s="37"/>
      <c r="C232" s="38"/>
      <c r="D232" s="39"/>
      <c r="E232" s="44" t="str">
        <f t="shared" si="56">IF(AND(ISNUMBER(C232),ISNUMBER(D232),ISNUMBER(F232)),IF(OR(B232="买入",B232="定投"),ROUND(C232*D232+F232,2),IF(B232="卖出",ROUND(C232*D232-F232,2),IF(B232="红利再投",0,""))),"")</f>
        <v/>
      </c>
      <c r="F232" s="39"/>
      <c r="G232" s="45" t="str">
        <f t="shared" si="57">IF(COUNTA(A232:D232,F232)=0,"",IF(I232="已计入","已录入","待修正"))</f>
        <v/>
      </c>
      <c r="H232" s="46" t="str">
        <f t="shared" si="58">IF(COUNTA(A232:D232,F232)=0,"",IF(B232="红利再投","仅增加份额，不增加现金投入","金额由份额、净值和手续费推算"))</f>
        <v/>
      </c>
      <c r="I232" s="10" t="str">
        <f>IF(COUNTA(A232:D232,F232)=0,"",IF(NOT(ISNUMBER(A232)),"缺少有效净值日期",IF(OR(A232&lt;=0,A232&lt;&gt;INT(A232)),"净值日期无效",IF(OR(B232="转换转入",B232="现金分红"),"该类型需实际金额，五项录入不适用",IF(NOT(OR(OR(B232="买入",B232="定投"),B232="卖出",B232="红利再投")),"请选择交易类型",IF(NOT(ISNUMBER(C232)),"缺少成交净值",IF(C232&lt;=0,"成交净值须大于零",IF(NOT(ISNUMBER(D232)),"缺少确认份额",IF(D232&lt;=0,"确认份额须大于零",IF(NOT(ISNUMBER(F232)),"缺少手续费，无费用请填 0",IF(F232&lt;0,"手续费不能为负",IF(AA231="错误","前行待修正",IF(A232&lt;Z231,"日期需按成交顺序递增",IF(AND(B232="红利再投",F232&lt;&gt;0),"红利再投手续费应填 0",IF(AND(B232="红利再投",K231&lt;=0),"红利再投前须有持仓",IF(AND(B232="卖出",D232&gt;K231+0.000001),"卖出份额超过持仓",IF(AND(B232="卖出",F232&gt;=C232*D232),"赎回费不能达到赎回总额",IF(NOT(ISNUMBER(E232)),"自动金额未生成，请检查五项输入",IF(NOT(OR('持仓总览'!$C$7="利润优先",'持仓总览'!$C$7="本金优先")),"请选择卖出分配模式","已计入")))))))))))))))))))</f>
        <v/>
      </c>
      <c r="J232" s="11">
        <f t="shared" si="59">IF(AA232="正常",IF(I232="已计入",IF(OR(OR(B232="买入",B232="定投",B232="转换转入"),B232="红利再投"),D232,IF(B232="卖出",-D232,0)),0),"")</f>
        <v>0</v>
      </c>
      <c r="K232" s="11">
        <f t="shared" si="64">IF(AA232="正常",ROUND(K231+J232,6),"")</f>
        <v>25721.6</v>
      </c>
      <c r="L232" s="11" t="str">
        <f t="shared" si="65">IF(I232="已计入",ROUND(K231*C232,2),"")</f>
        <v/>
      </c>
      <c r="M232" s="11" t="str">
        <f t="shared" si="66">IF(I232="已计入",IF(B232="卖出",MAX(0,L232-Q231-F232),IF(B232="现金分红",MAX(0,L232+E232-Q231),0)),"")</f>
        <v/>
      </c>
      <c r="N232" s="11" t="str">
        <f>IF(I232="已计入",IF(AND(B232="卖出",'持仓总览'!$C$7="本金优先"),MAX(0,E232-Q231),IF(OR(B232="卖出",B232="现金分红"),MIN(E232,M232),0)),"")</f>
        <v/>
      </c>
      <c r="O232" s="11" t="str">
        <f t="shared" si="67">IF(I232="已计入",IF(OR(B232="卖出",B232="现金分红"),MIN(Q231,MAX(0,E232-N232)),0),"")</f>
        <v/>
      </c>
      <c r="P232" s="11" t="str">
        <f t="shared" si="68">IF(I232="已计入",IF(AND(B232="卖出",K232=0),MAX(0,Q231-O232),0),"")</f>
        <v/>
      </c>
      <c r="Q232" s="11">
        <f t="shared" si="69">IF(AA232="正常",IF(I232="已计入",ROUND(Q231+IF(OR(B232="买入",B232="定投",B232="转换转入"),E232,0)-O232-P232,2),Q231),"")</f>
        <v>129570</v>
      </c>
      <c r="R232" s="11" t="str">
        <f t="shared" si="60">IF(I232="已计入",ROUND(K232*C232,2),"")</f>
        <v/>
      </c>
      <c r="S232" s="11" t="str">
        <f t="shared" si="61">IF(I232="已计入",ROUND(R232-Q232,2),"")</f>
        <v/>
      </c>
      <c r="T232" s="12" t="str">
        <f t="shared" si="62">IF(I232="已计入",IF(Q232=0,"",S232/Q232),"")</f>
        <v/>
      </c>
      <c r="U232" s="11">
        <f t="shared" si="70">IF(AA232="正常",U231+IF(AND(I232="已计入",OR(B232="买入",B232="定投",B232="转换转入")),E232,0),"")</f>
        <v>129570</v>
      </c>
      <c r="V232" s="11">
        <f t="shared" si="71">IF(AA232="正常",V231+IF(AND(I232="已计入",OR(B232="卖出",B232="现金分红")),E232,0),"")</f>
        <v>0</v>
      </c>
      <c r="W232" s="11">
        <f t="shared" si="72">IF(AA232="正常",W231+IF(I232="已计入",N232,0),"")</f>
        <v>0</v>
      </c>
      <c r="X232" s="11">
        <f t="shared" si="73">IF(AA232="正常",X231+IF(I232="已计入",P232,0),"")</f>
        <v>0</v>
      </c>
      <c r="Y232" s="11" t="str">
        <f t="shared" si="63">IF(I232="已计入",ROUND(R232+V232-U232,2),"")</f>
        <v/>
      </c>
      <c r="Z232" s="13">
        <f t="shared" si="74">IF(AA232="正常",IF(I232="已计入",A232,Z231),"")</f>
        <v>46239</v>
      </c>
      <c r="AA232" s="10" t="str">
        <f>IF(OR($AA$134="错误",COUNTIF($G$135:G232,"待修正")&gt;0),"错误","正常")</f>
        <v>正常</v>
      </c>
      <c r="AB232" s="14">
        <f t="shared" si="75">IF(AA232="正常",IF(I232="已计入",C232,AB231),"")</f>
        <v>6.347</v>
      </c>
    </row>
    <row r="233" ht="23" customHeight="1">
      <c r="A233" s="36"/>
      <c r="B233" s="37"/>
      <c r="C233" s="38"/>
      <c r="D233" s="39"/>
      <c r="E233" s="44" t="str">
        <f t="shared" si="56">IF(AND(ISNUMBER(C233),ISNUMBER(D233),ISNUMBER(F233)),IF(OR(B233="买入",B233="定投"),ROUND(C233*D233+F233,2),IF(B233="卖出",ROUND(C233*D233-F233,2),IF(B233="红利再投",0,""))),"")</f>
        <v/>
      </c>
      <c r="F233" s="39"/>
      <c r="G233" s="45" t="str">
        <f t="shared" si="57">IF(COUNTA(A233:D233,F233)=0,"",IF(I233="已计入","已录入","待修正"))</f>
        <v/>
      </c>
      <c r="H233" s="46" t="str">
        <f t="shared" si="58">IF(COUNTA(A233:D233,F233)=0,"",IF(B233="红利再投","仅增加份额，不增加现金投入","金额由份额、净值和手续费推算"))</f>
        <v/>
      </c>
      <c r="I233" s="10" t="str">
        <f>IF(COUNTA(A233:D233,F233)=0,"",IF(NOT(ISNUMBER(A233)),"缺少有效净值日期",IF(OR(A233&lt;=0,A233&lt;&gt;INT(A233)),"净值日期无效",IF(OR(B233="转换转入",B233="现金分红"),"该类型需实际金额，五项录入不适用",IF(NOT(OR(OR(B233="买入",B233="定投"),B233="卖出",B233="红利再投")),"请选择交易类型",IF(NOT(ISNUMBER(C233)),"缺少成交净值",IF(C233&lt;=0,"成交净值须大于零",IF(NOT(ISNUMBER(D233)),"缺少确认份额",IF(D233&lt;=0,"确认份额须大于零",IF(NOT(ISNUMBER(F233)),"缺少手续费，无费用请填 0",IF(F233&lt;0,"手续费不能为负",IF(AA232="错误","前行待修正",IF(A233&lt;Z232,"日期需按成交顺序递增",IF(AND(B233="红利再投",F233&lt;&gt;0),"红利再投手续费应填 0",IF(AND(B233="红利再投",K232&lt;=0),"红利再投前须有持仓",IF(AND(B233="卖出",D233&gt;K232+0.000001),"卖出份额超过持仓",IF(AND(B233="卖出",F233&gt;=C233*D233),"赎回费不能达到赎回总额",IF(NOT(ISNUMBER(E233)),"自动金额未生成，请检查五项输入",IF(NOT(OR('持仓总览'!$C$7="利润优先",'持仓总览'!$C$7="本金优先")),"请选择卖出分配模式","已计入")))))))))))))))))))</f>
        <v/>
      </c>
      <c r="J233" s="11">
        <f t="shared" si="59">IF(AA233="正常",IF(I233="已计入",IF(OR(OR(B233="买入",B233="定投",B233="转换转入"),B233="红利再投"),D233,IF(B233="卖出",-D233,0)),0),"")</f>
        <v>0</v>
      </c>
      <c r="K233" s="11">
        <f t="shared" si="64">IF(AA233="正常",ROUND(K232+J233,6),"")</f>
        <v>25721.6</v>
      </c>
      <c r="L233" s="11" t="str">
        <f t="shared" si="65">IF(I233="已计入",ROUND(K232*C233,2),"")</f>
        <v/>
      </c>
      <c r="M233" s="11" t="str">
        <f t="shared" si="66">IF(I233="已计入",IF(B233="卖出",MAX(0,L233-Q232-F233),IF(B233="现金分红",MAX(0,L233+E233-Q232),0)),"")</f>
        <v/>
      </c>
      <c r="N233" s="11" t="str">
        <f>IF(I233="已计入",IF(AND(B233="卖出",'持仓总览'!$C$7="本金优先"),MAX(0,E233-Q232),IF(OR(B233="卖出",B233="现金分红"),MIN(E233,M233),0)),"")</f>
        <v/>
      </c>
      <c r="O233" s="11" t="str">
        <f t="shared" si="67">IF(I233="已计入",IF(OR(B233="卖出",B233="现金分红"),MIN(Q232,MAX(0,E233-N233)),0),"")</f>
        <v/>
      </c>
      <c r="P233" s="11" t="str">
        <f t="shared" si="68">IF(I233="已计入",IF(AND(B233="卖出",K233=0),MAX(0,Q232-O233),0),"")</f>
        <v/>
      </c>
      <c r="Q233" s="11">
        <f t="shared" si="69">IF(AA233="正常",IF(I233="已计入",ROUND(Q232+IF(OR(B233="买入",B233="定投",B233="转换转入"),E233,0)-O233-P233,2),Q232),"")</f>
        <v>129570</v>
      </c>
      <c r="R233" s="11" t="str">
        <f t="shared" si="60">IF(I233="已计入",ROUND(K233*C233,2),"")</f>
        <v/>
      </c>
      <c r="S233" s="11" t="str">
        <f t="shared" si="61">IF(I233="已计入",ROUND(R233-Q233,2),"")</f>
        <v/>
      </c>
      <c r="T233" s="12" t="str">
        <f t="shared" si="62">IF(I233="已计入",IF(Q233=0,"",S233/Q233),"")</f>
        <v/>
      </c>
      <c r="U233" s="11">
        <f t="shared" si="70">IF(AA233="正常",U232+IF(AND(I233="已计入",OR(B233="买入",B233="定投",B233="转换转入")),E233,0),"")</f>
        <v>129570</v>
      </c>
      <c r="V233" s="11">
        <f t="shared" si="71">IF(AA233="正常",V232+IF(AND(I233="已计入",OR(B233="卖出",B233="现金分红")),E233,0),"")</f>
        <v>0</v>
      </c>
      <c r="W233" s="11">
        <f t="shared" si="72">IF(AA233="正常",W232+IF(I233="已计入",N233,0),"")</f>
        <v>0</v>
      </c>
      <c r="X233" s="11">
        <f t="shared" si="73">IF(AA233="正常",X232+IF(I233="已计入",P233,0),"")</f>
        <v>0</v>
      </c>
      <c r="Y233" s="11" t="str">
        <f t="shared" si="63">IF(I233="已计入",ROUND(R233+V233-U233,2),"")</f>
        <v/>
      </c>
      <c r="Z233" s="13">
        <f t="shared" si="74">IF(AA233="正常",IF(I233="已计入",A233,Z232),"")</f>
        <v>46239</v>
      </c>
      <c r="AA233" s="10" t="str">
        <f>IF(OR($AA$134="错误",COUNTIF($G$135:G233,"待修正")&gt;0),"错误","正常")</f>
        <v>正常</v>
      </c>
      <c r="AB233" s="14">
        <f t="shared" si="75">IF(AA233="正常",IF(I233="已计入",C233,AB232),"")</f>
        <v>6.347</v>
      </c>
    </row>
    <row r="234" ht="23" customHeight="1">
      <c r="A234" s="36"/>
      <c r="B234" s="37"/>
      <c r="C234" s="38"/>
      <c r="D234" s="39"/>
      <c r="E234" s="44" t="str">
        <f t="shared" si="56">IF(AND(ISNUMBER(C234),ISNUMBER(D234),ISNUMBER(F234)),IF(OR(B234="买入",B234="定投"),ROUND(C234*D234+F234,2),IF(B234="卖出",ROUND(C234*D234-F234,2),IF(B234="红利再投",0,""))),"")</f>
        <v/>
      </c>
      <c r="F234" s="39"/>
      <c r="G234" s="45" t="str">
        <f t="shared" si="57">IF(COUNTA(A234:D234,F234)=0,"",IF(I234="已计入","已录入","待修正"))</f>
        <v/>
      </c>
      <c r="H234" s="46" t="str">
        <f t="shared" si="58">IF(COUNTA(A234:D234,F234)=0,"",IF(B234="红利再投","仅增加份额，不增加现金投入","金额由份额、净值和手续费推算"))</f>
        <v/>
      </c>
      <c r="I234" s="10" t="str">
        <f>IF(COUNTA(A234:D234,F234)=0,"",IF(NOT(ISNUMBER(A234)),"缺少有效净值日期",IF(OR(A234&lt;=0,A234&lt;&gt;INT(A234)),"净值日期无效",IF(OR(B234="转换转入",B234="现金分红"),"该类型需实际金额，五项录入不适用",IF(NOT(OR(OR(B234="买入",B234="定投"),B234="卖出",B234="红利再投")),"请选择交易类型",IF(NOT(ISNUMBER(C234)),"缺少成交净值",IF(C234&lt;=0,"成交净值须大于零",IF(NOT(ISNUMBER(D234)),"缺少确认份额",IF(D234&lt;=0,"确认份额须大于零",IF(NOT(ISNUMBER(F234)),"缺少手续费，无费用请填 0",IF(F234&lt;0,"手续费不能为负",IF(AA233="错误","前行待修正",IF(A234&lt;Z233,"日期需按成交顺序递增",IF(AND(B234="红利再投",F234&lt;&gt;0),"红利再投手续费应填 0",IF(AND(B234="红利再投",K233&lt;=0),"红利再投前须有持仓",IF(AND(B234="卖出",D234&gt;K233+0.000001),"卖出份额超过持仓",IF(AND(B234="卖出",F234&gt;=C234*D234),"赎回费不能达到赎回总额",IF(NOT(ISNUMBER(E234)),"自动金额未生成，请检查五项输入",IF(NOT(OR('持仓总览'!$C$7="利润优先",'持仓总览'!$C$7="本金优先")),"请选择卖出分配模式","已计入")))))))))))))))))))</f>
        <v/>
      </c>
      <c r="J234" s="11">
        <f t="shared" si="59">IF(AA234="正常",IF(I234="已计入",IF(OR(OR(B234="买入",B234="定投",B234="转换转入"),B234="红利再投"),D234,IF(B234="卖出",-D234,0)),0),"")</f>
        <v>0</v>
      </c>
      <c r="K234" s="11">
        <f t="shared" si="64">IF(AA234="正常",ROUND(K233+J234,6),"")</f>
        <v>25721.6</v>
      </c>
      <c r="L234" s="11" t="str">
        <f t="shared" si="65">IF(I234="已计入",ROUND(K233*C234,2),"")</f>
        <v/>
      </c>
      <c r="M234" s="11" t="str">
        <f t="shared" si="66">IF(I234="已计入",IF(B234="卖出",MAX(0,L234-Q233-F234),IF(B234="现金分红",MAX(0,L234+E234-Q233),0)),"")</f>
        <v/>
      </c>
      <c r="N234" s="11" t="str">
        <f>IF(I234="已计入",IF(AND(B234="卖出",'持仓总览'!$C$7="本金优先"),MAX(0,E234-Q233),IF(OR(B234="卖出",B234="现金分红"),MIN(E234,M234),0)),"")</f>
        <v/>
      </c>
      <c r="O234" s="11" t="str">
        <f t="shared" si="67">IF(I234="已计入",IF(OR(B234="卖出",B234="现金分红"),MIN(Q233,MAX(0,E234-N234)),0),"")</f>
        <v/>
      </c>
      <c r="P234" s="11" t="str">
        <f t="shared" si="68">IF(I234="已计入",IF(AND(B234="卖出",K234=0),MAX(0,Q233-O234),0),"")</f>
        <v/>
      </c>
      <c r="Q234" s="11">
        <f t="shared" si="69">IF(AA234="正常",IF(I234="已计入",ROUND(Q233+IF(OR(B234="买入",B234="定投",B234="转换转入"),E234,0)-O234-P234,2),Q233),"")</f>
        <v>129570</v>
      </c>
      <c r="R234" s="11" t="str">
        <f t="shared" si="60">IF(I234="已计入",ROUND(K234*C234,2),"")</f>
        <v/>
      </c>
      <c r="S234" s="11" t="str">
        <f t="shared" si="61">IF(I234="已计入",ROUND(R234-Q234,2),"")</f>
        <v/>
      </c>
      <c r="T234" s="12" t="str">
        <f t="shared" si="62">IF(I234="已计入",IF(Q234=0,"",S234/Q234),"")</f>
        <v/>
      </c>
      <c r="U234" s="11">
        <f t="shared" si="70">IF(AA234="正常",U233+IF(AND(I234="已计入",OR(B234="买入",B234="定投",B234="转换转入")),E234,0),"")</f>
        <v>129570</v>
      </c>
      <c r="V234" s="11">
        <f t="shared" si="71">IF(AA234="正常",V233+IF(AND(I234="已计入",OR(B234="卖出",B234="现金分红")),E234,0),"")</f>
        <v>0</v>
      </c>
      <c r="W234" s="11">
        <f t="shared" si="72">IF(AA234="正常",W233+IF(I234="已计入",N234,0),"")</f>
        <v>0</v>
      </c>
      <c r="X234" s="11">
        <f t="shared" si="73">IF(AA234="正常",X233+IF(I234="已计入",P234,0),"")</f>
        <v>0</v>
      </c>
      <c r="Y234" s="11" t="str">
        <f t="shared" si="63">IF(I234="已计入",ROUND(R234+V234-U234,2),"")</f>
        <v/>
      </c>
      <c r="Z234" s="13">
        <f t="shared" si="74">IF(AA234="正常",IF(I234="已计入",A234,Z233),"")</f>
        <v>46239</v>
      </c>
      <c r="AA234" s="10" t="str">
        <f>IF(OR($AA$134="错误",COUNTIF($G$135:G234,"待修正")&gt;0),"错误","正常")</f>
        <v>正常</v>
      </c>
      <c r="AB234" s="14">
        <f t="shared" si="75">IF(AA234="正常",IF(I234="已计入",C234,AB233),"")</f>
        <v>6.347</v>
      </c>
    </row>
    <row r="235" ht="23" customHeight="1">
      <c r="A235" s="36"/>
      <c r="B235" s="37"/>
      <c r="C235" s="38"/>
      <c r="D235" s="39"/>
      <c r="E235" s="44" t="str">
        <f t="shared" si="56">IF(AND(ISNUMBER(C235),ISNUMBER(D235),ISNUMBER(F235)),IF(OR(B235="买入",B235="定投"),ROUND(C235*D235+F235,2),IF(B235="卖出",ROUND(C235*D235-F235,2),IF(B235="红利再投",0,""))),"")</f>
        <v/>
      </c>
      <c r="F235" s="39"/>
      <c r="G235" s="45" t="str">
        <f t="shared" si="57">IF(COUNTA(A235:D235,F235)=0,"",IF(I235="已计入","已录入","待修正"))</f>
        <v/>
      </c>
      <c r="H235" s="46" t="str">
        <f t="shared" si="58">IF(COUNTA(A235:D235,F235)=0,"",IF(B235="红利再投","仅增加份额，不增加现金投入","金额由份额、净值和手续费推算"))</f>
        <v/>
      </c>
      <c r="I235" s="10" t="str">
        <f>IF(COUNTA(A235:D235,F235)=0,"",IF(NOT(ISNUMBER(A235)),"缺少有效净值日期",IF(OR(A235&lt;=0,A235&lt;&gt;INT(A235)),"净值日期无效",IF(OR(B235="转换转入",B235="现金分红"),"该类型需实际金额，五项录入不适用",IF(NOT(OR(OR(B235="买入",B235="定投"),B235="卖出",B235="红利再投")),"请选择交易类型",IF(NOT(ISNUMBER(C235)),"缺少成交净值",IF(C235&lt;=0,"成交净值须大于零",IF(NOT(ISNUMBER(D235)),"缺少确认份额",IF(D235&lt;=0,"确认份额须大于零",IF(NOT(ISNUMBER(F235)),"缺少手续费，无费用请填 0",IF(F235&lt;0,"手续费不能为负",IF(AA234="错误","前行待修正",IF(A235&lt;Z234,"日期需按成交顺序递增",IF(AND(B235="红利再投",F235&lt;&gt;0),"红利再投手续费应填 0",IF(AND(B235="红利再投",K234&lt;=0),"红利再投前须有持仓",IF(AND(B235="卖出",D235&gt;K234+0.000001),"卖出份额超过持仓",IF(AND(B235="卖出",F235&gt;=C235*D235),"赎回费不能达到赎回总额",IF(NOT(ISNUMBER(E235)),"自动金额未生成，请检查五项输入",IF(NOT(OR('持仓总览'!$C$7="利润优先",'持仓总览'!$C$7="本金优先")),"请选择卖出分配模式","已计入")))))))))))))))))))</f>
        <v/>
      </c>
      <c r="J235" s="11">
        <f t="shared" si="59">IF(AA235="正常",IF(I235="已计入",IF(OR(OR(B235="买入",B235="定投",B235="转换转入"),B235="红利再投"),D235,IF(B235="卖出",-D235,0)),0),"")</f>
        <v>0</v>
      </c>
      <c r="K235" s="11">
        <f t="shared" si="64">IF(AA235="正常",ROUND(K234+J235,6),"")</f>
        <v>25721.6</v>
      </c>
      <c r="L235" s="11" t="str">
        <f t="shared" si="65">IF(I235="已计入",ROUND(K234*C235,2),"")</f>
        <v/>
      </c>
      <c r="M235" s="11" t="str">
        <f t="shared" si="66">IF(I235="已计入",IF(B235="卖出",MAX(0,L235-Q234-F235),IF(B235="现金分红",MAX(0,L235+E235-Q234),0)),"")</f>
        <v/>
      </c>
      <c r="N235" s="11" t="str">
        <f>IF(I235="已计入",IF(AND(B235="卖出",'持仓总览'!$C$7="本金优先"),MAX(0,E235-Q234),IF(OR(B235="卖出",B235="现金分红"),MIN(E235,M235),0)),"")</f>
        <v/>
      </c>
      <c r="O235" s="11" t="str">
        <f t="shared" si="67">IF(I235="已计入",IF(OR(B235="卖出",B235="现金分红"),MIN(Q234,MAX(0,E235-N235)),0),"")</f>
        <v/>
      </c>
      <c r="P235" s="11" t="str">
        <f t="shared" si="68">IF(I235="已计入",IF(AND(B235="卖出",K235=0),MAX(0,Q234-O235),0),"")</f>
        <v/>
      </c>
      <c r="Q235" s="11">
        <f t="shared" si="69">IF(AA235="正常",IF(I235="已计入",ROUND(Q234+IF(OR(B235="买入",B235="定投",B235="转换转入"),E235,0)-O235-P235,2),Q234),"")</f>
        <v>129570</v>
      </c>
      <c r="R235" s="11" t="str">
        <f t="shared" si="60">IF(I235="已计入",ROUND(K235*C235,2),"")</f>
        <v/>
      </c>
      <c r="S235" s="11" t="str">
        <f t="shared" si="61">IF(I235="已计入",ROUND(R235-Q235,2),"")</f>
        <v/>
      </c>
      <c r="T235" s="12" t="str">
        <f t="shared" si="62">IF(I235="已计入",IF(Q235=0,"",S235/Q235),"")</f>
        <v/>
      </c>
      <c r="U235" s="11">
        <f t="shared" si="70">IF(AA235="正常",U234+IF(AND(I235="已计入",OR(B235="买入",B235="定投",B235="转换转入")),E235,0),"")</f>
        <v>129570</v>
      </c>
      <c r="V235" s="11">
        <f t="shared" si="71">IF(AA235="正常",V234+IF(AND(I235="已计入",OR(B235="卖出",B235="现金分红")),E235,0),"")</f>
        <v>0</v>
      </c>
      <c r="W235" s="11">
        <f t="shared" si="72">IF(AA235="正常",W234+IF(I235="已计入",N235,0),"")</f>
        <v>0</v>
      </c>
      <c r="X235" s="11">
        <f t="shared" si="73">IF(AA235="正常",X234+IF(I235="已计入",P235,0),"")</f>
        <v>0</v>
      </c>
      <c r="Y235" s="11" t="str">
        <f t="shared" si="63">IF(I235="已计入",ROUND(R235+V235-U235,2),"")</f>
        <v/>
      </c>
      <c r="Z235" s="13">
        <f t="shared" si="74">IF(AA235="正常",IF(I235="已计入",A235,Z234),"")</f>
        <v>46239</v>
      </c>
      <c r="AA235" s="10" t="str">
        <f>IF(OR($AA$134="错误",COUNTIF($G$135:G235,"待修正")&gt;0),"错误","正常")</f>
        <v>正常</v>
      </c>
      <c r="AB235" s="14">
        <f t="shared" si="75">IF(AA235="正常",IF(I235="已计入",C235,AB234),"")</f>
        <v>6.347</v>
      </c>
    </row>
    <row r="236" ht="23" customHeight="1">
      <c r="A236" s="36"/>
      <c r="B236" s="37"/>
      <c r="C236" s="38"/>
      <c r="D236" s="39"/>
      <c r="E236" s="44" t="str">
        <f t="shared" si="56">IF(AND(ISNUMBER(C236),ISNUMBER(D236),ISNUMBER(F236)),IF(OR(B236="买入",B236="定投"),ROUND(C236*D236+F236,2),IF(B236="卖出",ROUND(C236*D236-F236,2),IF(B236="红利再投",0,""))),"")</f>
        <v/>
      </c>
      <c r="F236" s="39"/>
      <c r="G236" s="45" t="str">
        <f t="shared" si="57">IF(COUNTA(A236:D236,F236)=0,"",IF(I236="已计入","已录入","待修正"))</f>
        <v/>
      </c>
      <c r="H236" s="46" t="str">
        <f t="shared" si="58">IF(COUNTA(A236:D236,F236)=0,"",IF(B236="红利再投","仅增加份额，不增加现金投入","金额由份额、净值和手续费推算"))</f>
        <v/>
      </c>
      <c r="I236" s="10" t="str">
        <f>IF(COUNTA(A236:D236,F236)=0,"",IF(NOT(ISNUMBER(A236)),"缺少有效净值日期",IF(OR(A236&lt;=0,A236&lt;&gt;INT(A236)),"净值日期无效",IF(OR(B236="转换转入",B236="现金分红"),"该类型需实际金额，五项录入不适用",IF(NOT(OR(OR(B236="买入",B236="定投"),B236="卖出",B236="红利再投")),"请选择交易类型",IF(NOT(ISNUMBER(C236)),"缺少成交净值",IF(C236&lt;=0,"成交净值须大于零",IF(NOT(ISNUMBER(D236)),"缺少确认份额",IF(D236&lt;=0,"确认份额须大于零",IF(NOT(ISNUMBER(F236)),"缺少手续费，无费用请填 0",IF(F236&lt;0,"手续费不能为负",IF(AA235="错误","前行待修正",IF(A236&lt;Z235,"日期需按成交顺序递增",IF(AND(B236="红利再投",F236&lt;&gt;0),"红利再投手续费应填 0",IF(AND(B236="红利再投",K235&lt;=0),"红利再投前须有持仓",IF(AND(B236="卖出",D236&gt;K235+0.000001),"卖出份额超过持仓",IF(AND(B236="卖出",F236&gt;=C236*D236),"赎回费不能达到赎回总额",IF(NOT(ISNUMBER(E236)),"自动金额未生成，请检查五项输入",IF(NOT(OR('持仓总览'!$C$7="利润优先",'持仓总览'!$C$7="本金优先")),"请选择卖出分配模式","已计入")))))))))))))))))))</f>
        <v/>
      </c>
      <c r="J236" s="11">
        <f t="shared" si="59">IF(AA236="正常",IF(I236="已计入",IF(OR(OR(B236="买入",B236="定投",B236="转换转入"),B236="红利再投"),D236,IF(B236="卖出",-D236,0)),0),"")</f>
        <v>0</v>
      </c>
      <c r="K236" s="11">
        <f t="shared" si="64">IF(AA236="正常",ROUND(K235+J236,6),"")</f>
        <v>25721.6</v>
      </c>
      <c r="L236" s="11" t="str">
        <f t="shared" si="65">IF(I236="已计入",ROUND(K235*C236,2),"")</f>
        <v/>
      </c>
      <c r="M236" s="11" t="str">
        <f t="shared" si="66">IF(I236="已计入",IF(B236="卖出",MAX(0,L236-Q235-F236),IF(B236="现金分红",MAX(0,L236+E236-Q235),0)),"")</f>
        <v/>
      </c>
      <c r="N236" s="11" t="str">
        <f>IF(I236="已计入",IF(AND(B236="卖出",'持仓总览'!$C$7="本金优先"),MAX(0,E236-Q235),IF(OR(B236="卖出",B236="现金分红"),MIN(E236,M236),0)),"")</f>
        <v/>
      </c>
      <c r="O236" s="11" t="str">
        <f t="shared" si="67">IF(I236="已计入",IF(OR(B236="卖出",B236="现金分红"),MIN(Q235,MAX(0,E236-N236)),0),"")</f>
        <v/>
      </c>
      <c r="P236" s="11" t="str">
        <f t="shared" si="68">IF(I236="已计入",IF(AND(B236="卖出",K236=0),MAX(0,Q235-O236),0),"")</f>
        <v/>
      </c>
      <c r="Q236" s="11">
        <f t="shared" si="69">IF(AA236="正常",IF(I236="已计入",ROUND(Q235+IF(OR(B236="买入",B236="定投",B236="转换转入"),E236,0)-O236-P236,2),Q235),"")</f>
        <v>129570</v>
      </c>
      <c r="R236" s="11" t="str">
        <f t="shared" si="60">IF(I236="已计入",ROUND(K236*C236,2),"")</f>
        <v/>
      </c>
      <c r="S236" s="11" t="str">
        <f t="shared" si="61">IF(I236="已计入",ROUND(R236-Q236,2),"")</f>
        <v/>
      </c>
      <c r="T236" s="12" t="str">
        <f t="shared" si="62">IF(I236="已计入",IF(Q236=0,"",S236/Q236),"")</f>
        <v/>
      </c>
      <c r="U236" s="11">
        <f t="shared" si="70">IF(AA236="正常",U235+IF(AND(I236="已计入",OR(B236="买入",B236="定投",B236="转换转入")),E236,0),"")</f>
        <v>129570</v>
      </c>
      <c r="V236" s="11">
        <f t="shared" si="71">IF(AA236="正常",V235+IF(AND(I236="已计入",OR(B236="卖出",B236="现金分红")),E236,0),"")</f>
        <v>0</v>
      </c>
      <c r="W236" s="11">
        <f t="shared" si="72">IF(AA236="正常",W235+IF(I236="已计入",N236,0),"")</f>
        <v>0</v>
      </c>
      <c r="X236" s="11">
        <f t="shared" si="73">IF(AA236="正常",X235+IF(I236="已计入",P236,0),"")</f>
        <v>0</v>
      </c>
      <c r="Y236" s="11" t="str">
        <f t="shared" si="63">IF(I236="已计入",ROUND(R236+V236-U236,2),"")</f>
        <v/>
      </c>
      <c r="Z236" s="13">
        <f t="shared" si="74">IF(AA236="正常",IF(I236="已计入",A236,Z235),"")</f>
        <v>46239</v>
      </c>
      <c r="AA236" s="10" t="str">
        <f>IF(OR($AA$134="错误",COUNTIF($G$135:G236,"待修正")&gt;0),"错误","正常")</f>
        <v>正常</v>
      </c>
      <c r="AB236" s="14">
        <f t="shared" si="75">IF(AA236="正常",IF(I236="已计入",C236,AB235),"")</f>
        <v>6.347</v>
      </c>
    </row>
    <row r="237" ht="23" customHeight="1">
      <c r="A237" s="36"/>
      <c r="B237" s="37"/>
      <c r="C237" s="38"/>
      <c r="D237" s="39"/>
      <c r="E237" s="44" t="str">
        <f t="shared" si="56">IF(AND(ISNUMBER(C237),ISNUMBER(D237),ISNUMBER(F237)),IF(OR(B237="买入",B237="定投"),ROUND(C237*D237+F237,2),IF(B237="卖出",ROUND(C237*D237-F237,2),IF(B237="红利再投",0,""))),"")</f>
        <v/>
      </c>
      <c r="F237" s="39"/>
      <c r="G237" s="45" t="str">
        <f t="shared" si="57">IF(COUNTA(A237:D237,F237)=0,"",IF(I237="已计入","已录入","待修正"))</f>
        <v/>
      </c>
      <c r="H237" s="46" t="str">
        <f t="shared" si="58">IF(COUNTA(A237:D237,F237)=0,"",IF(B237="红利再投","仅增加份额，不增加现金投入","金额由份额、净值和手续费推算"))</f>
        <v/>
      </c>
      <c r="I237" s="10" t="str">
        <f>IF(COUNTA(A237:D237,F237)=0,"",IF(NOT(ISNUMBER(A237)),"缺少有效净值日期",IF(OR(A237&lt;=0,A237&lt;&gt;INT(A237)),"净值日期无效",IF(OR(B237="转换转入",B237="现金分红"),"该类型需实际金额，五项录入不适用",IF(NOT(OR(OR(B237="买入",B237="定投"),B237="卖出",B237="红利再投")),"请选择交易类型",IF(NOT(ISNUMBER(C237)),"缺少成交净值",IF(C237&lt;=0,"成交净值须大于零",IF(NOT(ISNUMBER(D237)),"缺少确认份额",IF(D237&lt;=0,"确认份额须大于零",IF(NOT(ISNUMBER(F237)),"缺少手续费，无费用请填 0",IF(F237&lt;0,"手续费不能为负",IF(AA236="错误","前行待修正",IF(A237&lt;Z236,"日期需按成交顺序递增",IF(AND(B237="红利再投",F237&lt;&gt;0),"红利再投手续费应填 0",IF(AND(B237="红利再投",K236&lt;=0),"红利再投前须有持仓",IF(AND(B237="卖出",D237&gt;K236+0.000001),"卖出份额超过持仓",IF(AND(B237="卖出",F237&gt;=C237*D237),"赎回费不能达到赎回总额",IF(NOT(ISNUMBER(E237)),"自动金额未生成，请检查五项输入",IF(NOT(OR('持仓总览'!$C$7="利润优先",'持仓总览'!$C$7="本金优先")),"请选择卖出分配模式","已计入")))))))))))))))))))</f>
        <v/>
      </c>
      <c r="J237" s="11">
        <f t="shared" si="59">IF(AA237="正常",IF(I237="已计入",IF(OR(OR(B237="买入",B237="定投",B237="转换转入"),B237="红利再投"),D237,IF(B237="卖出",-D237,0)),0),"")</f>
        <v>0</v>
      </c>
      <c r="K237" s="11">
        <f t="shared" si="64">IF(AA237="正常",ROUND(K236+J237,6),"")</f>
        <v>25721.6</v>
      </c>
      <c r="L237" s="11" t="str">
        <f t="shared" si="65">IF(I237="已计入",ROUND(K236*C237,2),"")</f>
        <v/>
      </c>
      <c r="M237" s="11" t="str">
        <f t="shared" si="66">IF(I237="已计入",IF(B237="卖出",MAX(0,L237-Q236-F237),IF(B237="现金分红",MAX(0,L237+E237-Q236),0)),"")</f>
        <v/>
      </c>
      <c r="N237" s="11" t="str">
        <f>IF(I237="已计入",IF(AND(B237="卖出",'持仓总览'!$C$7="本金优先"),MAX(0,E237-Q236),IF(OR(B237="卖出",B237="现金分红"),MIN(E237,M237),0)),"")</f>
        <v/>
      </c>
      <c r="O237" s="11" t="str">
        <f t="shared" si="67">IF(I237="已计入",IF(OR(B237="卖出",B237="现金分红"),MIN(Q236,MAX(0,E237-N237)),0),"")</f>
        <v/>
      </c>
      <c r="P237" s="11" t="str">
        <f t="shared" si="68">IF(I237="已计入",IF(AND(B237="卖出",K237=0),MAX(0,Q236-O237),0),"")</f>
        <v/>
      </c>
      <c r="Q237" s="11">
        <f t="shared" si="69">IF(AA237="正常",IF(I237="已计入",ROUND(Q236+IF(OR(B237="买入",B237="定投",B237="转换转入"),E237,0)-O237-P237,2),Q236),"")</f>
        <v>129570</v>
      </c>
      <c r="R237" s="11" t="str">
        <f t="shared" si="60">IF(I237="已计入",ROUND(K237*C237,2),"")</f>
        <v/>
      </c>
      <c r="S237" s="11" t="str">
        <f t="shared" si="61">IF(I237="已计入",ROUND(R237-Q237,2),"")</f>
        <v/>
      </c>
      <c r="T237" s="12" t="str">
        <f t="shared" si="62">IF(I237="已计入",IF(Q237=0,"",S237/Q237),"")</f>
        <v/>
      </c>
      <c r="U237" s="11">
        <f t="shared" si="70">IF(AA237="正常",U236+IF(AND(I237="已计入",OR(B237="买入",B237="定投",B237="转换转入")),E237,0),"")</f>
        <v>129570</v>
      </c>
      <c r="V237" s="11">
        <f t="shared" si="71">IF(AA237="正常",V236+IF(AND(I237="已计入",OR(B237="卖出",B237="现金分红")),E237,0),"")</f>
        <v>0</v>
      </c>
      <c r="W237" s="11">
        <f t="shared" si="72">IF(AA237="正常",W236+IF(I237="已计入",N237,0),"")</f>
        <v>0</v>
      </c>
      <c r="X237" s="11">
        <f t="shared" si="73">IF(AA237="正常",X236+IF(I237="已计入",P237,0),"")</f>
        <v>0</v>
      </c>
      <c r="Y237" s="11" t="str">
        <f t="shared" si="63">IF(I237="已计入",ROUND(R237+V237-U237,2),"")</f>
        <v/>
      </c>
      <c r="Z237" s="13">
        <f t="shared" si="74">IF(AA237="正常",IF(I237="已计入",A237,Z236),"")</f>
        <v>46239</v>
      </c>
      <c r="AA237" s="10" t="str">
        <f>IF(OR($AA$134="错误",COUNTIF($G$135:G237,"待修正")&gt;0),"错误","正常")</f>
        <v>正常</v>
      </c>
      <c r="AB237" s="14">
        <f t="shared" si="75">IF(AA237="正常",IF(I237="已计入",C237,AB236),"")</f>
        <v>6.347</v>
      </c>
    </row>
    <row r="238" ht="23" customHeight="1">
      <c r="A238" s="36"/>
      <c r="B238" s="37"/>
      <c r="C238" s="38"/>
      <c r="D238" s="39"/>
      <c r="E238" s="44" t="str">
        <f t="shared" si="56">IF(AND(ISNUMBER(C238),ISNUMBER(D238),ISNUMBER(F238)),IF(OR(B238="买入",B238="定投"),ROUND(C238*D238+F238,2),IF(B238="卖出",ROUND(C238*D238-F238,2),IF(B238="红利再投",0,""))),"")</f>
        <v/>
      </c>
      <c r="F238" s="39"/>
      <c r="G238" s="45" t="str">
        <f t="shared" si="57">IF(COUNTA(A238:D238,F238)=0,"",IF(I238="已计入","已录入","待修正"))</f>
        <v/>
      </c>
      <c r="H238" s="46" t="str">
        <f t="shared" si="58">IF(COUNTA(A238:D238,F238)=0,"",IF(B238="红利再投","仅增加份额，不增加现金投入","金额由份额、净值和手续费推算"))</f>
        <v/>
      </c>
      <c r="I238" s="10" t="str">
        <f>IF(COUNTA(A238:D238,F238)=0,"",IF(NOT(ISNUMBER(A238)),"缺少有效净值日期",IF(OR(A238&lt;=0,A238&lt;&gt;INT(A238)),"净值日期无效",IF(OR(B238="转换转入",B238="现金分红"),"该类型需实际金额，五项录入不适用",IF(NOT(OR(OR(B238="买入",B238="定投"),B238="卖出",B238="红利再投")),"请选择交易类型",IF(NOT(ISNUMBER(C238)),"缺少成交净值",IF(C238&lt;=0,"成交净值须大于零",IF(NOT(ISNUMBER(D238)),"缺少确认份额",IF(D238&lt;=0,"确认份额须大于零",IF(NOT(ISNUMBER(F238)),"缺少手续费，无费用请填 0",IF(F238&lt;0,"手续费不能为负",IF(AA237="错误","前行待修正",IF(A238&lt;Z237,"日期需按成交顺序递增",IF(AND(B238="红利再投",F238&lt;&gt;0),"红利再投手续费应填 0",IF(AND(B238="红利再投",K237&lt;=0),"红利再投前须有持仓",IF(AND(B238="卖出",D238&gt;K237+0.000001),"卖出份额超过持仓",IF(AND(B238="卖出",F238&gt;=C238*D238),"赎回费不能达到赎回总额",IF(NOT(ISNUMBER(E238)),"自动金额未生成，请检查五项输入",IF(NOT(OR('持仓总览'!$C$7="利润优先",'持仓总览'!$C$7="本金优先")),"请选择卖出分配模式","已计入")))))))))))))))))))</f>
        <v/>
      </c>
      <c r="J238" s="11">
        <f t="shared" si="59">IF(AA238="正常",IF(I238="已计入",IF(OR(OR(B238="买入",B238="定投",B238="转换转入"),B238="红利再投"),D238,IF(B238="卖出",-D238,0)),0),"")</f>
        <v>0</v>
      </c>
      <c r="K238" s="11">
        <f t="shared" si="64">IF(AA238="正常",ROUND(K237+J238,6),"")</f>
        <v>25721.6</v>
      </c>
      <c r="L238" s="11" t="str">
        <f t="shared" si="65">IF(I238="已计入",ROUND(K237*C238,2),"")</f>
        <v/>
      </c>
      <c r="M238" s="11" t="str">
        <f t="shared" si="66">IF(I238="已计入",IF(B238="卖出",MAX(0,L238-Q237-F238),IF(B238="现金分红",MAX(0,L238+E238-Q237),0)),"")</f>
        <v/>
      </c>
      <c r="N238" s="11" t="str">
        <f>IF(I238="已计入",IF(AND(B238="卖出",'持仓总览'!$C$7="本金优先"),MAX(0,E238-Q237),IF(OR(B238="卖出",B238="现金分红"),MIN(E238,M238),0)),"")</f>
        <v/>
      </c>
      <c r="O238" s="11" t="str">
        <f t="shared" si="67">IF(I238="已计入",IF(OR(B238="卖出",B238="现金分红"),MIN(Q237,MAX(0,E238-N238)),0),"")</f>
        <v/>
      </c>
      <c r="P238" s="11" t="str">
        <f t="shared" si="68">IF(I238="已计入",IF(AND(B238="卖出",K238=0),MAX(0,Q237-O238),0),"")</f>
        <v/>
      </c>
      <c r="Q238" s="11">
        <f t="shared" si="69">IF(AA238="正常",IF(I238="已计入",ROUND(Q237+IF(OR(B238="买入",B238="定投",B238="转换转入"),E238,0)-O238-P238,2),Q237),"")</f>
        <v>129570</v>
      </c>
      <c r="R238" s="11" t="str">
        <f t="shared" si="60">IF(I238="已计入",ROUND(K238*C238,2),"")</f>
        <v/>
      </c>
      <c r="S238" s="11" t="str">
        <f t="shared" si="61">IF(I238="已计入",ROUND(R238-Q238,2),"")</f>
        <v/>
      </c>
      <c r="T238" s="12" t="str">
        <f t="shared" si="62">IF(I238="已计入",IF(Q238=0,"",S238/Q238),"")</f>
        <v/>
      </c>
      <c r="U238" s="11">
        <f t="shared" si="70">IF(AA238="正常",U237+IF(AND(I238="已计入",OR(B238="买入",B238="定投",B238="转换转入")),E238,0),"")</f>
        <v>129570</v>
      </c>
      <c r="V238" s="11">
        <f t="shared" si="71">IF(AA238="正常",V237+IF(AND(I238="已计入",OR(B238="卖出",B238="现金分红")),E238,0),"")</f>
        <v>0</v>
      </c>
      <c r="W238" s="11">
        <f t="shared" si="72">IF(AA238="正常",W237+IF(I238="已计入",N238,0),"")</f>
        <v>0</v>
      </c>
      <c r="X238" s="11">
        <f t="shared" si="73">IF(AA238="正常",X237+IF(I238="已计入",P238,0),"")</f>
        <v>0</v>
      </c>
      <c r="Y238" s="11" t="str">
        <f t="shared" si="63">IF(I238="已计入",ROUND(R238+V238-U238,2),"")</f>
        <v/>
      </c>
      <c r="Z238" s="13">
        <f t="shared" si="74">IF(AA238="正常",IF(I238="已计入",A238,Z237),"")</f>
        <v>46239</v>
      </c>
      <c r="AA238" s="10" t="str">
        <f>IF(OR($AA$134="错误",COUNTIF($G$135:G238,"待修正")&gt;0),"错误","正常")</f>
        <v>正常</v>
      </c>
      <c r="AB238" s="14">
        <f t="shared" si="75">IF(AA238="正常",IF(I238="已计入",C238,AB237),"")</f>
        <v>6.347</v>
      </c>
    </row>
    <row r="239" ht="23" customHeight="1">
      <c r="A239" s="36"/>
      <c r="B239" s="37"/>
      <c r="C239" s="38"/>
      <c r="D239" s="39"/>
      <c r="E239" s="44" t="str">
        <f t="shared" si="56">IF(AND(ISNUMBER(C239),ISNUMBER(D239),ISNUMBER(F239)),IF(OR(B239="买入",B239="定投"),ROUND(C239*D239+F239,2),IF(B239="卖出",ROUND(C239*D239-F239,2),IF(B239="红利再投",0,""))),"")</f>
        <v/>
      </c>
      <c r="F239" s="39"/>
      <c r="G239" s="45" t="str">
        <f t="shared" si="57">IF(COUNTA(A239:D239,F239)=0,"",IF(I239="已计入","已录入","待修正"))</f>
        <v/>
      </c>
      <c r="H239" s="46" t="str">
        <f t="shared" si="58">IF(COUNTA(A239:D239,F239)=0,"",IF(B239="红利再投","仅增加份额，不增加现金投入","金额由份额、净值和手续费推算"))</f>
        <v/>
      </c>
      <c r="I239" s="10" t="str">
        <f>IF(COUNTA(A239:D239,F239)=0,"",IF(NOT(ISNUMBER(A239)),"缺少有效净值日期",IF(OR(A239&lt;=0,A239&lt;&gt;INT(A239)),"净值日期无效",IF(OR(B239="转换转入",B239="现金分红"),"该类型需实际金额，五项录入不适用",IF(NOT(OR(OR(B239="买入",B239="定投"),B239="卖出",B239="红利再投")),"请选择交易类型",IF(NOT(ISNUMBER(C239)),"缺少成交净值",IF(C239&lt;=0,"成交净值须大于零",IF(NOT(ISNUMBER(D239)),"缺少确认份额",IF(D239&lt;=0,"确认份额须大于零",IF(NOT(ISNUMBER(F239)),"缺少手续费，无费用请填 0",IF(F239&lt;0,"手续费不能为负",IF(AA238="错误","前行待修正",IF(A239&lt;Z238,"日期需按成交顺序递增",IF(AND(B239="红利再投",F239&lt;&gt;0),"红利再投手续费应填 0",IF(AND(B239="红利再投",K238&lt;=0),"红利再投前须有持仓",IF(AND(B239="卖出",D239&gt;K238+0.000001),"卖出份额超过持仓",IF(AND(B239="卖出",F239&gt;=C239*D239),"赎回费不能达到赎回总额",IF(NOT(ISNUMBER(E239)),"自动金额未生成，请检查五项输入",IF(NOT(OR('持仓总览'!$C$7="利润优先",'持仓总览'!$C$7="本金优先")),"请选择卖出分配模式","已计入")))))))))))))))))))</f>
        <v/>
      </c>
      <c r="J239" s="11">
        <f t="shared" si="59">IF(AA239="正常",IF(I239="已计入",IF(OR(OR(B239="买入",B239="定投",B239="转换转入"),B239="红利再投"),D239,IF(B239="卖出",-D239,0)),0),"")</f>
        <v>0</v>
      </c>
      <c r="K239" s="11">
        <f t="shared" si="64">IF(AA239="正常",ROUND(K238+J239,6),"")</f>
        <v>25721.6</v>
      </c>
      <c r="L239" s="11" t="str">
        <f t="shared" si="65">IF(I239="已计入",ROUND(K238*C239,2),"")</f>
        <v/>
      </c>
      <c r="M239" s="11" t="str">
        <f t="shared" si="66">IF(I239="已计入",IF(B239="卖出",MAX(0,L239-Q238-F239),IF(B239="现金分红",MAX(0,L239+E239-Q238),0)),"")</f>
        <v/>
      </c>
      <c r="N239" s="11" t="str">
        <f>IF(I239="已计入",IF(AND(B239="卖出",'持仓总览'!$C$7="本金优先"),MAX(0,E239-Q238),IF(OR(B239="卖出",B239="现金分红"),MIN(E239,M239),0)),"")</f>
        <v/>
      </c>
      <c r="O239" s="11" t="str">
        <f t="shared" si="67">IF(I239="已计入",IF(OR(B239="卖出",B239="现金分红"),MIN(Q238,MAX(0,E239-N239)),0),"")</f>
        <v/>
      </c>
      <c r="P239" s="11" t="str">
        <f t="shared" si="68">IF(I239="已计入",IF(AND(B239="卖出",K239=0),MAX(0,Q238-O239),0),"")</f>
        <v/>
      </c>
      <c r="Q239" s="11">
        <f t="shared" si="69">IF(AA239="正常",IF(I239="已计入",ROUND(Q238+IF(OR(B239="买入",B239="定投",B239="转换转入"),E239,0)-O239-P239,2),Q238),"")</f>
        <v>129570</v>
      </c>
      <c r="R239" s="11" t="str">
        <f t="shared" si="60">IF(I239="已计入",ROUND(K239*C239,2),"")</f>
        <v/>
      </c>
      <c r="S239" s="11" t="str">
        <f t="shared" si="61">IF(I239="已计入",ROUND(R239-Q239,2),"")</f>
        <v/>
      </c>
      <c r="T239" s="12" t="str">
        <f t="shared" si="62">IF(I239="已计入",IF(Q239=0,"",S239/Q239),"")</f>
        <v/>
      </c>
      <c r="U239" s="11">
        <f t="shared" si="70">IF(AA239="正常",U238+IF(AND(I239="已计入",OR(B239="买入",B239="定投",B239="转换转入")),E239,0),"")</f>
        <v>129570</v>
      </c>
      <c r="V239" s="11">
        <f t="shared" si="71">IF(AA239="正常",V238+IF(AND(I239="已计入",OR(B239="卖出",B239="现金分红")),E239,0),"")</f>
        <v>0</v>
      </c>
      <c r="W239" s="11">
        <f t="shared" si="72">IF(AA239="正常",W238+IF(I239="已计入",N239,0),"")</f>
        <v>0</v>
      </c>
      <c r="X239" s="11">
        <f t="shared" si="73">IF(AA239="正常",X238+IF(I239="已计入",P239,0),"")</f>
        <v>0</v>
      </c>
      <c r="Y239" s="11" t="str">
        <f t="shared" si="63">IF(I239="已计入",ROUND(R239+V239-U239,2),"")</f>
        <v/>
      </c>
      <c r="Z239" s="13">
        <f t="shared" si="74">IF(AA239="正常",IF(I239="已计入",A239,Z238),"")</f>
        <v>46239</v>
      </c>
      <c r="AA239" s="10" t="str">
        <f>IF(OR($AA$134="错误",COUNTIF($G$135:G239,"待修正")&gt;0),"错误","正常")</f>
        <v>正常</v>
      </c>
      <c r="AB239" s="14">
        <f t="shared" si="75">IF(AA239="正常",IF(I239="已计入",C239,AB238),"")</f>
        <v>6.347</v>
      </c>
    </row>
    <row r="240" ht="23" customHeight="1">
      <c r="A240" s="36"/>
      <c r="B240" s="37"/>
      <c r="C240" s="38"/>
      <c r="D240" s="39"/>
      <c r="E240" s="44" t="str">
        <f t="shared" si="56">IF(AND(ISNUMBER(C240),ISNUMBER(D240),ISNUMBER(F240)),IF(OR(B240="买入",B240="定投"),ROUND(C240*D240+F240,2),IF(B240="卖出",ROUND(C240*D240-F240,2),IF(B240="红利再投",0,""))),"")</f>
        <v/>
      </c>
      <c r="F240" s="39"/>
      <c r="G240" s="45" t="str">
        <f t="shared" si="57">IF(COUNTA(A240:D240,F240)=0,"",IF(I240="已计入","已录入","待修正"))</f>
        <v/>
      </c>
      <c r="H240" s="46" t="str">
        <f t="shared" si="58">IF(COUNTA(A240:D240,F240)=0,"",IF(B240="红利再投","仅增加份额，不增加现金投入","金额由份额、净值和手续费推算"))</f>
        <v/>
      </c>
      <c r="I240" s="10" t="str">
        <f>IF(COUNTA(A240:D240,F240)=0,"",IF(NOT(ISNUMBER(A240)),"缺少有效净值日期",IF(OR(A240&lt;=0,A240&lt;&gt;INT(A240)),"净值日期无效",IF(OR(B240="转换转入",B240="现金分红"),"该类型需实际金额，五项录入不适用",IF(NOT(OR(OR(B240="买入",B240="定投"),B240="卖出",B240="红利再投")),"请选择交易类型",IF(NOT(ISNUMBER(C240)),"缺少成交净值",IF(C240&lt;=0,"成交净值须大于零",IF(NOT(ISNUMBER(D240)),"缺少确认份额",IF(D240&lt;=0,"确认份额须大于零",IF(NOT(ISNUMBER(F240)),"缺少手续费，无费用请填 0",IF(F240&lt;0,"手续费不能为负",IF(AA239="错误","前行待修正",IF(A240&lt;Z239,"日期需按成交顺序递增",IF(AND(B240="红利再投",F240&lt;&gt;0),"红利再投手续费应填 0",IF(AND(B240="红利再投",K239&lt;=0),"红利再投前须有持仓",IF(AND(B240="卖出",D240&gt;K239+0.000001),"卖出份额超过持仓",IF(AND(B240="卖出",F240&gt;=C240*D240),"赎回费不能达到赎回总额",IF(NOT(ISNUMBER(E240)),"自动金额未生成，请检查五项输入",IF(NOT(OR('持仓总览'!$C$7="利润优先",'持仓总览'!$C$7="本金优先")),"请选择卖出分配模式","已计入")))))))))))))))))))</f>
        <v/>
      </c>
      <c r="J240" s="11">
        <f t="shared" si="59">IF(AA240="正常",IF(I240="已计入",IF(OR(OR(B240="买入",B240="定投",B240="转换转入"),B240="红利再投"),D240,IF(B240="卖出",-D240,0)),0),"")</f>
        <v>0</v>
      </c>
      <c r="K240" s="11">
        <f t="shared" si="64">IF(AA240="正常",ROUND(K239+J240,6),"")</f>
        <v>25721.6</v>
      </c>
      <c r="L240" s="11" t="str">
        <f t="shared" si="65">IF(I240="已计入",ROUND(K239*C240,2),"")</f>
        <v/>
      </c>
      <c r="M240" s="11" t="str">
        <f t="shared" si="66">IF(I240="已计入",IF(B240="卖出",MAX(0,L240-Q239-F240),IF(B240="现金分红",MAX(0,L240+E240-Q239),0)),"")</f>
        <v/>
      </c>
      <c r="N240" s="11" t="str">
        <f>IF(I240="已计入",IF(AND(B240="卖出",'持仓总览'!$C$7="本金优先"),MAX(0,E240-Q239),IF(OR(B240="卖出",B240="现金分红"),MIN(E240,M240),0)),"")</f>
        <v/>
      </c>
      <c r="O240" s="11" t="str">
        <f t="shared" si="67">IF(I240="已计入",IF(OR(B240="卖出",B240="现金分红"),MIN(Q239,MAX(0,E240-N240)),0),"")</f>
        <v/>
      </c>
      <c r="P240" s="11" t="str">
        <f t="shared" si="68">IF(I240="已计入",IF(AND(B240="卖出",K240=0),MAX(0,Q239-O240),0),"")</f>
        <v/>
      </c>
      <c r="Q240" s="11">
        <f t="shared" si="69">IF(AA240="正常",IF(I240="已计入",ROUND(Q239+IF(OR(B240="买入",B240="定投",B240="转换转入"),E240,0)-O240-P240,2),Q239),"")</f>
        <v>129570</v>
      </c>
      <c r="R240" s="11" t="str">
        <f t="shared" si="60">IF(I240="已计入",ROUND(K240*C240,2),"")</f>
        <v/>
      </c>
      <c r="S240" s="11" t="str">
        <f t="shared" si="61">IF(I240="已计入",ROUND(R240-Q240,2),"")</f>
        <v/>
      </c>
      <c r="T240" s="12" t="str">
        <f t="shared" si="62">IF(I240="已计入",IF(Q240=0,"",S240/Q240),"")</f>
        <v/>
      </c>
      <c r="U240" s="11">
        <f t="shared" si="70">IF(AA240="正常",U239+IF(AND(I240="已计入",OR(B240="买入",B240="定投",B240="转换转入")),E240,0),"")</f>
        <v>129570</v>
      </c>
      <c r="V240" s="11">
        <f t="shared" si="71">IF(AA240="正常",V239+IF(AND(I240="已计入",OR(B240="卖出",B240="现金分红")),E240,0),"")</f>
        <v>0</v>
      </c>
      <c r="W240" s="11">
        <f t="shared" si="72">IF(AA240="正常",W239+IF(I240="已计入",N240,0),"")</f>
        <v>0</v>
      </c>
      <c r="X240" s="11">
        <f t="shared" si="73">IF(AA240="正常",X239+IF(I240="已计入",P240,0),"")</f>
        <v>0</v>
      </c>
      <c r="Y240" s="11" t="str">
        <f t="shared" si="63">IF(I240="已计入",ROUND(R240+V240-U240,2),"")</f>
        <v/>
      </c>
      <c r="Z240" s="13">
        <f t="shared" si="74">IF(AA240="正常",IF(I240="已计入",A240,Z239),"")</f>
        <v>46239</v>
      </c>
      <c r="AA240" s="10" t="str">
        <f>IF(OR($AA$134="错误",COUNTIF($G$135:G240,"待修正")&gt;0),"错误","正常")</f>
        <v>正常</v>
      </c>
      <c r="AB240" s="14">
        <f t="shared" si="75">IF(AA240="正常",IF(I240="已计入",C240,AB239),"")</f>
        <v>6.347</v>
      </c>
    </row>
    <row r="241" ht="23" customHeight="1">
      <c r="A241" s="36"/>
      <c r="B241" s="37"/>
      <c r="C241" s="38"/>
      <c r="D241" s="39"/>
      <c r="E241" s="44" t="str">
        <f t="shared" si="56">IF(AND(ISNUMBER(C241),ISNUMBER(D241),ISNUMBER(F241)),IF(OR(B241="买入",B241="定投"),ROUND(C241*D241+F241,2),IF(B241="卖出",ROUND(C241*D241-F241,2),IF(B241="红利再投",0,""))),"")</f>
        <v/>
      </c>
      <c r="F241" s="39"/>
      <c r="G241" s="45" t="str">
        <f t="shared" si="57">IF(COUNTA(A241:D241,F241)=0,"",IF(I241="已计入","已录入","待修正"))</f>
        <v/>
      </c>
      <c r="H241" s="46" t="str">
        <f t="shared" si="58">IF(COUNTA(A241:D241,F241)=0,"",IF(B241="红利再投","仅增加份额，不增加现金投入","金额由份额、净值和手续费推算"))</f>
        <v/>
      </c>
      <c r="I241" s="10" t="str">
        <f>IF(COUNTA(A241:D241,F241)=0,"",IF(NOT(ISNUMBER(A241)),"缺少有效净值日期",IF(OR(A241&lt;=0,A241&lt;&gt;INT(A241)),"净值日期无效",IF(OR(B241="转换转入",B241="现金分红"),"该类型需实际金额，五项录入不适用",IF(NOT(OR(OR(B241="买入",B241="定投"),B241="卖出",B241="红利再投")),"请选择交易类型",IF(NOT(ISNUMBER(C241)),"缺少成交净值",IF(C241&lt;=0,"成交净值须大于零",IF(NOT(ISNUMBER(D241)),"缺少确认份额",IF(D241&lt;=0,"确认份额须大于零",IF(NOT(ISNUMBER(F241)),"缺少手续费，无费用请填 0",IF(F241&lt;0,"手续费不能为负",IF(AA240="错误","前行待修正",IF(A241&lt;Z240,"日期需按成交顺序递增",IF(AND(B241="红利再投",F241&lt;&gt;0),"红利再投手续费应填 0",IF(AND(B241="红利再投",K240&lt;=0),"红利再投前须有持仓",IF(AND(B241="卖出",D241&gt;K240+0.000001),"卖出份额超过持仓",IF(AND(B241="卖出",F241&gt;=C241*D241),"赎回费不能达到赎回总额",IF(NOT(ISNUMBER(E241)),"自动金额未生成，请检查五项输入",IF(NOT(OR('持仓总览'!$C$7="利润优先",'持仓总览'!$C$7="本金优先")),"请选择卖出分配模式","已计入")))))))))))))))))))</f>
        <v/>
      </c>
      <c r="J241" s="11">
        <f t="shared" si="59">IF(AA241="正常",IF(I241="已计入",IF(OR(OR(B241="买入",B241="定投",B241="转换转入"),B241="红利再投"),D241,IF(B241="卖出",-D241,0)),0),"")</f>
        <v>0</v>
      </c>
      <c r="K241" s="11">
        <f t="shared" si="64">IF(AA241="正常",ROUND(K240+J241,6),"")</f>
        <v>25721.6</v>
      </c>
      <c r="L241" s="11" t="str">
        <f t="shared" si="65">IF(I241="已计入",ROUND(K240*C241,2),"")</f>
        <v/>
      </c>
      <c r="M241" s="11" t="str">
        <f t="shared" si="66">IF(I241="已计入",IF(B241="卖出",MAX(0,L241-Q240-F241),IF(B241="现金分红",MAX(0,L241+E241-Q240),0)),"")</f>
        <v/>
      </c>
      <c r="N241" s="11" t="str">
        <f>IF(I241="已计入",IF(AND(B241="卖出",'持仓总览'!$C$7="本金优先"),MAX(0,E241-Q240),IF(OR(B241="卖出",B241="现金分红"),MIN(E241,M241),0)),"")</f>
        <v/>
      </c>
      <c r="O241" s="11" t="str">
        <f t="shared" si="67">IF(I241="已计入",IF(OR(B241="卖出",B241="现金分红"),MIN(Q240,MAX(0,E241-N241)),0),"")</f>
        <v/>
      </c>
      <c r="P241" s="11" t="str">
        <f t="shared" si="68">IF(I241="已计入",IF(AND(B241="卖出",K241=0),MAX(0,Q240-O241),0),"")</f>
        <v/>
      </c>
      <c r="Q241" s="11">
        <f t="shared" si="69">IF(AA241="正常",IF(I241="已计入",ROUND(Q240+IF(OR(B241="买入",B241="定投",B241="转换转入"),E241,0)-O241-P241,2),Q240),"")</f>
        <v>129570</v>
      </c>
      <c r="R241" s="11" t="str">
        <f t="shared" si="60">IF(I241="已计入",ROUND(K241*C241,2),"")</f>
        <v/>
      </c>
      <c r="S241" s="11" t="str">
        <f t="shared" si="61">IF(I241="已计入",ROUND(R241-Q241,2),"")</f>
        <v/>
      </c>
      <c r="T241" s="12" t="str">
        <f t="shared" si="62">IF(I241="已计入",IF(Q241=0,"",S241/Q241),"")</f>
        <v/>
      </c>
      <c r="U241" s="11">
        <f t="shared" si="70">IF(AA241="正常",U240+IF(AND(I241="已计入",OR(B241="买入",B241="定投",B241="转换转入")),E241,0),"")</f>
        <v>129570</v>
      </c>
      <c r="V241" s="11">
        <f t="shared" si="71">IF(AA241="正常",V240+IF(AND(I241="已计入",OR(B241="卖出",B241="现金分红")),E241,0),"")</f>
        <v>0</v>
      </c>
      <c r="W241" s="11">
        <f t="shared" si="72">IF(AA241="正常",W240+IF(I241="已计入",N241,0),"")</f>
        <v>0</v>
      </c>
      <c r="X241" s="11">
        <f t="shared" si="73">IF(AA241="正常",X240+IF(I241="已计入",P241,0),"")</f>
        <v>0</v>
      </c>
      <c r="Y241" s="11" t="str">
        <f t="shared" si="63">IF(I241="已计入",ROUND(R241+V241-U241,2),"")</f>
        <v/>
      </c>
      <c r="Z241" s="13">
        <f t="shared" si="74">IF(AA241="正常",IF(I241="已计入",A241,Z240),"")</f>
        <v>46239</v>
      </c>
      <c r="AA241" s="10" t="str">
        <f>IF(OR($AA$134="错误",COUNTIF($G$135:G241,"待修正")&gt;0),"错误","正常")</f>
        <v>正常</v>
      </c>
      <c r="AB241" s="14">
        <f t="shared" si="75">IF(AA241="正常",IF(I241="已计入",C241,AB240),"")</f>
        <v>6.347</v>
      </c>
    </row>
    <row r="242" ht="23" customHeight="1">
      <c r="A242" s="36"/>
      <c r="B242" s="37"/>
      <c r="C242" s="38"/>
      <c r="D242" s="39"/>
      <c r="E242" s="44" t="str">
        <f t="shared" si="56">IF(AND(ISNUMBER(C242),ISNUMBER(D242),ISNUMBER(F242)),IF(OR(B242="买入",B242="定投"),ROUND(C242*D242+F242,2),IF(B242="卖出",ROUND(C242*D242-F242,2),IF(B242="红利再投",0,""))),"")</f>
        <v/>
      </c>
      <c r="F242" s="39"/>
      <c r="G242" s="45" t="str">
        <f t="shared" si="57">IF(COUNTA(A242:D242,F242)=0,"",IF(I242="已计入","已录入","待修正"))</f>
        <v/>
      </c>
      <c r="H242" s="46" t="str">
        <f t="shared" si="58">IF(COUNTA(A242:D242,F242)=0,"",IF(B242="红利再投","仅增加份额，不增加现金投入","金额由份额、净值和手续费推算"))</f>
        <v/>
      </c>
      <c r="I242" s="10" t="str">
        <f>IF(COUNTA(A242:D242,F242)=0,"",IF(NOT(ISNUMBER(A242)),"缺少有效净值日期",IF(OR(A242&lt;=0,A242&lt;&gt;INT(A242)),"净值日期无效",IF(OR(B242="转换转入",B242="现金分红"),"该类型需实际金额，五项录入不适用",IF(NOT(OR(OR(B242="买入",B242="定投"),B242="卖出",B242="红利再投")),"请选择交易类型",IF(NOT(ISNUMBER(C242)),"缺少成交净值",IF(C242&lt;=0,"成交净值须大于零",IF(NOT(ISNUMBER(D242)),"缺少确认份额",IF(D242&lt;=0,"确认份额须大于零",IF(NOT(ISNUMBER(F242)),"缺少手续费，无费用请填 0",IF(F242&lt;0,"手续费不能为负",IF(AA241="错误","前行待修正",IF(A242&lt;Z241,"日期需按成交顺序递增",IF(AND(B242="红利再投",F242&lt;&gt;0),"红利再投手续费应填 0",IF(AND(B242="红利再投",K241&lt;=0),"红利再投前须有持仓",IF(AND(B242="卖出",D242&gt;K241+0.000001),"卖出份额超过持仓",IF(AND(B242="卖出",F242&gt;=C242*D242),"赎回费不能达到赎回总额",IF(NOT(ISNUMBER(E242)),"自动金额未生成，请检查五项输入",IF(NOT(OR('持仓总览'!$C$7="利润优先",'持仓总览'!$C$7="本金优先")),"请选择卖出分配模式","已计入")))))))))))))))))))</f>
        <v/>
      </c>
      <c r="J242" s="11">
        <f t="shared" si="59">IF(AA242="正常",IF(I242="已计入",IF(OR(OR(B242="买入",B242="定投",B242="转换转入"),B242="红利再投"),D242,IF(B242="卖出",-D242,0)),0),"")</f>
        <v>0</v>
      </c>
      <c r="K242" s="11">
        <f t="shared" si="64">IF(AA242="正常",ROUND(K241+J242,6),"")</f>
        <v>25721.6</v>
      </c>
      <c r="L242" s="11" t="str">
        <f t="shared" si="65">IF(I242="已计入",ROUND(K241*C242,2),"")</f>
        <v/>
      </c>
      <c r="M242" s="11" t="str">
        <f t="shared" si="66">IF(I242="已计入",IF(B242="卖出",MAX(0,L242-Q241-F242),IF(B242="现金分红",MAX(0,L242+E242-Q241),0)),"")</f>
        <v/>
      </c>
      <c r="N242" s="11" t="str">
        <f>IF(I242="已计入",IF(AND(B242="卖出",'持仓总览'!$C$7="本金优先"),MAX(0,E242-Q241),IF(OR(B242="卖出",B242="现金分红"),MIN(E242,M242),0)),"")</f>
        <v/>
      </c>
      <c r="O242" s="11" t="str">
        <f t="shared" si="67">IF(I242="已计入",IF(OR(B242="卖出",B242="现金分红"),MIN(Q241,MAX(0,E242-N242)),0),"")</f>
        <v/>
      </c>
      <c r="P242" s="11" t="str">
        <f t="shared" si="68">IF(I242="已计入",IF(AND(B242="卖出",K242=0),MAX(0,Q241-O242),0),"")</f>
        <v/>
      </c>
      <c r="Q242" s="11">
        <f t="shared" si="69">IF(AA242="正常",IF(I242="已计入",ROUND(Q241+IF(OR(B242="买入",B242="定投",B242="转换转入"),E242,0)-O242-P242,2),Q241),"")</f>
        <v>129570</v>
      </c>
      <c r="R242" s="11" t="str">
        <f t="shared" si="60">IF(I242="已计入",ROUND(K242*C242,2),"")</f>
        <v/>
      </c>
      <c r="S242" s="11" t="str">
        <f t="shared" si="61">IF(I242="已计入",ROUND(R242-Q242,2),"")</f>
        <v/>
      </c>
      <c r="T242" s="12" t="str">
        <f t="shared" si="62">IF(I242="已计入",IF(Q242=0,"",S242/Q242),"")</f>
        <v/>
      </c>
      <c r="U242" s="11">
        <f t="shared" si="70">IF(AA242="正常",U241+IF(AND(I242="已计入",OR(B242="买入",B242="定投",B242="转换转入")),E242,0),"")</f>
        <v>129570</v>
      </c>
      <c r="V242" s="11">
        <f t="shared" si="71">IF(AA242="正常",V241+IF(AND(I242="已计入",OR(B242="卖出",B242="现金分红")),E242,0),"")</f>
        <v>0</v>
      </c>
      <c r="W242" s="11">
        <f t="shared" si="72">IF(AA242="正常",W241+IF(I242="已计入",N242,0),"")</f>
        <v>0</v>
      </c>
      <c r="X242" s="11">
        <f t="shared" si="73">IF(AA242="正常",X241+IF(I242="已计入",P242,0),"")</f>
        <v>0</v>
      </c>
      <c r="Y242" s="11" t="str">
        <f t="shared" si="63">IF(I242="已计入",ROUND(R242+V242-U242,2),"")</f>
        <v/>
      </c>
      <c r="Z242" s="13">
        <f t="shared" si="74">IF(AA242="正常",IF(I242="已计入",A242,Z241),"")</f>
        <v>46239</v>
      </c>
      <c r="AA242" s="10" t="str">
        <f>IF(OR($AA$134="错误",COUNTIF($G$135:G242,"待修正")&gt;0),"错误","正常")</f>
        <v>正常</v>
      </c>
      <c r="AB242" s="14">
        <f t="shared" si="75">IF(AA242="正常",IF(I242="已计入",C242,AB241),"")</f>
        <v>6.347</v>
      </c>
    </row>
    <row r="243" ht="23" customHeight="1">
      <c r="A243" s="36"/>
      <c r="B243" s="37"/>
      <c r="C243" s="38"/>
      <c r="D243" s="39"/>
      <c r="E243" s="44" t="str">
        <f t="shared" si="56">IF(AND(ISNUMBER(C243),ISNUMBER(D243),ISNUMBER(F243)),IF(OR(B243="买入",B243="定投"),ROUND(C243*D243+F243,2),IF(B243="卖出",ROUND(C243*D243-F243,2),IF(B243="红利再投",0,""))),"")</f>
        <v/>
      </c>
      <c r="F243" s="39"/>
      <c r="G243" s="45" t="str">
        <f t="shared" si="57">IF(COUNTA(A243:D243,F243)=0,"",IF(I243="已计入","已录入","待修正"))</f>
        <v/>
      </c>
      <c r="H243" s="46" t="str">
        <f t="shared" si="58">IF(COUNTA(A243:D243,F243)=0,"",IF(B243="红利再投","仅增加份额，不增加现金投入","金额由份额、净值和手续费推算"))</f>
        <v/>
      </c>
      <c r="I243" s="10" t="str">
        <f>IF(COUNTA(A243:D243,F243)=0,"",IF(NOT(ISNUMBER(A243)),"缺少有效净值日期",IF(OR(A243&lt;=0,A243&lt;&gt;INT(A243)),"净值日期无效",IF(OR(B243="转换转入",B243="现金分红"),"该类型需实际金额，五项录入不适用",IF(NOT(OR(OR(B243="买入",B243="定投"),B243="卖出",B243="红利再投")),"请选择交易类型",IF(NOT(ISNUMBER(C243)),"缺少成交净值",IF(C243&lt;=0,"成交净值须大于零",IF(NOT(ISNUMBER(D243)),"缺少确认份额",IF(D243&lt;=0,"确认份额须大于零",IF(NOT(ISNUMBER(F243)),"缺少手续费，无费用请填 0",IF(F243&lt;0,"手续费不能为负",IF(AA242="错误","前行待修正",IF(A243&lt;Z242,"日期需按成交顺序递增",IF(AND(B243="红利再投",F243&lt;&gt;0),"红利再投手续费应填 0",IF(AND(B243="红利再投",K242&lt;=0),"红利再投前须有持仓",IF(AND(B243="卖出",D243&gt;K242+0.000001),"卖出份额超过持仓",IF(AND(B243="卖出",F243&gt;=C243*D243),"赎回费不能达到赎回总额",IF(NOT(ISNUMBER(E243)),"自动金额未生成，请检查五项输入",IF(NOT(OR('持仓总览'!$C$7="利润优先",'持仓总览'!$C$7="本金优先")),"请选择卖出分配模式","已计入")))))))))))))))))))</f>
        <v/>
      </c>
      <c r="J243" s="11">
        <f t="shared" si="59">IF(AA243="正常",IF(I243="已计入",IF(OR(OR(B243="买入",B243="定投",B243="转换转入"),B243="红利再投"),D243,IF(B243="卖出",-D243,0)),0),"")</f>
        <v>0</v>
      </c>
      <c r="K243" s="11">
        <f t="shared" si="64">IF(AA243="正常",ROUND(K242+J243,6),"")</f>
        <v>25721.6</v>
      </c>
      <c r="L243" s="11" t="str">
        <f t="shared" si="65">IF(I243="已计入",ROUND(K242*C243,2),"")</f>
        <v/>
      </c>
      <c r="M243" s="11" t="str">
        <f t="shared" si="66">IF(I243="已计入",IF(B243="卖出",MAX(0,L243-Q242-F243),IF(B243="现金分红",MAX(0,L243+E243-Q242),0)),"")</f>
        <v/>
      </c>
      <c r="N243" s="11" t="str">
        <f>IF(I243="已计入",IF(AND(B243="卖出",'持仓总览'!$C$7="本金优先"),MAX(0,E243-Q242),IF(OR(B243="卖出",B243="现金分红"),MIN(E243,M243),0)),"")</f>
        <v/>
      </c>
      <c r="O243" s="11" t="str">
        <f t="shared" si="67">IF(I243="已计入",IF(OR(B243="卖出",B243="现金分红"),MIN(Q242,MAX(0,E243-N243)),0),"")</f>
        <v/>
      </c>
      <c r="P243" s="11" t="str">
        <f t="shared" si="68">IF(I243="已计入",IF(AND(B243="卖出",K243=0),MAX(0,Q242-O243),0),"")</f>
        <v/>
      </c>
      <c r="Q243" s="11">
        <f t="shared" si="69">IF(AA243="正常",IF(I243="已计入",ROUND(Q242+IF(OR(B243="买入",B243="定投",B243="转换转入"),E243,0)-O243-P243,2),Q242),"")</f>
        <v>129570</v>
      </c>
      <c r="R243" s="11" t="str">
        <f t="shared" si="60">IF(I243="已计入",ROUND(K243*C243,2),"")</f>
        <v/>
      </c>
      <c r="S243" s="11" t="str">
        <f t="shared" si="61">IF(I243="已计入",ROUND(R243-Q243,2),"")</f>
        <v/>
      </c>
      <c r="T243" s="12" t="str">
        <f t="shared" si="62">IF(I243="已计入",IF(Q243=0,"",S243/Q243),"")</f>
        <v/>
      </c>
      <c r="U243" s="11">
        <f t="shared" si="70">IF(AA243="正常",U242+IF(AND(I243="已计入",OR(B243="买入",B243="定投",B243="转换转入")),E243,0),"")</f>
        <v>129570</v>
      </c>
      <c r="V243" s="11">
        <f t="shared" si="71">IF(AA243="正常",V242+IF(AND(I243="已计入",OR(B243="卖出",B243="现金分红")),E243,0),"")</f>
        <v>0</v>
      </c>
      <c r="W243" s="11">
        <f t="shared" si="72">IF(AA243="正常",W242+IF(I243="已计入",N243,0),"")</f>
        <v>0</v>
      </c>
      <c r="X243" s="11">
        <f t="shared" si="73">IF(AA243="正常",X242+IF(I243="已计入",P243,0),"")</f>
        <v>0</v>
      </c>
      <c r="Y243" s="11" t="str">
        <f t="shared" si="63">IF(I243="已计入",ROUND(R243+V243-U243,2),"")</f>
        <v/>
      </c>
      <c r="Z243" s="13">
        <f t="shared" si="74">IF(AA243="正常",IF(I243="已计入",A243,Z242),"")</f>
        <v>46239</v>
      </c>
      <c r="AA243" s="10" t="str">
        <f>IF(OR($AA$134="错误",COUNTIF($G$135:G243,"待修正")&gt;0),"错误","正常")</f>
        <v>正常</v>
      </c>
      <c r="AB243" s="14">
        <f t="shared" si="75">IF(AA243="正常",IF(I243="已计入",C243,AB242),"")</f>
        <v>6.347</v>
      </c>
    </row>
    <row r="244" ht="23" customHeight="1">
      <c r="A244" s="36"/>
      <c r="B244" s="37"/>
      <c r="C244" s="38"/>
      <c r="D244" s="39"/>
      <c r="E244" s="44" t="str">
        <f t="shared" si="56">IF(AND(ISNUMBER(C244),ISNUMBER(D244),ISNUMBER(F244)),IF(OR(B244="买入",B244="定投"),ROUND(C244*D244+F244,2),IF(B244="卖出",ROUND(C244*D244-F244,2),IF(B244="红利再投",0,""))),"")</f>
        <v/>
      </c>
      <c r="F244" s="39"/>
      <c r="G244" s="45" t="str">
        <f t="shared" si="57">IF(COUNTA(A244:D244,F244)=0,"",IF(I244="已计入","已录入","待修正"))</f>
        <v/>
      </c>
      <c r="H244" s="46" t="str">
        <f t="shared" si="58">IF(COUNTA(A244:D244,F244)=0,"",IF(B244="红利再投","仅增加份额，不增加现金投入","金额由份额、净值和手续费推算"))</f>
        <v/>
      </c>
      <c r="I244" s="10" t="str">
        <f>IF(COUNTA(A244:D244,F244)=0,"",IF(NOT(ISNUMBER(A244)),"缺少有效净值日期",IF(OR(A244&lt;=0,A244&lt;&gt;INT(A244)),"净值日期无效",IF(OR(B244="转换转入",B244="现金分红"),"该类型需实际金额，五项录入不适用",IF(NOT(OR(OR(B244="买入",B244="定投"),B244="卖出",B244="红利再投")),"请选择交易类型",IF(NOT(ISNUMBER(C244)),"缺少成交净值",IF(C244&lt;=0,"成交净值须大于零",IF(NOT(ISNUMBER(D244)),"缺少确认份额",IF(D244&lt;=0,"确认份额须大于零",IF(NOT(ISNUMBER(F244)),"缺少手续费，无费用请填 0",IF(F244&lt;0,"手续费不能为负",IF(AA243="错误","前行待修正",IF(A244&lt;Z243,"日期需按成交顺序递增",IF(AND(B244="红利再投",F244&lt;&gt;0),"红利再投手续费应填 0",IF(AND(B244="红利再投",K243&lt;=0),"红利再投前须有持仓",IF(AND(B244="卖出",D244&gt;K243+0.000001),"卖出份额超过持仓",IF(AND(B244="卖出",F244&gt;=C244*D244),"赎回费不能达到赎回总额",IF(NOT(ISNUMBER(E244)),"自动金额未生成，请检查五项输入",IF(NOT(OR('持仓总览'!$C$7="利润优先",'持仓总览'!$C$7="本金优先")),"请选择卖出分配模式","已计入")))))))))))))))))))</f>
        <v/>
      </c>
      <c r="J244" s="11">
        <f t="shared" si="59">IF(AA244="正常",IF(I244="已计入",IF(OR(OR(B244="买入",B244="定投",B244="转换转入"),B244="红利再投"),D244,IF(B244="卖出",-D244,0)),0),"")</f>
        <v>0</v>
      </c>
      <c r="K244" s="11">
        <f t="shared" si="64">IF(AA244="正常",ROUND(K243+J244,6),"")</f>
        <v>25721.6</v>
      </c>
      <c r="L244" s="11" t="str">
        <f t="shared" si="65">IF(I244="已计入",ROUND(K243*C244,2),"")</f>
        <v/>
      </c>
      <c r="M244" s="11" t="str">
        <f t="shared" si="66">IF(I244="已计入",IF(B244="卖出",MAX(0,L244-Q243-F244),IF(B244="现金分红",MAX(0,L244+E244-Q243),0)),"")</f>
        <v/>
      </c>
      <c r="N244" s="11" t="str">
        <f>IF(I244="已计入",IF(AND(B244="卖出",'持仓总览'!$C$7="本金优先"),MAX(0,E244-Q243),IF(OR(B244="卖出",B244="现金分红"),MIN(E244,M244),0)),"")</f>
        <v/>
      </c>
      <c r="O244" s="11" t="str">
        <f t="shared" si="67">IF(I244="已计入",IF(OR(B244="卖出",B244="现金分红"),MIN(Q243,MAX(0,E244-N244)),0),"")</f>
        <v/>
      </c>
      <c r="P244" s="11" t="str">
        <f t="shared" si="68">IF(I244="已计入",IF(AND(B244="卖出",K244=0),MAX(0,Q243-O244),0),"")</f>
        <v/>
      </c>
      <c r="Q244" s="11">
        <f t="shared" si="69">IF(AA244="正常",IF(I244="已计入",ROUND(Q243+IF(OR(B244="买入",B244="定投",B244="转换转入"),E244,0)-O244-P244,2),Q243),"")</f>
        <v>129570</v>
      </c>
      <c r="R244" s="11" t="str">
        <f t="shared" si="60">IF(I244="已计入",ROUND(K244*C244,2),"")</f>
        <v/>
      </c>
      <c r="S244" s="11" t="str">
        <f t="shared" si="61">IF(I244="已计入",ROUND(R244-Q244,2),"")</f>
        <v/>
      </c>
      <c r="T244" s="12" t="str">
        <f t="shared" si="62">IF(I244="已计入",IF(Q244=0,"",S244/Q244),"")</f>
        <v/>
      </c>
      <c r="U244" s="11">
        <f t="shared" si="70">IF(AA244="正常",U243+IF(AND(I244="已计入",OR(B244="买入",B244="定投",B244="转换转入")),E244,0),"")</f>
        <v>129570</v>
      </c>
      <c r="V244" s="11">
        <f t="shared" si="71">IF(AA244="正常",V243+IF(AND(I244="已计入",OR(B244="卖出",B244="现金分红")),E244,0),"")</f>
        <v>0</v>
      </c>
      <c r="W244" s="11">
        <f t="shared" si="72">IF(AA244="正常",W243+IF(I244="已计入",N244,0),"")</f>
        <v>0</v>
      </c>
      <c r="X244" s="11">
        <f t="shared" si="73">IF(AA244="正常",X243+IF(I244="已计入",P244,0),"")</f>
        <v>0</v>
      </c>
      <c r="Y244" s="11" t="str">
        <f t="shared" si="63">IF(I244="已计入",ROUND(R244+V244-U244,2),"")</f>
        <v/>
      </c>
      <c r="Z244" s="13">
        <f t="shared" si="74">IF(AA244="正常",IF(I244="已计入",A244,Z243),"")</f>
        <v>46239</v>
      </c>
      <c r="AA244" s="10" t="str">
        <f>IF(OR($AA$134="错误",COUNTIF($G$135:G244,"待修正")&gt;0),"错误","正常")</f>
        <v>正常</v>
      </c>
      <c r="AB244" s="14">
        <f t="shared" si="75">IF(AA244="正常",IF(I244="已计入",C244,AB243),"")</f>
        <v>6.347</v>
      </c>
    </row>
    <row r="245" ht="23" customHeight="1">
      <c r="A245" s="36"/>
      <c r="B245" s="37"/>
      <c r="C245" s="38"/>
      <c r="D245" s="39"/>
      <c r="E245" s="44" t="str">
        <f t="shared" ref="E245:E308" si="76">IF(AND(ISNUMBER(C245),ISNUMBER(D245),ISNUMBER(F245)),IF(OR(B245="买入",B245="定投"),ROUND(C245*D245+F245,2),IF(B245="卖出",ROUND(C245*D245-F245,2),IF(B245="红利再投",0,""))),"")</f>
        <v/>
      </c>
      <c r="F245" s="39"/>
      <c r="G245" s="45" t="str">
        <f t="shared" ref="G245:G308" si="77">IF(COUNTA(A245:D245,F245)=0,"",IF(I245="已计入","已录入","待修正"))</f>
        <v/>
      </c>
      <c r="H245" s="46" t="str">
        <f t="shared" ref="H245:H308" si="78">IF(COUNTA(A245:D245,F245)=0,"",IF(B245="红利再投","仅增加份额，不增加现金投入","金额由份额、净值和手续费推算"))</f>
        <v/>
      </c>
      <c r="I245" s="10" t="str">
        <f>IF(COUNTA(A245:D245,F245)=0,"",IF(NOT(ISNUMBER(A245)),"缺少有效净值日期",IF(OR(A245&lt;=0,A245&lt;&gt;INT(A245)),"净值日期无效",IF(OR(B245="转换转入",B245="现金分红"),"该类型需实际金额，五项录入不适用",IF(NOT(OR(OR(B245="买入",B245="定投"),B245="卖出",B245="红利再投")),"请选择交易类型",IF(NOT(ISNUMBER(C245)),"缺少成交净值",IF(C245&lt;=0,"成交净值须大于零",IF(NOT(ISNUMBER(D245)),"缺少确认份额",IF(D245&lt;=0,"确认份额须大于零",IF(NOT(ISNUMBER(F245)),"缺少手续费，无费用请填 0",IF(F245&lt;0,"手续费不能为负",IF(AA244="错误","前行待修正",IF(A245&lt;Z244,"日期需按成交顺序递增",IF(AND(B245="红利再投",F245&lt;&gt;0),"红利再投手续费应填 0",IF(AND(B245="红利再投",K244&lt;=0),"红利再投前须有持仓",IF(AND(B245="卖出",D245&gt;K244+0.000001),"卖出份额超过持仓",IF(AND(B245="卖出",F245&gt;=C245*D245),"赎回费不能达到赎回总额",IF(NOT(ISNUMBER(E245)),"自动金额未生成，请检查五项输入",IF(NOT(OR('持仓总览'!$C$7="利润优先",'持仓总览'!$C$7="本金优先")),"请选择卖出分配模式","已计入")))))))))))))))))))</f>
        <v/>
      </c>
      <c r="J245" s="11">
        <f t="shared" si="59">IF(AA245="正常",IF(I245="已计入",IF(OR(OR(B245="买入",B245="定投",B245="转换转入"),B245="红利再投"),D245,IF(B245="卖出",-D245,0)),0),"")</f>
        <v>0</v>
      </c>
      <c r="K245" s="11">
        <f t="shared" si="64">IF(AA245="正常",ROUND(K244+J245,6),"")</f>
        <v>25721.6</v>
      </c>
      <c r="L245" s="11" t="str">
        <f t="shared" si="65">IF(I245="已计入",ROUND(K244*C245,2),"")</f>
        <v/>
      </c>
      <c r="M245" s="11" t="str">
        <f t="shared" si="66">IF(I245="已计入",IF(B245="卖出",MAX(0,L245-Q244-F245),IF(B245="现金分红",MAX(0,L245+E245-Q244),0)),"")</f>
        <v/>
      </c>
      <c r="N245" s="11" t="str">
        <f>IF(I245="已计入",IF(AND(B245="卖出",'持仓总览'!$C$7="本金优先"),MAX(0,E245-Q244),IF(OR(B245="卖出",B245="现金分红"),MIN(E245,M245),0)),"")</f>
        <v/>
      </c>
      <c r="O245" s="11" t="str">
        <f t="shared" si="67">IF(I245="已计入",IF(OR(B245="卖出",B245="现金分红"),MIN(Q244,MAX(0,E245-N245)),0),"")</f>
        <v/>
      </c>
      <c r="P245" s="11" t="str">
        <f t="shared" si="68">IF(I245="已计入",IF(AND(B245="卖出",K245=0),MAX(0,Q244-O245),0),"")</f>
        <v/>
      </c>
      <c r="Q245" s="11">
        <f t="shared" si="69">IF(AA245="正常",IF(I245="已计入",ROUND(Q244+IF(OR(B245="买入",B245="定投",B245="转换转入"),E245,0)-O245-P245,2),Q244),"")</f>
        <v>129570</v>
      </c>
      <c r="R245" s="11" t="str">
        <f t="shared" si="60">IF(I245="已计入",ROUND(K245*C245,2),"")</f>
        <v/>
      </c>
      <c r="S245" s="11" t="str">
        <f t="shared" si="61">IF(I245="已计入",ROUND(R245-Q245,2),"")</f>
        <v/>
      </c>
      <c r="T245" s="12" t="str">
        <f t="shared" si="62">IF(I245="已计入",IF(Q245=0,"",S245/Q245),"")</f>
        <v/>
      </c>
      <c r="U245" s="11">
        <f t="shared" si="70">IF(AA245="正常",U244+IF(AND(I245="已计入",OR(B245="买入",B245="定投",B245="转换转入")),E245,0),"")</f>
        <v>129570</v>
      </c>
      <c r="V245" s="11">
        <f t="shared" si="71">IF(AA245="正常",V244+IF(AND(I245="已计入",OR(B245="卖出",B245="现金分红")),E245,0),"")</f>
        <v>0</v>
      </c>
      <c r="W245" s="11">
        <f t="shared" si="72">IF(AA245="正常",W244+IF(I245="已计入",N245,0),"")</f>
        <v>0</v>
      </c>
      <c r="X245" s="11">
        <f t="shared" si="73">IF(AA245="正常",X244+IF(I245="已计入",P245,0),"")</f>
        <v>0</v>
      </c>
      <c r="Y245" s="11" t="str">
        <f t="shared" si="63">IF(I245="已计入",ROUND(R245+V245-U245,2),"")</f>
        <v/>
      </c>
      <c r="Z245" s="13">
        <f t="shared" si="74">IF(AA245="正常",IF(I245="已计入",A245,Z244),"")</f>
        <v>46239</v>
      </c>
      <c r="AA245" s="10" t="str">
        <f>IF(OR($AA$134="错误",COUNTIF($G$135:G245,"待修正")&gt;0),"错误","正常")</f>
        <v>正常</v>
      </c>
      <c r="AB245" s="14">
        <f t="shared" si="75">IF(AA245="正常",IF(I245="已计入",C245,AB244),"")</f>
        <v>6.347</v>
      </c>
    </row>
    <row r="246" ht="23" customHeight="1">
      <c r="A246" s="36"/>
      <c r="B246" s="37"/>
      <c r="C246" s="38"/>
      <c r="D246" s="39"/>
      <c r="E246" s="44" t="str">
        <f t="shared" si="76">IF(AND(ISNUMBER(C246),ISNUMBER(D246),ISNUMBER(F246)),IF(OR(B246="买入",B246="定投"),ROUND(C246*D246+F246,2),IF(B246="卖出",ROUND(C246*D246-F246,2),IF(B246="红利再投",0,""))),"")</f>
        <v/>
      </c>
      <c r="F246" s="39"/>
      <c r="G246" s="45" t="str">
        <f t="shared" si="77">IF(COUNTA(A246:D246,F246)=0,"",IF(I246="已计入","已录入","待修正"))</f>
        <v/>
      </c>
      <c r="H246" s="46" t="str">
        <f t="shared" si="78">IF(COUNTA(A246:D246,F246)=0,"",IF(B246="红利再投","仅增加份额，不增加现金投入","金额由份额、净值和手续费推算"))</f>
        <v/>
      </c>
      <c r="I246" s="10" t="str">
        <f>IF(COUNTA(A246:D246,F246)=0,"",IF(NOT(ISNUMBER(A246)),"缺少有效净值日期",IF(OR(A246&lt;=0,A246&lt;&gt;INT(A246)),"净值日期无效",IF(OR(B246="转换转入",B246="现金分红"),"该类型需实际金额，五项录入不适用",IF(NOT(OR(OR(B246="买入",B246="定投"),B246="卖出",B246="红利再投")),"请选择交易类型",IF(NOT(ISNUMBER(C246)),"缺少成交净值",IF(C246&lt;=0,"成交净值须大于零",IF(NOT(ISNUMBER(D246)),"缺少确认份额",IF(D246&lt;=0,"确认份额须大于零",IF(NOT(ISNUMBER(F246)),"缺少手续费，无费用请填 0",IF(F246&lt;0,"手续费不能为负",IF(AA245="错误","前行待修正",IF(A246&lt;Z245,"日期需按成交顺序递增",IF(AND(B246="红利再投",F246&lt;&gt;0),"红利再投手续费应填 0",IF(AND(B246="红利再投",K245&lt;=0),"红利再投前须有持仓",IF(AND(B246="卖出",D246&gt;K245+0.000001),"卖出份额超过持仓",IF(AND(B246="卖出",F246&gt;=C246*D246),"赎回费不能达到赎回总额",IF(NOT(ISNUMBER(E246)),"自动金额未生成，请检查五项输入",IF(NOT(OR('持仓总览'!$C$7="利润优先",'持仓总览'!$C$7="本金优先")),"请选择卖出分配模式","已计入")))))))))))))))))))</f>
        <v/>
      </c>
      <c r="J246" s="11">
        <f t="shared" si="59">IF(AA246="正常",IF(I246="已计入",IF(OR(OR(B246="买入",B246="定投",B246="转换转入"),B246="红利再投"),D246,IF(B246="卖出",-D246,0)),0),"")</f>
        <v>0</v>
      </c>
      <c r="K246" s="11">
        <f t="shared" si="64">IF(AA246="正常",ROUND(K245+J246,6),"")</f>
        <v>25721.6</v>
      </c>
      <c r="L246" s="11" t="str">
        <f t="shared" si="65">IF(I246="已计入",ROUND(K245*C246,2),"")</f>
        <v/>
      </c>
      <c r="M246" s="11" t="str">
        <f t="shared" si="66">IF(I246="已计入",IF(B246="卖出",MAX(0,L246-Q245-F246),IF(B246="现金分红",MAX(0,L246+E246-Q245),0)),"")</f>
        <v/>
      </c>
      <c r="N246" s="11" t="str">
        <f>IF(I246="已计入",IF(AND(B246="卖出",'持仓总览'!$C$7="本金优先"),MAX(0,E246-Q245),IF(OR(B246="卖出",B246="现金分红"),MIN(E246,M246),0)),"")</f>
        <v/>
      </c>
      <c r="O246" s="11" t="str">
        <f t="shared" si="67">IF(I246="已计入",IF(OR(B246="卖出",B246="现金分红"),MIN(Q245,MAX(0,E246-N246)),0),"")</f>
        <v/>
      </c>
      <c r="P246" s="11" t="str">
        <f t="shared" si="68">IF(I246="已计入",IF(AND(B246="卖出",K246=0),MAX(0,Q245-O246),0),"")</f>
        <v/>
      </c>
      <c r="Q246" s="11">
        <f t="shared" si="69">IF(AA246="正常",IF(I246="已计入",ROUND(Q245+IF(OR(B246="买入",B246="定投",B246="转换转入"),E246,0)-O246-P246,2),Q245),"")</f>
        <v>129570</v>
      </c>
      <c r="R246" s="11" t="str">
        <f t="shared" si="60">IF(I246="已计入",ROUND(K246*C246,2),"")</f>
        <v/>
      </c>
      <c r="S246" s="11" t="str">
        <f t="shared" si="61">IF(I246="已计入",ROUND(R246-Q246,2),"")</f>
        <v/>
      </c>
      <c r="T246" s="12" t="str">
        <f t="shared" si="62">IF(I246="已计入",IF(Q246=0,"",S246/Q246),"")</f>
        <v/>
      </c>
      <c r="U246" s="11">
        <f t="shared" si="70">IF(AA246="正常",U245+IF(AND(I246="已计入",OR(B246="买入",B246="定投",B246="转换转入")),E246,0),"")</f>
        <v>129570</v>
      </c>
      <c r="V246" s="11">
        <f t="shared" si="71">IF(AA246="正常",V245+IF(AND(I246="已计入",OR(B246="卖出",B246="现金分红")),E246,0),"")</f>
        <v>0</v>
      </c>
      <c r="W246" s="11">
        <f t="shared" si="72">IF(AA246="正常",W245+IF(I246="已计入",N246,0),"")</f>
        <v>0</v>
      </c>
      <c r="X246" s="11">
        <f t="shared" si="73">IF(AA246="正常",X245+IF(I246="已计入",P246,0),"")</f>
        <v>0</v>
      </c>
      <c r="Y246" s="11" t="str">
        <f t="shared" si="63">IF(I246="已计入",ROUND(R246+V246-U246,2),"")</f>
        <v/>
      </c>
      <c r="Z246" s="13">
        <f t="shared" si="74">IF(AA246="正常",IF(I246="已计入",A246,Z245),"")</f>
        <v>46239</v>
      </c>
      <c r="AA246" s="10" t="str">
        <f>IF(OR($AA$134="错误",COUNTIF($G$135:G246,"待修正")&gt;0),"错误","正常")</f>
        <v>正常</v>
      </c>
      <c r="AB246" s="14">
        <f t="shared" si="75">IF(AA246="正常",IF(I246="已计入",C246,AB245),"")</f>
        <v>6.347</v>
      </c>
    </row>
    <row r="247" ht="23" customHeight="1">
      <c r="A247" s="36"/>
      <c r="B247" s="37"/>
      <c r="C247" s="38"/>
      <c r="D247" s="39"/>
      <c r="E247" s="44" t="str">
        <f t="shared" si="76">IF(AND(ISNUMBER(C247),ISNUMBER(D247),ISNUMBER(F247)),IF(OR(B247="买入",B247="定投"),ROUND(C247*D247+F247,2),IF(B247="卖出",ROUND(C247*D247-F247,2),IF(B247="红利再投",0,""))),"")</f>
        <v/>
      </c>
      <c r="F247" s="39"/>
      <c r="G247" s="45" t="str">
        <f t="shared" si="77">IF(COUNTA(A247:D247,F247)=0,"",IF(I247="已计入","已录入","待修正"))</f>
        <v/>
      </c>
      <c r="H247" s="46" t="str">
        <f t="shared" si="78">IF(COUNTA(A247:D247,F247)=0,"",IF(B247="红利再投","仅增加份额，不增加现金投入","金额由份额、净值和手续费推算"))</f>
        <v/>
      </c>
      <c r="I247" s="10" t="str">
        <f>IF(COUNTA(A247:D247,F247)=0,"",IF(NOT(ISNUMBER(A247)),"缺少有效净值日期",IF(OR(A247&lt;=0,A247&lt;&gt;INT(A247)),"净值日期无效",IF(OR(B247="转换转入",B247="现金分红"),"该类型需实际金额，五项录入不适用",IF(NOT(OR(OR(B247="买入",B247="定投"),B247="卖出",B247="红利再投")),"请选择交易类型",IF(NOT(ISNUMBER(C247)),"缺少成交净值",IF(C247&lt;=0,"成交净值须大于零",IF(NOT(ISNUMBER(D247)),"缺少确认份额",IF(D247&lt;=0,"确认份额须大于零",IF(NOT(ISNUMBER(F247)),"缺少手续费，无费用请填 0",IF(F247&lt;0,"手续费不能为负",IF(AA246="错误","前行待修正",IF(A247&lt;Z246,"日期需按成交顺序递增",IF(AND(B247="红利再投",F247&lt;&gt;0),"红利再投手续费应填 0",IF(AND(B247="红利再投",K246&lt;=0),"红利再投前须有持仓",IF(AND(B247="卖出",D247&gt;K246+0.000001),"卖出份额超过持仓",IF(AND(B247="卖出",F247&gt;=C247*D247),"赎回费不能达到赎回总额",IF(NOT(ISNUMBER(E247)),"自动金额未生成，请检查五项输入",IF(NOT(OR('持仓总览'!$C$7="利润优先",'持仓总览'!$C$7="本金优先")),"请选择卖出分配模式","已计入")))))))))))))))))))</f>
        <v/>
      </c>
      <c r="J247" s="11">
        <f t="shared" si="59">IF(AA247="正常",IF(I247="已计入",IF(OR(OR(B247="买入",B247="定投",B247="转换转入"),B247="红利再投"),D247,IF(B247="卖出",-D247,0)),0),"")</f>
        <v>0</v>
      </c>
      <c r="K247" s="11">
        <f t="shared" si="64">IF(AA247="正常",ROUND(K246+J247,6),"")</f>
        <v>25721.6</v>
      </c>
      <c r="L247" s="11" t="str">
        <f t="shared" si="65">IF(I247="已计入",ROUND(K246*C247,2),"")</f>
        <v/>
      </c>
      <c r="M247" s="11" t="str">
        <f t="shared" si="66">IF(I247="已计入",IF(B247="卖出",MAX(0,L247-Q246-F247),IF(B247="现金分红",MAX(0,L247+E247-Q246),0)),"")</f>
        <v/>
      </c>
      <c r="N247" s="11" t="str">
        <f>IF(I247="已计入",IF(AND(B247="卖出",'持仓总览'!$C$7="本金优先"),MAX(0,E247-Q246),IF(OR(B247="卖出",B247="现金分红"),MIN(E247,M247),0)),"")</f>
        <v/>
      </c>
      <c r="O247" s="11" t="str">
        <f t="shared" si="67">IF(I247="已计入",IF(OR(B247="卖出",B247="现金分红"),MIN(Q246,MAX(0,E247-N247)),0),"")</f>
        <v/>
      </c>
      <c r="P247" s="11" t="str">
        <f t="shared" si="68">IF(I247="已计入",IF(AND(B247="卖出",K247=0),MAX(0,Q246-O247),0),"")</f>
        <v/>
      </c>
      <c r="Q247" s="11">
        <f t="shared" si="69">IF(AA247="正常",IF(I247="已计入",ROUND(Q246+IF(OR(B247="买入",B247="定投",B247="转换转入"),E247,0)-O247-P247,2),Q246),"")</f>
        <v>129570</v>
      </c>
      <c r="R247" s="11" t="str">
        <f t="shared" si="60">IF(I247="已计入",ROUND(K247*C247,2),"")</f>
        <v/>
      </c>
      <c r="S247" s="11" t="str">
        <f t="shared" si="61">IF(I247="已计入",ROUND(R247-Q247,2),"")</f>
        <v/>
      </c>
      <c r="T247" s="12" t="str">
        <f t="shared" si="62">IF(I247="已计入",IF(Q247=0,"",S247/Q247),"")</f>
        <v/>
      </c>
      <c r="U247" s="11">
        <f t="shared" si="70">IF(AA247="正常",U246+IF(AND(I247="已计入",OR(B247="买入",B247="定投",B247="转换转入")),E247,0),"")</f>
        <v>129570</v>
      </c>
      <c r="V247" s="11">
        <f t="shared" si="71">IF(AA247="正常",V246+IF(AND(I247="已计入",OR(B247="卖出",B247="现金分红")),E247,0),"")</f>
        <v>0</v>
      </c>
      <c r="W247" s="11">
        <f t="shared" si="72">IF(AA247="正常",W246+IF(I247="已计入",N247,0),"")</f>
        <v>0</v>
      </c>
      <c r="X247" s="11">
        <f t="shared" si="73">IF(AA247="正常",X246+IF(I247="已计入",P247,0),"")</f>
        <v>0</v>
      </c>
      <c r="Y247" s="11" t="str">
        <f t="shared" si="63">IF(I247="已计入",ROUND(R247+V247-U247,2),"")</f>
        <v/>
      </c>
      <c r="Z247" s="13">
        <f t="shared" si="74">IF(AA247="正常",IF(I247="已计入",A247,Z246),"")</f>
        <v>46239</v>
      </c>
      <c r="AA247" s="10" t="str">
        <f>IF(OR($AA$134="错误",COUNTIF($G$135:G247,"待修正")&gt;0),"错误","正常")</f>
        <v>正常</v>
      </c>
      <c r="AB247" s="14">
        <f t="shared" si="75">IF(AA247="正常",IF(I247="已计入",C247,AB246),"")</f>
        <v>6.347</v>
      </c>
    </row>
    <row r="248" ht="23" customHeight="1">
      <c r="A248" s="36"/>
      <c r="B248" s="37"/>
      <c r="C248" s="38"/>
      <c r="D248" s="39"/>
      <c r="E248" s="44" t="str">
        <f t="shared" si="76">IF(AND(ISNUMBER(C248),ISNUMBER(D248),ISNUMBER(F248)),IF(OR(B248="买入",B248="定投"),ROUND(C248*D248+F248,2),IF(B248="卖出",ROUND(C248*D248-F248,2),IF(B248="红利再投",0,""))),"")</f>
        <v/>
      </c>
      <c r="F248" s="39"/>
      <c r="G248" s="45" t="str">
        <f t="shared" si="77">IF(COUNTA(A248:D248,F248)=0,"",IF(I248="已计入","已录入","待修正"))</f>
        <v/>
      </c>
      <c r="H248" s="46" t="str">
        <f t="shared" si="78">IF(COUNTA(A248:D248,F248)=0,"",IF(B248="红利再投","仅增加份额，不增加现金投入","金额由份额、净值和手续费推算"))</f>
        <v/>
      </c>
      <c r="I248" s="10" t="str">
        <f>IF(COUNTA(A248:D248,F248)=0,"",IF(NOT(ISNUMBER(A248)),"缺少有效净值日期",IF(OR(A248&lt;=0,A248&lt;&gt;INT(A248)),"净值日期无效",IF(OR(B248="转换转入",B248="现金分红"),"该类型需实际金额，五项录入不适用",IF(NOT(OR(OR(B248="买入",B248="定投"),B248="卖出",B248="红利再投")),"请选择交易类型",IF(NOT(ISNUMBER(C248)),"缺少成交净值",IF(C248&lt;=0,"成交净值须大于零",IF(NOT(ISNUMBER(D248)),"缺少确认份额",IF(D248&lt;=0,"确认份额须大于零",IF(NOT(ISNUMBER(F248)),"缺少手续费，无费用请填 0",IF(F248&lt;0,"手续费不能为负",IF(AA247="错误","前行待修正",IF(A248&lt;Z247,"日期需按成交顺序递增",IF(AND(B248="红利再投",F248&lt;&gt;0),"红利再投手续费应填 0",IF(AND(B248="红利再投",K247&lt;=0),"红利再投前须有持仓",IF(AND(B248="卖出",D248&gt;K247+0.000001),"卖出份额超过持仓",IF(AND(B248="卖出",F248&gt;=C248*D248),"赎回费不能达到赎回总额",IF(NOT(ISNUMBER(E248)),"自动金额未生成，请检查五项输入",IF(NOT(OR('持仓总览'!$C$7="利润优先",'持仓总览'!$C$7="本金优先")),"请选择卖出分配模式","已计入")))))))))))))))))))</f>
        <v/>
      </c>
      <c r="J248" s="11">
        <f t="shared" si="59">IF(AA248="正常",IF(I248="已计入",IF(OR(OR(B248="买入",B248="定投",B248="转换转入"),B248="红利再投"),D248,IF(B248="卖出",-D248,0)),0),"")</f>
        <v>0</v>
      </c>
      <c r="K248" s="11">
        <f t="shared" si="64">IF(AA248="正常",ROUND(K247+J248,6),"")</f>
        <v>25721.6</v>
      </c>
      <c r="L248" s="11" t="str">
        <f t="shared" si="65">IF(I248="已计入",ROUND(K247*C248,2),"")</f>
        <v/>
      </c>
      <c r="M248" s="11" t="str">
        <f t="shared" si="66">IF(I248="已计入",IF(B248="卖出",MAX(0,L248-Q247-F248),IF(B248="现金分红",MAX(0,L248+E248-Q247),0)),"")</f>
        <v/>
      </c>
      <c r="N248" s="11" t="str">
        <f>IF(I248="已计入",IF(AND(B248="卖出",'持仓总览'!$C$7="本金优先"),MAX(0,E248-Q247),IF(OR(B248="卖出",B248="现金分红"),MIN(E248,M248),0)),"")</f>
        <v/>
      </c>
      <c r="O248" s="11" t="str">
        <f t="shared" si="67">IF(I248="已计入",IF(OR(B248="卖出",B248="现金分红"),MIN(Q247,MAX(0,E248-N248)),0),"")</f>
        <v/>
      </c>
      <c r="P248" s="11" t="str">
        <f t="shared" si="68">IF(I248="已计入",IF(AND(B248="卖出",K248=0),MAX(0,Q247-O248),0),"")</f>
        <v/>
      </c>
      <c r="Q248" s="11">
        <f t="shared" si="69">IF(AA248="正常",IF(I248="已计入",ROUND(Q247+IF(OR(B248="买入",B248="定投",B248="转换转入"),E248,0)-O248-P248,2),Q247),"")</f>
        <v>129570</v>
      </c>
      <c r="R248" s="11" t="str">
        <f t="shared" si="60">IF(I248="已计入",ROUND(K248*C248,2),"")</f>
        <v/>
      </c>
      <c r="S248" s="11" t="str">
        <f t="shared" si="61">IF(I248="已计入",ROUND(R248-Q248,2),"")</f>
        <v/>
      </c>
      <c r="T248" s="12" t="str">
        <f t="shared" si="62">IF(I248="已计入",IF(Q248=0,"",S248/Q248),"")</f>
        <v/>
      </c>
      <c r="U248" s="11">
        <f t="shared" si="70">IF(AA248="正常",U247+IF(AND(I248="已计入",OR(B248="买入",B248="定投",B248="转换转入")),E248,0),"")</f>
        <v>129570</v>
      </c>
      <c r="V248" s="11">
        <f t="shared" si="71">IF(AA248="正常",V247+IF(AND(I248="已计入",OR(B248="卖出",B248="现金分红")),E248,0),"")</f>
        <v>0</v>
      </c>
      <c r="W248" s="11">
        <f t="shared" si="72">IF(AA248="正常",W247+IF(I248="已计入",N248,0),"")</f>
        <v>0</v>
      </c>
      <c r="X248" s="11">
        <f t="shared" si="73">IF(AA248="正常",X247+IF(I248="已计入",P248,0),"")</f>
        <v>0</v>
      </c>
      <c r="Y248" s="11" t="str">
        <f t="shared" si="63">IF(I248="已计入",ROUND(R248+V248-U248,2),"")</f>
        <v/>
      </c>
      <c r="Z248" s="13">
        <f t="shared" si="74">IF(AA248="正常",IF(I248="已计入",A248,Z247),"")</f>
        <v>46239</v>
      </c>
      <c r="AA248" s="10" t="str">
        <f>IF(OR($AA$134="错误",COUNTIF($G$135:G248,"待修正")&gt;0),"错误","正常")</f>
        <v>正常</v>
      </c>
      <c r="AB248" s="14">
        <f t="shared" si="75">IF(AA248="正常",IF(I248="已计入",C248,AB247),"")</f>
        <v>6.347</v>
      </c>
    </row>
    <row r="249" ht="23" customHeight="1">
      <c r="A249" s="36"/>
      <c r="B249" s="37"/>
      <c r="C249" s="38"/>
      <c r="D249" s="39"/>
      <c r="E249" s="44" t="str">
        <f t="shared" si="76">IF(AND(ISNUMBER(C249),ISNUMBER(D249),ISNUMBER(F249)),IF(OR(B249="买入",B249="定投"),ROUND(C249*D249+F249,2),IF(B249="卖出",ROUND(C249*D249-F249,2),IF(B249="红利再投",0,""))),"")</f>
        <v/>
      </c>
      <c r="F249" s="39"/>
      <c r="G249" s="45" t="str">
        <f t="shared" si="77">IF(COUNTA(A249:D249,F249)=0,"",IF(I249="已计入","已录入","待修正"))</f>
        <v/>
      </c>
      <c r="H249" s="46" t="str">
        <f t="shared" si="78">IF(COUNTA(A249:D249,F249)=0,"",IF(B249="红利再投","仅增加份额，不增加现金投入","金额由份额、净值和手续费推算"))</f>
        <v/>
      </c>
      <c r="I249" s="10" t="str">
        <f>IF(COUNTA(A249:D249,F249)=0,"",IF(NOT(ISNUMBER(A249)),"缺少有效净值日期",IF(OR(A249&lt;=0,A249&lt;&gt;INT(A249)),"净值日期无效",IF(OR(B249="转换转入",B249="现金分红"),"该类型需实际金额，五项录入不适用",IF(NOT(OR(OR(B249="买入",B249="定投"),B249="卖出",B249="红利再投")),"请选择交易类型",IF(NOT(ISNUMBER(C249)),"缺少成交净值",IF(C249&lt;=0,"成交净值须大于零",IF(NOT(ISNUMBER(D249)),"缺少确认份额",IF(D249&lt;=0,"确认份额须大于零",IF(NOT(ISNUMBER(F249)),"缺少手续费，无费用请填 0",IF(F249&lt;0,"手续费不能为负",IF(AA248="错误","前行待修正",IF(A249&lt;Z248,"日期需按成交顺序递增",IF(AND(B249="红利再投",F249&lt;&gt;0),"红利再投手续费应填 0",IF(AND(B249="红利再投",K248&lt;=0),"红利再投前须有持仓",IF(AND(B249="卖出",D249&gt;K248+0.000001),"卖出份额超过持仓",IF(AND(B249="卖出",F249&gt;=C249*D249),"赎回费不能达到赎回总额",IF(NOT(ISNUMBER(E249)),"自动金额未生成，请检查五项输入",IF(NOT(OR('持仓总览'!$C$7="利润优先",'持仓总览'!$C$7="本金优先")),"请选择卖出分配模式","已计入")))))))))))))))))))</f>
        <v/>
      </c>
      <c r="J249" s="11">
        <f t="shared" si="59">IF(AA249="正常",IF(I249="已计入",IF(OR(OR(B249="买入",B249="定投",B249="转换转入"),B249="红利再投"),D249,IF(B249="卖出",-D249,0)),0),"")</f>
        <v>0</v>
      </c>
      <c r="K249" s="11">
        <f t="shared" si="64">IF(AA249="正常",ROUND(K248+J249,6),"")</f>
        <v>25721.6</v>
      </c>
      <c r="L249" s="11" t="str">
        <f t="shared" si="65">IF(I249="已计入",ROUND(K248*C249,2),"")</f>
        <v/>
      </c>
      <c r="M249" s="11" t="str">
        <f t="shared" si="66">IF(I249="已计入",IF(B249="卖出",MAX(0,L249-Q248-F249),IF(B249="现金分红",MAX(0,L249+E249-Q248),0)),"")</f>
        <v/>
      </c>
      <c r="N249" s="11" t="str">
        <f>IF(I249="已计入",IF(AND(B249="卖出",'持仓总览'!$C$7="本金优先"),MAX(0,E249-Q248),IF(OR(B249="卖出",B249="现金分红"),MIN(E249,M249),0)),"")</f>
        <v/>
      </c>
      <c r="O249" s="11" t="str">
        <f t="shared" si="67">IF(I249="已计入",IF(OR(B249="卖出",B249="现金分红"),MIN(Q248,MAX(0,E249-N249)),0),"")</f>
        <v/>
      </c>
      <c r="P249" s="11" t="str">
        <f t="shared" si="68">IF(I249="已计入",IF(AND(B249="卖出",K249=0),MAX(0,Q248-O249),0),"")</f>
        <v/>
      </c>
      <c r="Q249" s="11">
        <f t="shared" si="69">IF(AA249="正常",IF(I249="已计入",ROUND(Q248+IF(OR(B249="买入",B249="定投",B249="转换转入"),E249,0)-O249-P249,2),Q248),"")</f>
        <v>129570</v>
      </c>
      <c r="R249" s="11" t="str">
        <f t="shared" si="60">IF(I249="已计入",ROUND(K249*C249,2),"")</f>
        <v/>
      </c>
      <c r="S249" s="11" t="str">
        <f t="shared" si="61">IF(I249="已计入",ROUND(R249-Q249,2),"")</f>
        <v/>
      </c>
      <c r="T249" s="12" t="str">
        <f t="shared" si="62">IF(I249="已计入",IF(Q249=0,"",S249/Q249),"")</f>
        <v/>
      </c>
      <c r="U249" s="11">
        <f t="shared" si="70">IF(AA249="正常",U248+IF(AND(I249="已计入",OR(B249="买入",B249="定投",B249="转换转入")),E249,0),"")</f>
        <v>129570</v>
      </c>
      <c r="V249" s="11">
        <f t="shared" si="71">IF(AA249="正常",V248+IF(AND(I249="已计入",OR(B249="卖出",B249="现金分红")),E249,0),"")</f>
        <v>0</v>
      </c>
      <c r="W249" s="11">
        <f t="shared" si="72">IF(AA249="正常",W248+IF(I249="已计入",N249,0),"")</f>
        <v>0</v>
      </c>
      <c r="X249" s="11">
        <f t="shared" si="73">IF(AA249="正常",X248+IF(I249="已计入",P249,0),"")</f>
        <v>0</v>
      </c>
      <c r="Y249" s="11" t="str">
        <f t="shared" si="63">IF(I249="已计入",ROUND(R249+V249-U249,2),"")</f>
        <v/>
      </c>
      <c r="Z249" s="13">
        <f t="shared" si="74">IF(AA249="正常",IF(I249="已计入",A249,Z248),"")</f>
        <v>46239</v>
      </c>
      <c r="AA249" s="10" t="str">
        <f>IF(OR($AA$134="错误",COUNTIF($G$135:G249,"待修正")&gt;0),"错误","正常")</f>
        <v>正常</v>
      </c>
      <c r="AB249" s="14">
        <f t="shared" si="75">IF(AA249="正常",IF(I249="已计入",C249,AB248),"")</f>
        <v>6.347</v>
      </c>
    </row>
    <row r="250" ht="23" customHeight="1">
      <c r="A250" s="36"/>
      <c r="B250" s="37"/>
      <c r="C250" s="38"/>
      <c r="D250" s="39"/>
      <c r="E250" s="44" t="str">
        <f t="shared" si="76">IF(AND(ISNUMBER(C250),ISNUMBER(D250),ISNUMBER(F250)),IF(OR(B250="买入",B250="定投"),ROUND(C250*D250+F250,2),IF(B250="卖出",ROUND(C250*D250-F250,2),IF(B250="红利再投",0,""))),"")</f>
        <v/>
      </c>
      <c r="F250" s="39"/>
      <c r="G250" s="45" t="str">
        <f t="shared" si="77">IF(COUNTA(A250:D250,F250)=0,"",IF(I250="已计入","已录入","待修正"))</f>
        <v/>
      </c>
      <c r="H250" s="46" t="str">
        <f t="shared" si="78">IF(COUNTA(A250:D250,F250)=0,"",IF(B250="红利再投","仅增加份额，不增加现金投入","金额由份额、净值和手续费推算"))</f>
        <v/>
      </c>
      <c r="I250" s="10" t="str">
        <f>IF(COUNTA(A250:D250,F250)=0,"",IF(NOT(ISNUMBER(A250)),"缺少有效净值日期",IF(OR(A250&lt;=0,A250&lt;&gt;INT(A250)),"净值日期无效",IF(OR(B250="转换转入",B250="现金分红"),"该类型需实际金额，五项录入不适用",IF(NOT(OR(OR(B250="买入",B250="定投"),B250="卖出",B250="红利再投")),"请选择交易类型",IF(NOT(ISNUMBER(C250)),"缺少成交净值",IF(C250&lt;=0,"成交净值须大于零",IF(NOT(ISNUMBER(D250)),"缺少确认份额",IF(D250&lt;=0,"确认份额须大于零",IF(NOT(ISNUMBER(F250)),"缺少手续费，无费用请填 0",IF(F250&lt;0,"手续费不能为负",IF(AA249="错误","前行待修正",IF(A250&lt;Z249,"日期需按成交顺序递增",IF(AND(B250="红利再投",F250&lt;&gt;0),"红利再投手续费应填 0",IF(AND(B250="红利再投",K249&lt;=0),"红利再投前须有持仓",IF(AND(B250="卖出",D250&gt;K249+0.000001),"卖出份额超过持仓",IF(AND(B250="卖出",F250&gt;=C250*D250),"赎回费不能达到赎回总额",IF(NOT(ISNUMBER(E250)),"自动金额未生成，请检查五项输入",IF(NOT(OR('持仓总览'!$C$7="利润优先",'持仓总览'!$C$7="本金优先")),"请选择卖出分配模式","已计入")))))))))))))))))))</f>
        <v/>
      </c>
      <c r="J250" s="11">
        <f t="shared" si="59">IF(AA250="正常",IF(I250="已计入",IF(OR(OR(B250="买入",B250="定投",B250="转换转入"),B250="红利再投"),D250,IF(B250="卖出",-D250,0)),0),"")</f>
        <v>0</v>
      </c>
      <c r="K250" s="11">
        <f t="shared" si="64">IF(AA250="正常",ROUND(K249+J250,6),"")</f>
        <v>25721.6</v>
      </c>
      <c r="L250" s="11" t="str">
        <f t="shared" si="65">IF(I250="已计入",ROUND(K249*C250,2),"")</f>
        <v/>
      </c>
      <c r="M250" s="11" t="str">
        <f t="shared" si="66">IF(I250="已计入",IF(B250="卖出",MAX(0,L250-Q249-F250),IF(B250="现金分红",MAX(0,L250+E250-Q249),0)),"")</f>
        <v/>
      </c>
      <c r="N250" s="11" t="str">
        <f>IF(I250="已计入",IF(AND(B250="卖出",'持仓总览'!$C$7="本金优先"),MAX(0,E250-Q249),IF(OR(B250="卖出",B250="现金分红"),MIN(E250,M250),0)),"")</f>
        <v/>
      </c>
      <c r="O250" s="11" t="str">
        <f t="shared" si="67">IF(I250="已计入",IF(OR(B250="卖出",B250="现金分红"),MIN(Q249,MAX(0,E250-N250)),0),"")</f>
        <v/>
      </c>
      <c r="P250" s="11" t="str">
        <f t="shared" si="68">IF(I250="已计入",IF(AND(B250="卖出",K250=0),MAX(0,Q249-O250),0),"")</f>
        <v/>
      </c>
      <c r="Q250" s="11">
        <f t="shared" si="69">IF(AA250="正常",IF(I250="已计入",ROUND(Q249+IF(OR(B250="买入",B250="定投",B250="转换转入"),E250,0)-O250-P250,2),Q249),"")</f>
        <v>129570</v>
      </c>
      <c r="R250" s="11" t="str">
        <f t="shared" si="60">IF(I250="已计入",ROUND(K250*C250,2),"")</f>
        <v/>
      </c>
      <c r="S250" s="11" t="str">
        <f t="shared" si="61">IF(I250="已计入",ROUND(R250-Q250,2),"")</f>
        <v/>
      </c>
      <c r="T250" s="12" t="str">
        <f t="shared" si="62">IF(I250="已计入",IF(Q250=0,"",S250/Q250),"")</f>
        <v/>
      </c>
      <c r="U250" s="11">
        <f t="shared" si="70">IF(AA250="正常",U249+IF(AND(I250="已计入",OR(B250="买入",B250="定投",B250="转换转入")),E250,0),"")</f>
        <v>129570</v>
      </c>
      <c r="V250" s="11">
        <f t="shared" si="71">IF(AA250="正常",V249+IF(AND(I250="已计入",OR(B250="卖出",B250="现金分红")),E250,0),"")</f>
        <v>0</v>
      </c>
      <c r="W250" s="11">
        <f t="shared" si="72">IF(AA250="正常",W249+IF(I250="已计入",N250,0),"")</f>
        <v>0</v>
      </c>
      <c r="X250" s="11">
        <f t="shared" si="73">IF(AA250="正常",X249+IF(I250="已计入",P250,0),"")</f>
        <v>0</v>
      </c>
      <c r="Y250" s="11" t="str">
        <f t="shared" si="63">IF(I250="已计入",ROUND(R250+V250-U250,2),"")</f>
        <v/>
      </c>
      <c r="Z250" s="13">
        <f t="shared" si="74">IF(AA250="正常",IF(I250="已计入",A250,Z249),"")</f>
        <v>46239</v>
      </c>
      <c r="AA250" s="10" t="str">
        <f>IF(OR($AA$134="错误",COUNTIF($G$135:G250,"待修正")&gt;0),"错误","正常")</f>
        <v>正常</v>
      </c>
      <c r="AB250" s="14">
        <f t="shared" si="75">IF(AA250="正常",IF(I250="已计入",C250,AB249),"")</f>
        <v>6.347</v>
      </c>
    </row>
    <row r="251" ht="23" customHeight="1">
      <c r="A251" s="36"/>
      <c r="B251" s="37"/>
      <c r="C251" s="38"/>
      <c r="D251" s="39"/>
      <c r="E251" s="44" t="str">
        <f t="shared" si="76">IF(AND(ISNUMBER(C251),ISNUMBER(D251),ISNUMBER(F251)),IF(OR(B251="买入",B251="定投"),ROUND(C251*D251+F251,2),IF(B251="卖出",ROUND(C251*D251-F251,2),IF(B251="红利再投",0,""))),"")</f>
        <v/>
      </c>
      <c r="F251" s="39"/>
      <c r="G251" s="45" t="str">
        <f t="shared" si="77">IF(COUNTA(A251:D251,F251)=0,"",IF(I251="已计入","已录入","待修正"))</f>
        <v/>
      </c>
      <c r="H251" s="46" t="str">
        <f t="shared" si="78">IF(COUNTA(A251:D251,F251)=0,"",IF(B251="红利再投","仅增加份额，不增加现金投入","金额由份额、净值和手续费推算"))</f>
        <v/>
      </c>
      <c r="I251" s="10" t="str">
        <f>IF(COUNTA(A251:D251,F251)=0,"",IF(NOT(ISNUMBER(A251)),"缺少有效净值日期",IF(OR(A251&lt;=0,A251&lt;&gt;INT(A251)),"净值日期无效",IF(OR(B251="转换转入",B251="现金分红"),"该类型需实际金额，五项录入不适用",IF(NOT(OR(OR(B251="买入",B251="定投"),B251="卖出",B251="红利再投")),"请选择交易类型",IF(NOT(ISNUMBER(C251)),"缺少成交净值",IF(C251&lt;=0,"成交净值须大于零",IF(NOT(ISNUMBER(D251)),"缺少确认份额",IF(D251&lt;=0,"确认份额须大于零",IF(NOT(ISNUMBER(F251)),"缺少手续费，无费用请填 0",IF(F251&lt;0,"手续费不能为负",IF(AA250="错误","前行待修正",IF(A251&lt;Z250,"日期需按成交顺序递增",IF(AND(B251="红利再投",F251&lt;&gt;0),"红利再投手续费应填 0",IF(AND(B251="红利再投",K250&lt;=0),"红利再投前须有持仓",IF(AND(B251="卖出",D251&gt;K250+0.000001),"卖出份额超过持仓",IF(AND(B251="卖出",F251&gt;=C251*D251),"赎回费不能达到赎回总额",IF(NOT(ISNUMBER(E251)),"自动金额未生成，请检查五项输入",IF(NOT(OR('持仓总览'!$C$7="利润优先",'持仓总览'!$C$7="本金优先")),"请选择卖出分配模式","已计入")))))))))))))))))))</f>
        <v/>
      </c>
      <c r="J251" s="11">
        <f t="shared" si="59">IF(AA251="正常",IF(I251="已计入",IF(OR(OR(B251="买入",B251="定投",B251="转换转入"),B251="红利再投"),D251,IF(B251="卖出",-D251,0)),0),"")</f>
        <v>0</v>
      </c>
      <c r="K251" s="11">
        <f t="shared" si="64">IF(AA251="正常",ROUND(K250+J251,6),"")</f>
        <v>25721.6</v>
      </c>
      <c r="L251" s="11" t="str">
        <f t="shared" si="65">IF(I251="已计入",ROUND(K250*C251,2),"")</f>
        <v/>
      </c>
      <c r="M251" s="11" t="str">
        <f t="shared" si="66">IF(I251="已计入",IF(B251="卖出",MAX(0,L251-Q250-F251),IF(B251="现金分红",MAX(0,L251+E251-Q250),0)),"")</f>
        <v/>
      </c>
      <c r="N251" s="11" t="str">
        <f>IF(I251="已计入",IF(AND(B251="卖出",'持仓总览'!$C$7="本金优先"),MAX(0,E251-Q250),IF(OR(B251="卖出",B251="现金分红"),MIN(E251,M251),0)),"")</f>
        <v/>
      </c>
      <c r="O251" s="11" t="str">
        <f t="shared" si="67">IF(I251="已计入",IF(OR(B251="卖出",B251="现金分红"),MIN(Q250,MAX(0,E251-N251)),0),"")</f>
        <v/>
      </c>
      <c r="P251" s="11" t="str">
        <f t="shared" si="68">IF(I251="已计入",IF(AND(B251="卖出",K251=0),MAX(0,Q250-O251),0),"")</f>
        <v/>
      </c>
      <c r="Q251" s="11">
        <f t="shared" si="69">IF(AA251="正常",IF(I251="已计入",ROUND(Q250+IF(OR(B251="买入",B251="定投",B251="转换转入"),E251,0)-O251-P251,2),Q250),"")</f>
        <v>129570</v>
      </c>
      <c r="R251" s="11" t="str">
        <f t="shared" si="60">IF(I251="已计入",ROUND(K251*C251,2),"")</f>
        <v/>
      </c>
      <c r="S251" s="11" t="str">
        <f t="shared" si="61">IF(I251="已计入",ROUND(R251-Q251,2),"")</f>
        <v/>
      </c>
      <c r="T251" s="12" t="str">
        <f t="shared" si="62">IF(I251="已计入",IF(Q251=0,"",S251/Q251),"")</f>
        <v/>
      </c>
      <c r="U251" s="11">
        <f t="shared" si="70">IF(AA251="正常",U250+IF(AND(I251="已计入",OR(B251="买入",B251="定投",B251="转换转入")),E251,0),"")</f>
        <v>129570</v>
      </c>
      <c r="V251" s="11">
        <f t="shared" si="71">IF(AA251="正常",V250+IF(AND(I251="已计入",OR(B251="卖出",B251="现金分红")),E251,0),"")</f>
        <v>0</v>
      </c>
      <c r="W251" s="11">
        <f t="shared" si="72">IF(AA251="正常",W250+IF(I251="已计入",N251,0),"")</f>
        <v>0</v>
      </c>
      <c r="X251" s="11">
        <f t="shared" si="73">IF(AA251="正常",X250+IF(I251="已计入",P251,0),"")</f>
        <v>0</v>
      </c>
      <c r="Y251" s="11" t="str">
        <f t="shared" si="63">IF(I251="已计入",ROUND(R251+V251-U251,2),"")</f>
        <v/>
      </c>
      <c r="Z251" s="13">
        <f t="shared" si="74">IF(AA251="正常",IF(I251="已计入",A251,Z250),"")</f>
        <v>46239</v>
      </c>
      <c r="AA251" s="10" t="str">
        <f>IF(OR($AA$134="错误",COUNTIF($G$135:G251,"待修正")&gt;0),"错误","正常")</f>
        <v>正常</v>
      </c>
      <c r="AB251" s="14">
        <f t="shared" si="75">IF(AA251="正常",IF(I251="已计入",C251,AB250),"")</f>
        <v>6.347</v>
      </c>
    </row>
    <row r="252" ht="23" customHeight="1">
      <c r="A252" s="36"/>
      <c r="B252" s="37"/>
      <c r="C252" s="38"/>
      <c r="D252" s="39"/>
      <c r="E252" s="44" t="str">
        <f t="shared" si="76">IF(AND(ISNUMBER(C252),ISNUMBER(D252),ISNUMBER(F252)),IF(OR(B252="买入",B252="定投"),ROUND(C252*D252+F252,2),IF(B252="卖出",ROUND(C252*D252-F252,2),IF(B252="红利再投",0,""))),"")</f>
        <v/>
      </c>
      <c r="F252" s="39"/>
      <c r="G252" s="45" t="str">
        <f t="shared" si="77">IF(COUNTA(A252:D252,F252)=0,"",IF(I252="已计入","已录入","待修正"))</f>
        <v/>
      </c>
      <c r="H252" s="46" t="str">
        <f t="shared" si="78">IF(COUNTA(A252:D252,F252)=0,"",IF(B252="红利再投","仅增加份额，不增加现金投入","金额由份额、净值和手续费推算"))</f>
        <v/>
      </c>
      <c r="I252" s="10" t="str">
        <f>IF(COUNTA(A252:D252,F252)=0,"",IF(NOT(ISNUMBER(A252)),"缺少有效净值日期",IF(OR(A252&lt;=0,A252&lt;&gt;INT(A252)),"净值日期无效",IF(OR(B252="转换转入",B252="现金分红"),"该类型需实际金额，五项录入不适用",IF(NOT(OR(OR(B252="买入",B252="定投"),B252="卖出",B252="红利再投")),"请选择交易类型",IF(NOT(ISNUMBER(C252)),"缺少成交净值",IF(C252&lt;=0,"成交净值须大于零",IF(NOT(ISNUMBER(D252)),"缺少确认份额",IF(D252&lt;=0,"确认份额须大于零",IF(NOT(ISNUMBER(F252)),"缺少手续费，无费用请填 0",IF(F252&lt;0,"手续费不能为负",IF(AA251="错误","前行待修正",IF(A252&lt;Z251,"日期需按成交顺序递增",IF(AND(B252="红利再投",F252&lt;&gt;0),"红利再投手续费应填 0",IF(AND(B252="红利再投",K251&lt;=0),"红利再投前须有持仓",IF(AND(B252="卖出",D252&gt;K251+0.000001),"卖出份额超过持仓",IF(AND(B252="卖出",F252&gt;=C252*D252),"赎回费不能达到赎回总额",IF(NOT(ISNUMBER(E252)),"自动金额未生成，请检查五项输入",IF(NOT(OR('持仓总览'!$C$7="利润优先",'持仓总览'!$C$7="本金优先")),"请选择卖出分配模式","已计入")))))))))))))))))))</f>
        <v/>
      </c>
      <c r="J252" s="11">
        <f t="shared" si="59">IF(AA252="正常",IF(I252="已计入",IF(OR(OR(B252="买入",B252="定投",B252="转换转入"),B252="红利再投"),D252,IF(B252="卖出",-D252,0)),0),"")</f>
        <v>0</v>
      </c>
      <c r="K252" s="11">
        <f t="shared" si="64">IF(AA252="正常",ROUND(K251+J252,6),"")</f>
        <v>25721.6</v>
      </c>
      <c r="L252" s="11" t="str">
        <f t="shared" si="65">IF(I252="已计入",ROUND(K251*C252,2),"")</f>
        <v/>
      </c>
      <c r="M252" s="11" t="str">
        <f t="shared" si="66">IF(I252="已计入",IF(B252="卖出",MAX(0,L252-Q251-F252),IF(B252="现金分红",MAX(0,L252+E252-Q251),0)),"")</f>
        <v/>
      </c>
      <c r="N252" s="11" t="str">
        <f>IF(I252="已计入",IF(AND(B252="卖出",'持仓总览'!$C$7="本金优先"),MAX(0,E252-Q251),IF(OR(B252="卖出",B252="现金分红"),MIN(E252,M252),0)),"")</f>
        <v/>
      </c>
      <c r="O252" s="11" t="str">
        <f t="shared" si="67">IF(I252="已计入",IF(OR(B252="卖出",B252="现金分红"),MIN(Q251,MAX(0,E252-N252)),0),"")</f>
        <v/>
      </c>
      <c r="P252" s="11" t="str">
        <f t="shared" si="68">IF(I252="已计入",IF(AND(B252="卖出",K252=0),MAX(0,Q251-O252),0),"")</f>
        <v/>
      </c>
      <c r="Q252" s="11">
        <f t="shared" si="69">IF(AA252="正常",IF(I252="已计入",ROUND(Q251+IF(OR(B252="买入",B252="定投",B252="转换转入"),E252,0)-O252-P252,2),Q251),"")</f>
        <v>129570</v>
      </c>
      <c r="R252" s="11" t="str">
        <f t="shared" si="60">IF(I252="已计入",ROUND(K252*C252,2),"")</f>
        <v/>
      </c>
      <c r="S252" s="11" t="str">
        <f t="shared" si="61">IF(I252="已计入",ROUND(R252-Q252,2),"")</f>
        <v/>
      </c>
      <c r="T252" s="12" t="str">
        <f t="shared" si="62">IF(I252="已计入",IF(Q252=0,"",S252/Q252),"")</f>
        <v/>
      </c>
      <c r="U252" s="11">
        <f t="shared" si="70">IF(AA252="正常",U251+IF(AND(I252="已计入",OR(B252="买入",B252="定投",B252="转换转入")),E252,0),"")</f>
        <v>129570</v>
      </c>
      <c r="V252" s="11">
        <f t="shared" si="71">IF(AA252="正常",V251+IF(AND(I252="已计入",OR(B252="卖出",B252="现金分红")),E252,0),"")</f>
        <v>0</v>
      </c>
      <c r="W252" s="11">
        <f t="shared" si="72">IF(AA252="正常",W251+IF(I252="已计入",N252,0),"")</f>
        <v>0</v>
      </c>
      <c r="X252" s="11">
        <f t="shared" si="73">IF(AA252="正常",X251+IF(I252="已计入",P252,0),"")</f>
        <v>0</v>
      </c>
      <c r="Y252" s="11" t="str">
        <f t="shared" si="63">IF(I252="已计入",ROUND(R252+V252-U252,2),"")</f>
        <v/>
      </c>
      <c r="Z252" s="13">
        <f t="shared" si="74">IF(AA252="正常",IF(I252="已计入",A252,Z251),"")</f>
        <v>46239</v>
      </c>
      <c r="AA252" s="10" t="str">
        <f>IF(OR($AA$134="错误",COUNTIF($G$135:G252,"待修正")&gt;0),"错误","正常")</f>
        <v>正常</v>
      </c>
      <c r="AB252" s="14">
        <f t="shared" si="75">IF(AA252="正常",IF(I252="已计入",C252,AB251),"")</f>
        <v>6.347</v>
      </c>
    </row>
    <row r="253" ht="23" customHeight="1">
      <c r="A253" s="36"/>
      <c r="B253" s="37"/>
      <c r="C253" s="38"/>
      <c r="D253" s="39"/>
      <c r="E253" s="44" t="str">
        <f t="shared" si="76">IF(AND(ISNUMBER(C253),ISNUMBER(D253),ISNUMBER(F253)),IF(OR(B253="买入",B253="定投"),ROUND(C253*D253+F253,2),IF(B253="卖出",ROUND(C253*D253-F253,2),IF(B253="红利再投",0,""))),"")</f>
        <v/>
      </c>
      <c r="F253" s="39"/>
      <c r="G253" s="45" t="str">
        <f t="shared" si="77">IF(COUNTA(A253:D253,F253)=0,"",IF(I253="已计入","已录入","待修正"))</f>
        <v/>
      </c>
      <c r="H253" s="46" t="str">
        <f t="shared" si="78">IF(COUNTA(A253:D253,F253)=0,"",IF(B253="红利再投","仅增加份额，不增加现金投入","金额由份额、净值和手续费推算"))</f>
        <v/>
      </c>
      <c r="I253" s="10" t="str">
        <f>IF(COUNTA(A253:D253,F253)=0,"",IF(NOT(ISNUMBER(A253)),"缺少有效净值日期",IF(OR(A253&lt;=0,A253&lt;&gt;INT(A253)),"净值日期无效",IF(OR(B253="转换转入",B253="现金分红"),"该类型需实际金额，五项录入不适用",IF(NOT(OR(OR(B253="买入",B253="定投"),B253="卖出",B253="红利再投")),"请选择交易类型",IF(NOT(ISNUMBER(C253)),"缺少成交净值",IF(C253&lt;=0,"成交净值须大于零",IF(NOT(ISNUMBER(D253)),"缺少确认份额",IF(D253&lt;=0,"确认份额须大于零",IF(NOT(ISNUMBER(F253)),"缺少手续费，无费用请填 0",IF(F253&lt;0,"手续费不能为负",IF(AA252="错误","前行待修正",IF(A253&lt;Z252,"日期需按成交顺序递增",IF(AND(B253="红利再投",F253&lt;&gt;0),"红利再投手续费应填 0",IF(AND(B253="红利再投",K252&lt;=0),"红利再投前须有持仓",IF(AND(B253="卖出",D253&gt;K252+0.000001),"卖出份额超过持仓",IF(AND(B253="卖出",F253&gt;=C253*D253),"赎回费不能达到赎回总额",IF(NOT(ISNUMBER(E253)),"自动金额未生成，请检查五项输入",IF(NOT(OR('持仓总览'!$C$7="利润优先",'持仓总览'!$C$7="本金优先")),"请选择卖出分配模式","已计入")))))))))))))))))))</f>
        <v/>
      </c>
      <c r="J253" s="11">
        <f t="shared" si="59">IF(AA253="正常",IF(I253="已计入",IF(OR(OR(B253="买入",B253="定投",B253="转换转入"),B253="红利再投"),D253,IF(B253="卖出",-D253,0)),0),"")</f>
        <v>0</v>
      </c>
      <c r="K253" s="11">
        <f t="shared" si="64">IF(AA253="正常",ROUND(K252+J253,6),"")</f>
        <v>25721.6</v>
      </c>
      <c r="L253" s="11" t="str">
        <f t="shared" si="65">IF(I253="已计入",ROUND(K252*C253,2),"")</f>
        <v/>
      </c>
      <c r="M253" s="11" t="str">
        <f t="shared" si="66">IF(I253="已计入",IF(B253="卖出",MAX(0,L253-Q252-F253),IF(B253="现金分红",MAX(0,L253+E253-Q252),0)),"")</f>
        <v/>
      </c>
      <c r="N253" s="11" t="str">
        <f>IF(I253="已计入",IF(AND(B253="卖出",'持仓总览'!$C$7="本金优先"),MAX(0,E253-Q252),IF(OR(B253="卖出",B253="现金分红"),MIN(E253,M253),0)),"")</f>
        <v/>
      </c>
      <c r="O253" s="11" t="str">
        <f t="shared" si="67">IF(I253="已计入",IF(OR(B253="卖出",B253="现金分红"),MIN(Q252,MAX(0,E253-N253)),0),"")</f>
        <v/>
      </c>
      <c r="P253" s="11" t="str">
        <f t="shared" si="68">IF(I253="已计入",IF(AND(B253="卖出",K253=0),MAX(0,Q252-O253),0),"")</f>
        <v/>
      </c>
      <c r="Q253" s="11">
        <f t="shared" si="69">IF(AA253="正常",IF(I253="已计入",ROUND(Q252+IF(OR(B253="买入",B253="定投",B253="转换转入"),E253,0)-O253-P253,2),Q252),"")</f>
        <v>129570</v>
      </c>
      <c r="R253" s="11" t="str">
        <f t="shared" si="60">IF(I253="已计入",ROUND(K253*C253,2),"")</f>
        <v/>
      </c>
      <c r="S253" s="11" t="str">
        <f t="shared" si="61">IF(I253="已计入",ROUND(R253-Q253,2),"")</f>
        <v/>
      </c>
      <c r="T253" s="12" t="str">
        <f t="shared" si="62">IF(I253="已计入",IF(Q253=0,"",S253/Q253),"")</f>
        <v/>
      </c>
      <c r="U253" s="11">
        <f t="shared" si="70">IF(AA253="正常",U252+IF(AND(I253="已计入",OR(B253="买入",B253="定投",B253="转换转入")),E253,0),"")</f>
        <v>129570</v>
      </c>
      <c r="V253" s="11">
        <f t="shared" si="71">IF(AA253="正常",V252+IF(AND(I253="已计入",OR(B253="卖出",B253="现金分红")),E253,0),"")</f>
        <v>0</v>
      </c>
      <c r="W253" s="11">
        <f t="shared" si="72">IF(AA253="正常",W252+IF(I253="已计入",N253,0),"")</f>
        <v>0</v>
      </c>
      <c r="X253" s="11">
        <f t="shared" si="73">IF(AA253="正常",X252+IF(I253="已计入",P253,0),"")</f>
        <v>0</v>
      </c>
      <c r="Y253" s="11" t="str">
        <f t="shared" si="63">IF(I253="已计入",ROUND(R253+V253-U253,2),"")</f>
        <v/>
      </c>
      <c r="Z253" s="13">
        <f t="shared" si="74">IF(AA253="正常",IF(I253="已计入",A253,Z252),"")</f>
        <v>46239</v>
      </c>
      <c r="AA253" s="10" t="str">
        <f>IF(OR($AA$134="错误",COUNTIF($G$135:G253,"待修正")&gt;0),"错误","正常")</f>
        <v>正常</v>
      </c>
      <c r="AB253" s="14">
        <f t="shared" si="75">IF(AA253="正常",IF(I253="已计入",C253,AB252),"")</f>
        <v>6.347</v>
      </c>
    </row>
    <row r="254" ht="23" customHeight="1">
      <c r="A254" s="36"/>
      <c r="B254" s="37"/>
      <c r="C254" s="38"/>
      <c r="D254" s="39"/>
      <c r="E254" s="44" t="str">
        <f t="shared" si="76">IF(AND(ISNUMBER(C254),ISNUMBER(D254),ISNUMBER(F254)),IF(OR(B254="买入",B254="定投"),ROUND(C254*D254+F254,2),IF(B254="卖出",ROUND(C254*D254-F254,2),IF(B254="红利再投",0,""))),"")</f>
        <v/>
      </c>
      <c r="F254" s="39"/>
      <c r="G254" s="45" t="str">
        <f t="shared" si="77">IF(COUNTA(A254:D254,F254)=0,"",IF(I254="已计入","已录入","待修正"))</f>
        <v/>
      </c>
      <c r="H254" s="46" t="str">
        <f t="shared" si="78">IF(COUNTA(A254:D254,F254)=0,"",IF(B254="红利再投","仅增加份额，不增加现金投入","金额由份额、净值和手续费推算"))</f>
        <v/>
      </c>
      <c r="I254" s="10" t="str">
        <f>IF(COUNTA(A254:D254,F254)=0,"",IF(NOT(ISNUMBER(A254)),"缺少有效净值日期",IF(OR(A254&lt;=0,A254&lt;&gt;INT(A254)),"净值日期无效",IF(OR(B254="转换转入",B254="现金分红"),"该类型需实际金额，五项录入不适用",IF(NOT(OR(OR(B254="买入",B254="定投"),B254="卖出",B254="红利再投")),"请选择交易类型",IF(NOT(ISNUMBER(C254)),"缺少成交净值",IF(C254&lt;=0,"成交净值须大于零",IF(NOT(ISNUMBER(D254)),"缺少确认份额",IF(D254&lt;=0,"确认份额须大于零",IF(NOT(ISNUMBER(F254)),"缺少手续费，无费用请填 0",IF(F254&lt;0,"手续费不能为负",IF(AA253="错误","前行待修正",IF(A254&lt;Z253,"日期需按成交顺序递增",IF(AND(B254="红利再投",F254&lt;&gt;0),"红利再投手续费应填 0",IF(AND(B254="红利再投",K253&lt;=0),"红利再投前须有持仓",IF(AND(B254="卖出",D254&gt;K253+0.000001),"卖出份额超过持仓",IF(AND(B254="卖出",F254&gt;=C254*D254),"赎回费不能达到赎回总额",IF(NOT(ISNUMBER(E254)),"自动金额未生成，请检查五项输入",IF(NOT(OR('持仓总览'!$C$7="利润优先",'持仓总览'!$C$7="本金优先")),"请选择卖出分配模式","已计入")))))))))))))))))))</f>
        <v/>
      </c>
      <c r="J254" s="11">
        <f t="shared" si="59">IF(AA254="正常",IF(I254="已计入",IF(OR(OR(B254="买入",B254="定投",B254="转换转入"),B254="红利再投"),D254,IF(B254="卖出",-D254,0)),0),"")</f>
        <v>0</v>
      </c>
      <c r="K254" s="11">
        <f t="shared" si="64">IF(AA254="正常",ROUND(K253+J254,6),"")</f>
        <v>25721.6</v>
      </c>
      <c r="L254" s="11" t="str">
        <f t="shared" si="65">IF(I254="已计入",ROUND(K253*C254,2),"")</f>
        <v/>
      </c>
      <c r="M254" s="11" t="str">
        <f t="shared" si="66">IF(I254="已计入",IF(B254="卖出",MAX(0,L254-Q253-F254),IF(B254="现金分红",MAX(0,L254+E254-Q253),0)),"")</f>
        <v/>
      </c>
      <c r="N254" s="11" t="str">
        <f>IF(I254="已计入",IF(AND(B254="卖出",'持仓总览'!$C$7="本金优先"),MAX(0,E254-Q253),IF(OR(B254="卖出",B254="现金分红"),MIN(E254,M254),0)),"")</f>
        <v/>
      </c>
      <c r="O254" s="11" t="str">
        <f t="shared" si="67">IF(I254="已计入",IF(OR(B254="卖出",B254="现金分红"),MIN(Q253,MAX(0,E254-N254)),0),"")</f>
        <v/>
      </c>
      <c r="P254" s="11" t="str">
        <f t="shared" si="68">IF(I254="已计入",IF(AND(B254="卖出",K254=0),MAX(0,Q253-O254),0),"")</f>
        <v/>
      </c>
      <c r="Q254" s="11">
        <f t="shared" si="69">IF(AA254="正常",IF(I254="已计入",ROUND(Q253+IF(OR(B254="买入",B254="定投",B254="转换转入"),E254,0)-O254-P254,2),Q253),"")</f>
        <v>129570</v>
      </c>
      <c r="R254" s="11" t="str">
        <f t="shared" si="60">IF(I254="已计入",ROUND(K254*C254,2),"")</f>
        <v/>
      </c>
      <c r="S254" s="11" t="str">
        <f t="shared" si="61">IF(I254="已计入",ROUND(R254-Q254,2),"")</f>
        <v/>
      </c>
      <c r="T254" s="12" t="str">
        <f t="shared" si="62">IF(I254="已计入",IF(Q254=0,"",S254/Q254),"")</f>
        <v/>
      </c>
      <c r="U254" s="11">
        <f t="shared" si="70">IF(AA254="正常",U253+IF(AND(I254="已计入",OR(B254="买入",B254="定投",B254="转换转入")),E254,0),"")</f>
        <v>129570</v>
      </c>
      <c r="V254" s="11">
        <f t="shared" si="71">IF(AA254="正常",V253+IF(AND(I254="已计入",OR(B254="卖出",B254="现金分红")),E254,0),"")</f>
        <v>0</v>
      </c>
      <c r="W254" s="11">
        <f t="shared" si="72">IF(AA254="正常",W253+IF(I254="已计入",N254,0),"")</f>
        <v>0</v>
      </c>
      <c r="X254" s="11">
        <f t="shared" si="73">IF(AA254="正常",X253+IF(I254="已计入",P254,0),"")</f>
        <v>0</v>
      </c>
      <c r="Y254" s="11" t="str">
        <f t="shared" si="63">IF(I254="已计入",ROUND(R254+V254-U254,2),"")</f>
        <v/>
      </c>
      <c r="Z254" s="13">
        <f t="shared" si="74">IF(AA254="正常",IF(I254="已计入",A254,Z253),"")</f>
        <v>46239</v>
      </c>
      <c r="AA254" s="10" t="str">
        <f>IF(OR($AA$134="错误",COUNTIF($G$135:G254,"待修正")&gt;0),"错误","正常")</f>
        <v>正常</v>
      </c>
      <c r="AB254" s="14">
        <f t="shared" si="75">IF(AA254="正常",IF(I254="已计入",C254,AB253),"")</f>
        <v>6.347</v>
      </c>
    </row>
    <row r="255" ht="23" customHeight="1">
      <c r="A255" s="36"/>
      <c r="B255" s="37"/>
      <c r="C255" s="38"/>
      <c r="D255" s="39"/>
      <c r="E255" s="44" t="str">
        <f t="shared" si="76">IF(AND(ISNUMBER(C255),ISNUMBER(D255),ISNUMBER(F255)),IF(OR(B255="买入",B255="定投"),ROUND(C255*D255+F255,2),IF(B255="卖出",ROUND(C255*D255-F255,2),IF(B255="红利再投",0,""))),"")</f>
        <v/>
      </c>
      <c r="F255" s="39"/>
      <c r="G255" s="45" t="str">
        <f t="shared" si="77">IF(COUNTA(A255:D255,F255)=0,"",IF(I255="已计入","已录入","待修正"))</f>
        <v/>
      </c>
      <c r="H255" s="46" t="str">
        <f t="shared" si="78">IF(COUNTA(A255:D255,F255)=0,"",IF(B255="红利再投","仅增加份额，不增加现金投入","金额由份额、净值和手续费推算"))</f>
        <v/>
      </c>
      <c r="I255" s="10" t="str">
        <f>IF(COUNTA(A255:D255,F255)=0,"",IF(NOT(ISNUMBER(A255)),"缺少有效净值日期",IF(OR(A255&lt;=0,A255&lt;&gt;INT(A255)),"净值日期无效",IF(OR(B255="转换转入",B255="现金分红"),"该类型需实际金额，五项录入不适用",IF(NOT(OR(OR(B255="买入",B255="定投"),B255="卖出",B255="红利再投")),"请选择交易类型",IF(NOT(ISNUMBER(C255)),"缺少成交净值",IF(C255&lt;=0,"成交净值须大于零",IF(NOT(ISNUMBER(D255)),"缺少确认份额",IF(D255&lt;=0,"确认份额须大于零",IF(NOT(ISNUMBER(F255)),"缺少手续费，无费用请填 0",IF(F255&lt;0,"手续费不能为负",IF(AA254="错误","前行待修正",IF(A255&lt;Z254,"日期需按成交顺序递增",IF(AND(B255="红利再投",F255&lt;&gt;0),"红利再投手续费应填 0",IF(AND(B255="红利再投",K254&lt;=0),"红利再投前须有持仓",IF(AND(B255="卖出",D255&gt;K254+0.000001),"卖出份额超过持仓",IF(AND(B255="卖出",F255&gt;=C255*D255),"赎回费不能达到赎回总额",IF(NOT(ISNUMBER(E255)),"自动金额未生成，请检查五项输入",IF(NOT(OR('持仓总览'!$C$7="利润优先",'持仓总览'!$C$7="本金优先")),"请选择卖出分配模式","已计入")))))))))))))))))))</f>
        <v/>
      </c>
      <c r="J255" s="11">
        <f t="shared" si="59">IF(AA255="正常",IF(I255="已计入",IF(OR(OR(B255="买入",B255="定投",B255="转换转入"),B255="红利再投"),D255,IF(B255="卖出",-D255,0)),0),"")</f>
        <v>0</v>
      </c>
      <c r="K255" s="11">
        <f t="shared" si="64">IF(AA255="正常",ROUND(K254+J255,6),"")</f>
        <v>25721.6</v>
      </c>
      <c r="L255" s="11" t="str">
        <f t="shared" si="65">IF(I255="已计入",ROUND(K254*C255,2),"")</f>
        <v/>
      </c>
      <c r="M255" s="11" t="str">
        <f t="shared" si="66">IF(I255="已计入",IF(B255="卖出",MAX(0,L255-Q254-F255),IF(B255="现金分红",MAX(0,L255+E255-Q254),0)),"")</f>
        <v/>
      </c>
      <c r="N255" s="11" t="str">
        <f>IF(I255="已计入",IF(AND(B255="卖出",'持仓总览'!$C$7="本金优先"),MAX(0,E255-Q254),IF(OR(B255="卖出",B255="现金分红"),MIN(E255,M255),0)),"")</f>
        <v/>
      </c>
      <c r="O255" s="11" t="str">
        <f t="shared" si="67">IF(I255="已计入",IF(OR(B255="卖出",B255="现金分红"),MIN(Q254,MAX(0,E255-N255)),0),"")</f>
        <v/>
      </c>
      <c r="P255" s="11" t="str">
        <f t="shared" si="68">IF(I255="已计入",IF(AND(B255="卖出",K255=0),MAX(0,Q254-O255),0),"")</f>
        <v/>
      </c>
      <c r="Q255" s="11">
        <f t="shared" si="69">IF(AA255="正常",IF(I255="已计入",ROUND(Q254+IF(OR(B255="买入",B255="定投",B255="转换转入"),E255,0)-O255-P255,2),Q254),"")</f>
        <v>129570</v>
      </c>
      <c r="R255" s="11" t="str">
        <f t="shared" si="60">IF(I255="已计入",ROUND(K255*C255,2),"")</f>
        <v/>
      </c>
      <c r="S255" s="11" t="str">
        <f t="shared" si="61">IF(I255="已计入",ROUND(R255-Q255,2),"")</f>
        <v/>
      </c>
      <c r="T255" s="12" t="str">
        <f t="shared" si="62">IF(I255="已计入",IF(Q255=0,"",S255/Q255),"")</f>
        <v/>
      </c>
      <c r="U255" s="11">
        <f t="shared" si="70">IF(AA255="正常",U254+IF(AND(I255="已计入",OR(B255="买入",B255="定投",B255="转换转入")),E255,0),"")</f>
        <v>129570</v>
      </c>
      <c r="V255" s="11">
        <f t="shared" si="71">IF(AA255="正常",V254+IF(AND(I255="已计入",OR(B255="卖出",B255="现金分红")),E255,0),"")</f>
        <v>0</v>
      </c>
      <c r="W255" s="11">
        <f t="shared" si="72">IF(AA255="正常",W254+IF(I255="已计入",N255,0),"")</f>
        <v>0</v>
      </c>
      <c r="X255" s="11">
        <f t="shared" si="73">IF(AA255="正常",X254+IF(I255="已计入",P255,0),"")</f>
        <v>0</v>
      </c>
      <c r="Y255" s="11" t="str">
        <f t="shared" si="63">IF(I255="已计入",ROUND(R255+V255-U255,2),"")</f>
        <v/>
      </c>
      <c r="Z255" s="13">
        <f t="shared" si="74">IF(AA255="正常",IF(I255="已计入",A255,Z254),"")</f>
        <v>46239</v>
      </c>
      <c r="AA255" s="10" t="str">
        <f>IF(OR($AA$134="错误",COUNTIF($G$135:G255,"待修正")&gt;0),"错误","正常")</f>
        <v>正常</v>
      </c>
      <c r="AB255" s="14">
        <f t="shared" si="75">IF(AA255="正常",IF(I255="已计入",C255,AB254),"")</f>
        <v>6.347</v>
      </c>
    </row>
    <row r="256" ht="23" customHeight="1">
      <c r="A256" s="36"/>
      <c r="B256" s="37"/>
      <c r="C256" s="38"/>
      <c r="D256" s="39"/>
      <c r="E256" s="44" t="str">
        <f t="shared" si="76">IF(AND(ISNUMBER(C256),ISNUMBER(D256),ISNUMBER(F256)),IF(OR(B256="买入",B256="定投"),ROUND(C256*D256+F256,2),IF(B256="卖出",ROUND(C256*D256-F256,2),IF(B256="红利再投",0,""))),"")</f>
        <v/>
      </c>
      <c r="F256" s="39"/>
      <c r="G256" s="45" t="str">
        <f t="shared" si="77">IF(COUNTA(A256:D256,F256)=0,"",IF(I256="已计入","已录入","待修正"))</f>
        <v/>
      </c>
      <c r="H256" s="46" t="str">
        <f t="shared" si="78">IF(COUNTA(A256:D256,F256)=0,"",IF(B256="红利再投","仅增加份额，不增加现金投入","金额由份额、净值和手续费推算"))</f>
        <v/>
      </c>
      <c r="I256" s="10" t="str">
        <f>IF(COUNTA(A256:D256,F256)=0,"",IF(NOT(ISNUMBER(A256)),"缺少有效净值日期",IF(OR(A256&lt;=0,A256&lt;&gt;INT(A256)),"净值日期无效",IF(OR(B256="转换转入",B256="现金分红"),"该类型需实际金额，五项录入不适用",IF(NOT(OR(OR(B256="买入",B256="定投"),B256="卖出",B256="红利再投")),"请选择交易类型",IF(NOT(ISNUMBER(C256)),"缺少成交净值",IF(C256&lt;=0,"成交净值须大于零",IF(NOT(ISNUMBER(D256)),"缺少确认份额",IF(D256&lt;=0,"确认份额须大于零",IF(NOT(ISNUMBER(F256)),"缺少手续费，无费用请填 0",IF(F256&lt;0,"手续费不能为负",IF(AA255="错误","前行待修正",IF(A256&lt;Z255,"日期需按成交顺序递增",IF(AND(B256="红利再投",F256&lt;&gt;0),"红利再投手续费应填 0",IF(AND(B256="红利再投",K255&lt;=0),"红利再投前须有持仓",IF(AND(B256="卖出",D256&gt;K255+0.000001),"卖出份额超过持仓",IF(AND(B256="卖出",F256&gt;=C256*D256),"赎回费不能达到赎回总额",IF(NOT(ISNUMBER(E256)),"自动金额未生成，请检查五项输入",IF(NOT(OR('持仓总览'!$C$7="利润优先",'持仓总览'!$C$7="本金优先")),"请选择卖出分配模式","已计入")))))))))))))))))))</f>
        <v/>
      </c>
      <c r="J256" s="11">
        <f t="shared" si="59">IF(AA256="正常",IF(I256="已计入",IF(OR(OR(B256="买入",B256="定投",B256="转换转入"),B256="红利再投"),D256,IF(B256="卖出",-D256,0)),0),"")</f>
        <v>0</v>
      </c>
      <c r="K256" s="11">
        <f t="shared" si="64">IF(AA256="正常",ROUND(K255+J256,6),"")</f>
        <v>25721.6</v>
      </c>
      <c r="L256" s="11" t="str">
        <f t="shared" si="65">IF(I256="已计入",ROUND(K255*C256,2),"")</f>
        <v/>
      </c>
      <c r="M256" s="11" t="str">
        <f t="shared" si="66">IF(I256="已计入",IF(B256="卖出",MAX(0,L256-Q255-F256),IF(B256="现金分红",MAX(0,L256+E256-Q255),0)),"")</f>
        <v/>
      </c>
      <c r="N256" s="11" t="str">
        <f>IF(I256="已计入",IF(AND(B256="卖出",'持仓总览'!$C$7="本金优先"),MAX(0,E256-Q255),IF(OR(B256="卖出",B256="现金分红"),MIN(E256,M256),0)),"")</f>
        <v/>
      </c>
      <c r="O256" s="11" t="str">
        <f t="shared" si="67">IF(I256="已计入",IF(OR(B256="卖出",B256="现金分红"),MIN(Q255,MAX(0,E256-N256)),0),"")</f>
        <v/>
      </c>
      <c r="P256" s="11" t="str">
        <f t="shared" si="68">IF(I256="已计入",IF(AND(B256="卖出",K256=0),MAX(0,Q255-O256),0),"")</f>
        <v/>
      </c>
      <c r="Q256" s="11">
        <f t="shared" si="69">IF(AA256="正常",IF(I256="已计入",ROUND(Q255+IF(OR(B256="买入",B256="定投",B256="转换转入"),E256,0)-O256-P256,2),Q255),"")</f>
        <v>129570</v>
      </c>
      <c r="R256" s="11" t="str">
        <f t="shared" si="60">IF(I256="已计入",ROUND(K256*C256,2),"")</f>
        <v/>
      </c>
      <c r="S256" s="11" t="str">
        <f t="shared" si="61">IF(I256="已计入",ROUND(R256-Q256,2),"")</f>
        <v/>
      </c>
      <c r="T256" s="12" t="str">
        <f t="shared" si="62">IF(I256="已计入",IF(Q256=0,"",S256/Q256),"")</f>
        <v/>
      </c>
      <c r="U256" s="11">
        <f t="shared" si="70">IF(AA256="正常",U255+IF(AND(I256="已计入",OR(B256="买入",B256="定投",B256="转换转入")),E256,0),"")</f>
        <v>129570</v>
      </c>
      <c r="V256" s="11">
        <f t="shared" si="71">IF(AA256="正常",V255+IF(AND(I256="已计入",OR(B256="卖出",B256="现金分红")),E256,0),"")</f>
        <v>0</v>
      </c>
      <c r="W256" s="11">
        <f t="shared" si="72">IF(AA256="正常",W255+IF(I256="已计入",N256,0),"")</f>
        <v>0</v>
      </c>
      <c r="X256" s="11">
        <f t="shared" si="73">IF(AA256="正常",X255+IF(I256="已计入",P256,0),"")</f>
        <v>0</v>
      </c>
      <c r="Y256" s="11" t="str">
        <f t="shared" si="63">IF(I256="已计入",ROUND(R256+V256-U256,2),"")</f>
        <v/>
      </c>
      <c r="Z256" s="13">
        <f t="shared" si="74">IF(AA256="正常",IF(I256="已计入",A256,Z255),"")</f>
        <v>46239</v>
      </c>
      <c r="AA256" s="10" t="str">
        <f>IF(OR($AA$134="错误",COUNTIF($G$135:G256,"待修正")&gt;0),"错误","正常")</f>
        <v>正常</v>
      </c>
      <c r="AB256" s="14">
        <f t="shared" si="75">IF(AA256="正常",IF(I256="已计入",C256,AB255),"")</f>
        <v>6.347</v>
      </c>
    </row>
    <row r="257" ht="23" customHeight="1">
      <c r="A257" s="36"/>
      <c r="B257" s="37"/>
      <c r="C257" s="38"/>
      <c r="D257" s="39"/>
      <c r="E257" s="44" t="str">
        <f t="shared" si="76">IF(AND(ISNUMBER(C257),ISNUMBER(D257),ISNUMBER(F257)),IF(OR(B257="买入",B257="定投"),ROUND(C257*D257+F257,2),IF(B257="卖出",ROUND(C257*D257-F257,2),IF(B257="红利再投",0,""))),"")</f>
        <v/>
      </c>
      <c r="F257" s="39"/>
      <c r="G257" s="45" t="str">
        <f t="shared" si="77">IF(COUNTA(A257:D257,F257)=0,"",IF(I257="已计入","已录入","待修正"))</f>
        <v/>
      </c>
      <c r="H257" s="46" t="str">
        <f t="shared" si="78">IF(COUNTA(A257:D257,F257)=0,"",IF(B257="红利再投","仅增加份额，不增加现金投入","金额由份额、净值和手续费推算"))</f>
        <v/>
      </c>
      <c r="I257" s="10" t="str">
        <f>IF(COUNTA(A257:D257,F257)=0,"",IF(NOT(ISNUMBER(A257)),"缺少有效净值日期",IF(OR(A257&lt;=0,A257&lt;&gt;INT(A257)),"净值日期无效",IF(OR(B257="转换转入",B257="现金分红"),"该类型需实际金额，五项录入不适用",IF(NOT(OR(OR(B257="买入",B257="定投"),B257="卖出",B257="红利再投")),"请选择交易类型",IF(NOT(ISNUMBER(C257)),"缺少成交净值",IF(C257&lt;=0,"成交净值须大于零",IF(NOT(ISNUMBER(D257)),"缺少确认份额",IF(D257&lt;=0,"确认份额须大于零",IF(NOT(ISNUMBER(F257)),"缺少手续费，无费用请填 0",IF(F257&lt;0,"手续费不能为负",IF(AA256="错误","前行待修正",IF(A257&lt;Z256,"日期需按成交顺序递增",IF(AND(B257="红利再投",F257&lt;&gt;0),"红利再投手续费应填 0",IF(AND(B257="红利再投",K256&lt;=0),"红利再投前须有持仓",IF(AND(B257="卖出",D257&gt;K256+0.000001),"卖出份额超过持仓",IF(AND(B257="卖出",F257&gt;=C257*D257),"赎回费不能达到赎回总额",IF(NOT(ISNUMBER(E257)),"自动金额未生成，请检查五项输入",IF(NOT(OR('持仓总览'!$C$7="利润优先",'持仓总览'!$C$7="本金优先")),"请选择卖出分配模式","已计入")))))))))))))))))))</f>
        <v/>
      </c>
      <c r="J257" s="11">
        <f t="shared" si="59">IF(AA257="正常",IF(I257="已计入",IF(OR(OR(B257="买入",B257="定投",B257="转换转入"),B257="红利再投"),D257,IF(B257="卖出",-D257,0)),0),"")</f>
        <v>0</v>
      </c>
      <c r="K257" s="11">
        <f t="shared" si="64">IF(AA257="正常",ROUND(K256+J257,6),"")</f>
        <v>25721.6</v>
      </c>
      <c r="L257" s="11" t="str">
        <f t="shared" si="65">IF(I257="已计入",ROUND(K256*C257,2),"")</f>
        <v/>
      </c>
      <c r="M257" s="11" t="str">
        <f t="shared" si="66">IF(I257="已计入",IF(B257="卖出",MAX(0,L257-Q256-F257),IF(B257="现金分红",MAX(0,L257+E257-Q256),0)),"")</f>
        <v/>
      </c>
      <c r="N257" s="11" t="str">
        <f>IF(I257="已计入",IF(AND(B257="卖出",'持仓总览'!$C$7="本金优先"),MAX(0,E257-Q256),IF(OR(B257="卖出",B257="现金分红"),MIN(E257,M257),0)),"")</f>
        <v/>
      </c>
      <c r="O257" s="11" t="str">
        <f t="shared" si="67">IF(I257="已计入",IF(OR(B257="卖出",B257="现金分红"),MIN(Q256,MAX(0,E257-N257)),0),"")</f>
        <v/>
      </c>
      <c r="P257" s="11" t="str">
        <f t="shared" si="68">IF(I257="已计入",IF(AND(B257="卖出",K257=0),MAX(0,Q256-O257),0),"")</f>
        <v/>
      </c>
      <c r="Q257" s="11">
        <f t="shared" si="69">IF(AA257="正常",IF(I257="已计入",ROUND(Q256+IF(OR(B257="买入",B257="定投",B257="转换转入"),E257,0)-O257-P257,2),Q256),"")</f>
        <v>129570</v>
      </c>
      <c r="R257" s="11" t="str">
        <f t="shared" si="60">IF(I257="已计入",ROUND(K257*C257,2),"")</f>
        <v/>
      </c>
      <c r="S257" s="11" t="str">
        <f t="shared" si="61">IF(I257="已计入",ROUND(R257-Q257,2),"")</f>
        <v/>
      </c>
      <c r="T257" s="12" t="str">
        <f t="shared" si="62">IF(I257="已计入",IF(Q257=0,"",S257/Q257),"")</f>
        <v/>
      </c>
      <c r="U257" s="11">
        <f t="shared" si="70">IF(AA257="正常",U256+IF(AND(I257="已计入",OR(B257="买入",B257="定投",B257="转换转入")),E257,0),"")</f>
        <v>129570</v>
      </c>
      <c r="V257" s="11">
        <f t="shared" si="71">IF(AA257="正常",V256+IF(AND(I257="已计入",OR(B257="卖出",B257="现金分红")),E257,0),"")</f>
        <v>0</v>
      </c>
      <c r="W257" s="11">
        <f t="shared" si="72">IF(AA257="正常",W256+IF(I257="已计入",N257,0),"")</f>
        <v>0</v>
      </c>
      <c r="X257" s="11">
        <f t="shared" si="73">IF(AA257="正常",X256+IF(I257="已计入",P257,0),"")</f>
        <v>0</v>
      </c>
      <c r="Y257" s="11" t="str">
        <f t="shared" si="63">IF(I257="已计入",ROUND(R257+V257-U257,2),"")</f>
        <v/>
      </c>
      <c r="Z257" s="13">
        <f t="shared" si="74">IF(AA257="正常",IF(I257="已计入",A257,Z256),"")</f>
        <v>46239</v>
      </c>
      <c r="AA257" s="10" t="str">
        <f>IF(OR($AA$134="错误",COUNTIF($G$135:G257,"待修正")&gt;0),"错误","正常")</f>
        <v>正常</v>
      </c>
      <c r="AB257" s="14">
        <f t="shared" si="75">IF(AA257="正常",IF(I257="已计入",C257,AB256),"")</f>
        <v>6.347</v>
      </c>
    </row>
    <row r="258" ht="23" customHeight="1">
      <c r="A258" s="36"/>
      <c r="B258" s="37"/>
      <c r="C258" s="38"/>
      <c r="D258" s="39"/>
      <c r="E258" s="44" t="str">
        <f t="shared" si="76">IF(AND(ISNUMBER(C258),ISNUMBER(D258),ISNUMBER(F258)),IF(OR(B258="买入",B258="定投"),ROUND(C258*D258+F258,2),IF(B258="卖出",ROUND(C258*D258-F258,2),IF(B258="红利再投",0,""))),"")</f>
        <v/>
      </c>
      <c r="F258" s="39"/>
      <c r="G258" s="45" t="str">
        <f t="shared" si="77">IF(COUNTA(A258:D258,F258)=0,"",IF(I258="已计入","已录入","待修正"))</f>
        <v/>
      </c>
      <c r="H258" s="46" t="str">
        <f t="shared" si="78">IF(COUNTA(A258:D258,F258)=0,"",IF(B258="红利再投","仅增加份额，不增加现金投入","金额由份额、净值和手续费推算"))</f>
        <v/>
      </c>
      <c r="I258" s="10" t="str">
        <f>IF(COUNTA(A258:D258,F258)=0,"",IF(NOT(ISNUMBER(A258)),"缺少有效净值日期",IF(OR(A258&lt;=0,A258&lt;&gt;INT(A258)),"净值日期无效",IF(OR(B258="转换转入",B258="现金分红"),"该类型需实际金额，五项录入不适用",IF(NOT(OR(OR(B258="买入",B258="定投"),B258="卖出",B258="红利再投")),"请选择交易类型",IF(NOT(ISNUMBER(C258)),"缺少成交净值",IF(C258&lt;=0,"成交净值须大于零",IF(NOT(ISNUMBER(D258)),"缺少确认份额",IF(D258&lt;=0,"确认份额须大于零",IF(NOT(ISNUMBER(F258)),"缺少手续费，无费用请填 0",IF(F258&lt;0,"手续费不能为负",IF(AA257="错误","前行待修正",IF(A258&lt;Z257,"日期需按成交顺序递增",IF(AND(B258="红利再投",F258&lt;&gt;0),"红利再投手续费应填 0",IF(AND(B258="红利再投",K257&lt;=0),"红利再投前须有持仓",IF(AND(B258="卖出",D258&gt;K257+0.000001),"卖出份额超过持仓",IF(AND(B258="卖出",F258&gt;=C258*D258),"赎回费不能达到赎回总额",IF(NOT(ISNUMBER(E258)),"自动金额未生成，请检查五项输入",IF(NOT(OR('持仓总览'!$C$7="利润优先",'持仓总览'!$C$7="本金优先")),"请选择卖出分配模式","已计入")))))))))))))))))))</f>
        <v/>
      </c>
      <c r="J258" s="11">
        <f t="shared" si="59">IF(AA258="正常",IF(I258="已计入",IF(OR(OR(B258="买入",B258="定投",B258="转换转入"),B258="红利再投"),D258,IF(B258="卖出",-D258,0)),0),"")</f>
        <v>0</v>
      </c>
      <c r="K258" s="11">
        <f t="shared" si="64">IF(AA258="正常",ROUND(K257+J258,6),"")</f>
        <v>25721.6</v>
      </c>
      <c r="L258" s="11" t="str">
        <f t="shared" si="65">IF(I258="已计入",ROUND(K257*C258,2),"")</f>
        <v/>
      </c>
      <c r="M258" s="11" t="str">
        <f t="shared" si="66">IF(I258="已计入",IF(B258="卖出",MAX(0,L258-Q257-F258),IF(B258="现金分红",MAX(0,L258+E258-Q257),0)),"")</f>
        <v/>
      </c>
      <c r="N258" s="11" t="str">
        <f>IF(I258="已计入",IF(AND(B258="卖出",'持仓总览'!$C$7="本金优先"),MAX(0,E258-Q257),IF(OR(B258="卖出",B258="现金分红"),MIN(E258,M258),0)),"")</f>
        <v/>
      </c>
      <c r="O258" s="11" t="str">
        <f t="shared" si="67">IF(I258="已计入",IF(OR(B258="卖出",B258="现金分红"),MIN(Q257,MAX(0,E258-N258)),0),"")</f>
        <v/>
      </c>
      <c r="P258" s="11" t="str">
        <f t="shared" si="68">IF(I258="已计入",IF(AND(B258="卖出",K258=0),MAX(0,Q257-O258),0),"")</f>
        <v/>
      </c>
      <c r="Q258" s="11">
        <f t="shared" si="69">IF(AA258="正常",IF(I258="已计入",ROUND(Q257+IF(OR(B258="买入",B258="定投",B258="转换转入"),E258,0)-O258-P258,2),Q257),"")</f>
        <v>129570</v>
      </c>
      <c r="R258" s="11" t="str">
        <f t="shared" si="60">IF(I258="已计入",ROUND(K258*C258,2),"")</f>
        <v/>
      </c>
      <c r="S258" s="11" t="str">
        <f t="shared" si="61">IF(I258="已计入",ROUND(R258-Q258,2),"")</f>
        <v/>
      </c>
      <c r="T258" s="12" t="str">
        <f t="shared" si="62">IF(I258="已计入",IF(Q258=0,"",S258/Q258),"")</f>
        <v/>
      </c>
      <c r="U258" s="11">
        <f t="shared" si="70">IF(AA258="正常",U257+IF(AND(I258="已计入",OR(B258="买入",B258="定投",B258="转换转入")),E258,0),"")</f>
        <v>129570</v>
      </c>
      <c r="V258" s="11">
        <f t="shared" si="71">IF(AA258="正常",V257+IF(AND(I258="已计入",OR(B258="卖出",B258="现金分红")),E258,0),"")</f>
        <v>0</v>
      </c>
      <c r="W258" s="11">
        <f t="shared" si="72">IF(AA258="正常",W257+IF(I258="已计入",N258,0),"")</f>
        <v>0</v>
      </c>
      <c r="X258" s="11">
        <f t="shared" si="73">IF(AA258="正常",X257+IF(I258="已计入",P258,0),"")</f>
        <v>0</v>
      </c>
      <c r="Y258" s="11" t="str">
        <f t="shared" si="63">IF(I258="已计入",ROUND(R258+V258-U258,2),"")</f>
        <v/>
      </c>
      <c r="Z258" s="13">
        <f t="shared" si="74">IF(AA258="正常",IF(I258="已计入",A258,Z257),"")</f>
        <v>46239</v>
      </c>
      <c r="AA258" s="10" t="str">
        <f>IF(OR($AA$134="错误",COUNTIF($G$135:G258,"待修正")&gt;0),"错误","正常")</f>
        <v>正常</v>
      </c>
      <c r="AB258" s="14">
        <f t="shared" si="75">IF(AA258="正常",IF(I258="已计入",C258,AB257),"")</f>
        <v>6.347</v>
      </c>
    </row>
    <row r="259" ht="23" customHeight="1">
      <c r="A259" s="36"/>
      <c r="B259" s="37"/>
      <c r="C259" s="38"/>
      <c r="D259" s="39"/>
      <c r="E259" s="44" t="str">
        <f t="shared" si="76">IF(AND(ISNUMBER(C259),ISNUMBER(D259),ISNUMBER(F259)),IF(OR(B259="买入",B259="定投"),ROUND(C259*D259+F259,2),IF(B259="卖出",ROUND(C259*D259-F259,2),IF(B259="红利再投",0,""))),"")</f>
        <v/>
      </c>
      <c r="F259" s="39"/>
      <c r="G259" s="45" t="str">
        <f t="shared" si="77">IF(COUNTA(A259:D259,F259)=0,"",IF(I259="已计入","已录入","待修正"))</f>
        <v/>
      </c>
      <c r="H259" s="46" t="str">
        <f t="shared" si="78">IF(COUNTA(A259:D259,F259)=0,"",IF(B259="红利再投","仅增加份额，不增加现金投入","金额由份额、净值和手续费推算"))</f>
        <v/>
      </c>
      <c r="I259" s="10" t="str">
        <f>IF(COUNTA(A259:D259,F259)=0,"",IF(NOT(ISNUMBER(A259)),"缺少有效净值日期",IF(OR(A259&lt;=0,A259&lt;&gt;INT(A259)),"净值日期无效",IF(OR(B259="转换转入",B259="现金分红"),"该类型需实际金额，五项录入不适用",IF(NOT(OR(OR(B259="买入",B259="定投"),B259="卖出",B259="红利再投")),"请选择交易类型",IF(NOT(ISNUMBER(C259)),"缺少成交净值",IF(C259&lt;=0,"成交净值须大于零",IF(NOT(ISNUMBER(D259)),"缺少确认份额",IF(D259&lt;=0,"确认份额须大于零",IF(NOT(ISNUMBER(F259)),"缺少手续费，无费用请填 0",IF(F259&lt;0,"手续费不能为负",IF(AA258="错误","前行待修正",IF(A259&lt;Z258,"日期需按成交顺序递增",IF(AND(B259="红利再投",F259&lt;&gt;0),"红利再投手续费应填 0",IF(AND(B259="红利再投",K258&lt;=0),"红利再投前须有持仓",IF(AND(B259="卖出",D259&gt;K258+0.000001),"卖出份额超过持仓",IF(AND(B259="卖出",F259&gt;=C259*D259),"赎回费不能达到赎回总额",IF(NOT(ISNUMBER(E259)),"自动金额未生成，请检查五项输入",IF(NOT(OR('持仓总览'!$C$7="利润优先",'持仓总览'!$C$7="本金优先")),"请选择卖出分配模式","已计入")))))))))))))))))))</f>
        <v/>
      </c>
      <c r="J259" s="11">
        <f t="shared" si="59">IF(AA259="正常",IF(I259="已计入",IF(OR(OR(B259="买入",B259="定投",B259="转换转入"),B259="红利再投"),D259,IF(B259="卖出",-D259,0)),0),"")</f>
        <v>0</v>
      </c>
      <c r="K259" s="11">
        <f t="shared" si="64">IF(AA259="正常",ROUND(K258+J259,6),"")</f>
        <v>25721.6</v>
      </c>
      <c r="L259" s="11" t="str">
        <f t="shared" si="65">IF(I259="已计入",ROUND(K258*C259,2),"")</f>
        <v/>
      </c>
      <c r="M259" s="11" t="str">
        <f t="shared" si="66">IF(I259="已计入",IF(B259="卖出",MAX(0,L259-Q258-F259),IF(B259="现金分红",MAX(0,L259+E259-Q258),0)),"")</f>
        <v/>
      </c>
      <c r="N259" s="11" t="str">
        <f>IF(I259="已计入",IF(AND(B259="卖出",'持仓总览'!$C$7="本金优先"),MAX(0,E259-Q258),IF(OR(B259="卖出",B259="现金分红"),MIN(E259,M259),0)),"")</f>
        <v/>
      </c>
      <c r="O259" s="11" t="str">
        <f t="shared" si="67">IF(I259="已计入",IF(OR(B259="卖出",B259="现金分红"),MIN(Q258,MAX(0,E259-N259)),0),"")</f>
        <v/>
      </c>
      <c r="P259" s="11" t="str">
        <f t="shared" si="68">IF(I259="已计入",IF(AND(B259="卖出",K259=0),MAX(0,Q258-O259),0),"")</f>
        <v/>
      </c>
      <c r="Q259" s="11">
        <f t="shared" si="69">IF(AA259="正常",IF(I259="已计入",ROUND(Q258+IF(OR(B259="买入",B259="定投",B259="转换转入"),E259,0)-O259-P259,2),Q258),"")</f>
        <v>129570</v>
      </c>
      <c r="R259" s="11" t="str">
        <f t="shared" si="60">IF(I259="已计入",ROUND(K259*C259,2),"")</f>
        <v/>
      </c>
      <c r="S259" s="11" t="str">
        <f t="shared" si="61">IF(I259="已计入",ROUND(R259-Q259,2),"")</f>
        <v/>
      </c>
      <c r="T259" s="12" t="str">
        <f t="shared" si="62">IF(I259="已计入",IF(Q259=0,"",S259/Q259),"")</f>
        <v/>
      </c>
      <c r="U259" s="11">
        <f t="shared" si="70">IF(AA259="正常",U258+IF(AND(I259="已计入",OR(B259="买入",B259="定投",B259="转换转入")),E259,0),"")</f>
        <v>129570</v>
      </c>
      <c r="V259" s="11">
        <f t="shared" si="71">IF(AA259="正常",V258+IF(AND(I259="已计入",OR(B259="卖出",B259="现金分红")),E259,0),"")</f>
        <v>0</v>
      </c>
      <c r="W259" s="11">
        <f t="shared" si="72">IF(AA259="正常",W258+IF(I259="已计入",N259,0),"")</f>
        <v>0</v>
      </c>
      <c r="X259" s="11">
        <f t="shared" si="73">IF(AA259="正常",X258+IF(I259="已计入",P259,0),"")</f>
        <v>0</v>
      </c>
      <c r="Y259" s="11" t="str">
        <f t="shared" si="63">IF(I259="已计入",ROUND(R259+V259-U259,2),"")</f>
        <v/>
      </c>
      <c r="Z259" s="13">
        <f t="shared" si="74">IF(AA259="正常",IF(I259="已计入",A259,Z258),"")</f>
        <v>46239</v>
      </c>
      <c r="AA259" s="10" t="str">
        <f>IF(OR($AA$134="错误",COUNTIF($G$135:G259,"待修正")&gt;0),"错误","正常")</f>
        <v>正常</v>
      </c>
      <c r="AB259" s="14">
        <f t="shared" si="75">IF(AA259="正常",IF(I259="已计入",C259,AB258),"")</f>
        <v>6.347</v>
      </c>
    </row>
    <row r="260" ht="23" customHeight="1">
      <c r="A260" s="36"/>
      <c r="B260" s="37"/>
      <c r="C260" s="38"/>
      <c r="D260" s="39"/>
      <c r="E260" s="44" t="str">
        <f t="shared" si="76">IF(AND(ISNUMBER(C260),ISNUMBER(D260),ISNUMBER(F260)),IF(OR(B260="买入",B260="定投"),ROUND(C260*D260+F260,2),IF(B260="卖出",ROUND(C260*D260-F260,2),IF(B260="红利再投",0,""))),"")</f>
        <v/>
      </c>
      <c r="F260" s="39"/>
      <c r="G260" s="45" t="str">
        <f t="shared" si="77">IF(COUNTA(A260:D260,F260)=0,"",IF(I260="已计入","已录入","待修正"))</f>
        <v/>
      </c>
      <c r="H260" s="46" t="str">
        <f t="shared" si="78">IF(COUNTA(A260:D260,F260)=0,"",IF(B260="红利再投","仅增加份额，不增加现金投入","金额由份额、净值和手续费推算"))</f>
        <v/>
      </c>
      <c r="I260" s="10" t="str">
        <f>IF(COUNTA(A260:D260,F260)=0,"",IF(NOT(ISNUMBER(A260)),"缺少有效净值日期",IF(OR(A260&lt;=0,A260&lt;&gt;INT(A260)),"净值日期无效",IF(OR(B260="转换转入",B260="现金分红"),"该类型需实际金额，五项录入不适用",IF(NOT(OR(OR(B260="买入",B260="定投"),B260="卖出",B260="红利再投")),"请选择交易类型",IF(NOT(ISNUMBER(C260)),"缺少成交净值",IF(C260&lt;=0,"成交净值须大于零",IF(NOT(ISNUMBER(D260)),"缺少确认份额",IF(D260&lt;=0,"确认份额须大于零",IF(NOT(ISNUMBER(F260)),"缺少手续费，无费用请填 0",IF(F260&lt;0,"手续费不能为负",IF(AA259="错误","前行待修正",IF(A260&lt;Z259,"日期需按成交顺序递增",IF(AND(B260="红利再投",F260&lt;&gt;0),"红利再投手续费应填 0",IF(AND(B260="红利再投",K259&lt;=0),"红利再投前须有持仓",IF(AND(B260="卖出",D260&gt;K259+0.000001),"卖出份额超过持仓",IF(AND(B260="卖出",F260&gt;=C260*D260),"赎回费不能达到赎回总额",IF(NOT(ISNUMBER(E260)),"自动金额未生成，请检查五项输入",IF(NOT(OR('持仓总览'!$C$7="利润优先",'持仓总览'!$C$7="本金优先")),"请选择卖出分配模式","已计入")))))))))))))))))))</f>
        <v/>
      </c>
      <c r="J260" s="11">
        <f t="shared" si="59">IF(AA260="正常",IF(I260="已计入",IF(OR(OR(B260="买入",B260="定投",B260="转换转入"),B260="红利再投"),D260,IF(B260="卖出",-D260,0)),0),"")</f>
        <v>0</v>
      </c>
      <c r="K260" s="11">
        <f t="shared" si="64">IF(AA260="正常",ROUND(K259+J260,6),"")</f>
        <v>25721.6</v>
      </c>
      <c r="L260" s="11" t="str">
        <f t="shared" si="65">IF(I260="已计入",ROUND(K259*C260,2),"")</f>
        <v/>
      </c>
      <c r="M260" s="11" t="str">
        <f t="shared" si="66">IF(I260="已计入",IF(B260="卖出",MAX(0,L260-Q259-F260),IF(B260="现金分红",MAX(0,L260+E260-Q259),0)),"")</f>
        <v/>
      </c>
      <c r="N260" s="11" t="str">
        <f>IF(I260="已计入",IF(AND(B260="卖出",'持仓总览'!$C$7="本金优先"),MAX(0,E260-Q259),IF(OR(B260="卖出",B260="现金分红"),MIN(E260,M260),0)),"")</f>
        <v/>
      </c>
      <c r="O260" s="11" t="str">
        <f t="shared" si="67">IF(I260="已计入",IF(OR(B260="卖出",B260="现金分红"),MIN(Q259,MAX(0,E260-N260)),0),"")</f>
        <v/>
      </c>
      <c r="P260" s="11" t="str">
        <f t="shared" si="68">IF(I260="已计入",IF(AND(B260="卖出",K260=0),MAX(0,Q259-O260),0),"")</f>
        <v/>
      </c>
      <c r="Q260" s="11">
        <f t="shared" si="69">IF(AA260="正常",IF(I260="已计入",ROUND(Q259+IF(OR(B260="买入",B260="定投",B260="转换转入"),E260,0)-O260-P260,2),Q259),"")</f>
        <v>129570</v>
      </c>
      <c r="R260" s="11" t="str">
        <f t="shared" si="60">IF(I260="已计入",ROUND(K260*C260,2),"")</f>
        <v/>
      </c>
      <c r="S260" s="11" t="str">
        <f t="shared" si="61">IF(I260="已计入",ROUND(R260-Q260,2),"")</f>
        <v/>
      </c>
      <c r="T260" s="12" t="str">
        <f t="shared" si="62">IF(I260="已计入",IF(Q260=0,"",S260/Q260),"")</f>
        <v/>
      </c>
      <c r="U260" s="11">
        <f t="shared" si="70">IF(AA260="正常",U259+IF(AND(I260="已计入",OR(B260="买入",B260="定投",B260="转换转入")),E260,0),"")</f>
        <v>129570</v>
      </c>
      <c r="V260" s="11">
        <f t="shared" si="71">IF(AA260="正常",V259+IF(AND(I260="已计入",OR(B260="卖出",B260="现金分红")),E260,0),"")</f>
        <v>0</v>
      </c>
      <c r="W260" s="11">
        <f t="shared" si="72">IF(AA260="正常",W259+IF(I260="已计入",N260,0),"")</f>
        <v>0</v>
      </c>
      <c r="X260" s="11">
        <f t="shared" si="73">IF(AA260="正常",X259+IF(I260="已计入",P260,0),"")</f>
        <v>0</v>
      </c>
      <c r="Y260" s="11" t="str">
        <f t="shared" si="63">IF(I260="已计入",ROUND(R260+V260-U260,2),"")</f>
        <v/>
      </c>
      <c r="Z260" s="13">
        <f t="shared" si="74">IF(AA260="正常",IF(I260="已计入",A260,Z259),"")</f>
        <v>46239</v>
      </c>
      <c r="AA260" s="10" t="str">
        <f>IF(OR($AA$134="错误",COUNTIF($G$135:G260,"待修正")&gt;0),"错误","正常")</f>
        <v>正常</v>
      </c>
      <c r="AB260" s="14">
        <f t="shared" si="75">IF(AA260="正常",IF(I260="已计入",C260,AB259),"")</f>
        <v>6.347</v>
      </c>
    </row>
    <row r="261" ht="23" customHeight="1">
      <c r="A261" s="36"/>
      <c r="B261" s="37"/>
      <c r="C261" s="38"/>
      <c r="D261" s="39"/>
      <c r="E261" s="44" t="str">
        <f t="shared" si="76">IF(AND(ISNUMBER(C261),ISNUMBER(D261),ISNUMBER(F261)),IF(OR(B261="买入",B261="定投"),ROUND(C261*D261+F261,2),IF(B261="卖出",ROUND(C261*D261-F261,2),IF(B261="红利再投",0,""))),"")</f>
        <v/>
      </c>
      <c r="F261" s="39"/>
      <c r="G261" s="45" t="str">
        <f t="shared" si="77">IF(COUNTA(A261:D261,F261)=0,"",IF(I261="已计入","已录入","待修正"))</f>
        <v/>
      </c>
      <c r="H261" s="46" t="str">
        <f t="shared" si="78">IF(COUNTA(A261:D261,F261)=0,"",IF(B261="红利再投","仅增加份额，不增加现金投入","金额由份额、净值和手续费推算"))</f>
        <v/>
      </c>
      <c r="I261" s="10" t="str">
        <f>IF(COUNTA(A261:D261,F261)=0,"",IF(NOT(ISNUMBER(A261)),"缺少有效净值日期",IF(OR(A261&lt;=0,A261&lt;&gt;INT(A261)),"净值日期无效",IF(OR(B261="转换转入",B261="现金分红"),"该类型需实际金额，五项录入不适用",IF(NOT(OR(OR(B261="买入",B261="定投"),B261="卖出",B261="红利再投")),"请选择交易类型",IF(NOT(ISNUMBER(C261)),"缺少成交净值",IF(C261&lt;=0,"成交净值须大于零",IF(NOT(ISNUMBER(D261)),"缺少确认份额",IF(D261&lt;=0,"确认份额须大于零",IF(NOT(ISNUMBER(F261)),"缺少手续费，无费用请填 0",IF(F261&lt;0,"手续费不能为负",IF(AA260="错误","前行待修正",IF(A261&lt;Z260,"日期需按成交顺序递增",IF(AND(B261="红利再投",F261&lt;&gt;0),"红利再投手续费应填 0",IF(AND(B261="红利再投",K260&lt;=0),"红利再投前须有持仓",IF(AND(B261="卖出",D261&gt;K260+0.000001),"卖出份额超过持仓",IF(AND(B261="卖出",F261&gt;=C261*D261),"赎回费不能达到赎回总额",IF(NOT(ISNUMBER(E261)),"自动金额未生成，请检查五项输入",IF(NOT(OR('持仓总览'!$C$7="利润优先",'持仓总览'!$C$7="本金优先")),"请选择卖出分配模式","已计入")))))))))))))))))))</f>
        <v/>
      </c>
      <c r="J261" s="11">
        <f t="shared" si="59">IF(AA261="正常",IF(I261="已计入",IF(OR(OR(B261="买入",B261="定投",B261="转换转入"),B261="红利再投"),D261,IF(B261="卖出",-D261,0)),0),"")</f>
        <v>0</v>
      </c>
      <c r="K261" s="11">
        <f t="shared" si="64">IF(AA261="正常",ROUND(K260+J261,6),"")</f>
        <v>25721.6</v>
      </c>
      <c r="L261" s="11" t="str">
        <f t="shared" si="65">IF(I261="已计入",ROUND(K260*C261,2),"")</f>
        <v/>
      </c>
      <c r="M261" s="11" t="str">
        <f t="shared" si="66">IF(I261="已计入",IF(B261="卖出",MAX(0,L261-Q260-F261),IF(B261="现金分红",MAX(0,L261+E261-Q260),0)),"")</f>
        <v/>
      </c>
      <c r="N261" s="11" t="str">
        <f>IF(I261="已计入",IF(AND(B261="卖出",'持仓总览'!$C$7="本金优先"),MAX(0,E261-Q260),IF(OR(B261="卖出",B261="现金分红"),MIN(E261,M261),0)),"")</f>
        <v/>
      </c>
      <c r="O261" s="11" t="str">
        <f t="shared" si="67">IF(I261="已计入",IF(OR(B261="卖出",B261="现金分红"),MIN(Q260,MAX(0,E261-N261)),0),"")</f>
        <v/>
      </c>
      <c r="P261" s="11" t="str">
        <f t="shared" si="68">IF(I261="已计入",IF(AND(B261="卖出",K261=0),MAX(0,Q260-O261),0),"")</f>
        <v/>
      </c>
      <c r="Q261" s="11">
        <f t="shared" si="69">IF(AA261="正常",IF(I261="已计入",ROUND(Q260+IF(OR(B261="买入",B261="定投",B261="转换转入"),E261,0)-O261-P261,2),Q260),"")</f>
        <v>129570</v>
      </c>
      <c r="R261" s="11" t="str">
        <f t="shared" si="60">IF(I261="已计入",ROUND(K261*C261,2),"")</f>
        <v/>
      </c>
      <c r="S261" s="11" t="str">
        <f t="shared" si="61">IF(I261="已计入",ROUND(R261-Q261,2),"")</f>
        <v/>
      </c>
      <c r="T261" s="12" t="str">
        <f t="shared" si="62">IF(I261="已计入",IF(Q261=0,"",S261/Q261),"")</f>
        <v/>
      </c>
      <c r="U261" s="11">
        <f t="shared" si="70">IF(AA261="正常",U260+IF(AND(I261="已计入",OR(B261="买入",B261="定投",B261="转换转入")),E261,0),"")</f>
        <v>129570</v>
      </c>
      <c r="V261" s="11">
        <f t="shared" si="71">IF(AA261="正常",V260+IF(AND(I261="已计入",OR(B261="卖出",B261="现金分红")),E261,0),"")</f>
        <v>0</v>
      </c>
      <c r="W261" s="11">
        <f t="shared" si="72">IF(AA261="正常",W260+IF(I261="已计入",N261,0),"")</f>
        <v>0</v>
      </c>
      <c r="X261" s="11">
        <f t="shared" si="73">IF(AA261="正常",X260+IF(I261="已计入",P261,0),"")</f>
        <v>0</v>
      </c>
      <c r="Y261" s="11" t="str">
        <f t="shared" si="63">IF(I261="已计入",ROUND(R261+V261-U261,2),"")</f>
        <v/>
      </c>
      <c r="Z261" s="13">
        <f t="shared" si="74">IF(AA261="正常",IF(I261="已计入",A261,Z260),"")</f>
        <v>46239</v>
      </c>
      <c r="AA261" s="10" t="str">
        <f>IF(OR($AA$134="错误",COUNTIF($G$135:G261,"待修正")&gt;0),"错误","正常")</f>
        <v>正常</v>
      </c>
      <c r="AB261" s="14">
        <f t="shared" si="75">IF(AA261="正常",IF(I261="已计入",C261,AB260),"")</f>
        <v>6.347</v>
      </c>
    </row>
    <row r="262" ht="23" customHeight="1">
      <c r="A262" s="36"/>
      <c r="B262" s="37"/>
      <c r="C262" s="38"/>
      <c r="D262" s="39"/>
      <c r="E262" s="44" t="str">
        <f t="shared" si="76">IF(AND(ISNUMBER(C262),ISNUMBER(D262),ISNUMBER(F262)),IF(OR(B262="买入",B262="定投"),ROUND(C262*D262+F262,2),IF(B262="卖出",ROUND(C262*D262-F262,2),IF(B262="红利再投",0,""))),"")</f>
        <v/>
      </c>
      <c r="F262" s="39"/>
      <c r="G262" s="45" t="str">
        <f t="shared" si="77">IF(COUNTA(A262:D262,F262)=0,"",IF(I262="已计入","已录入","待修正"))</f>
        <v/>
      </c>
      <c r="H262" s="46" t="str">
        <f t="shared" si="78">IF(COUNTA(A262:D262,F262)=0,"",IF(B262="红利再投","仅增加份额，不增加现金投入","金额由份额、净值和手续费推算"))</f>
        <v/>
      </c>
      <c r="I262" s="10" t="str">
        <f>IF(COUNTA(A262:D262,F262)=0,"",IF(NOT(ISNUMBER(A262)),"缺少有效净值日期",IF(OR(A262&lt;=0,A262&lt;&gt;INT(A262)),"净值日期无效",IF(OR(B262="转换转入",B262="现金分红"),"该类型需实际金额，五项录入不适用",IF(NOT(OR(OR(B262="买入",B262="定投"),B262="卖出",B262="红利再投")),"请选择交易类型",IF(NOT(ISNUMBER(C262)),"缺少成交净值",IF(C262&lt;=0,"成交净值须大于零",IF(NOT(ISNUMBER(D262)),"缺少确认份额",IF(D262&lt;=0,"确认份额须大于零",IF(NOT(ISNUMBER(F262)),"缺少手续费，无费用请填 0",IF(F262&lt;0,"手续费不能为负",IF(AA261="错误","前行待修正",IF(A262&lt;Z261,"日期需按成交顺序递增",IF(AND(B262="红利再投",F262&lt;&gt;0),"红利再投手续费应填 0",IF(AND(B262="红利再投",K261&lt;=0),"红利再投前须有持仓",IF(AND(B262="卖出",D262&gt;K261+0.000001),"卖出份额超过持仓",IF(AND(B262="卖出",F262&gt;=C262*D262),"赎回费不能达到赎回总额",IF(NOT(ISNUMBER(E262)),"自动金额未生成，请检查五项输入",IF(NOT(OR('持仓总览'!$C$7="利润优先",'持仓总览'!$C$7="本金优先")),"请选择卖出分配模式","已计入")))))))))))))))))))</f>
        <v/>
      </c>
      <c r="J262" s="11">
        <f t="shared" si="59">IF(AA262="正常",IF(I262="已计入",IF(OR(OR(B262="买入",B262="定投",B262="转换转入"),B262="红利再投"),D262,IF(B262="卖出",-D262,0)),0),"")</f>
        <v>0</v>
      </c>
      <c r="K262" s="11">
        <f t="shared" si="64">IF(AA262="正常",ROUND(K261+J262,6),"")</f>
        <v>25721.6</v>
      </c>
      <c r="L262" s="11" t="str">
        <f t="shared" si="65">IF(I262="已计入",ROUND(K261*C262,2),"")</f>
        <v/>
      </c>
      <c r="M262" s="11" t="str">
        <f t="shared" si="66">IF(I262="已计入",IF(B262="卖出",MAX(0,L262-Q261-F262),IF(B262="现金分红",MAX(0,L262+E262-Q261),0)),"")</f>
        <v/>
      </c>
      <c r="N262" s="11" t="str">
        <f>IF(I262="已计入",IF(AND(B262="卖出",'持仓总览'!$C$7="本金优先"),MAX(0,E262-Q261),IF(OR(B262="卖出",B262="现金分红"),MIN(E262,M262),0)),"")</f>
        <v/>
      </c>
      <c r="O262" s="11" t="str">
        <f t="shared" si="67">IF(I262="已计入",IF(OR(B262="卖出",B262="现金分红"),MIN(Q261,MAX(0,E262-N262)),0),"")</f>
        <v/>
      </c>
      <c r="P262" s="11" t="str">
        <f t="shared" si="68">IF(I262="已计入",IF(AND(B262="卖出",K262=0),MAX(0,Q261-O262),0),"")</f>
        <v/>
      </c>
      <c r="Q262" s="11">
        <f t="shared" si="69">IF(AA262="正常",IF(I262="已计入",ROUND(Q261+IF(OR(B262="买入",B262="定投",B262="转换转入"),E262,0)-O262-P262,2),Q261),"")</f>
        <v>129570</v>
      </c>
      <c r="R262" s="11" t="str">
        <f t="shared" si="60">IF(I262="已计入",ROUND(K262*C262,2),"")</f>
        <v/>
      </c>
      <c r="S262" s="11" t="str">
        <f t="shared" si="61">IF(I262="已计入",ROUND(R262-Q262,2),"")</f>
        <v/>
      </c>
      <c r="T262" s="12" t="str">
        <f t="shared" si="62">IF(I262="已计入",IF(Q262=0,"",S262/Q262),"")</f>
        <v/>
      </c>
      <c r="U262" s="11">
        <f t="shared" si="70">IF(AA262="正常",U261+IF(AND(I262="已计入",OR(B262="买入",B262="定投",B262="转换转入")),E262,0),"")</f>
        <v>129570</v>
      </c>
      <c r="V262" s="11">
        <f t="shared" si="71">IF(AA262="正常",V261+IF(AND(I262="已计入",OR(B262="卖出",B262="现金分红")),E262,0),"")</f>
        <v>0</v>
      </c>
      <c r="W262" s="11">
        <f t="shared" si="72">IF(AA262="正常",W261+IF(I262="已计入",N262,0),"")</f>
        <v>0</v>
      </c>
      <c r="X262" s="11">
        <f t="shared" si="73">IF(AA262="正常",X261+IF(I262="已计入",P262,0),"")</f>
        <v>0</v>
      </c>
      <c r="Y262" s="11" t="str">
        <f t="shared" si="63">IF(I262="已计入",ROUND(R262+V262-U262,2),"")</f>
        <v/>
      </c>
      <c r="Z262" s="13">
        <f t="shared" si="74">IF(AA262="正常",IF(I262="已计入",A262,Z261),"")</f>
        <v>46239</v>
      </c>
      <c r="AA262" s="10" t="str">
        <f>IF(OR($AA$134="错误",COUNTIF($G$135:G262,"待修正")&gt;0),"错误","正常")</f>
        <v>正常</v>
      </c>
      <c r="AB262" s="14">
        <f t="shared" si="75">IF(AA262="正常",IF(I262="已计入",C262,AB261),"")</f>
        <v>6.347</v>
      </c>
    </row>
    <row r="263" ht="23" customHeight="1">
      <c r="A263" s="36"/>
      <c r="B263" s="37"/>
      <c r="C263" s="38"/>
      <c r="D263" s="39"/>
      <c r="E263" s="44" t="str">
        <f t="shared" si="76">IF(AND(ISNUMBER(C263),ISNUMBER(D263),ISNUMBER(F263)),IF(OR(B263="买入",B263="定投"),ROUND(C263*D263+F263,2),IF(B263="卖出",ROUND(C263*D263-F263,2),IF(B263="红利再投",0,""))),"")</f>
        <v/>
      </c>
      <c r="F263" s="39"/>
      <c r="G263" s="45" t="str">
        <f t="shared" si="77">IF(COUNTA(A263:D263,F263)=0,"",IF(I263="已计入","已录入","待修正"))</f>
        <v/>
      </c>
      <c r="H263" s="46" t="str">
        <f t="shared" si="78">IF(COUNTA(A263:D263,F263)=0,"",IF(B263="红利再投","仅增加份额，不增加现金投入","金额由份额、净值和手续费推算"))</f>
        <v/>
      </c>
      <c r="I263" s="10" t="str">
        <f>IF(COUNTA(A263:D263,F263)=0,"",IF(NOT(ISNUMBER(A263)),"缺少有效净值日期",IF(OR(A263&lt;=0,A263&lt;&gt;INT(A263)),"净值日期无效",IF(OR(B263="转换转入",B263="现金分红"),"该类型需实际金额，五项录入不适用",IF(NOT(OR(OR(B263="买入",B263="定投"),B263="卖出",B263="红利再投")),"请选择交易类型",IF(NOT(ISNUMBER(C263)),"缺少成交净值",IF(C263&lt;=0,"成交净值须大于零",IF(NOT(ISNUMBER(D263)),"缺少确认份额",IF(D263&lt;=0,"确认份额须大于零",IF(NOT(ISNUMBER(F263)),"缺少手续费，无费用请填 0",IF(F263&lt;0,"手续费不能为负",IF(AA262="错误","前行待修正",IF(A263&lt;Z262,"日期需按成交顺序递增",IF(AND(B263="红利再投",F263&lt;&gt;0),"红利再投手续费应填 0",IF(AND(B263="红利再投",K262&lt;=0),"红利再投前须有持仓",IF(AND(B263="卖出",D263&gt;K262+0.000001),"卖出份额超过持仓",IF(AND(B263="卖出",F263&gt;=C263*D263),"赎回费不能达到赎回总额",IF(NOT(ISNUMBER(E263)),"自动金额未生成，请检查五项输入",IF(NOT(OR('持仓总览'!$C$7="利润优先",'持仓总览'!$C$7="本金优先")),"请选择卖出分配模式","已计入")))))))))))))))))))</f>
        <v/>
      </c>
      <c r="J263" s="11">
        <f t="shared" ref="J263:J326" si="79">IF(AA263="正常",IF(I263="已计入",IF(OR(OR(B263="买入",B263="定投",B263="转换转入"),B263="红利再投"),D263,IF(B263="卖出",-D263,0)),0),"")</f>
        <v>0</v>
      </c>
      <c r="K263" s="11">
        <f t="shared" si="64">IF(AA263="正常",ROUND(K262+J263,6),"")</f>
        <v>25721.6</v>
      </c>
      <c r="L263" s="11" t="str">
        <f t="shared" si="65">IF(I263="已计入",ROUND(K262*C263,2),"")</f>
        <v/>
      </c>
      <c r="M263" s="11" t="str">
        <f t="shared" si="66">IF(I263="已计入",IF(B263="卖出",MAX(0,L263-Q262-F263),IF(B263="现金分红",MAX(0,L263+E263-Q262),0)),"")</f>
        <v/>
      </c>
      <c r="N263" s="11" t="str">
        <f>IF(I263="已计入",IF(AND(B263="卖出",'持仓总览'!$C$7="本金优先"),MAX(0,E263-Q262),IF(OR(B263="卖出",B263="现金分红"),MIN(E263,M263),0)),"")</f>
        <v/>
      </c>
      <c r="O263" s="11" t="str">
        <f t="shared" si="67">IF(I263="已计入",IF(OR(B263="卖出",B263="现金分红"),MIN(Q262,MAX(0,E263-N263)),0),"")</f>
        <v/>
      </c>
      <c r="P263" s="11" t="str">
        <f t="shared" si="68">IF(I263="已计入",IF(AND(B263="卖出",K263=0),MAX(0,Q262-O263),0),"")</f>
        <v/>
      </c>
      <c r="Q263" s="11">
        <f t="shared" si="69">IF(AA263="正常",IF(I263="已计入",ROUND(Q262+IF(OR(B263="买入",B263="定投",B263="转换转入"),E263,0)-O263-P263,2),Q262),"")</f>
        <v>129570</v>
      </c>
      <c r="R263" s="11" t="str">
        <f t="shared" ref="R263:R326" si="80">IF(I263="已计入",ROUND(K263*C263,2),"")</f>
        <v/>
      </c>
      <c r="S263" s="11" t="str">
        <f t="shared" ref="S263:S326" si="81">IF(I263="已计入",ROUND(R263-Q263,2),"")</f>
        <v/>
      </c>
      <c r="T263" s="12" t="str">
        <f t="shared" ref="T263:T326" si="82">IF(I263="已计入",IF(Q263=0,"",S263/Q263),"")</f>
        <v/>
      </c>
      <c r="U263" s="11">
        <f t="shared" si="70">IF(AA263="正常",U262+IF(AND(I263="已计入",OR(B263="买入",B263="定投",B263="转换转入")),E263,0),"")</f>
        <v>129570</v>
      </c>
      <c r="V263" s="11">
        <f t="shared" si="71">IF(AA263="正常",V262+IF(AND(I263="已计入",OR(B263="卖出",B263="现金分红")),E263,0),"")</f>
        <v>0</v>
      </c>
      <c r="W263" s="11">
        <f t="shared" si="72">IF(AA263="正常",W262+IF(I263="已计入",N263,0),"")</f>
        <v>0</v>
      </c>
      <c r="X263" s="11">
        <f t="shared" si="73">IF(AA263="正常",X262+IF(I263="已计入",P263,0),"")</f>
        <v>0</v>
      </c>
      <c r="Y263" s="11" t="str">
        <f t="shared" ref="Y263:Y326" si="83">IF(I263="已计入",ROUND(R263+V263-U263,2),"")</f>
        <v/>
      </c>
      <c r="Z263" s="13">
        <f t="shared" si="74">IF(AA263="正常",IF(I263="已计入",A263,Z262),"")</f>
        <v>46239</v>
      </c>
      <c r="AA263" s="10" t="str">
        <f>IF(OR($AA$134="错误",COUNTIF($G$135:G263,"待修正")&gt;0),"错误","正常")</f>
        <v>正常</v>
      </c>
      <c r="AB263" s="14">
        <f t="shared" si="75">IF(AA263="正常",IF(I263="已计入",C263,AB262),"")</f>
        <v>6.347</v>
      </c>
    </row>
    <row r="264" ht="23" customHeight="1">
      <c r="A264" s="36"/>
      <c r="B264" s="37"/>
      <c r="C264" s="38"/>
      <c r="D264" s="39"/>
      <c r="E264" s="44" t="str">
        <f t="shared" si="76">IF(AND(ISNUMBER(C264),ISNUMBER(D264),ISNUMBER(F264)),IF(OR(B264="买入",B264="定投"),ROUND(C264*D264+F264,2),IF(B264="卖出",ROUND(C264*D264-F264,2),IF(B264="红利再投",0,""))),"")</f>
        <v/>
      </c>
      <c r="F264" s="39"/>
      <c r="G264" s="45" t="str">
        <f t="shared" si="77">IF(COUNTA(A264:D264,F264)=0,"",IF(I264="已计入","已录入","待修正"))</f>
        <v/>
      </c>
      <c r="H264" s="46" t="str">
        <f t="shared" si="78">IF(COUNTA(A264:D264,F264)=0,"",IF(B264="红利再投","仅增加份额，不增加现金投入","金额由份额、净值和手续费推算"))</f>
        <v/>
      </c>
      <c r="I264" s="10" t="str">
        <f>IF(COUNTA(A264:D264,F264)=0,"",IF(NOT(ISNUMBER(A264)),"缺少有效净值日期",IF(OR(A264&lt;=0,A264&lt;&gt;INT(A264)),"净值日期无效",IF(OR(B264="转换转入",B264="现金分红"),"该类型需实际金额，五项录入不适用",IF(NOT(OR(OR(B264="买入",B264="定投"),B264="卖出",B264="红利再投")),"请选择交易类型",IF(NOT(ISNUMBER(C264)),"缺少成交净值",IF(C264&lt;=0,"成交净值须大于零",IF(NOT(ISNUMBER(D264)),"缺少确认份额",IF(D264&lt;=0,"确认份额须大于零",IF(NOT(ISNUMBER(F264)),"缺少手续费，无费用请填 0",IF(F264&lt;0,"手续费不能为负",IF(AA263="错误","前行待修正",IF(A264&lt;Z263,"日期需按成交顺序递增",IF(AND(B264="红利再投",F264&lt;&gt;0),"红利再投手续费应填 0",IF(AND(B264="红利再投",K263&lt;=0),"红利再投前须有持仓",IF(AND(B264="卖出",D264&gt;K263+0.000001),"卖出份额超过持仓",IF(AND(B264="卖出",F264&gt;=C264*D264),"赎回费不能达到赎回总额",IF(NOT(ISNUMBER(E264)),"自动金额未生成，请检查五项输入",IF(NOT(OR('持仓总览'!$C$7="利润优先",'持仓总览'!$C$7="本金优先")),"请选择卖出分配模式","已计入")))))))))))))))))))</f>
        <v/>
      </c>
      <c r="J264" s="11">
        <f t="shared" si="79">IF(AA264="正常",IF(I264="已计入",IF(OR(OR(B264="买入",B264="定投",B264="转换转入"),B264="红利再投"),D264,IF(B264="卖出",-D264,0)),0),"")</f>
        <v>0</v>
      </c>
      <c r="K264" s="11">
        <f t="shared" ref="K264:K327" si="84">IF(AA264="正常",ROUND(K263+J264,6),"")</f>
        <v>25721.6</v>
      </c>
      <c r="L264" s="11" t="str">
        <f t="shared" ref="L264:L327" si="85">IF(I264="已计入",ROUND(K263*C264,2),"")</f>
        <v/>
      </c>
      <c r="M264" s="11" t="str">
        <f t="shared" ref="M264:M327" si="86">IF(I264="已计入",IF(B264="卖出",MAX(0,L264-Q263-F264),IF(B264="现金分红",MAX(0,L264+E264-Q263),0)),"")</f>
        <v/>
      </c>
      <c r="N264" s="11" t="str">
        <f>IF(I264="已计入",IF(AND(B264="卖出",'持仓总览'!$C$7="本金优先"),MAX(0,E264-Q263),IF(OR(B264="卖出",B264="现金分红"),MIN(E264,M264),0)),"")</f>
        <v/>
      </c>
      <c r="O264" s="11" t="str">
        <f t="shared" ref="O264:O327" si="87">IF(I264="已计入",IF(OR(B264="卖出",B264="现金分红"),MIN(Q263,MAX(0,E264-N264)),0),"")</f>
        <v/>
      </c>
      <c r="P264" s="11" t="str">
        <f t="shared" ref="P264:P327" si="88">IF(I264="已计入",IF(AND(B264="卖出",K264=0),MAX(0,Q263-O264),0),"")</f>
        <v/>
      </c>
      <c r="Q264" s="11">
        <f t="shared" ref="Q264:Q327" si="89">IF(AA264="正常",IF(I264="已计入",ROUND(Q263+IF(OR(B264="买入",B264="定投",B264="转换转入"),E264,0)-O264-P264,2),Q263),"")</f>
        <v>129570</v>
      </c>
      <c r="R264" s="11" t="str">
        <f t="shared" si="80">IF(I264="已计入",ROUND(K264*C264,2),"")</f>
        <v/>
      </c>
      <c r="S264" s="11" t="str">
        <f t="shared" si="81">IF(I264="已计入",ROUND(R264-Q264,2),"")</f>
        <v/>
      </c>
      <c r="T264" s="12" t="str">
        <f t="shared" si="82">IF(I264="已计入",IF(Q264=0,"",S264/Q264),"")</f>
        <v/>
      </c>
      <c r="U264" s="11">
        <f t="shared" ref="U264:U327" si="90">IF(AA264="正常",U263+IF(AND(I264="已计入",OR(B264="买入",B264="定投",B264="转换转入")),E264,0),"")</f>
        <v>129570</v>
      </c>
      <c r="V264" s="11">
        <f t="shared" ref="V264:V327" si="91">IF(AA264="正常",V263+IF(AND(I264="已计入",OR(B264="卖出",B264="现金分红")),E264,0),"")</f>
        <v>0</v>
      </c>
      <c r="W264" s="11">
        <f t="shared" ref="W264:W327" si="92">IF(AA264="正常",W263+IF(I264="已计入",N264,0),"")</f>
        <v>0</v>
      </c>
      <c r="X264" s="11">
        <f t="shared" ref="X264:X327" si="93">IF(AA264="正常",X263+IF(I264="已计入",P264,0),"")</f>
        <v>0</v>
      </c>
      <c r="Y264" s="11" t="str">
        <f t="shared" si="83">IF(I264="已计入",ROUND(R264+V264-U264,2),"")</f>
        <v/>
      </c>
      <c r="Z264" s="13">
        <f t="shared" ref="Z264:Z327" si="94">IF(AA264="正常",IF(I264="已计入",A264,Z263),"")</f>
        <v>46239</v>
      </c>
      <c r="AA264" s="10" t="str">
        <f>IF(OR($AA$134="错误",COUNTIF($G$135:G264,"待修正")&gt;0),"错误","正常")</f>
        <v>正常</v>
      </c>
      <c r="AB264" s="14">
        <f t="shared" ref="AB264:AB327" si="95">IF(AA264="正常",IF(I264="已计入",C264,AB263),"")</f>
        <v>6.347</v>
      </c>
    </row>
    <row r="265" ht="23" customHeight="1">
      <c r="A265" s="36"/>
      <c r="B265" s="37"/>
      <c r="C265" s="38"/>
      <c r="D265" s="39"/>
      <c r="E265" s="44" t="str">
        <f t="shared" si="76">IF(AND(ISNUMBER(C265),ISNUMBER(D265),ISNUMBER(F265)),IF(OR(B265="买入",B265="定投"),ROUND(C265*D265+F265,2),IF(B265="卖出",ROUND(C265*D265-F265,2),IF(B265="红利再投",0,""))),"")</f>
        <v/>
      </c>
      <c r="F265" s="39"/>
      <c r="G265" s="45" t="str">
        <f t="shared" si="77">IF(COUNTA(A265:D265,F265)=0,"",IF(I265="已计入","已录入","待修正"))</f>
        <v/>
      </c>
      <c r="H265" s="46" t="str">
        <f t="shared" si="78">IF(COUNTA(A265:D265,F265)=0,"",IF(B265="红利再投","仅增加份额，不增加现金投入","金额由份额、净值和手续费推算"))</f>
        <v/>
      </c>
      <c r="I265" s="10" t="str">
        <f>IF(COUNTA(A265:D265,F265)=0,"",IF(NOT(ISNUMBER(A265)),"缺少有效净值日期",IF(OR(A265&lt;=0,A265&lt;&gt;INT(A265)),"净值日期无效",IF(OR(B265="转换转入",B265="现金分红"),"该类型需实际金额，五项录入不适用",IF(NOT(OR(OR(B265="买入",B265="定投"),B265="卖出",B265="红利再投")),"请选择交易类型",IF(NOT(ISNUMBER(C265)),"缺少成交净值",IF(C265&lt;=0,"成交净值须大于零",IF(NOT(ISNUMBER(D265)),"缺少确认份额",IF(D265&lt;=0,"确认份额须大于零",IF(NOT(ISNUMBER(F265)),"缺少手续费，无费用请填 0",IF(F265&lt;0,"手续费不能为负",IF(AA264="错误","前行待修正",IF(A265&lt;Z264,"日期需按成交顺序递增",IF(AND(B265="红利再投",F265&lt;&gt;0),"红利再投手续费应填 0",IF(AND(B265="红利再投",K264&lt;=0),"红利再投前须有持仓",IF(AND(B265="卖出",D265&gt;K264+0.000001),"卖出份额超过持仓",IF(AND(B265="卖出",F265&gt;=C265*D265),"赎回费不能达到赎回总额",IF(NOT(ISNUMBER(E265)),"自动金额未生成，请检查五项输入",IF(NOT(OR('持仓总览'!$C$7="利润优先",'持仓总览'!$C$7="本金优先")),"请选择卖出分配模式","已计入")))))))))))))))))))</f>
        <v/>
      </c>
      <c r="J265" s="11">
        <f t="shared" si="79">IF(AA265="正常",IF(I265="已计入",IF(OR(OR(B265="买入",B265="定投",B265="转换转入"),B265="红利再投"),D265,IF(B265="卖出",-D265,0)),0),"")</f>
        <v>0</v>
      </c>
      <c r="K265" s="11">
        <f t="shared" si="84">IF(AA265="正常",ROUND(K264+J265,6),"")</f>
        <v>25721.6</v>
      </c>
      <c r="L265" s="11" t="str">
        <f t="shared" si="85">IF(I265="已计入",ROUND(K264*C265,2),"")</f>
        <v/>
      </c>
      <c r="M265" s="11" t="str">
        <f t="shared" si="86">IF(I265="已计入",IF(B265="卖出",MAX(0,L265-Q264-F265),IF(B265="现金分红",MAX(0,L265+E265-Q264),0)),"")</f>
        <v/>
      </c>
      <c r="N265" s="11" t="str">
        <f>IF(I265="已计入",IF(AND(B265="卖出",'持仓总览'!$C$7="本金优先"),MAX(0,E265-Q264),IF(OR(B265="卖出",B265="现金分红"),MIN(E265,M265),0)),"")</f>
        <v/>
      </c>
      <c r="O265" s="11" t="str">
        <f t="shared" si="87">IF(I265="已计入",IF(OR(B265="卖出",B265="现金分红"),MIN(Q264,MAX(0,E265-N265)),0),"")</f>
        <v/>
      </c>
      <c r="P265" s="11" t="str">
        <f t="shared" si="88">IF(I265="已计入",IF(AND(B265="卖出",K265=0),MAX(0,Q264-O265),0),"")</f>
        <v/>
      </c>
      <c r="Q265" s="11">
        <f t="shared" si="89">IF(AA265="正常",IF(I265="已计入",ROUND(Q264+IF(OR(B265="买入",B265="定投",B265="转换转入"),E265,0)-O265-P265,2),Q264),"")</f>
        <v>129570</v>
      </c>
      <c r="R265" s="11" t="str">
        <f t="shared" si="80">IF(I265="已计入",ROUND(K265*C265,2),"")</f>
        <v/>
      </c>
      <c r="S265" s="11" t="str">
        <f t="shared" si="81">IF(I265="已计入",ROUND(R265-Q265,2),"")</f>
        <v/>
      </c>
      <c r="T265" s="12" t="str">
        <f t="shared" si="82">IF(I265="已计入",IF(Q265=0,"",S265/Q265),"")</f>
        <v/>
      </c>
      <c r="U265" s="11">
        <f t="shared" si="90">IF(AA265="正常",U264+IF(AND(I265="已计入",OR(B265="买入",B265="定投",B265="转换转入")),E265,0),"")</f>
        <v>129570</v>
      </c>
      <c r="V265" s="11">
        <f t="shared" si="91">IF(AA265="正常",V264+IF(AND(I265="已计入",OR(B265="卖出",B265="现金分红")),E265,0),"")</f>
        <v>0</v>
      </c>
      <c r="W265" s="11">
        <f t="shared" si="92">IF(AA265="正常",W264+IF(I265="已计入",N265,0),"")</f>
        <v>0</v>
      </c>
      <c r="X265" s="11">
        <f t="shared" si="93">IF(AA265="正常",X264+IF(I265="已计入",P265,0),"")</f>
        <v>0</v>
      </c>
      <c r="Y265" s="11" t="str">
        <f t="shared" si="83">IF(I265="已计入",ROUND(R265+V265-U265,2),"")</f>
        <v/>
      </c>
      <c r="Z265" s="13">
        <f t="shared" si="94">IF(AA265="正常",IF(I265="已计入",A265,Z264),"")</f>
        <v>46239</v>
      </c>
      <c r="AA265" s="10" t="str">
        <f>IF(OR($AA$134="错误",COUNTIF($G$135:G265,"待修正")&gt;0),"错误","正常")</f>
        <v>正常</v>
      </c>
      <c r="AB265" s="14">
        <f t="shared" si="95">IF(AA265="正常",IF(I265="已计入",C265,AB264),"")</f>
        <v>6.347</v>
      </c>
    </row>
    <row r="266" ht="23" customHeight="1">
      <c r="A266" s="36"/>
      <c r="B266" s="37"/>
      <c r="C266" s="38"/>
      <c r="D266" s="39"/>
      <c r="E266" s="44" t="str">
        <f t="shared" si="76">IF(AND(ISNUMBER(C266),ISNUMBER(D266),ISNUMBER(F266)),IF(OR(B266="买入",B266="定投"),ROUND(C266*D266+F266,2),IF(B266="卖出",ROUND(C266*D266-F266,2),IF(B266="红利再投",0,""))),"")</f>
        <v/>
      </c>
      <c r="F266" s="39"/>
      <c r="G266" s="45" t="str">
        <f t="shared" si="77">IF(COUNTA(A266:D266,F266)=0,"",IF(I266="已计入","已录入","待修正"))</f>
        <v/>
      </c>
      <c r="H266" s="46" t="str">
        <f t="shared" si="78">IF(COUNTA(A266:D266,F266)=0,"",IF(B266="红利再投","仅增加份额，不增加现金投入","金额由份额、净值和手续费推算"))</f>
        <v/>
      </c>
      <c r="I266" s="10" t="str">
        <f>IF(COUNTA(A266:D266,F266)=0,"",IF(NOT(ISNUMBER(A266)),"缺少有效净值日期",IF(OR(A266&lt;=0,A266&lt;&gt;INT(A266)),"净值日期无效",IF(OR(B266="转换转入",B266="现金分红"),"该类型需实际金额，五项录入不适用",IF(NOT(OR(OR(B266="买入",B266="定投"),B266="卖出",B266="红利再投")),"请选择交易类型",IF(NOT(ISNUMBER(C266)),"缺少成交净值",IF(C266&lt;=0,"成交净值须大于零",IF(NOT(ISNUMBER(D266)),"缺少确认份额",IF(D266&lt;=0,"确认份额须大于零",IF(NOT(ISNUMBER(F266)),"缺少手续费，无费用请填 0",IF(F266&lt;0,"手续费不能为负",IF(AA265="错误","前行待修正",IF(A266&lt;Z265,"日期需按成交顺序递增",IF(AND(B266="红利再投",F266&lt;&gt;0),"红利再投手续费应填 0",IF(AND(B266="红利再投",K265&lt;=0),"红利再投前须有持仓",IF(AND(B266="卖出",D266&gt;K265+0.000001),"卖出份额超过持仓",IF(AND(B266="卖出",F266&gt;=C266*D266),"赎回费不能达到赎回总额",IF(NOT(ISNUMBER(E266)),"自动金额未生成，请检查五项输入",IF(NOT(OR('持仓总览'!$C$7="利润优先",'持仓总览'!$C$7="本金优先")),"请选择卖出分配模式","已计入")))))))))))))))))))</f>
        <v/>
      </c>
      <c r="J266" s="11">
        <f t="shared" si="79">IF(AA266="正常",IF(I266="已计入",IF(OR(OR(B266="买入",B266="定投",B266="转换转入"),B266="红利再投"),D266,IF(B266="卖出",-D266,0)),0),"")</f>
        <v>0</v>
      </c>
      <c r="K266" s="11">
        <f t="shared" si="84">IF(AA266="正常",ROUND(K265+J266,6),"")</f>
        <v>25721.6</v>
      </c>
      <c r="L266" s="11" t="str">
        <f t="shared" si="85">IF(I266="已计入",ROUND(K265*C266,2),"")</f>
        <v/>
      </c>
      <c r="M266" s="11" t="str">
        <f t="shared" si="86">IF(I266="已计入",IF(B266="卖出",MAX(0,L266-Q265-F266),IF(B266="现金分红",MAX(0,L266+E266-Q265),0)),"")</f>
        <v/>
      </c>
      <c r="N266" s="11" t="str">
        <f>IF(I266="已计入",IF(AND(B266="卖出",'持仓总览'!$C$7="本金优先"),MAX(0,E266-Q265),IF(OR(B266="卖出",B266="现金分红"),MIN(E266,M266),0)),"")</f>
        <v/>
      </c>
      <c r="O266" s="11" t="str">
        <f t="shared" si="87">IF(I266="已计入",IF(OR(B266="卖出",B266="现金分红"),MIN(Q265,MAX(0,E266-N266)),0),"")</f>
        <v/>
      </c>
      <c r="P266" s="11" t="str">
        <f t="shared" si="88">IF(I266="已计入",IF(AND(B266="卖出",K266=0),MAX(0,Q265-O266),0),"")</f>
        <v/>
      </c>
      <c r="Q266" s="11">
        <f t="shared" si="89">IF(AA266="正常",IF(I266="已计入",ROUND(Q265+IF(OR(B266="买入",B266="定投",B266="转换转入"),E266,0)-O266-P266,2),Q265),"")</f>
        <v>129570</v>
      </c>
      <c r="R266" s="11" t="str">
        <f t="shared" si="80">IF(I266="已计入",ROUND(K266*C266,2),"")</f>
        <v/>
      </c>
      <c r="S266" s="11" t="str">
        <f t="shared" si="81">IF(I266="已计入",ROUND(R266-Q266,2),"")</f>
        <v/>
      </c>
      <c r="T266" s="12" t="str">
        <f t="shared" si="82">IF(I266="已计入",IF(Q266=0,"",S266/Q266),"")</f>
        <v/>
      </c>
      <c r="U266" s="11">
        <f t="shared" si="90">IF(AA266="正常",U265+IF(AND(I266="已计入",OR(B266="买入",B266="定投",B266="转换转入")),E266,0),"")</f>
        <v>129570</v>
      </c>
      <c r="V266" s="11">
        <f t="shared" si="91">IF(AA266="正常",V265+IF(AND(I266="已计入",OR(B266="卖出",B266="现金分红")),E266,0),"")</f>
        <v>0</v>
      </c>
      <c r="W266" s="11">
        <f t="shared" si="92">IF(AA266="正常",W265+IF(I266="已计入",N266,0),"")</f>
        <v>0</v>
      </c>
      <c r="X266" s="11">
        <f t="shared" si="93">IF(AA266="正常",X265+IF(I266="已计入",P266,0),"")</f>
        <v>0</v>
      </c>
      <c r="Y266" s="11" t="str">
        <f t="shared" si="83">IF(I266="已计入",ROUND(R266+V266-U266,2),"")</f>
        <v/>
      </c>
      <c r="Z266" s="13">
        <f t="shared" si="94">IF(AA266="正常",IF(I266="已计入",A266,Z265),"")</f>
        <v>46239</v>
      </c>
      <c r="AA266" s="10" t="str">
        <f>IF(OR($AA$134="错误",COUNTIF($G$135:G266,"待修正")&gt;0),"错误","正常")</f>
        <v>正常</v>
      </c>
      <c r="AB266" s="14">
        <f t="shared" si="95">IF(AA266="正常",IF(I266="已计入",C266,AB265),"")</f>
        <v>6.347</v>
      </c>
    </row>
    <row r="267" ht="23" customHeight="1">
      <c r="A267" s="36"/>
      <c r="B267" s="37"/>
      <c r="C267" s="38"/>
      <c r="D267" s="39"/>
      <c r="E267" s="44" t="str">
        <f t="shared" si="76">IF(AND(ISNUMBER(C267),ISNUMBER(D267),ISNUMBER(F267)),IF(OR(B267="买入",B267="定投"),ROUND(C267*D267+F267,2),IF(B267="卖出",ROUND(C267*D267-F267,2),IF(B267="红利再投",0,""))),"")</f>
        <v/>
      </c>
      <c r="F267" s="39"/>
      <c r="G267" s="45" t="str">
        <f t="shared" si="77">IF(COUNTA(A267:D267,F267)=0,"",IF(I267="已计入","已录入","待修正"))</f>
        <v/>
      </c>
      <c r="H267" s="46" t="str">
        <f t="shared" si="78">IF(COUNTA(A267:D267,F267)=0,"",IF(B267="红利再投","仅增加份额，不增加现金投入","金额由份额、净值和手续费推算"))</f>
        <v/>
      </c>
      <c r="I267" s="10" t="str">
        <f>IF(COUNTA(A267:D267,F267)=0,"",IF(NOT(ISNUMBER(A267)),"缺少有效净值日期",IF(OR(A267&lt;=0,A267&lt;&gt;INT(A267)),"净值日期无效",IF(OR(B267="转换转入",B267="现金分红"),"该类型需实际金额，五项录入不适用",IF(NOT(OR(OR(B267="买入",B267="定投"),B267="卖出",B267="红利再投")),"请选择交易类型",IF(NOT(ISNUMBER(C267)),"缺少成交净值",IF(C267&lt;=0,"成交净值须大于零",IF(NOT(ISNUMBER(D267)),"缺少确认份额",IF(D267&lt;=0,"确认份额须大于零",IF(NOT(ISNUMBER(F267)),"缺少手续费，无费用请填 0",IF(F267&lt;0,"手续费不能为负",IF(AA266="错误","前行待修正",IF(A267&lt;Z266,"日期需按成交顺序递增",IF(AND(B267="红利再投",F267&lt;&gt;0),"红利再投手续费应填 0",IF(AND(B267="红利再投",K266&lt;=0),"红利再投前须有持仓",IF(AND(B267="卖出",D267&gt;K266+0.000001),"卖出份额超过持仓",IF(AND(B267="卖出",F267&gt;=C267*D267),"赎回费不能达到赎回总额",IF(NOT(ISNUMBER(E267)),"自动金额未生成，请检查五项输入",IF(NOT(OR('持仓总览'!$C$7="利润优先",'持仓总览'!$C$7="本金优先")),"请选择卖出分配模式","已计入")))))))))))))))))))</f>
        <v/>
      </c>
      <c r="J267" s="11">
        <f t="shared" si="79">IF(AA267="正常",IF(I267="已计入",IF(OR(OR(B267="买入",B267="定投",B267="转换转入"),B267="红利再投"),D267,IF(B267="卖出",-D267,0)),0),"")</f>
        <v>0</v>
      </c>
      <c r="K267" s="11">
        <f t="shared" si="84">IF(AA267="正常",ROUND(K266+J267,6),"")</f>
        <v>25721.6</v>
      </c>
      <c r="L267" s="11" t="str">
        <f t="shared" si="85">IF(I267="已计入",ROUND(K266*C267,2),"")</f>
        <v/>
      </c>
      <c r="M267" s="11" t="str">
        <f t="shared" si="86">IF(I267="已计入",IF(B267="卖出",MAX(0,L267-Q266-F267),IF(B267="现金分红",MAX(0,L267+E267-Q266),0)),"")</f>
        <v/>
      </c>
      <c r="N267" s="11" t="str">
        <f>IF(I267="已计入",IF(AND(B267="卖出",'持仓总览'!$C$7="本金优先"),MAX(0,E267-Q266),IF(OR(B267="卖出",B267="现金分红"),MIN(E267,M267),0)),"")</f>
        <v/>
      </c>
      <c r="O267" s="11" t="str">
        <f t="shared" si="87">IF(I267="已计入",IF(OR(B267="卖出",B267="现金分红"),MIN(Q266,MAX(0,E267-N267)),0),"")</f>
        <v/>
      </c>
      <c r="P267" s="11" t="str">
        <f t="shared" si="88">IF(I267="已计入",IF(AND(B267="卖出",K267=0),MAX(0,Q266-O267),0),"")</f>
        <v/>
      </c>
      <c r="Q267" s="11">
        <f t="shared" si="89">IF(AA267="正常",IF(I267="已计入",ROUND(Q266+IF(OR(B267="买入",B267="定投",B267="转换转入"),E267,0)-O267-P267,2),Q266),"")</f>
        <v>129570</v>
      </c>
      <c r="R267" s="11" t="str">
        <f t="shared" si="80">IF(I267="已计入",ROUND(K267*C267,2),"")</f>
        <v/>
      </c>
      <c r="S267" s="11" t="str">
        <f t="shared" si="81">IF(I267="已计入",ROUND(R267-Q267,2),"")</f>
        <v/>
      </c>
      <c r="T267" s="12" t="str">
        <f t="shared" si="82">IF(I267="已计入",IF(Q267=0,"",S267/Q267),"")</f>
        <v/>
      </c>
      <c r="U267" s="11">
        <f t="shared" si="90">IF(AA267="正常",U266+IF(AND(I267="已计入",OR(B267="买入",B267="定投",B267="转换转入")),E267,0),"")</f>
        <v>129570</v>
      </c>
      <c r="V267" s="11">
        <f t="shared" si="91">IF(AA267="正常",V266+IF(AND(I267="已计入",OR(B267="卖出",B267="现金分红")),E267,0),"")</f>
        <v>0</v>
      </c>
      <c r="W267" s="11">
        <f t="shared" si="92">IF(AA267="正常",W266+IF(I267="已计入",N267,0),"")</f>
        <v>0</v>
      </c>
      <c r="X267" s="11">
        <f t="shared" si="93">IF(AA267="正常",X266+IF(I267="已计入",P267,0),"")</f>
        <v>0</v>
      </c>
      <c r="Y267" s="11" t="str">
        <f t="shared" si="83">IF(I267="已计入",ROUND(R267+V267-U267,2),"")</f>
        <v/>
      </c>
      <c r="Z267" s="13">
        <f t="shared" si="94">IF(AA267="正常",IF(I267="已计入",A267,Z266),"")</f>
        <v>46239</v>
      </c>
      <c r="AA267" s="10" t="str">
        <f>IF(OR($AA$134="错误",COUNTIF($G$135:G267,"待修正")&gt;0),"错误","正常")</f>
        <v>正常</v>
      </c>
      <c r="AB267" s="14">
        <f t="shared" si="95">IF(AA267="正常",IF(I267="已计入",C267,AB266),"")</f>
        <v>6.347</v>
      </c>
    </row>
    <row r="268" ht="23" customHeight="1">
      <c r="A268" s="36"/>
      <c r="B268" s="37"/>
      <c r="C268" s="38"/>
      <c r="D268" s="39"/>
      <c r="E268" s="44" t="str">
        <f t="shared" si="76">IF(AND(ISNUMBER(C268),ISNUMBER(D268),ISNUMBER(F268)),IF(OR(B268="买入",B268="定投"),ROUND(C268*D268+F268,2),IF(B268="卖出",ROUND(C268*D268-F268,2),IF(B268="红利再投",0,""))),"")</f>
        <v/>
      </c>
      <c r="F268" s="39"/>
      <c r="G268" s="45" t="str">
        <f t="shared" si="77">IF(COUNTA(A268:D268,F268)=0,"",IF(I268="已计入","已录入","待修正"))</f>
        <v/>
      </c>
      <c r="H268" s="46" t="str">
        <f t="shared" si="78">IF(COUNTA(A268:D268,F268)=0,"",IF(B268="红利再投","仅增加份额，不增加现金投入","金额由份额、净值和手续费推算"))</f>
        <v/>
      </c>
      <c r="I268" s="10" t="str">
        <f>IF(COUNTA(A268:D268,F268)=0,"",IF(NOT(ISNUMBER(A268)),"缺少有效净值日期",IF(OR(A268&lt;=0,A268&lt;&gt;INT(A268)),"净值日期无效",IF(OR(B268="转换转入",B268="现金分红"),"该类型需实际金额，五项录入不适用",IF(NOT(OR(OR(B268="买入",B268="定投"),B268="卖出",B268="红利再投")),"请选择交易类型",IF(NOT(ISNUMBER(C268)),"缺少成交净值",IF(C268&lt;=0,"成交净值须大于零",IF(NOT(ISNUMBER(D268)),"缺少确认份额",IF(D268&lt;=0,"确认份额须大于零",IF(NOT(ISNUMBER(F268)),"缺少手续费，无费用请填 0",IF(F268&lt;0,"手续费不能为负",IF(AA267="错误","前行待修正",IF(A268&lt;Z267,"日期需按成交顺序递增",IF(AND(B268="红利再投",F268&lt;&gt;0),"红利再投手续费应填 0",IF(AND(B268="红利再投",K267&lt;=0),"红利再投前须有持仓",IF(AND(B268="卖出",D268&gt;K267+0.000001),"卖出份额超过持仓",IF(AND(B268="卖出",F268&gt;=C268*D268),"赎回费不能达到赎回总额",IF(NOT(ISNUMBER(E268)),"自动金额未生成，请检查五项输入",IF(NOT(OR('持仓总览'!$C$7="利润优先",'持仓总览'!$C$7="本金优先")),"请选择卖出分配模式","已计入")))))))))))))))))))</f>
        <v/>
      </c>
      <c r="J268" s="11">
        <f t="shared" si="79">IF(AA268="正常",IF(I268="已计入",IF(OR(OR(B268="买入",B268="定投",B268="转换转入"),B268="红利再投"),D268,IF(B268="卖出",-D268,0)),0),"")</f>
        <v>0</v>
      </c>
      <c r="K268" s="11">
        <f t="shared" si="84">IF(AA268="正常",ROUND(K267+J268,6),"")</f>
        <v>25721.6</v>
      </c>
      <c r="L268" s="11" t="str">
        <f t="shared" si="85">IF(I268="已计入",ROUND(K267*C268,2),"")</f>
        <v/>
      </c>
      <c r="M268" s="11" t="str">
        <f t="shared" si="86">IF(I268="已计入",IF(B268="卖出",MAX(0,L268-Q267-F268),IF(B268="现金分红",MAX(0,L268+E268-Q267),0)),"")</f>
        <v/>
      </c>
      <c r="N268" s="11" t="str">
        <f>IF(I268="已计入",IF(AND(B268="卖出",'持仓总览'!$C$7="本金优先"),MAX(0,E268-Q267),IF(OR(B268="卖出",B268="现金分红"),MIN(E268,M268),0)),"")</f>
        <v/>
      </c>
      <c r="O268" s="11" t="str">
        <f t="shared" si="87">IF(I268="已计入",IF(OR(B268="卖出",B268="现金分红"),MIN(Q267,MAX(0,E268-N268)),0),"")</f>
        <v/>
      </c>
      <c r="P268" s="11" t="str">
        <f t="shared" si="88">IF(I268="已计入",IF(AND(B268="卖出",K268=0),MAX(0,Q267-O268),0),"")</f>
        <v/>
      </c>
      <c r="Q268" s="11">
        <f t="shared" si="89">IF(AA268="正常",IF(I268="已计入",ROUND(Q267+IF(OR(B268="买入",B268="定投",B268="转换转入"),E268,0)-O268-P268,2),Q267),"")</f>
        <v>129570</v>
      </c>
      <c r="R268" s="11" t="str">
        <f t="shared" si="80">IF(I268="已计入",ROUND(K268*C268,2),"")</f>
        <v/>
      </c>
      <c r="S268" s="11" t="str">
        <f t="shared" si="81">IF(I268="已计入",ROUND(R268-Q268,2),"")</f>
        <v/>
      </c>
      <c r="T268" s="12" t="str">
        <f t="shared" si="82">IF(I268="已计入",IF(Q268=0,"",S268/Q268),"")</f>
        <v/>
      </c>
      <c r="U268" s="11">
        <f t="shared" si="90">IF(AA268="正常",U267+IF(AND(I268="已计入",OR(B268="买入",B268="定投",B268="转换转入")),E268,0),"")</f>
        <v>129570</v>
      </c>
      <c r="V268" s="11">
        <f t="shared" si="91">IF(AA268="正常",V267+IF(AND(I268="已计入",OR(B268="卖出",B268="现金分红")),E268,0),"")</f>
        <v>0</v>
      </c>
      <c r="W268" s="11">
        <f t="shared" si="92">IF(AA268="正常",W267+IF(I268="已计入",N268,0),"")</f>
        <v>0</v>
      </c>
      <c r="X268" s="11">
        <f t="shared" si="93">IF(AA268="正常",X267+IF(I268="已计入",P268,0),"")</f>
        <v>0</v>
      </c>
      <c r="Y268" s="11" t="str">
        <f t="shared" si="83">IF(I268="已计入",ROUND(R268+V268-U268,2),"")</f>
        <v/>
      </c>
      <c r="Z268" s="13">
        <f t="shared" si="94">IF(AA268="正常",IF(I268="已计入",A268,Z267),"")</f>
        <v>46239</v>
      </c>
      <c r="AA268" s="10" t="str">
        <f>IF(OR($AA$134="错误",COUNTIF($G$135:G268,"待修正")&gt;0),"错误","正常")</f>
        <v>正常</v>
      </c>
      <c r="AB268" s="14">
        <f t="shared" si="95">IF(AA268="正常",IF(I268="已计入",C268,AB267),"")</f>
        <v>6.347</v>
      </c>
    </row>
    <row r="269" ht="23" customHeight="1">
      <c r="A269" s="36"/>
      <c r="B269" s="37"/>
      <c r="C269" s="38"/>
      <c r="D269" s="39"/>
      <c r="E269" s="44" t="str">
        <f t="shared" si="76">IF(AND(ISNUMBER(C269),ISNUMBER(D269),ISNUMBER(F269)),IF(OR(B269="买入",B269="定投"),ROUND(C269*D269+F269,2),IF(B269="卖出",ROUND(C269*D269-F269,2),IF(B269="红利再投",0,""))),"")</f>
        <v/>
      </c>
      <c r="F269" s="39"/>
      <c r="G269" s="45" t="str">
        <f t="shared" si="77">IF(COUNTA(A269:D269,F269)=0,"",IF(I269="已计入","已录入","待修正"))</f>
        <v/>
      </c>
      <c r="H269" s="46" t="str">
        <f t="shared" si="78">IF(COUNTA(A269:D269,F269)=0,"",IF(B269="红利再投","仅增加份额，不增加现金投入","金额由份额、净值和手续费推算"))</f>
        <v/>
      </c>
      <c r="I269" s="10" t="str">
        <f>IF(COUNTA(A269:D269,F269)=0,"",IF(NOT(ISNUMBER(A269)),"缺少有效净值日期",IF(OR(A269&lt;=0,A269&lt;&gt;INT(A269)),"净值日期无效",IF(OR(B269="转换转入",B269="现金分红"),"该类型需实际金额，五项录入不适用",IF(NOT(OR(OR(B269="买入",B269="定投"),B269="卖出",B269="红利再投")),"请选择交易类型",IF(NOT(ISNUMBER(C269)),"缺少成交净值",IF(C269&lt;=0,"成交净值须大于零",IF(NOT(ISNUMBER(D269)),"缺少确认份额",IF(D269&lt;=0,"确认份额须大于零",IF(NOT(ISNUMBER(F269)),"缺少手续费，无费用请填 0",IF(F269&lt;0,"手续费不能为负",IF(AA268="错误","前行待修正",IF(A269&lt;Z268,"日期需按成交顺序递增",IF(AND(B269="红利再投",F269&lt;&gt;0),"红利再投手续费应填 0",IF(AND(B269="红利再投",K268&lt;=0),"红利再投前须有持仓",IF(AND(B269="卖出",D269&gt;K268+0.000001),"卖出份额超过持仓",IF(AND(B269="卖出",F269&gt;=C269*D269),"赎回费不能达到赎回总额",IF(NOT(ISNUMBER(E269)),"自动金额未生成，请检查五项输入",IF(NOT(OR('持仓总览'!$C$7="利润优先",'持仓总览'!$C$7="本金优先")),"请选择卖出分配模式","已计入")))))))))))))))))))</f>
        <v/>
      </c>
      <c r="J269" s="11">
        <f t="shared" si="79">IF(AA269="正常",IF(I269="已计入",IF(OR(OR(B269="买入",B269="定投",B269="转换转入"),B269="红利再投"),D269,IF(B269="卖出",-D269,0)),0),"")</f>
        <v>0</v>
      </c>
      <c r="K269" s="11">
        <f t="shared" si="84">IF(AA269="正常",ROUND(K268+J269,6),"")</f>
        <v>25721.6</v>
      </c>
      <c r="L269" s="11" t="str">
        <f t="shared" si="85">IF(I269="已计入",ROUND(K268*C269,2),"")</f>
        <v/>
      </c>
      <c r="M269" s="11" t="str">
        <f t="shared" si="86">IF(I269="已计入",IF(B269="卖出",MAX(0,L269-Q268-F269),IF(B269="现金分红",MAX(0,L269+E269-Q268),0)),"")</f>
        <v/>
      </c>
      <c r="N269" s="11" t="str">
        <f>IF(I269="已计入",IF(AND(B269="卖出",'持仓总览'!$C$7="本金优先"),MAX(0,E269-Q268),IF(OR(B269="卖出",B269="现金分红"),MIN(E269,M269),0)),"")</f>
        <v/>
      </c>
      <c r="O269" s="11" t="str">
        <f t="shared" si="87">IF(I269="已计入",IF(OR(B269="卖出",B269="现金分红"),MIN(Q268,MAX(0,E269-N269)),0),"")</f>
        <v/>
      </c>
      <c r="P269" s="11" t="str">
        <f t="shared" si="88">IF(I269="已计入",IF(AND(B269="卖出",K269=0),MAX(0,Q268-O269),0),"")</f>
        <v/>
      </c>
      <c r="Q269" s="11">
        <f t="shared" si="89">IF(AA269="正常",IF(I269="已计入",ROUND(Q268+IF(OR(B269="买入",B269="定投",B269="转换转入"),E269,0)-O269-P269,2),Q268),"")</f>
        <v>129570</v>
      </c>
      <c r="R269" s="11" t="str">
        <f t="shared" si="80">IF(I269="已计入",ROUND(K269*C269,2),"")</f>
        <v/>
      </c>
      <c r="S269" s="11" t="str">
        <f t="shared" si="81">IF(I269="已计入",ROUND(R269-Q269,2),"")</f>
        <v/>
      </c>
      <c r="T269" s="12" t="str">
        <f t="shared" si="82">IF(I269="已计入",IF(Q269=0,"",S269/Q269),"")</f>
        <v/>
      </c>
      <c r="U269" s="11">
        <f t="shared" si="90">IF(AA269="正常",U268+IF(AND(I269="已计入",OR(B269="买入",B269="定投",B269="转换转入")),E269,0),"")</f>
        <v>129570</v>
      </c>
      <c r="V269" s="11">
        <f t="shared" si="91">IF(AA269="正常",V268+IF(AND(I269="已计入",OR(B269="卖出",B269="现金分红")),E269,0),"")</f>
        <v>0</v>
      </c>
      <c r="W269" s="11">
        <f t="shared" si="92">IF(AA269="正常",W268+IF(I269="已计入",N269,0),"")</f>
        <v>0</v>
      </c>
      <c r="X269" s="11">
        <f t="shared" si="93">IF(AA269="正常",X268+IF(I269="已计入",P269,0),"")</f>
        <v>0</v>
      </c>
      <c r="Y269" s="11" t="str">
        <f t="shared" si="83">IF(I269="已计入",ROUND(R269+V269-U269,2),"")</f>
        <v/>
      </c>
      <c r="Z269" s="13">
        <f t="shared" si="94">IF(AA269="正常",IF(I269="已计入",A269,Z268),"")</f>
        <v>46239</v>
      </c>
      <c r="AA269" s="10" t="str">
        <f>IF(OR($AA$134="错误",COUNTIF($G$135:G269,"待修正")&gt;0),"错误","正常")</f>
        <v>正常</v>
      </c>
      <c r="AB269" s="14">
        <f t="shared" si="95">IF(AA269="正常",IF(I269="已计入",C269,AB268),"")</f>
        <v>6.347</v>
      </c>
    </row>
    <row r="270" ht="23" customHeight="1">
      <c r="A270" s="36"/>
      <c r="B270" s="37"/>
      <c r="C270" s="38"/>
      <c r="D270" s="39"/>
      <c r="E270" s="44" t="str">
        <f t="shared" si="76">IF(AND(ISNUMBER(C270),ISNUMBER(D270),ISNUMBER(F270)),IF(OR(B270="买入",B270="定投"),ROUND(C270*D270+F270,2),IF(B270="卖出",ROUND(C270*D270-F270,2),IF(B270="红利再投",0,""))),"")</f>
        <v/>
      </c>
      <c r="F270" s="39"/>
      <c r="G270" s="45" t="str">
        <f t="shared" si="77">IF(COUNTA(A270:D270,F270)=0,"",IF(I270="已计入","已录入","待修正"))</f>
        <v/>
      </c>
      <c r="H270" s="46" t="str">
        <f t="shared" si="78">IF(COUNTA(A270:D270,F270)=0,"",IF(B270="红利再投","仅增加份额，不增加现金投入","金额由份额、净值和手续费推算"))</f>
        <v/>
      </c>
      <c r="I270" s="10" t="str">
        <f>IF(COUNTA(A270:D270,F270)=0,"",IF(NOT(ISNUMBER(A270)),"缺少有效净值日期",IF(OR(A270&lt;=0,A270&lt;&gt;INT(A270)),"净值日期无效",IF(OR(B270="转换转入",B270="现金分红"),"该类型需实际金额，五项录入不适用",IF(NOT(OR(OR(B270="买入",B270="定投"),B270="卖出",B270="红利再投")),"请选择交易类型",IF(NOT(ISNUMBER(C270)),"缺少成交净值",IF(C270&lt;=0,"成交净值须大于零",IF(NOT(ISNUMBER(D270)),"缺少确认份额",IF(D270&lt;=0,"确认份额须大于零",IF(NOT(ISNUMBER(F270)),"缺少手续费，无费用请填 0",IF(F270&lt;0,"手续费不能为负",IF(AA269="错误","前行待修正",IF(A270&lt;Z269,"日期需按成交顺序递增",IF(AND(B270="红利再投",F270&lt;&gt;0),"红利再投手续费应填 0",IF(AND(B270="红利再投",K269&lt;=0),"红利再投前须有持仓",IF(AND(B270="卖出",D270&gt;K269+0.000001),"卖出份额超过持仓",IF(AND(B270="卖出",F270&gt;=C270*D270),"赎回费不能达到赎回总额",IF(NOT(ISNUMBER(E270)),"自动金额未生成，请检查五项输入",IF(NOT(OR('持仓总览'!$C$7="利润优先",'持仓总览'!$C$7="本金优先")),"请选择卖出分配模式","已计入")))))))))))))))))))</f>
        <v/>
      </c>
      <c r="J270" s="11">
        <f t="shared" si="79">IF(AA270="正常",IF(I270="已计入",IF(OR(OR(B270="买入",B270="定投",B270="转换转入"),B270="红利再投"),D270,IF(B270="卖出",-D270,0)),0),"")</f>
        <v>0</v>
      </c>
      <c r="K270" s="11">
        <f t="shared" si="84">IF(AA270="正常",ROUND(K269+J270,6),"")</f>
        <v>25721.6</v>
      </c>
      <c r="L270" s="11" t="str">
        <f t="shared" si="85">IF(I270="已计入",ROUND(K269*C270,2),"")</f>
        <v/>
      </c>
      <c r="M270" s="11" t="str">
        <f t="shared" si="86">IF(I270="已计入",IF(B270="卖出",MAX(0,L270-Q269-F270),IF(B270="现金分红",MAX(0,L270+E270-Q269),0)),"")</f>
        <v/>
      </c>
      <c r="N270" s="11" t="str">
        <f>IF(I270="已计入",IF(AND(B270="卖出",'持仓总览'!$C$7="本金优先"),MAX(0,E270-Q269),IF(OR(B270="卖出",B270="现金分红"),MIN(E270,M270),0)),"")</f>
        <v/>
      </c>
      <c r="O270" s="11" t="str">
        <f t="shared" si="87">IF(I270="已计入",IF(OR(B270="卖出",B270="现金分红"),MIN(Q269,MAX(0,E270-N270)),0),"")</f>
        <v/>
      </c>
      <c r="P270" s="11" t="str">
        <f t="shared" si="88">IF(I270="已计入",IF(AND(B270="卖出",K270=0),MAX(0,Q269-O270),0),"")</f>
        <v/>
      </c>
      <c r="Q270" s="11">
        <f t="shared" si="89">IF(AA270="正常",IF(I270="已计入",ROUND(Q269+IF(OR(B270="买入",B270="定投",B270="转换转入"),E270,0)-O270-P270,2),Q269),"")</f>
        <v>129570</v>
      </c>
      <c r="R270" s="11" t="str">
        <f t="shared" si="80">IF(I270="已计入",ROUND(K270*C270,2),"")</f>
        <v/>
      </c>
      <c r="S270" s="11" t="str">
        <f t="shared" si="81">IF(I270="已计入",ROUND(R270-Q270,2),"")</f>
        <v/>
      </c>
      <c r="T270" s="12" t="str">
        <f t="shared" si="82">IF(I270="已计入",IF(Q270=0,"",S270/Q270),"")</f>
        <v/>
      </c>
      <c r="U270" s="11">
        <f t="shared" si="90">IF(AA270="正常",U269+IF(AND(I270="已计入",OR(B270="买入",B270="定投",B270="转换转入")),E270,0),"")</f>
        <v>129570</v>
      </c>
      <c r="V270" s="11">
        <f t="shared" si="91">IF(AA270="正常",V269+IF(AND(I270="已计入",OR(B270="卖出",B270="现金分红")),E270,0),"")</f>
        <v>0</v>
      </c>
      <c r="W270" s="11">
        <f t="shared" si="92">IF(AA270="正常",W269+IF(I270="已计入",N270,0),"")</f>
        <v>0</v>
      </c>
      <c r="X270" s="11">
        <f t="shared" si="93">IF(AA270="正常",X269+IF(I270="已计入",P270,0),"")</f>
        <v>0</v>
      </c>
      <c r="Y270" s="11" t="str">
        <f t="shared" si="83">IF(I270="已计入",ROUND(R270+V270-U270,2),"")</f>
        <v/>
      </c>
      <c r="Z270" s="13">
        <f t="shared" si="94">IF(AA270="正常",IF(I270="已计入",A270,Z269),"")</f>
        <v>46239</v>
      </c>
      <c r="AA270" s="10" t="str">
        <f>IF(OR($AA$134="错误",COUNTIF($G$135:G270,"待修正")&gt;0),"错误","正常")</f>
        <v>正常</v>
      </c>
      <c r="AB270" s="14">
        <f t="shared" si="95">IF(AA270="正常",IF(I270="已计入",C270,AB269),"")</f>
        <v>6.347</v>
      </c>
    </row>
    <row r="271" ht="23" customHeight="1">
      <c r="A271" s="36"/>
      <c r="B271" s="37"/>
      <c r="C271" s="38"/>
      <c r="D271" s="39"/>
      <c r="E271" s="44" t="str">
        <f t="shared" si="76">IF(AND(ISNUMBER(C271),ISNUMBER(D271),ISNUMBER(F271)),IF(OR(B271="买入",B271="定投"),ROUND(C271*D271+F271,2),IF(B271="卖出",ROUND(C271*D271-F271,2),IF(B271="红利再投",0,""))),"")</f>
        <v/>
      </c>
      <c r="F271" s="39"/>
      <c r="G271" s="45" t="str">
        <f t="shared" si="77">IF(COUNTA(A271:D271,F271)=0,"",IF(I271="已计入","已录入","待修正"))</f>
        <v/>
      </c>
      <c r="H271" s="46" t="str">
        <f t="shared" si="78">IF(COUNTA(A271:D271,F271)=0,"",IF(B271="红利再投","仅增加份额，不增加现金投入","金额由份额、净值和手续费推算"))</f>
        <v/>
      </c>
      <c r="I271" s="10" t="str">
        <f>IF(COUNTA(A271:D271,F271)=0,"",IF(NOT(ISNUMBER(A271)),"缺少有效净值日期",IF(OR(A271&lt;=0,A271&lt;&gt;INT(A271)),"净值日期无效",IF(OR(B271="转换转入",B271="现金分红"),"该类型需实际金额，五项录入不适用",IF(NOT(OR(OR(B271="买入",B271="定投"),B271="卖出",B271="红利再投")),"请选择交易类型",IF(NOT(ISNUMBER(C271)),"缺少成交净值",IF(C271&lt;=0,"成交净值须大于零",IF(NOT(ISNUMBER(D271)),"缺少确认份额",IF(D271&lt;=0,"确认份额须大于零",IF(NOT(ISNUMBER(F271)),"缺少手续费，无费用请填 0",IF(F271&lt;0,"手续费不能为负",IF(AA270="错误","前行待修正",IF(A271&lt;Z270,"日期需按成交顺序递增",IF(AND(B271="红利再投",F271&lt;&gt;0),"红利再投手续费应填 0",IF(AND(B271="红利再投",K270&lt;=0),"红利再投前须有持仓",IF(AND(B271="卖出",D271&gt;K270+0.000001),"卖出份额超过持仓",IF(AND(B271="卖出",F271&gt;=C271*D271),"赎回费不能达到赎回总额",IF(NOT(ISNUMBER(E271)),"自动金额未生成，请检查五项输入",IF(NOT(OR('持仓总览'!$C$7="利润优先",'持仓总览'!$C$7="本金优先")),"请选择卖出分配模式","已计入")))))))))))))))))))</f>
        <v/>
      </c>
      <c r="J271" s="11">
        <f t="shared" si="79">IF(AA271="正常",IF(I271="已计入",IF(OR(OR(B271="买入",B271="定投",B271="转换转入"),B271="红利再投"),D271,IF(B271="卖出",-D271,0)),0),"")</f>
        <v>0</v>
      </c>
      <c r="K271" s="11">
        <f t="shared" si="84">IF(AA271="正常",ROUND(K270+J271,6),"")</f>
        <v>25721.6</v>
      </c>
      <c r="L271" s="11" t="str">
        <f t="shared" si="85">IF(I271="已计入",ROUND(K270*C271,2),"")</f>
        <v/>
      </c>
      <c r="M271" s="11" t="str">
        <f t="shared" si="86">IF(I271="已计入",IF(B271="卖出",MAX(0,L271-Q270-F271),IF(B271="现金分红",MAX(0,L271+E271-Q270),0)),"")</f>
        <v/>
      </c>
      <c r="N271" s="11" t="str">
        <f>IF(I271="已计入",IF(AND(B271="卖出",'持仓总览'!$C$7="本金优先"),MAX(0,E271-Q270),IF(OR(B271="卖出",B271="现金分红"),MIN(E271,M271),0)),"")</f>
        <v/>
      </c>
      <c r="O271" s="11" t="str">
        <f t="shared" si="87">IF(I271="已计入",IF(OR(B271="卖出",B271="现金分红"),MIN(Q270,MAX(0,E271-N271)),0),"")</f>
        <v/>
      </c>
      <c r="P271" s="11" t="str">
        <f t="shared" si="88">IF(I271="已计入",IF(AND(B271="卖出",K271=0),MAX(0,Q270-O271),0),"")</f>
        <v/>
      </c>
      <c r="Q271" s="11">
        <f t="shared" si="89">IF(AA271="正常",IF(I271="已计入",ROUND(Q270+IF(OR(B271="买入",B271="定投",B271="转换转入"),E271,0)-O271-P271,2),Q270),"")</f>
        <v>129570</v>
      </c>
      <c r="R271" s="11" t="str">
        <f t="shared" si="80">IF(I271="已计入",ROUND(K271*C271,2),"")</f>
        <v/>
      </c>
      <c r="S271" s="11" t="str">
        <f t="shared" si="81">IF(I271="已计入",ROUND(R271-Q271,2),"")</f>
        <v/>
      </c>
      <c r="T271" s="12" t="str">
        <f t="shared" si="82">IF(I271="已计入",IF(Q271=0,"",S271/Q271),"")</f>
        <v/>
      </c>
      <c r="U271" s="11">
        <f t="shared" si="90">IF(AA271="正常",U270+IF(AND(I271="已计入",OR(B271="买入",B271="定投",B271="转换转入")),E271,0),"")</f>
        <v>129570</v>
      </c>
      <c r="V271" s="11">
        <f t="shared" si="91">IF(AA271="正常",V270+IF(AND(I271="已计入",OR(B271="卖出",B271="现金分红")),E271,0),"")</f>
        <v>0</v>
      </c>
      <c r="W271" s="11">
        <f t="shared" si="92">IF(AA271="正常",W270+IF(I271="已计入",N271,0),"")</f>
        <v>0</v>
      </c>
      <c r="X271" s="11">
        <f t="shared" si="93">IF(AA271="正常",X270+IF(I271="已计入",P271,0),"")</f>
        <v>0</v>
      </c>
      <c r="Y271" s="11" t="str">
        <f t="shared" si="83">IF(I271="已计入",ROUND(R271+V271-U271,2),"")</f>
        <v/>
      </c>
      <c r="Z271" s="13">
        <f t="shared" si="94">IF(AA271="正常",IF(I271="已计入",A271,Z270),"")</f>
        <v>46239</v>
      </c>
      <c r="AA271" s="10" t="str">
        <f>IF(OR($AA$134="错误",COUNTIF($G$135:G271,"待修正")&gt;0),"错误","正常")</f>
        <v>正常</v>
      </c>
      <c r="AB271" s="14">
        <f t="shared" si="95">IF(AA271="正常",IF(I271="已计入",C271,AB270),"")</f>
        <v>6.347</v>
      </c>
    </row>
    <row r="272" ht="23" customHeight="1">
      <c r="A272" s="36"/>
      <c r="B272" s="37"/>
      <c r="C272" s="38"/>
      <c r="D272" s="39"/>
      <c r="E272" s="44" t="str">
        <f t="shared" si="76">IF(AND(ISNUMBER(C272),ISNUMBER(D272),ISNUMBER(F272)),IF(OR(B272="买入",B272="定投"),ROUND(C272*D272+F272,2),IF(B272="卖出",ROUND(C272*D272-F272,2),IF(B272="红利再投",0,""))),"")</f>
        <v/>
      </c>
      <c r="F272" s="39"/>
      <c r="G272" s="45" t="str">
        <f t="shared" si="77">IF(COUNTA(A272:D272,F272)=0,"",IF(I272="已计入","已录入","待修正"))</f>
        <v/>
      </c>
      <c r="H272" s="46" t="str">
        <f t="shared" si="78">IF(COUNTA(A272:D272,F272)=0,"",IF(B272="红利再投","仅增加份额，不增加现金投入","金额由份额、净值和手续费推算"))</f>
        <v/>
      </c>
      <c r="I272" s="10" t="str">
        <f>IF(COUNTA(A272:D272,F272)=0,"",IF(NOT(ISNUMBER(A272)),"缺少有效净值日期",IF(OR(A272&lt;=0,A272&lt;&gt;INT(A272)),"净值日期无效",IF(OR(B272="转换转入",B272="现金分红"),"该类型需实际金额，五项录入不适用",IF(NOT(OR(OR(B272="买入",B272="定投"),B272="卖出",B272="红利再投")),"请选择交易类型",IF(NOT(ISNUMBER(C272)),"缺少成交净值",IF(C272&lt;=0,"成交净值须大于零",IF(NOT(ISNUMBER(D272)),"缺少确认份额",IF(D272&lt;=0,"确认份额须大于零",IF(NOT(ISNUMBER(F272)),"缺少手续费，无费用请填 0",IF(F272&lt;0,"手续费不能为负",IF(AA271="错误","前行待修正",IF(A272&lt;Z271,"日期需按成交顺序递增",IF(AND(B272="红利再投",F272&lt;&gt;0),"红利再投手续费应填 0",IF(AND(B272="红利再投",K271&lt;=0),"红利再投前须有持仓",IF(AND(B272="卖出",D272&gt;K271+0.000001),"卖出份额超过持仓",IF(AND(B272="卖出",F272&gt;=C272*D272),"赎回费不能达到赎回总额",IF(NOT(ISNUMBER(E272)),"自动金额未生成，请检查五项输入",IF(NOT(OR('持仓总览'!$C$7="利润优先",'持仓总览'!$C$7="本金优先")),"请选择卖出分配模式","已计入")))))))))))))))))))</f>
        <v/>
      </c>
      <c r="J272" s="11">
        <f t="shared" si="79">IF(AA272="正常",IF(I272="已计入",IF(OR(OR(B272="买入",B272="定投",B272="转换转入"),B272="红利再投"),D272,IF(B272="卖出",-D272,0)),0),"")</f>
        <v>0</v>
      </c>
      <c r="K272" s="11">
        <f t="shared" si="84">IF(AA272="正常",ROUND(K271+J272,6),"")</f>
        <v>25721.6</v>
      </c>
      <c r="L272" s="11" t="str">
        <f t="shared" si="85">IF(I272="已计入",ROUND(K271*C272,2),"")</f>
        <v/>
      </c>
      <c r="M272" s="11" t="str">
        <f t="shared" si="86">IF(I272="已计入",IF(B272="卖出",MAX(0,L272-Q271-F272),IF(B272="现金分红",MAX(0,L272+E272-Q271),0)),"")</f>
        <v/>
      </c>
      <c r="N272" s="11" t="str">
        <f>IF(I272="已计入",IF(AND(B272="卖出",'持仓总览'!$C$7="本金优先"),MAX(0,E272-Q271),IF(OR(B272="卖出",B272="现金分红"),MIN(E272,M272),0)),"")</f>
        <v/>
      </c>
      <c r="O272" s="11" t="str">
        <f t="shared" si="87">IF(I272="已计入",IF(OR(B272="卖出",B272="现金分红"),MIN(Q271,MAX(0,E272-N272)),0),"")</f>
        <v/>
      </c>
      <c r="P272" s="11" t="str">
        <f t="shared" si="88">IF(I272="已计入",IF(AND(B272="卖出",K272=0),MAX(0,Q271-O272),0),"")</f>
        <v/>
      </c>
      <c r="Q272" s="11">
        <f t="shared" si="89">IF(AA272="正常",IF(I272="已计入",ROUND(Q271+IF(OR(B272="买入",B272="定投",B272="转换转入"),E272,0)-O272-P272,2),Q271),"")</f>
        <v>129570</v>
      </c>
      <c r="R272" s="11" t="str">
        <f t="shared" si="80">IF(I272="已计入",ROUND(K272*C272,2),"")</f>
        <v/>
      </c>
      <c r="S272" s="11" t="str">
        <f t="shared" si="81">IF(I272="已计入",ROUND(R272-Q272,2),"")</f>
        <v/>
      </c>
      <c r="T272" s="12" t="str">
        <f t="shared" si="82">IF(I272="已计入",IF(Q272=0,"",S272/Q272),"")</f>
        <v/>
      </c>
      <c r="U272" s="11">
        <f t="shared" si="90">IF(AA272="正常",U271+IF(AND(I272="已计入",OR(B272="买入",B272="定投",B272="转换转入")),E272,0),"")</f>
        <v>129570</v>
      </c>
      <c r="V272" s="11">
        <f t="shared" si="91">IF(AA272="正常",V271+IF(AND(I272="已计入",OR(B272="卖出",B272="现金分红")),E272,0),"")</f>
        <v>0</v>
      </c>
      <c r="W272" s="11">
        <f t="shared" si="92">IF(AA272="正常",W271+IF(I272="已计入",N272,0),"")</f>
        <v>0</v>
      </c>
      <c r="X272" s="11">
        <f t="shared" si="93">IF(AA272="正常",X271+IF(I272="已计入",P272,0),"")</f>
        <v>0</v>
      </c>
      <c r="Y272" s="11" t="str">
        <f t="shared" si="83">IF(I272="已计入",ROUND(R272+V272-U272,2),"")</f>
        <v/>
      </c>
      <c r="Z272" s="13">
        <f t="shared" si="94">IF(AA272="正常",IF(I272="已计入",A272,Z271),"")</f>
        <v>46239</v>
      </c>
      <c r="AA272" s="10" t="str">
        <f>IF(OR($AA$134="错误",COUNTIF($G$135:G272,"待修正")&gt;0),"错误","正常")</f>
        <v>正常</v>
      </c>
      <c r="AB272" s="14">
        <f t="shared" si="95">IF(AA272="正常",IF(I272="已计入",C272,AB271),"")</f>
        <v>6.347</v>
      </c>
    </row>
    <row r="273" ht="23" customHeight="1">
      <c r="A273" s="36"/>
      <c r="B273" s="37"/>
      <c r="C273" s="38"/>
      <c r="D273" s="39"/>
      <c r="E273" s="44" t="str">
        <f t="shared" si="76">IF(AND(ISNUMBER(C273),ISNUMBER(D273),ISNUMBER(F273)),IF(OR(B273="买入",B273="定投"),ROUND(C273*D273+F273,2),IF(B273="卖出",ROUND(C273*D273-F273,2),IF(B273="红利再投",0,""))),"")</f>
        <v/>
      </c>
      <c r="F273" s="39"/>
      <c r="G273" s="45" t="str">
        <f t="shared" si="77">IF(COUNTA(A273:D273,F273)=0,"",IF(I273="已计入","已录入","待修正"))</f>
        <v/>
      </c>
      <c r="H273" s="46" t="str">
        <f t="shared" si="78">IF(COUNTA(A273:D273,F273)=0,"",IF(B273="红利再投","仅增加份额，不增加现金投入","金额由份额、净值和手续费推算"))</f>
        <v/>
      </c>
      <c r="I273" s="10" t="str">
        <f>IF(COUNTA(A273:D273,F273)=0,"",IF(NOT(ISNUMBER(A273)),"缺少有效净值日期",IF(OR(A273&lt;=0,A273&lt;&gt;INT(A273)),"净值日期无效",IF(OR(B273="转换转入",B273="现金分红"),"该类型需实际金额，五项录入不适用",IF(NOT(OR(OR(B273="买入",B273="定投"),B273="卖出",B273="红利再投")),"请选择交易类型",IF(NOT(ISNUMBER(C273)),"缺少成交净值",IF(C273&lt;=0,"成交净值须大于零",IF(NOT(ISNUMBER(D273)),"缺少确认份额",IF(D273&lt;=0,"确认份额须大于零",IF(NOT(ISNUMBER(F273)),"缺少手续费，无费用请填 0",IF(F273&lt;0,"手续费不能为负",IF(AA272="错误","前行待修正",IF(A273&lt;Z272,"日期需按成交顺序递增",IF(AND(B273="红利再投",F273&lt;&gt;0),"红利再投手续费应填 0",IF(AND(B273="红利再投",K272&lt;=0),"红利再投前须有持仓",IF(AND(B273="卖出",D273&gt;K272+0.000001),"卖出份额超过持仓",IF(AND(B273="卖出",F273&gt;=C273*D273),"赎回费不能达到赎回总额",IF(NOT(ISNUMBER(E273)),"自动金额未生成，请检查五项输入",IF(NOT(OR('持仓总览'!$C$7="利润优先",'持仓总览'!$C$7="本金优先")),"请选择卖出分配模式","已计入")))))))))))))))))))</f>
        <v/>
      </c>
      <c r="J273" s="11">
        <f t="shared" si="79">IF(AA273="正常",IF(I273="已计入",IF(OR(OR(B273="买入",B273="定投",B273="转换转入"),B273="红利再投"),D273,IF(B273="卖出",-D273,0)),0),"")</f>
        <v>0</v>
      </c>
      <c r="K273" s="11">
        <f t="shared" si="84">IF(AA273="正常",ROUND(K272+J273,6),"")</f>
        <v>25721.6</v>
      </c>
      <c r="L273" s="11" t="str">
        <f t="shared" si="85">IF(I273="已计入",ROUND(K272*C273,2),"")</f>
        <v/>
      </c>
      <c r="M273" s="11" t="str">
        <f t="shared" si="86">IF(I273="已计入",IF(B273="卖出",MAX(0,L273-Q272-F273),IF(B273="现金分红",MAX(0,L273+E273-Q272),0)),"")</f>
        <v/>
      </c>
      <c r="N273" s="11" t="str">
        <f>IF(I273="已计入",IF(AND(B273="卖出",'持仓总览'!$C$7="本金优先"),MAX(0,E273-Q272),IF(OR(B273="卖出",B273="现金分红"),MIN(E273,M273),0)),"")</f>
        <v/>
      </c>
      <c r="O273" s="11" t="str">
        <f t="shared" si="87">IF(I273="已计入",IF(OR(B273="卖出",B273="现金分红"),MIN(Q272,MAX(0,E273-N273)),0),"")</f>
        <v/>
      </c>
      <c r="P273" s="11" t="str">
        <f t="shared" si="88">IF(I273="已计入",IF(AND(B273="卖出",K273=0),MAX(0,Q272-O273),0),"")</f>
        <v/>
      </c>
      <c r="Q273" s="11">
        <f t="shared" si="89">IF(AA273="正常",IF(I273="已计入",ROUND(Q272+IF(OR(B273="买入",B273="定投",B273="转换转入"),E273,0)-O273-P273,2),Q272),"")</f>
        <v>129570</v>
      </c>
      <c r="R273" s="11" t="str">
        <f t="shared" si="80">IF(I273="已计入",ROUND(K273*C273,2),"")</f>
        <v/>
      </c>
      <c r="S273" s="11" t="str">
        <f t="shared" si="81">IF(I273="已计入",ROUND(R273-Q273,2),"")</f>
        <v/>
      </c>
      <c r="T273" s="12" t="str">
        <f t="shared" si="82">IF(I273="已计入",IF(Q273=0,"",S273/Q273),"")</f>
        <v/>
      </c>
      <c r="U273" s="11">
        <f t="shared" si="90">IF(AA273="正常",U272+IF(AND(I273="已计入",OR(B273="买入",B273="定投",B273="转换转入")),E273,0),"")</f>
        <v>129570</v>
      </c>
      <c r="V273" s="11">
        <f t="shared" si="91">IF(AA273="正常",V272+IF(AND(I273="已计入",OR(B273="卖出",B273="现金分红")),E273,0),"")</f>
        <v>0</v>
      </c>
      <c r="W273" s="11">
        <f t="shared" si="92">IF(AA273="正常",W272+IF(I273="已计入",N273,0),"")</f>
        <v>0</v>
      </c>
      <c r="X273" s="11">
        <f t="shared" si="93">IF(AA273="正常",X272+IF(I273="已计入",P273,0),"")</f>
        <v>0</v>
      </c>
      <c r="Y273" s="11" t="str">
        <f t="shared" si="83">IF(I273="已计入",ROUND(R273+V273-U273,2),"")</f>
        <v/>
      </c>
      <c r="Z273" s="13">
        <f t="shared" si="94">IF(AA273="正常",IF(I273="已计入",A273,Z272),"")</f>
        <v>46239</v>
      </c>
      <c r="AA273" s="10" t="str">
        <f>IF(OR($AA$134="错误",COUNTIF($G$135:G273,"待修正")&gt;0),"错误","正常")</f>
        <v>正常</v>
      </c>
      <c r="AB273" s="14">
        <f t="shared" si="95">IF(AA273="正常",IF(I273="已计入",C273,AB272),"")</f>
        <v>6.347</v>
      </c>
    </row>
    <row r="274" ht="23" customHeight="1">
      <c r="A274" s="36"/>
      <c r="B274" s="37"/>
      <c r="C274" s="38"/>
      <c r="D274" s="39"/>
      <c r="E274" s="44" t="str">
        <f t="shared" si="76">IF(AND(ISNUMBER(C274),ISNUMBER(D274),ISNUMBER(F274)),IF(OR(B274="买入",B274="定投"),ROUND(C274*D274+F274,2),IF(B274="卖出",ROUND(C274*D274-F274,2),IF(B274="红利再投",0,""))),"")</f>
        <v/>
      </c>
      <c r="F274" s="39"/>
      <c r="G274" s="45" t="str">
        <f t="shared" si="77">IF(COUNTA(A274:D274,F274)=0,"",IF(I274="已计入","已录入","待修正"))</f>
        <v/>
      </c>
      <c r="H274" s="46" t="str">
        <f t="shared" si="78">IF(COUNTA(A274:D274,F274)=0,"",IF(B274="红利再投","仅增加份额，不增加现金投入","金额由份额、净值和手续费推算"))</f>
        <v/>
      </c>
      <c r="I274" s="10" t="str">
        <f>IF(COUNTA(A274:D274,F274)=0,"",IF(NOT(ISNUMBER(A274)),"缺少有效净值日期",IF(OR(A274&lt;=0,A274&lt;&gt;INT(A274)),"净值日期无效",IF(OR(B274="转换转入",B274="现金分红"),"该类型需实际金额，五项录入不适用",IF(NOT(OR(OR(B274="买入",B274="定投"),B274="卖出",B274="红利再投")),"请选择交易类型",IF(NOT(ISNUMBER(C274)),"缺少成交净值",IF(C274&lt;=0,"成交净值须大于零",IF(NOT(ISNUMBER(D274)),"缺少确认份额",IF(D274&lt;=0,"确认份额须大于零",IF(NOT(ISNUMBER(F274)),"缺少手续费，无费用请填 0",IF(F274&lt;0,"手续费不能为负",IF(AA273="错误","前行待修正",IF(A274&lt;Z273,"日期需按成交顺序递增",IF(AND(B274="红利再投",F274&lt;&gt;0),"红利再投手续费应填 0",IF(AND(B274="红利再投",K273&lt;=0),"红利再投前须有持仓",IF(AND(B274="卖出",D274&gt;K273+0.000001),"卖出份额超过持仓",IF(AND(B274="卖出",F274&gt;=C274*D274),"赎回费不能达到赎回总额",IF(NOT(ISNUMBER(E274)),"自动金额未生成，请检查五项输入",IF(NOT(OR('持仓总览'!$C$7="利润优先",'持仓总览'!$C$7="本金优先")),"请选择卖出分配模式","已计入")))))))))))))))))))</f>
        <v/>
      </c>
      <c r="J274" s="11">
        <f t="shared" si="79">IF(AA274="正常",IF(I274="已计入",IF(OR(OR(B274="买入",B274="定投",B274="转换转入"),B274="红利再投"),D274,IF(B274="卖出",-D274,0)),0),"")</f>
        <v>0</v>
      </c>
      <c r="K274" s="11">
        <f t="shared" si="84">IF(AA274="正常",ROUND(K273+J274,6),"")</f>
        <v>25721.6</v>
      </c>
      <c r="L274" s="11" t="str">
        <f t="shared" si="85">IF(I274="已计入",ROUND(K273*C274,2),"")</f>
        <v/>
      </c>
      <c r="M274" s="11" t="str">
        <f t="shared" si="86">IF(I274="已计入",IF(B274="卖出",MAX(0,L274-Q273-F274),IF(B274="现金分红",MAX(0,L274+E274-Q273),0)),"")</f>
        <v/>
      </c>
      <c r="N274" s="11" t="str">
        <f>IF(I274="已计入",IF(AND(B274="卖出",'持仓总览'!$C$7="本金优先"),MAX(0,E274-Q273),IF(OR(B274="卖出",B274="现金分红"),MIN(E274,M274),0)),"")</f>
        <v/>
      </c>
      <c r="O274" s="11" t="str">
        <f t="shared" si="87">IF(I274="已计入",IF(OR(B274="卖出",B274="现金分红"),MIN(Q273,MAX(0,E274-N274)),0),"")</f>
        <v/>
      </c>
      <c r="P274" s="11" t="str">
        <f t="shared" si="88">IF(I274="已计入",IF(AND(B274="卖出",K274=0),MAX(0,Q273-O274),0),"")</f>
        <v/>
      </c>
      <c r="Q274" s="11">
        <f t="shared" si="89">IF(AA274="正常",IF(I274="已计入",ROUND(Q273+IF(OR(B274="买入",B274="定投",B274="转换转入"),E274,0)-O274-P274,2),Q273),"")</f>
        <v>129570</v>
      </c>
      <c r="R274" s="11" t="str">
        <f t="shared" si="80">IF(I274="已计入",ROUND(K274*C274,2),"")</f>
        <v/>
      </c>
      <c r="S274" s="11" t="str">
        <f t="shared" si="81">IF(I274="已计入",ROUND(R274-Q274,2),"")</f>
        <v/>
      </c>
      <c r="T274" s="12" t="str">
        <f t="shared" si="82">IF(I274="已计入",IF(Q274=0,"",S274/Q274),"")</f>
        <v/>
      </c>
      <c r="U274" s="11">
        <f t="shared" si="90">IF(AA274="正常",U273+IF(AND(I274="已计入",OR(B274="买入",B274="定投",B274="转换转入")),E274,0),"")</f>
        <v>129570</v>
      </c>
      <c r="V274" s="11">
        <f t="shared" si="91">IF(AA274="正常",V273+IF(AND(I274="已计入",OR(B274="卖出",B274="现金分红")),E274,0),"")</f>
        <v>0</v>
      </c>
      <c r="W274" s="11">
        <f t="shared" si="92">IF(AA274="正常",W273+IF(I274="已计入",N274,0),"")</f>
        <v>0</v>
      </c>
      <c r="X274" s="11">
        <f t="shared" si="93">IF(AA274="正常",X273+IF(I274="已计入",P274,0),"")</f>
        <v>0</v>
      </c>
      <c r="Y274" s="11" t="str">
        <f t="shared" si="83">IF(I274="已计入",ROUND(R274+V274-U274,2),"")</f>
        <v/>
      </c>
      <c r="Z274" s="13">
        <f t="shared" si="94">IF(AA274="正常",IF(I274="已计入",A274,Z273),"")</f>
        <v>46239</v>
      </c>
      <c r="AA274" s="10" t="str">
        <f>IF(OR($AA$134="错误",COUNTIF($G$135:G274,"待修正")&gt;0),"错误","正常")</f>
        <v>正常</v>
      </c>
      <c r="AB274" s="14">
        <f t="shared" si="95">IF(AA274="正常",IF(I274="已计入",C274,AB273),"")</f>
        <v>6.347</v>
      </c>
    </row>
    <row r="275" ht="23" customHeight="1">
      <c r="A275" s="36"/>
      <c r="B275" s="37"/>
      <c r="C275" s="38"/>
      <c r="D275" s="39"/>
      <c r="E275" s="44" t="str">
        <f t="shared" si="76">IF(AND(ISNUMBER(C275),ISNUMBER(D275),ISNUMBER(F275)),IF(OR(B275="买入",B275="定投"),ROUND(C275*D275+F275,2),IF(B275="卖出",ROUND(C275*D275-F275,2),IF(B275="红利再投",0,""))),"")</f>
        <v/>
      </c>
      <c r="F275" s="39"/>
      <c r="G275" s="45" t="str">
        <f t="shared" si="77">IF(COUNTA(A275:D275,F275)=0,"",IF(I275="已计入","已录入","待修正"))</f>
        <v/>
      </c>
      <c r="H275" s="46" t="str">
        <f t="shared" si="78">IF(COUNTA(A275:D275,F275)=0,"",IF(B275="红利再投","仅增加份额，不增加现金投入","金额由份额、净值和手续费推算"))</f>
        <v/>
      </c>
      <c r="I275" s="10" t="str">
        <f>IF(COUNTA(A275:D275,F275)=0,"",IF(NOT(ISNUMBER(A275)),"缺少有效净值日期",IF(OR(A275&lt;=0,A275&lt;&gt;INT(A275)),"净值日期无效",IF(OR(B275="转换转入",B275="现金分红"),"该类型需实际金额，五项录入不适用",IF(NOT(OR(OR(B275="买入",B275="定投"),B275="卖出",B275="红利再投")),"请选择交易类型",IF(NOT(ISNUMBER(C275)),"缺少成交净值",IF(C275&lt;=0,"成交净值须大于零",IF(NOT(ISNUMBER(D275)),"缺少确认份额",IF(D275&lt;=0,"确认份额须大于零",IF(NOT(ISNUMBER(F275)),"缺少手续费，无费用请填 0",IF(F275&lt;0,"手续费不能为负",IF(AA274="错误","前行待修正",IF(A275&lt;Z274,"日期需按成交顺序递增",IF(AND(B275="红利再投",F275&lt;&gt;0),"红利再投手续费应填 0",IF(AND(B275="红利再投",K274&lt;=0),"红利再投前须有持仓",IF(AND(B275="卖出",D275&gt;K274+0.000001),"卖出份额超过持仓",IF(AND(B275="卖出",F275&gt;=C275*D275),"赎回费不能达到赎回总额",IF(NOT(ISNUMBER(E275)),"自动金额未生成，请检查五项输入",IF(NOT(OR('持仓总览'!$C$7="利润优先",'持仓总览'!$C$7="本金优先")),"请选择卖出分配模式","已计入")))))))))))))))))))</f>
        <v/>
      </c>
      <c r="J275" s="11">
        <f t="shared" si="79">IF(AA275="正常",IF(I275="已计入",IF(OR(OR(B275="买入",B275="定投",B275="转换转入"),B275="红利再投"),D275,IF(B275="卖出",-D275,0)),0),"")</f>
        <v>0</v>
      </c>
      <c r="K275" s="11">
        <f t="shared" si="84">IF(AA275="正常",ROUND(K274+J275,6),"")</f>
        <v>25721.6</v>
      </c>
      <c r="L275" s="11" t="str">
        <f t="shared" si="85">IF(I275="已计入",ROUND(K274*C275,2),"")</f>
        <v/>
      </c>
      <c r="M275" s="11" t="str">
        <f t="shared" si="86">IF(I275="已计入",IF(B275="卖出",MAX(0,L275-Q274-F275),IF(B275="现金分红",MAX(0,L275+E275-Q274),0)),"")</f>
        <v/>
      </c>
      <c r="N275" s="11" t="str">
        <f>IF(I275="已计入",IF(AND(B275="卖出",'持仓总览'!$C$7="本金优先"),MAX(0,E275-Q274),IF(OR(B275="卖出",B275="现金分红"),MIN(E275,M275),0)),"")</f>
        <v/>
      </c>
      <c r="O275" s="11" t="str">
        <f t="shared" si="87">IF(I275="已计入",IF(OR(B275="卖出",B275="现金分红"),MIN(Q274,MAX(0,E275-N275)),0),"")</f>
        <v/>
      </c>
      <c r="P275" s="11" t="str">
        <f t="shared" si="88">IF(I275="已计入",IF(AND(B275="卖出",K275=0),MAX(0,Q274-O275),0),"")</f>
        <v/>
      </c>
      <c r="Q275" s="11">
        <f t="shared" si="89">IF(AA275="正常",IF(I275="已计入",ROUND(Q274+IF(OR(B275="买入",B275="定投",B275="转换转入"),E275,0)-O275-P275,2),Q274),"")</f>
        <v>129570</v>
      </c>
      <c r="R275" s="11" t="str">
        <f t="shared" si="80">IF(I275="已计入",ROUND(K275*C275,2),"")</f>
        <v/>
      </c>
      <c r="S275" s="11" t="str">
        <f t="shared" si="81">IF(I275="已计入",ROUND(R275-Q275,2),"")</f>
        <v/>
      </c>
      <c r="T275" s="12" t="str">
        <f t="shared" si="82">IF(I275="已计入",IF(Q275=0,"",S275/Q275),"")</f>
        <v/>
      </c>
      <c r="U275" s="11">
        <f t="shared" si="90">IF(AA275="正常",U274+IF(AND(I275="已计入",OR(B275="买入",B275="定投",B275="转换转入")),E275,0),"")</f>
        <v>129570</v>
      </c>
      <c r="V275" s="11">
        <f t="shared" si="91">IF(AA275="正常",V274+IF(AND(I275="已计入",OR(B275="卖出",B275="现金分红")),E275,0),"")</f>
        <v>0</v>
      </c>
      <c r="W275" s="11">
        <f t="shared" si="92">IF(AA275="正常",W274+IF(I275="已计入",N275,0),"")</f>
        <v>0</v>
      </c>
      <c r="X275" s="11">
        <f t="shared" si="93">IF(AA275="正常",X274+IF(I275="已计入",P275,0),"")</f>
        <v>0</v>
      </c>
      <c r="Y275" s="11" t="str">
        <f t="shared" si="83">IF(I275="已计入",ROUND(R275+V275-U275,2),"")</f>
        <v/>
      </c>
      <c r="Z275" s="13">
        <f t="shared" si="94">IF(AA275="正常",IF(I275="已计入",A275,Z274),"")</f>
        <v>46239</v>
      </c>
      <c r="AA275" s="10" t="str">
        <f>IF(OR($AA$134="错误",COUNTIF($G$135:G275,"待修正")&gt;0),"错误","正常")</f>
        <v>正常</v>
      </c>
      <c r="AB275" s="14">
        <f t="shared" si="95">IF(AA275="正常",IF(I275="已计入",C275,AB274),"")</f>
        <v>6.347</v>
      </c>
    </row>
    <row r="276" ht="23" customHeight="1">
      <c r="A276" s="36"/>
      <c r="B276" s="37"/>
      <c r="C276" s="38"/>
      <c r="D276" s="39"/>
      <c r="E276" s="44" t="str">
        <f t="shared" si="76">IF(AND(ISNUMBER(C276),ISNUMBER(D276),ISNUMBER(F276)),IF(OR(B276="买入",B276="定投"),ROUND(C276*D276+F276,2),IF(B276="卖出",ROUND(C276*D276-F276,2),IF(B276="红利再投",0,""))),"")</f>
        <v/>
      </c>
      <c r="F276" s="39"/>
      <c r="G276" s="45" t="str">
        <f t="shared" si="77">IF(COUNTA(A276:D276,F276)=0,"",IF(I276="已计入","已录入","待修正"))</f>
        <v/>
      </c>
      <c r="H276" s="46" t="str">
        <f t="shared" si="78">IF(COUNTA(A276:D276,F276)=0,"",IF(B276="红利再投","仅增加份额，不增加现金投入","金额由份额、净值和手续费推算"))</f>
        <v/>
      </c>
      <c r="I276" s="10" t="str">
        <f>IF(COUNTA(A276:D276,F276)=0,"",IF(NOT(ISNUMBER(A276)),"缺少有效净值日期",IF(OR(A276&lt;=0,A276&lt;&gt;INT(A276)),"净值日期无效",IF(OR(B276="转换转入",B276="现金分红"),"该类型需实际金额，五项录入不适用",IF(NOT(OR(OR(B276="买入",B276="定投"),B276="卖出",B276="红利再投")),"请选择交易类型",IF(NOT(ISNUMBER(C276)),"缺少成交净值",IF(C276&lt;=0,"成交净值须大于零",IF(NOT(ISNUMBER(D276)),"缺少确认份额",IF(D276&lt;=0,"确认份额须大于零",IF(NOT(ISNUMBER(F276)),"缺少手续费，无费用请填 0",IF(F276&lt;0,"手续费不能为负",IF(AA275="错误","前行待修正",IF(A276&lt;Z275,"日期需按成交顺序递增",IF(AND(B276="红利再投",F276&lt;&gt;0),"红利再投手续费应填 0",IF(AND(B276="红利再投",K275&lt;=0),"红利再投前须有持仓",IF(AND(B276="卖出",D276&gt;K275+0.000001),"卖出份额超过持仓",IF(AND(B276="卖出",F276&gt;=C276*D276),"赎回费不能达到赎回总额",IF(NOT(ISNUMBER(E276)),"自动金额未生成，请检查五项输入",IF(NOT(OR('持仓总览'!$C$7="利润优先",'持仓总览'!$C$7="本金优先")),"请选择卖出分配模式","已计入")))))))))))))))))))</f>
        <v/>
      </c>
      <c r="J276" s="11">
        <f t="shared" si="79">IF(AA276="正常",IF(I276="已计入",IF(OR(OR(B276="买入",B276="定投",B276="转换转入"),B276="红利再投"),D276,IF(B276="卖出",-D276,0)),0),"")</f>
        <v>0</v>
      </c>
      <c r="K276" s="11">
        <f t="shared" si="84">IF(AA276="正常",ROUND(K275+J276,6),"")</f>
        <v>25721.6</v>
      </c>
      <c r="L276" s="11" t="str">
        <f t="shared" si="85">IF(I276="已计入",ROUND(K275*C276,2),"")</f>
        <v/>
      </c>
      <c r="M276" s="11" t="str">
        <f t="shared" si="86">IF(I276="已计入",IF(B276="卖出",MAX(0,L276-Q275-F276),IF(B276="现金分红",MAX(0,L276+E276-Q275),0)),"")</f>
        <v/>
      </c>
      <c r="N276" s="11" t="str">
        <f>IF(I276="已计入",IF(AND(B276="卖出",'持仓总览'!$C$7="本金优先"),MAX(0,E276-Q275),IF(OR(B276="卖出",B276="现金分红"),MIN(E276,M276),0)),"")</f>
        <v/>
      </c>
      <c r="O276" s="11" t="str">
        <f t="shared" si="87">IF(I276="已计入",IF(OR(B276="卖出",B276="现金分红"),MIN(Q275,MAX(0,E276-N276)),0),"")</f>
        <v/>
      </c>
      <c r="P276" s="11" t="str">
        <f t="shared" si="88">IF(I276="已计入",IF(AND(B276="卖出",K276=0),MAX(0,Q275-O276),0),"")</f>
        <v/>
      </c>
      <c r="Q276" s="11">
        <f t="shared" si="89">IF(AA276="正常",IF(I276="已计入",ROUND(Q275+IF(OR(B276="买入",B276="定投",B276="转换转入"),E276,0)-O276-P276,2),Q275),"")</f>
        <v>129570</v>
      </c>
      <c r="R276" s="11" t="str">
        <f t="shared" si="80">IF(I276="已计入",ROUND(K276*C276,2),"")</f>
        <v/>
      </c>
      <c r="S276" s="11" t="str">
        <f t="shared" si="81">IF(I276="已计入",ROUND(R276-Q276,2),"")</f>
        <v/>
      </c>
      <c r="T276" s="12" t="str">
        <f t="shared" si="82">IF(I276="已计入",IF(Q276=0,"",S276/Q276),"")</f>
        <v/>
      </c>
      <c r="U276" s="11">
        <f t="shared" si="90">IF(AA276="正常",U275+IF(AND(I276="已计入",OR(B276="买入",B276="定投",B276="转换转入")),E276,0),"")</f>
        <v>129570</v>
      </c>
      <c r="V276" s="11">
        <f t="shared" si="91">IF(AA276="正常",V275+IF(AND(I276="已计入",OR(B276="卖出",B276="现金分红")),E276,0),"")</f>
        <v>0</v>
      </c>
      <c r="W276" s="11">
        <f t="shared" si="92">IF(AA276="正常",W275+IF(I276="已计入",N276,0),"")</f>
        <v>0</v>
      </c>
      <c r="X276" s="11">
        <f t="shared" si="93">IF(AA276="正常",X275+IF(I276="已计入",P276,0),"")</f>
        <v>0</v>
      </c>
      <c r="Y276" s="11" t="str">
        <f t="shared" si="83">IF(I276="已计入",ROUND(R276+V276-U276,2),"")</f>
        <v/>
      </c>
      <c r="Z276" s="13">
        <f t="shared" si="94">IF(AA276="正常",IF(I276="已计入",A276,Z275),"")</f>
        <v>46239</v>
      </c>
      <c r="AA276" s="10" t="str">
        <f>IF(OR($AA$134="错误",COUNTIF($G$135:G276,"待修正")&gt;0),"错误","正常")</f>
        <v>正常</v>
      </c>
      <c r="AB276" s="14">
        <f t="shared" si="95">IF(AA276="正常",IF(I276="已计入",C276,AB275),"")</f>
        <v>6.347</v>
      </c>
    </row>
    <row r="277" ht="23" customHeight="1">
      <c r="A277" s="36"/>
      <c r="B277" s="37"/>
      <c r="C277" s="38"/>
      <c r="D277" s="39"/>
      <c r="E277" s="44" t="str">
        <f t="shared" si="76">IF(AND(ISNUMBER(C277),ISNUMBER(D277),ISNUMBER(F277)),IF(OR(B277="买入",B277="定投"),ROUND(C277*D277+F277,2),IF(B277="卖出",ROUND(C277*D277-F277,2),IF(B277="红利再投",0,""))),"")</f>
        <v/>
      </c>
      <c r="F277" s="39"/>
      <c r="G277" s="45" t="str">
        <f t="shared" si="77">IF(COUNTA(A277:D277,F277)=0,"",IF(I277="已计入","已录入","待修正"))</f>
        <v/>
      </c>
      <c r="H277" s="46" t="str">
        <f t="shared" si="78">IF(COUNTA(A277:D277,F277)=0,"",IF(B277="红利再投","仅增加份额，不增加现金投入","金额由份额、净值和手续费推算"))</f>
        <v/>
      </c>
      <c r="I277" s="10" t="str">
        <f>IF(COUNTA(A277:D277,F277)=0,"",IF(NOT(ISNUMBER(A277)),"缺少有效净值日期",IF(OR(A277&lt;=0,A277&lt;&gt;INT(A277)),"净值日期无效",IF(OR(B277="转换转入",B277="现金分红"),"该类型需实际金额，五项录入不适用",IF(NOT(OR(OR(B277="买入",B277="定投"),B277="卖出",B277="红利再投")),"请选择交易类型",IF(NOT(ISNUMBER(C277)),"缺少成交净值",IF(C277&lt;=0,"成交净值须大于零",IF(NOT(ISNUMBER(D277)),"缺少确认份额",IF(D277&lt;=0,"确认份额须大于零",IF(NOT(ISNUMBER(F277)),"缺少手续费，无费用请填 0",IF(F277&lt;0,"手续费不能为负",IF(AA276="错误","前行待修正",IF(A277&lt;Z276,"日期需按成交顺序递增",IF(AND(B277="红利再投",F277&lt;&gt;0),"红利再投手续费应填 0",IF(AND(B277="红利再投",K276&lt;=0),"红利再投前须有持仓",IF(AND(B277="卖出",D277&gt;K276+0.000001),"卖出份额超过持仓",IF(AND(B277="卖出",F277&gt;=C277*D277),"赎回费不能达到赎回总额",IF(NOT(ISNUMBER(E277)),"自动金额未生成，请检查五项输入",IF(NOT(OR('持仓总览'!$C$7="利润优先",'持仓总览'!$C$7="本金优先")),"请选择卖出分配模式","已计入")))))))))))))))))))</f>
        <v/>
      </c>
      <c r="J277" s="11">
        <f t="shared" si="79">IF(AA277="正常",IF(I277="已计入",IF(OR(OR(B277="买入",B277="定投",B277="转换转入"),B277="红利再投"),D277,IF(B277="卖出",-D277,0)),0),"")</f>
        <v>0</v>
      </c>
      <c r="K277" s="11">
        <f t="shared" si="84">IF(AA277="正常",ROUND(K276+J277,6),"")</f>
        <v>25721.6</v>
      </c>
      <c r="L277" s="11" t="str">
        <f t="shared" si="85">IF(I277="已计入",ROUND(K276*C277,2),"")</f>
        <v/>
      </c>
      <c r="M277" s="11" t="str">
        <f t="shared" si="86">IF(I277="已计入",IF(B277="卖出",MAX(0,L277-Q276-F277),IF(B277="现金分红",MAX(0,L277+E277-Q276),0)),"")</f>
        <v/>
      </c>
      <c r="N277" s="11" t="str">
        <f>IF(I277="已计入",IF(AND(B277="卖出",'持仓总览'!$C$7="本金优先"),MAX(0,E277-Q276),IF(OR(B277="卖出",B277="现金分红"),MIN(E277,M277),0)),"")</f>
        <v/>
      </c>
      <c r="O277" s="11" t="str">
        <f t="shared" si="87">IF(I277="已计入",IF(OR(B277="卖出",B277="现金分红"),MIN(Q276,MAX(0,E277-N277)),0),"")</f>
        <v/>
      </c>
      <c r="P277" s="11" t="str">
        <f t="shared" si="88">IF(I277="已计入",IF(AND(B277="卖出",K277=0),MAX(0,Q276-O277),0),"")</f>
        <v/>
      </c>
      <c r="Q277" s="11">
        <f t="shared" si="89">IF(AA277="正常",IF(I277="已计入",ROUND(Q276+IF(OR(B277="买入",B277="定投",B277="转换转入"),E277,0)-O277-P277,2),Q276),"")</f>
        <v>129570</v>
      </c>
      <c r="R277" s="11" t="str">
        <f t="shared" si="80">IF(I277="已计入",ROUND(K277*C277,2),"")</f>
        <v/>
      </c>
      <c r="S277" s="11" t="str">
        <f t="shared" si="81">IF(I277="已计入",ROUND(R277-Q277,2),"")</f>
        <v/>
      </c>
      <c r="T277" s="12" t="str">
        <f t="shared" si="82">IF(I277="已计入",IF(Q277=0,"",S277/Q277),"")</f>
        <v/>
      </c>
      <c r="U277" s="11">
        <f t="shared" si="90">IF(AA277="正常",U276+IF(AND(I277="已计入",OR(B277="买入",B277="定投",B277="转换转入")),E277,0),"")</f>
        <v>129570</v>
      </c>
      <c r="V277" s="11">
        <f t="shared" si="91">IF(AA277="正常",V276+IF(AND(I277="已计入",OR(B277="卖出",B277="现金分红")),E277,0),"")</f>
        <v>0</v>
      </c>
      <c r="W277" s="11">
        <f t="shared" si="92">IF(AA277="正常",W276+IF(I277="已计入",N277,0),"")</f>
        <v>0</v>
      </c>
      <c r="X277" s="11">
        <f t="shared" si="93">IF(AA277="正常",X276+IF(I277="已计入",P277,0),"")</f>
        <v>0</v>
      </c>
      <c r="Y277" s="11" t="str">
        <f t="shared" si="83">IF(I277="已计入",ROUND(R277+V277-U277,2),"")</f>
        <v/>
      </c>
      <c r="Z277" s="13">
        <f t="shared" si="94">IF(AA277="正常",IF(I277="已计入",A277,Z276),"")</f>
        <v>46239</v>
      </c>
      <c r="AA277" s="10" t="str">
        <f>IF(OR($AA$134="错误",COUNTIF($G$135:G277,"待修正")&gt;0),"错误","正常")</f>
        <v>正常</v>
      </c>
      <c r="AB277" s="14">
        <f t="shared" si="95">IF(AA277="正常",IF(I277="已计入",C277,AB276),"")</f>
        <v>6.347</v>
      </c>
    </row>
    <row r="278" ht="23" customHeight="1">
      <c r="A278" s="36"/>
      <c r="B278" s="37"/>
      <c r="C278" s="38"/>
      <c r="D278" s="39"/>
      <c r="E278" s="44" t="str">
        <f t="shared" si="76">IF(AND(ISNUMBER(C278),ISNUMBER(D278),ISNUMBER(F278)),IF(OR(B278="买入",B278="定投"),ROUND(C278*D278+F278,2),IF(B278="卖出",ROUND(C278*D278-F278,2),IF(B278="红利再投",0,""))),"")</f>
        <v/>
      </c>
      <c r="F278" s="39"/>
      <c r="G278" s="45" t="str">
        <f t="shared" si="77">IF(COUNTA(A278:D278,F278)=0,"",IF(I278="已计入","已录入","待修正"))</f>
        <v/>
      </c>
      <c r="H278" s="46" t="str">
        <f t="shared" si="78">IF(COUNTA(A278:D278,F278)=0,"",IF(B278="红利再投","仅增加份额，不增加现金投入","金额由份额、净值和手续费推算"))</f>
        <v/>
      </c>
      <c r="I278" s="10" t="str">
        <f>IF(COUNTA(A278:D278,F278)=0,"",IF(NOT(ISNUMBER(A278)),"缺少有效净值日期",IF(OR(A278&lt;=0,A278&lt;&gt;INT(A278)),"净值日期无效",IF(OR(B278="转换转入",B278="现金分红"),"该类型需实际金额，五项录入不适用",IF(NOT(OR(OR(B278="买入",B278="定投"),B278="卖出",B278="红利再投")),"请选择交易类型",IF(NOT(ISNUMBER(C278)),"缺少成交净值",IF(C278&lt;=0,"成交净值须大于零",IF(NOT(ISNUMBER(D278)),"缺少确认份额",IF(D278&lt;=0,"确认份额须大于零",IF(NOT(ISNUMBER(F278)),"缺少手续费，无费用请填 0",IF(F278&lt;0,"手续费不能为负",IF(AA277="错误","前行待修正",IF(A278&lt;Z277,"日期需按成交顺序递增",IF(AND(B278="红利再投",F278&lt;&gt;0),"红利再投手续费应填 0",IF(AND(B278="红利再投",K277&lt;=0),"红利再投前须有持仓",IF(AND(B278="卖出",D278&gt;K277+0.000001),"卖出份额超过持仓",IF(AND(B278="卖出",F278&gt;=C278*D278),"赎回费不能达到赎回总额",IF(NOT(ISNUMBER(E278)),"自动金额未生成，请检查五项输入",IF(NOT(OR('持仓总览'!$C$7="利润优先",'持仓总览'!$C$7="本金优先")),"请选择卖出分配模式","已计入")))))))))))))))))))</f>
        <v/>
      </c>
      <c r="J278" s="11">
        <f t="shared" si="79">IF(AA278="正常",IF(I278="已计入",IF(OR(OR(B278="买入",B278="定投",B278="转换转入"),B278="红利再投"),D278,IF(B278="卖出",-D278,0)),0),"")</f>
        <v>0</v>
      </c>
      <c r="K278" s="11">
        <f t="shared" si="84">IF(AA278="正常",ROUND(K277+J278,6),"")</f>
        <v>25721.6</v>
      </c>
      <c r="L278" s="11" t="str">
        <f t="shared" si="85">IF(I278="已计入",ROUND(K277*C278,2),"")</f>
        <v/>
      </c>
      <c r="M278" s="11" t="str">
        <f t="shared" si="86">IF(I278="已计入",IF(B278="卖出",MAX(0,L278-Q277-F278),IF(B278="现金分红",MAX(0,L278+E278-Q277),0)),"")</f>
        <v/>
      </c>
      <c r="N278" s="11" t="str">
        <f>IF(I278="已计入",IF(AND(B278="卖出",'持仓总览'!$C$7="本金优先"),MAX(0,E278-Q277),IF(OR(B278="卖出",B278="现金分红"),MIN(E278,M278),0)),"")</f>
        <v/>
      </c>
      <c r="O278" s="11" t="str">
        <f t="shared" si="87">IF(I278="已计入",IF(OR(B278="卖出",B278="现金分红"),MIN(Q277,MAX(0,E278-N278)),0),"")</f>
        <v/>
      </c>
      <c r="P278" s="11" t="str">
        <f t="shared" si="88">IF(I278="已计入",IF(AND(B278="卖出",K278=0),MAX(0,Q277-O278),0),"")</f>
        <v/>
      </c>
      <c r="Q278" s="11">
        <f t="shared" si="89">IF(AA278="正常",IF(I278="已计入",ROUND(Q277+IF(OR(B278="买入",B278="定投",B278="转换转入"),E278,0)-O278-P278,2),Q277),"")</f>
        <v>129570</v>
      </c>
      <c r="R278" s="11" t="str">
        <f t="shared" si="80">IF(I278="已计入",ROUND(K278*C278,2),"")</f>
        <v/>
      </c>
      <c r="S278" s="11" t="str">
        <f t="shared" si="81">IF(I278="已计入",ROUND(R278-Q278,2),"")</f>
        <v/>
      </c>
      <c r="T278" s="12" t="str">
        <f t="shared" si="82">IF(I278="已计入",IF(Q278=0,"",S278/Q278),"")</f>
        <v/>
      </c>
      <c r="U278" s="11">
        <f t="shared" si="90">IF(AA278="正常",U277+IF(AND(I278="已计入",OR(B278="买入",B278="定投",B278="转换转入")),E278,0),"")</f>
        <v>129570</v>
      </c>
      <c r="V278" s="11">
        <f t="shared" si="91">IF(AA278="正常",V277+IF(AND(I278="已计入",OR(B278="卖出",B278="现金分红")),E278,0),"")</f>
        <v>0</v>
      </c>
      <c r="W278" s="11">
        <f t="shared" si="92">IF(AA278="正常",W277+IF(I278="已计入",N278,0),"")</f>
        <v>0</v>
      </c>
      <c r="X278" s="11">
        <f t="shared" si="93">IF(AA278="正常",X277+IF(I278="已计入",P278,0),"")</f>
        <v>0</v>
      </c>
      <c r="Y278" s="11" t="str">
        <f t="shared" si="83">IF(I278="已计入",ROUND(R278+V278-U278,2),"")</f>
        <v/>
      </c>
      <c r="Z278" s="13">
        <f t="shared" si="94">IF(AA278="正常",IF(I278="已计入",A278,Z277),"")</f>
        <v>46239</v>
      </c>
      <c r="AA278" s="10" t="str">
        <f>IF(OR($AA$134="错误",COUNTIF($G$135:G278,"待修正")&gt;0),"错误","正常")</f>
        <v>正常</v>
      </c>
      <c r="AB278" s="14">
        <f t="shared" si="95">IF(AA278="正常",IF(I278="已计入",C278,AB277),"")</f>
        <v>6.347</v>
      </c>
    </row>
    <row r="279" ht="23" customHeight="1">
      <c r="A279" s="36"/>
      <c r="B279" s="37"/>
      <c r="C279" s="38"/>
      <c r="D279" s="39"/>
      <c r="E279" s="44" t="str">
        <f t="shared" si="76">IF(AND(ISNUMBER(C279),ISNUMBER(D279),ISNUMBER(F279)),IF(OR(B279="买入",B279="定投"),ROUND(C279*D279+F279,2),IF(B279="卖出",ROUND(C279*D279-F279,2),IF(B279="红利再投",0,""))),"")</f>
        <v/>
      </c>
      <c r="F279" s="39"/>
      <c r="G279" s="45" t="str">
        <f t="shared" si="77">IF(COUNTA(A279:D279,F279)=0,"",IF(I279="已计入","已录入","待修正"))</f>
        <v/>
      </c>
      <c r="H279" s="46" t="str">
        <f t="shared" si="78">IF(COUNTA(A279:D279,F279)=0,"",IF(B279="红利再投","仅增加份额，不增加现金投入","金额由份额、净值和手续费推算"))</f>
        <v/>
      </c>
      <c r="I279" s="10" t="str">
        <f>IF(COUNTA(A279:D279,F279)=0,"",IF(NOT(ISNUMBER(A279)),"缺少有效净值日期",IF(OR(A279&lt;=0,A279&lt;&gt;INT(A279)),"净值日期无效",IF(OR(B279="转换转入",B279="现金分红"),"该类型需实际金额，五项录入不适用",IF(NOT(OR(OR(B279="买入",B279="定投"),B279="卖出",B279="红利再投")),"请选择交易类型",IF(NOT(ISNUMBER(C279)),"缺少成交净值",IF(C279&lt;=0,"成交净值须大于零",IF(NOT(ISNUMBER(D279)),"缺少确认份额",IF(D279&lt;=0,"确认份额须大于零",IF(NOT(ISNUMBER(F279)),"缺少手续费，无费用请填 0",IF(F279&lt;0,"手续费不能为负",IF(AA278="错误","前行待修正",IF(A279&lt;Z278,"日期需按成交顺序递增",IF(AND(B279="红利再投",F279&lt;&gt;0),"红利再投手续费应填 0",IF(AND(B279="红利再投",K278&lt;=0),"红利再投前须有持仓",IF(AND(B279="卖出",D279&gt;K278+0.000001),"卖出份额超过持仓",IF(AND(B279="卖出",F279&gt;=C279*D279),"赎回费不能达到赎回总额",IF(NOT(ISNUMBER(E279)),"自动金额未生成，请检查五项输入",IF(NOT(OR('持仓总览'!$C$7="利润优先",'持仓总览'!$C$7="本金优先")),"请选择卖出分配模式","已计入")))))))))))))))))))</f>
        <v/>
      </c>
      <c r="J279" s="11">
        <f t="shared" si="79">IF(AA279="正常",IF(I279="已计入",IF(OR(OR(B279="买入",B279="定投",B279="转换转入"),B279="红利再投"),D279,IF(B279="卖出",-D279,0)),0),"")</f>
        <v>0</v>
      </c>
      <c r="K279" s="11">
        <f t="shared" si="84">IF(AA279="正常",ROUND(K278+J279,6),"")</f>
        <v>25721.6</v>
      </c>
      <c r="L279" s="11" t="str">
        <f t="shared" si="85">IF(I279="已计入",ROUND(K278*C279,2),"")</f>
        <v/>
      </c>
      <c r="M279" s="11" t="str">
        <f t="shared" si="86">IF(I279="已计入",IF(B279="卖出",MAX(0,L279-Q278-F279),IF(B279="现金分红",MAX(0,L279+E279-Q278),0)),"")</f>
        <v/>
      </c>
      <c r="N279" s="11" t="str">
        <f>IF(I279="已计入",IF(AND(B279="卖出",'持仓总览'!$C$7="本金优先"),MAX(0,E279-Q278),IF(OR(B279="卖出",B279="现金分红"),MIN(E279,M279),0)),"")</f>
        <v/>
      </c>
      <c r="O279" s="11" t="str">
        <f t="shared" si="87">IF(I279="已计入",IF(OR(B279="卖出",B279="现金分红"),MIN(Q278,MAX(0,E279-N279)),0),"")</f>
        <v/>
      </c>
      <c r="P279" s="11" t="str">
        <f t="shared" si="88">IF(I279="已计入",IF(AND(B279="卖出",K279=0),MAX(0,Q278-O279),0),"")</f>
        <v/>
      </c>
      <c r="Q279" s="11">
        <f t="shared" si="89">IF(AA279="正常",IF(I279="已计入",ROUND(Q278+IF(OR(B279="买入",B279="定投",B279="转换转入"),E279,0)-O279-P279,2),Q278),"")</f>
        <v>129570</v>
      </c>
      <c r="R279" s="11" t="str">
        <f t="shared" si="80">IF(I279="已计入",ROUND(K279*C279,2),"")</f>
        <v/>
      </c>
      <c r="S279" s="11" t="str">
        <f t="shared" si="81">IF(I279="已计入",ROUND(R279-Q279,2),"")</f>
        <v/>
      </c>
      <c r="T279" s="12" t="str">
        <f t="shared" si="82">IF(I279="已计入",IF(Q279=0,"",S279/Q279),"")</f>
        <v/>
      </c>
      <c r="U279" s="11">
        <f t="shared" si="90">IF(AA279="正常",U278+IF(AND(I279="已计入",OR(B279="买入",B279="定投",B279="转换转入")),E279,0),"")</f>
        <v>129570</v>
      </c>
      <c r="V279" s="11">
        <f t="shared" si="91">IF(AA279="正常",V278+IF(AND(I279="已计入",OR(B279="卖出",B279="现金分红")),E279,0),"")</f>
        <v>0</v>
      </c>
      <c r="W279" s="11">
        <f t="shared" si="92">IF(AA279="正常",W278+IF(I279="已计入",N279,0),"")</f>
        <v>0</v>
      </c>
      <c r="X279" s="11">
        <f t="shared" si="93">IF(AA279="正常",X278+IF(I279="已计入",P279,0),"")</f>
        <v>0</v>
      </c>
      <c r="Y279" s="11" t="str">
        <f t="shared" si="83">IF(I279="已计入",ROUND(R279+V279-U279,2),"")</f>
        <v/>
      </c>
      <c r="Z279" s="13">
        <f t="shared" si="94">IF(AA279="正常",IF(I279="已计入",A279,Z278),"")</f>
        <v>46239</v>
      </c>
      <c r="AA279" s="10" t="str">
        <f>IF(OR($AA$134="错误",COUNTIF($G$135:G279,"待修正")&gt;0),"错误","正常")</f>
        <v>正常</v>
      </c>
      <c r="AB279" s="14">
        <f t="shared" si="95">IF(AA279="正常",IF(I279="已计入",C279,AB278),"")</f>
        <v>6.347</v>
      </c>
    </row>
    <row r="280" ht="23" customHeight="1">
      <c r="A280" s="36"/>
      <c r="B280" s="37"/>
      <c r="C280" s="38"/>
      <c r="D280" s="39"/>
      <c r="E280" s="44" t="str">
        <f t="shared" si="76">IF(AND(ISNUMBER(C280),ISNUMBER(D280),ISNUMBER(F280)),IF(OR(B280="买入",B280="定投"),ROUND(C280*D280+F280,2),IF(B280="卖出",ROUND(C280*D280-F280,2),IF(B280="红利再投",0,""))),"")</f>
        <v/>
      </c>
      <c r="F280" s="39"/>
      <c r="G280" s="45" t="str">
        <f t="shared" si="77">IF(COUNTA(A280:D280,F280)=0,"",IF(I280="已计入","已录入","待修正"))</f>
        <v/>
      </c>
      <c r="H280" s="46" t="str">
        <f t="shared" si="78">IF(COUNTA(A280:D280,F280)=0,"",IF(B280="红利再投","仅增加份额，不增加现金投入","金额由份额、净值和手续费推算"))</f>
        <v/>
      </c>
      <c r="I280" s="10" t="str">
        <f>IF(COUNTA(A280:D280,F280)=0,"",IF(NOT(ISNUMBER(A280)),"缺少有效净值日期",IF(OR(A280&lt;=0,A280&lt;&gt;INT(A280)),"净值日期无效",IF(OR(B280="转换转入",B280="现金分红"),"该类型需实际金额，五项录入不适用",IF(NOT(OR(OR(B280="买入",B280="定投"),B280="卖出",B280="红利再投")),"请选择交易类型",IF(NOT(ISNUMBER(C280)),"缺少成交净值",IF(C280&lt;=0,"成交净值须大于零",IF(NOT(ISNUMBER(D280)),"缺少确认份额",IF(D280&lt;=0,"确认份额须大于零",IF(NOT(ISNUMBER(F280)),"缺少手续费，无费用请填 0",IF(F280&lt;0,"手续费不能为负",IF(AA279="错误","前行待修正",IF(A280&lt;Z279,"日期需按成交顺序递增",IF(AND(B280="红利再投",F280&lt;&gt;0),"红利再投手续费应填 0",IF(AND(B280="红利再投",K279&lt;=0),"红利再投前须有持仓",IF(AND(B280="卖出",D280&gt;K279+0.000001),"卖出份额超过持仓",IF(AND(B280="卖出",F280&gt;=C280*D280),"赎回费不能达到赎回总额",IF(NOT(ISNUMBER(E280)),"自动金额未生成，请检查五项输入",IF(NOT(OR('持仓总览'!$C$7="利润优先",'持仓总览'!$C$7="本金优先")),"请选择卖出分配模式","已计入")))))))))))))))))))</f>
        <v/>
      </c>
      <c r="J280" s="11">
        <f t="shared" si="79">IF(AA280="正常",IF(I280="已计入",IF(OR(OR(B280="买入",B280="定投",B280="转换转入"),B280="红利再投"),D280,IF(B280="卖出",-D280,0)),0),"")</f>
        <v>0</v>
      </c>
      <c r="K280" s="11">
        <f t="shared" si="84">IF(AA280="正常",ROUND(K279+J280,6),"")</f>
        <v>25721.6</v>
      </c>
      <c r="L280" s="11" t="str">
        <f t="shared" si="85">IF(I280="已计入",ROUND(K279*C280,2),"")</f>
        <v/>
      </c>
      <c r="M280" s="11" t="str">
        <f t="shared" si="86">IF(I280="已计入",IF(B280="卖出",MAX(0,L280-Q279-F280),IF(B280="现金分红",MAX(0,L280+E280-Q279),0)),"")</f>
        <v/>
      </c>
      <c r="N280" s="11" t="str">
        <f>IF(I280="已计入",IF(AND(B280="卖出",'持仓总览'!$C$7="本金优先"),MAX(0,E280-Q279),IF(OR(B280="卖出",B280="现金分红"),MIN(E280,M280),0)),"")</f>
        <v/>
      </c>
      <c r="O280" s="11" t="str">
        <f t="shared" si="87">IF(I280="已计入",IF(OR(B280="卖出",B280="现金分红"),MIN(Q279,MAX(0,E280-N280)),0),"")</f>
        <v/>
      </c>
      <c r="P280" s="11" t="str">
        <f t="shared" si="88">IF(I280="已计入",IF(AND(B280="卖出",K280=0),MAX(0,Q279-O280),0),"")</f>
        <v/>
      </c>
      <c r="Q280" s="11">
        <f t="shared" si="89">IF(AA280="正常",IF(I280="已计入",ROUND(Q279+IF(OR(B280="买入",B280="定投",B280="转换转入"),E280,0)-O280-P280,2),Q279),"")</f>
        <v>129570</v>
      </c>
      <c r="R280" s="11" t="str">
        <f t="shared" si="80">IF(I280="已计入",ROUND(K280*C280,2),"")</f>
        <v/>
      </c>
      <c r="S280" s="11" t="str">
        <f t="shared" si="81">IF(I280="已计入",ROUND(R280-Q280,2),"")</f>
        <v/>
      </c>
      <c r="T280" s="12" t="str">
        <f t="shared" si="82">IF(I280="已计入",IF(Q280=0,"",S280/Q280),"")</f>
        <v/>
      </c>
      <c r="U280" s="11">
        <f t="shared" si="90">IF(AA280="正常",U279+IF(AND(I280="已计入",OR(B280="买入",B280="定投",B280="转换转入")),E280,0),"")</f>
        <v>129570</v>
      </c>
      <c r="V280" s="11">
        <f t="shared" si="91">IF(AA280="正常",V279+IF(AND(I280="已计入",OR(B280="卖出",B280="现金分红")),E280,0),"")</f>
        <v>0</v>
      </c>
      <c r="W280" s="11">
        <f t="shared" si="92">IF(AA280="正常",W279+IF(I280="已计入",N280,0),"")</f>
        <v>0</v>
      </c>
      <c r="X280" s="11">
        <f t="shared" si="93">IF(AA280="正常",X279+IF(I280="已计入",P280,0),"")</f>
        <v>0</v>
      </c>
      <c r="Y280" s="11" t="str">
        <f t="shared" si="83">IF(I280="已计入",ROUND(R280+V280-U280,2),"")</f>
        <v/>
      </c>
      <c r="Z280" s="13">
        <f t="shared" si="94">IF(AA280="正常",IF(I280="已计入",A280,Z279),"")</f>
        <v>46239</v>
      </c>
      <c r="AA280" s="10" t="str">
        <f>IF(OR($AA$134="错误",COUNTIF($G$135:G280,"待修正")&gt;0),"错误","正常")</f>
        <v>正常</v>
      </c>
      <c r="AB280" s="14">
        <f t="shared" si="95">IF(AA280="正常",IF(I280="已计入",C280,AB279),"")</f>
        <v>6.347</v>
      </c>
    </row>
    <row r="281" ht="23" customHeight="1">
      <c r="A281" s="36"/>
      <c r="B281" s="37"/>
      <c r="C281" s="38"/>
      <c r="D281" s="39"/>
      <c r="E281" s="44" t="str">
        <f t="shared" si="76">IF(AND(ISNUMBER(C281),ISNUMBER(D281),ISNUMBER(F281)),IF(OR(B281="买入",B281="定投"),ROUND(C281*D281+F281,2),IF(B281="卖出",ROUND(C281*D281-F281,2),IF(B281="红利再投",0,""))),"")</f>
        <v/>
      </c>
      <c r="F281" s="39"/>
      <c r="G281" s="45" t="str">
        <f t="shared" si="77">IF(COUNTA(A281:D281,F281)=0,"",IF(I281="已计入","已录入","待修正"))</f>
        <v/>
      </c>
      <c r="H281" s="46" t="str">
        <f t="shared" si="78">IF(COUNTA(A281:D281,F281)=0,"",IF(B281="红利再投","仅增加份额，不增加现金投入","金额由份额、净值和手续费推算"))</f>
        <v/>
      </c>
      <c r="I281" s="10" t="str">
        <f>IF(COUNTA(A281:D281,F281)=0,"",IF(NOT(ISNUMBER(A281)),"缺少有效净值日期",IF(OR(A281&lt;=0,A281&lt;&gt;INT(A281)),"净值日期无效",IF(OR(B281="转换转入",B281="现金分红"),"该类型需实际金额，五项录入不适用",IF(NOT(OR(OR(B281="买入",B281="定投"),B281="卖出",B281="红利再投")),"请选择交易类型",IF(NOT(ISNUMBER(C281)),"缺少成交净值",IF(C281&lt;=0,"成交净值须大于零",IF(NOT(ISNUMBER(D281)),"缺少确认份额",IF(D281&lt;=0,"确认份额须大于零",IF(NOT(ISNUMBER(F281)),"缺少手续费，无费用请填 0",IF(F281&lt;0,"手续费不能为负",IF(AA280="错误","前行待修正",IF(A281&lt;Z280,"日期需按成交顺序递增",IF(AND(B281="红利再投",F281&lt;&gt;0),"红利再投手续费应填 0",IF(AND(B281="红利再投",K280&lt;=0),"红利再投前须有持仓",IF(AND(B281="卖出",D281&gt;K280+0.000001),"卖出份额超过持仓",IF(AND(B281="卖出",F281&gt;=C281*D281),"赎回费不能达到赎回总额",IF(NOT(ISNUMBER(E281)),"自动金额未生成，请检查五项输入",IF(NOT(OR('持仓总览'!$C$7="利润优先",'持仓总览'!$C$7="本金优先")),"请选择卖出分配模式","已计入")))))))))))))))))))</f>
        <v/>
      </c>
      <c r="J281" s="11">
        <f t="shared" si="79">IF(AA281="正常",IF(I281="已计入",IF(OR(OR(B281="买入",B281="定投",B281="转换转入"),B281="红利再投"),D281,IF(B281="卖出",-D281,0)),0),"")</f>
        <v>0</v>
      </c>
      <c r="K281" s="11">
        <f t="shared" si="84">IF(AA281="正常",ROUND(K280+J281,6),"")</f>
        <v>25721.6</v>
      </c>
      <c r="L281" s="11" t="str">
        <f t="shared" si="85">IF(I281="已计入",ROUND(K280*C281,2),"")</f>
        <v/>
      </c>
      <c r="M281" s="11" t="str">
        <f t="shared" si="86">IF(I281="已计入",IF(B281="卖出",MAX(0,L281-Q280-F281),IF(B281="现金分红",MAX(0,L281+E281-Q280),0)),"")</f>
        <v/>
      </c>
      <c r="N281" s="11" t="str">
        <f>IF(I281="已计入",IF(AND(B281="卖出",'持仓总览'!$C$7="本金优先"),MAX(0,E281-Q280),IF(OR(B281="卖出",B281="现金分红"),MIN(E281,M281),0)),"")</f>
        <v/>
      </c>
      <c r="O281" s="11" t="str">
        <f t="shared" si="87">IF(I281="已计入",IF(OR(B281="卖出",B281="现金分红"),MIN(Q280,MAX(0,E281-N281)),0),"")</f>
        <v/>
      </c>
      <c r="P281" s="11" t="str">
        <f t="shared" si="88">IF(I281="已计入",IF(AND(B281="卖出",K281=0),MAX(0,Q280-O281),0),"")</f>
        <v/>
      </c>
      <c r="Q281" s="11">
        <f t="shared" si="89">IF(AA281="正常",IF(I281="已计入",ROUND(Q280+IF(OR(B281="买入",B281="定投",B281="转换转入"),E281,0)-O281-P281,2),Q280),"")</f>
        <v>129570</v>
      </c>
      <c r="R281" s="11" t="str">
        <f t="shared" si="80">IF(I281="已计入",ROUND(K281*C281,2),"")</f>
        <v/>
      </c>
      <c r="S281" s="11" t="str">
        <f t="shared" si="81">IF(I281="已计入",ROUND(R281-Q281,2),"")</f>
        <v/>
      </c>
      <c r="T281" s="12" t="str">
        <f t="shared" si="82">IF(I281="已计入",IF(Q281=0,"",S281/Q281),"")</f>
        <v/>
      </c>
      <c r="U281" s="11">
        <f t="shared" si="90">IF(AA281="正常",U280+IF(AND(I281="已计入",OR(B281="买入",B281="定投",B281="转换转入")),E281,0),"")</f>
        <v>129570</v>
      </c>
      <c r="V281" s="11">
        <f t="shared" si="91">IF(AA281="正常",V280+IF(AND(I281="已计入",OR(B281="卖出",B281="现金分红")),E281,0),"")</f>
        <v>0</v>
      </c>
      <c r="W281" s="11">
        <f t="shared" si="92">IF(AA281="正常",W280+IF(I281="已计入",N281,0),"")</f>
        <v>0</v>
      </c>
      <c r="X281" s="11">
        <f t="shared" si="93">IF(AA281="正常",X280+IF(I281="已计入",P281,0),"")</f>
        <v>0</v>
      </c>
      <c r="Y281" s="11" t="str">
        <f t="shared" si="83">IF(I281="已计入",ROUND(R281+V281-U281,2),"")</f>
        <v/>
      </c>
      <c r="Z281" s="13">
        <f t="shared" si="94">IF(AA281="正常",IF(I281="已计入",A281,Z280),"")</f>
        <v>46239</v>
      </c>
      <c r="AA281" s="10" t="str">
        <f>IF(OR($AA$134="错误",COUNTIF($G$135:G281,"待修正")&gt;0),"错误","正常")</f>
        <v>正常</v>
      </c>
      <c r="AB281" s="14">
        <f t="shared" si="95">IF(AA281="正常",IF(I281="已计入",C281,AB280),"")</f>
        <v>6.347</v>
      </c>
    </row>
    <row r="282" ht="23" customHeight="1">
      <c r="A282" s="36"/>
      <c r="B282" s="37"/>
      <c r="C282" s="38"/>
      <c r="D282" s="39"/>
      <c r="E282" s="44" t="str">
        <f t="shared" si="76">IF(AND(ISNUMBER(C282),ISNUMBER(D282),ISNUMBER(F282)),IF(OR(B282="买入",B282="定投"),ROUND(C282*D282+F282,2),IF(B282="卖出",ROUND(C282*D282-F282,2),IF(B282="红利再投",0,""))),"")</f>
        <v/>
      </c>
      <c r="F282" s="39"/>
      <c r="G282" s="45" t="str">
        <f t="shared" si="77">IF(COUNTA(A282:D282,F282)=0,"",IF(I282="已计入","已录入","待修正"))</f>
        <v/>
      </c>
      <c r="H282" s="46" t="str">
        <f t="shared" si="78">IF(COUNTA(A282:D282,F282)=0,"",IF(B282="红利再投","仅增加份额，不增加现金投入","金额由份额、净值和手续费推算"))</f>
        <v/>
      </c>
      <c r="I282" s="10" t="str">
        <f>IF(COUNTA(A282:D282,F282)=0,"",IF(NOT(ISNUMBER(A282)),"缺少有效净值日期",IF(OR(A282&lt;=0,A282&lt;&gt;INT(A282)),"净值日期无效",IF(OR(B282="转换转入",B282="现金分红"),"该类型需实际金额，五项录入不适用",IF(NOT(OR(OR(B282="买入",B282="定投"),B282="卖出",B282="红利再投")),"请选择交易类型",IF(NOT(ISNUMBER(C282)),"缺少成交净值",IF(C282&lt;=0,"成交净值须大于零",IF(NOT(ISNUMBER(D282)),"缺少确认份额",IF(D282&lt;=0,"确认份额须大于零",IF(NOT(ISNUMBER(F282)),"缺少手续费，无费用请填 0",IF(F282&lt;0,"手续费不能为负",IF(AA281="错误","前行待修正",IF(A282&lt;Z281,"日期需按成交顺序递增",IF(AND(B282="红利再投",F282&lt;&gt;0),"红利再投手续费应填 0",IF(AND(B282="红利再投",K281&lt;=0),"红利再投前须有持仓",IF(AND(B282="卖出",D282&gt;K281+0.000001),"卖出份额超过持仓",IF(AND(B282="卖出",F282&gt;=C282*D282),"赎回费不能达到赎回总额",IF(NOT(ISNUMBER(E282)),"自动金额未生成，请检查五项输入",IF(NOT(OR('持仓总览'!$C$7="利润优先",'持仓总览'!$C$7="本金优先")),"请选择卖出分配模式","已计入")))))))))))))))))))</f>
        <v/>
      </c>
      <c r="J282" s="11">
        <f t="shared" si="79">IF(AA282="正常",IF(I282="已计入",IF(OR(OR(B282="买入",B282="定投",B282="转换转入"),B282="红利再投"),D282,IF(B282="卖出",-D282,0)),0),"")</f>
        <v>0</v>
      </c>
      <c r="K282" s="11">
        <f t="shared" si="84">IF(AA282="正常",ROUND(K281+J282,6),"")</f>
        <v>25721.6</v>
      </c>
      <c r="L282" s="11" t="str">
        <f t="shared" si="85">IF(I282="已计入",ROUND(K281*C282,2),"")</f>
        <v/>
      </c>
      <c r="M282" s="11" t="str">
        <f t="shared" si="86">IF(I282="已计入",IF(B282="卖出",MAX(0,L282-Q281-F282),IF(B282="现金分红",MAX(0,L282+E282-Q281),0)),"")</f>
        <v/>
      </c>
      <c r="N282" s="11" t="str">
        <f>IF(I282="已计入",IF(AND(B282="卖出",'持仓总览'!$C$7="本金优先"),MAX(0,E282-Q281),IF(OR(B282="卖出",B282="现金分红"),MIN(E282,M282),0)),"")</f>
        <v/>
      </c>
      <c r="O282" s="11" t="str">
        <f t="shared" si="87">IF(I282="已计入",IF(OR(B282="卖出",B282="现金分红"),MIN(Q281,MAX(0,E282-N282)),0),"")</f>
        <v/>
      </c>
      <c r="P282" s="11" t="str">
        <f t="shared" si="88">IF(I282="已计入",IF(AND(B282="卖出",K282=0),MAX(0,Q281-O282),0),"")</f>
        <v/>
      </c>
      <c r="Q282" s="11">
        <f t="shared" si="89">IF(AA282="正常",IF(I282="已计入",ROUND(Q281+IF(OR(B282="买入",B282="定投",B282="转换转入"),E282,0)-O282-P282,2),Q281),"")</f>
        <v>129570</v>
      </c>
      <c r="R282" s="11" t="str">
        <f t="shared" si="80">IF(I282="已计入",ROUND(K282*C282,2),"")</f>
        <v/>
      </c>
      <c r="S282" s="11" t="str">
        <f t="shared" si="81">IF(I282="已计入",ROUND(R282-Q282,2),"")</f>
        <v/>
      </c>
      <c r="T282" s="12" t="str">
        <f t="shared" si="82">IF(I282="已计入",IF(Q282=0,"",S282/Q282),"")</f>
        <v/>
      </c>
      <c r="U282" s="11">
        <f t="shared" si="90">IF(AA282="正常",U281+IF(AND(I282="已计入",OR(B282="买入",B282="定投",B282="转换转入")),E282,0),"")</f>
        <v>129570</v>
      </c>
      <c r="V282" s="11">
        <f t="shared" si="91">IF(AA282="正常",V281+IF(AND(I282="已计入",OR(B282="卖出",B282="现金分红")),E282,0),"")</f>
        <v>0</v>
      </c>
      <c r="W282" s="11">
        <f t="shared" si="92">IF(AA282="正常",W281+IF(I282="已计入",N282,0),"")</f>
        <v>0</v>
      </c>
      <c r="X282" s="11">
        <f t="shared" si="93">IF(AA282="正常",X281+IF(I282="已计入",P282,0),"")</f>
        <v>0</v>
      </c>
      <c r="Y282" s="11" t="str">
        <f t="shared" si="83">IF(I282="已计入",ROUND(R282+V282-U282,2),"")</f>
        <v/>
      </c>
      <c r="Z282" s="13">
        <f t="shared" si="94">IF(AA282="正常",IF(I282="已计入",A282,Z281),"")</f>
        <v>46239</v>
      </c>
      <c r="AA282" s="10" t="str">
        <f>IF(OR($AA$134="错误",COUNTIF($G$135:G282,"待修正")&gt;0),"错误","正常")</f>
        <v>正常</v>
      </c>
      <c r="AB282" s="14">
        <f t="shared" si="95">IF(AA282="正常",IF(I282="已计入",C282,AB281),"")</f>
        <v>6.347</v>
      </c>
    </row>
    <row r="283" ht="23" customHeight="1">
      <c r="A283" s="36"/>
      <c r="B283" s="37"/>
      <c r="C283" s="38"/>
      <c r="D283" s="39"/>
      <c r="E283" s="44" t="str">
        <f t="shared" si="76">IF(AND(ISNUMBER(C283),ISNUMBER(D283),ISNUMBER(F283)),IF(OR(B283="买入",B283="定投"),ROUND(C283*D283+F283,2),IF(B283="卖出",ROUND(C283*D283-F283,2),IF(B283="红利再投",0,""))),"")</f>
        <v/>
      </c>
      <c r="F283" s="39"/>
      <c r="G283" s="45" t="str">
        <f t="shared" si="77">IF(COUNTA(A283:D283,F283)=0,"",IF(I283="已计入","已录入","待修正"))</f>
        <v/>
      </c>
      <c r="H283" s="46" t="str">
        <f t="shared" si="78">IF(COUNTA(A283:D283,F283)=0,"",IF(B283="红利再投","仅增加份额，不增加现金投入","金额由份额、净值和手续费推算"))</f>
        <v/>
      </c>
      <c r="I283" s="10" t="str">
        <f>IF(COUNTA(A283:D283,F283)=0,"",IF(NOT(ISNUMBER(A283)),"缺少有效净值日期",IF(OR(A283&lt;=0,A283&lt;&gt;INT(A283)),"净值日期无效",IF(OR(B283="转换转入",B283="现金分红"),"该类型需实际金额，五项录入不适用",IF(NOT(OR(OR(B283="买入",B283="定投"),B283="卖出",B283="红利再投")),"请选择交易类型",IF(NOT(ISNUMBER(C283)),"缺少成交净值",IF(C283&lt;=0,"成交净值须大于零",IF(NOT(ISNUMBER(D283)),"缺少确认份额",IF(D283&lt;=0,"确认份额须大于零",IF(NOT(ISNUMBER(F283)),"缺少手续费，无费用请填 0",IF(F283&lt;0,"手续费不能为负",IF(AA282="错误","前行待修正",IF(A283&lt;Z282,"日期需按成交顺序递增",IF(AND(B283="红利再投",F283&lt;&gt;0),"红利再投手续费应填 0",IF(AND(B283="红利再投",K282&lt;=0),"红利再投前须有持仓",IF(AND(B283="卖出",D283&gt;K282+0.000001),"卖出份额超过持仓",IF(AND(B283="卖出",F283&gt;=C283*D283),"赎回费不能达到赎回总额",IF(NOT(ISNUMBER(E283)),"自动金额未生成，请检查五项输入",IF(NOT(OR('持仓总览'!$C$7="利润优先",'持仓总览'!$C$7="本金优先")),"请选择卖出分配模式","已计入")))))))))))))))))))</f>
        <v/>
      </c>
      <c r="J283" s="11">
        <f t="shared" si="79">IF(AA283="正常",IF(I283="已计入",IF(OR(OR(B283="买入",B283="定投",B283="转换转入"),B283="红利再投"),D283,IF(B283="卖出",-D283,0)),0),"")</f>
        <v>0</v>
      </c>
      <c r="K283" s="11">
        <f t="shared" si="84">IF(AA283="正常",ROUND(K282+J283,6),"")</f>
        <v>25721.6</v>
      </c>
      <c r="L283" s="11" t="str">
        <f t="shared" si="85">IF(I283="已计入",ROUND(K282*C283,2),"")</f>
        <v/>
      </c>
      <c r="M283" s="11" t="str">
        <f t="shared" si="86">IF(I283="已计入",IF(B283="卖出",MAX(0,L283-Q282-F283),IF(B283="现金分红",MAX(0,L283+E283-Q282),0)),"")</f>
        <v/>
      </c>
      <c r="N283" s="11" t="str">
        <f>IF(I283="已计入",IF(AND(B283="卖出",'持仓总览'!$C$7="本金优先"),MAX(0,E283-Q282),IF(OR(B283="卖出",B283="现金分红"),MIN(E283,M283),0)),"")</f>
        <v/>
      </c>
      <c r="O283" s="11" t="str">
        <f t="shared" si="87">IF(I283="已计入",IF(OR(B283="卖出",B283="现金分红"),MIN(Q282,MAX(0,E283-N283)),0),"")</f>
        <v/>
      </c>
      <c r="P283" s="11" t="str">
        <f t="shared" si="88">IF(I283="已计入",IF(AND(B283="卖出",K283=0),MAX(0,Q282-O283),0),"")</f>
        <v/>
      </c>
      <c r="Q283" s="11">
        <f t="shared" si="89">IF(AA283="正常",IF(I283="已计入",ROUND(Q282+IF(OR(B283="买入",B283="定投",B283="转换转入"),E283,0)-O283-P283,2),Q282),"")</f>
        <v>129570</v>
      </c>
      <c r="R283" s="11" t="str">
        <f t="shared" si="80">IF(I283="已计入",ROUND(K283*C283,2),"")</f>
        <v/>
      </c>
      <c r="S283" s="11" t="str">
        <f t="shared" si="81">IF(I283="已计入",ROUND(R283-Q283,2),"")</f>
        <v/>
      </c>
      <c r="T283" s="12" t="str">
        <f t="shared" si="82">IF(I283="已计入",IF(Q283=0,"",S283/Q283),"")</f>
        <v/>
      </c>
      <c r="U283" s="11">
        <f t="shared" si="90">IF(AA283="正常",U282+IF(AND(I283="已计入",OR(B283="买入",B283="定投",B283="转换转入")),E283,0),"")</f>
        <v>129570</v>
      </c>
      <c r="V283" s="11">
        <f t="shared" si="91">IF(AA283="正常",V282+IF(AND(I283="已计入",OR(B283="卖出",B283="现金分红")),E283,0),"")</f>
        <v>0</v>
      </c>
      <c r="W283" s="11">
        <f t="shared" si="92">IF(AA283="正常",W282+IF(I283="已计入",N283,0),"")</f>
        <v>0</v>
      </c>
      <c r="X283" s="11">
        <f t="shared" si="93">IF(AA283="正常",X282+IF(I283="已计入",P283,0),"")</f>
        <v>0</v>
      </c>
      <c r="Y283" s="11" t="str">
        <f t="shared" si="83">IF(I283="已计入",ROUND(R283+V283-U283,2),"")</f>
        <v/>
      </c>
      <c r="Z283" s="13">
        <f t="shared" si="94">IF(AA283="正常",IF(I283="已计入",A283,Z282),"")</f>
        <v>46239</v>
      </c>
      <c r="AA283" s="10" t="str">
        <f>IF(OR($AA$134="错误",COUNTIF($G$135:G283,"待修正")&gt;0),"错误","正常")</f>
        <v>正常</v>
      </c>
      <c r="AB283" s="14">
        <f t="shared" si="95">IF(AA283="正常",IF(I283="已计入",C283,AB282),"")</f>
        <v>6.347</v>
      </c>
    </row>
    <row r="284" ht="23" customHeight="1">
      <c r="A284" s="36"/>
      <c r="B284" s="37"/>
      <c r="C284" s="38"/>
      <c r="D284" s="39"/>
      <c r="E284" s="44" t="str">
        <f t="shared" si="76">IF(AND(ISNUMBER(C284),ISNUMBER(D284),ISNUMBER(F284)),IF(OR(B284="买入",B284="定投"),ROUND(C284*D284+F284,2),IF(B284="卖出",ROUND(C284*D284-F284,2),IF(B284="红利再投",0,""))),"")</f>
        <v/>
      </c>
      <c r="F284" s="39"/>
      <c r="G284" s="45" t="str">
        <f t="shared" si="77">IF(COUNTA(A284:D284,F284)=0,"",IF(I284="已计入","已录入","待修正"))</f>
        <v/>
      </c>
      <c r="H284" s="46" t="str">
        <f t="shared" si="78">IF(COUNTA(A284:D284,F284)=0,"",IF(B284="红利再投","仅增加份额，不增加现金投入","金额由份额、净值和手续费推算"))</f>
        <v/>
      </c>
      <c r="I284" s="10" t="str">
        <f>IF(COUNTA(A284:D284,F284)=0,"",IF(NOT(ISNUMBER(A284)),"缺少有效净值日期",IF(OR(A284&lt;=0,A284&lt;&gt;INT(A284)),"净值日期无效",IF(OR(B284="转换转入",B284="现金分红"),"该类型需实际金额，五项录入不适用",IF(NOT(OR(OR(B284="买入",B284="定投"),B284="卖出",B284="红利再投")),"请选择交易类型",IF(NOT(ISNUMBER(C284)),"缺少成交净值",IF(C284&lt;=0,"成交净值须大于零",IF(NOT(ISNUMBER(D284)),"缺少确认份额",IF(D284&lt;=0,"确认份额须大于零",IF(NOT(ISNUMBER(F284)),"缺少手续费，无费用请填 0",IF(F284&lt;0,"手续费不能为负",IF(AA283="错误","前行待修正",IF(A284&lt;Z283,"日期需按成交顺序递增",IF(AND(B284="红利再投",F284&lt;&gt;0),"红利再投手续费应填 0",IF(AND(B284="红利再投",K283&lt;=0),"红利再投前须有持仓",IF(AND(B284="卖出",D284&gt;K283+0.000001),"卖出份额超过持仓",IF(AND(B284="卖出",F284&gt;=C284*D284),"赎回费不能达到赎回总额",IF(NOT(ISNUMBER(E284)),"自动金额未生成，请检查五项输入",IF(NOT(OR('持仓总览'!$C$7="利润优先",'持仓总览'!$C$7="本金优先")),"请选择卖出分配模式","已计入")))))))))))))))))))</f>
        <v/>
      </c>
      <c r="J284" s="11">
        <f t="shared" si="79">IF(AA284="正常",IF(I284="已计入",IF(OR(OR(B284="买入",B284="定投",B284="转换转入"),B284="红利再投"),D284,IF(B284="卖出",-D284,0)),0),"")</f>
        <v>0</v>
      </c>
      <c r="K284" s="11">
        <f t="shared" si="84">IF(AA284="正常",ROUND(K283+J284,6),"")</f>
        <v>25721.6</v>
      </c>
      <c r="L284" s="11" t="str">
        <f t="shared" si="85">IF(I284="已计入",ROUND(K283*C284,2),"")</f>
        <v/>
      </c>
      <c r="M284" s="11" t="str">
        <f t="shared" si="86">IF(I284="已计入",IF(B284="卖出",MAX(0,L284-Q283-F284),IF(B284="现金分红",MAX(0,L284+E284-Q283),0)),"")</f>
        <v/>
      </c>
      <c r="N284" s="11" t="str">
        <f>IF(I284="已计入",IF(AND(B284="卖出",'持仓总览'!$C$7="本金优先"),MAX(0,E284-Q283),IF(OR(B284="卖出",B284="现金分红"),MIN(E284,M284),0)),"")</f>
        <v/>
      </c>
      <c r="O284" s="11" t="str">
        <f t="shared" si="87">IF(I284="已计入",IF(OR(B284="卖出",B284="现金分红"),MIN(Q283,MAX(0,E284-N284)),0),"")</f>
        <v/>
      </c>
      <c r="P284" s="11" t="str">
        <f t="shared" si="88">IF(I284="已计入",IF(AND(B284="卖出",K284=0),MAX(0,Q283-O284),0),"")</f>
        <v/>
      </c>
      <c r="Q284" s="11">
        <f t="shared" si="89">IF(AA284="正常",IF(I284="已计入",ROUND(Q283+IF(OR(B284="买入",B284="定投",B284="转换转入"),E284,0)-O284-P284,2),Q283),"")</f>
        <v>129570</v>
      </c>
      <c r="R284" s="11" t="str">
        <f t="shared" si="80">IF(I284="已计入",ROUND(K284*C284,2),"")</f>
        <v/>
      </c>
      <c r="S284" s="11" t="str">
        <f t="shared" si="81">IF(I284="已计入",ROUND(R284-Q284,2),"")</f>
        <v/>
      </c>
      <c r="T284" s="12" t="str">
        <f t="shared" si="82">IF(I284="已计入",IF(Q284=0,"",S284/Q284),"")</f>
        <v/>
      </c>
      <c r="U284" s="11">
        <f t="shared" si="90">IF(AA284="正常",U283+IF(AND(I284="已计入",OR(B284="买入",B284="定投",B284="转换转入")),E284,0),"")</f>
        <v>129570</v>
      </c>
      <c r="V284" s="11">
        <f t="shared" si="91">IF(AA284="正常",V283+IF(AND(I284="已计入",OR(B284="卖出",B284="现金分红")),E284,0),"")</f>
        <v>0</v>
      </c>
      <c r="W284" s="11">
        <f t="shared" si="92">IF(AA284="正常",W283+IF(I284="已计入",N284,0),"")</f>
        <v>0</v>
      </c>
      <c r="X284" s="11">
        <f t="shared" si="93">IF(AA284="正常",X283+IF(I284="已计入",P284,0),"")</f>
        <v>0</v>
      </c>
      <c r="Y284" s="11" t="str">
        <f t="shared" si="83">IF(I284="已计入",ROUND(R284+V284-U284,2),"")</f>
        <v/>
      </c>
      <c r="Z284" s="13">
        <f t="shared" si="94">IF(AA284="正常",IF(I284="已计入",A284,Z283),"")</f>
        <v>46239</v>
      </c>
      <c r="AA284" s="10" t="str">
        <f>IF(OR($AA$134="错误",COUNTIF($G$135:G284,"待修正")&gt;0),"错误","正常")</f>
        <v>正常</v>
      </c>
      <c r="AB284" s="14">
        <f t="shared" si="95">IF(AA284="正常",IF(I284="已计入",C284,AB283),"")</f>
        <v>6.347</v>
      </c>
    </row>
    <row r="285" ht="23" customHeight="1">
      <c r="A285" s="36"/>
      <c r="B285" s="37"/>
      <c r="C285" s="38"/>
      <c r="D285" s="39"/>
      <c r="E285" s="44" t="str">
        <f t="shared" si="76">IF(AND(ISNUMBER(C285),ISNUMBER(D285),ISNUMBER(F285)),IF(OR(B285="买入",B285="定投"),ROUND(C285*D285+F285,2),IF(B285="卖出",ROUND(C285*D285-F285,2),IF(B285="红利再投",0,""))),"")</f>
        <v/>
      </c>
      <c r="F285" s="39"/>
      <c r="G285" s="45" t="str">
        <f t="shared" si="77">IF(COUNTA(A285:D285,F285)=0,"",IF(I285="已计入","已录入","待修正"))</f>
        <v/>
      </c>
      <c r="H285" s="46" t="str">
        <f t="shared" si="78">IF(COUNTA(A285:D285,F285)=0,"",IF(B285="红利再投","仅增加份额，不增加现金投入","金额由份额、净值和手续费推算"))</f>
        <v/>
      </c>
      <c r="I285" s="10" t="str">
        <f>IF(COUNTA(A285:D285,F285)=0,"",IF(NOT(ISNUMBER(A285)),"缺少有效净值日期",IF(OR(A285&lt;=0,A285&lt;&gt;INT(A285)),"净值日期无效",IF(OR(B285="转换转入",B285="现金分红"),"该类型需实际金额，五项录入不适用",IF(NOT(OR(OR(B285="买入",B285="定投"),B285="卖出",B285="红利再投")),"请选择交易类型",IF(NOT(ISNUMBER(C285)),"缺少成交净值",IF(C285&lt;=0,"成交净值须大于零",IF(NOT(ISNUMBER(D285)),"缺少确认份额",IF(D285&lt;=0,"确认份额须大于零",IF(NOT(ISNUMBER(F285)),"缺少手续费，无费用请填 0",IF(F285&lt;0,"手续费不能为负",IF(AA284="错误","前行待修正",IF(A285&lt;Z284,"日期需按成交顺序递增",IF(AND(B285="红利再投",F285&lt;&gt;0),"红利再投手续费应填 0",IF(AND(B285="红利再投",K284&lt;=0),"红利再投前须有持仓",IF(AND(B285="卖出",D285&gt;K284+0.000001),"卖出份额超过持仓",IF(AND(B285="卖出",F285&gt;=C285*D285),"赎回费不能达到赎回总额",IF(NOT(ISNUMBER(E285)),"自动金额未生成，请检查五项输入",IF(NOT(OR('持仓总览'!$C$7="利润优先",'持仓总览'!$C$7="本金优先")),"请选择卖出分配模式","已计入")))))))))))))))))))</f>
        <v/>
      </c>
      <c r="J285" s="11">
        <f t="shared" si="79">IF(AA285="正常",IF(I285="已计入",IF(OR(OR(B285="买入",B285="定投",B285="转换转入"),B285="红利再投"),D285,IF(B285="卖出",-D285,0)),0),"")</f>
        <v>0</v>
      </c>
      <c r="K285" s="11">
        <f t="shared" si="84">IF(AA285="正常",ROUND(K284+J285,6),"")</f>
        <v>25721.6</v>
      </c>
      <c r="L285" s="11" t="str">
        <f t="shared" si="85">IF(I285="已计入",ROUND(K284*C285,2),"")</f>
        <v/>
      </c>
      <c r="M285" s="11" t="str">
        <f t="shared" si="86">IF(I285="已计入",IF(B285="卖出",MAX(0,L285-Q284-F285),IF(B285="现金分红",MAX(0,L285+E285-Q284),0)),"")</f>
        <v/>
      </c>
      <c r="N285" s="11" t="str">
        <f>IF(I285="已计入",IF(AND(B285="卖出",'持仓总览'!$C$7="本金优先"),MAX(0,E285-Q284),IF(OR(B285="卖出",B285="现金分红"),MIN(E285,M285),0)),"")</f>
        <v/>
      </c>
      <c r="O285" s="11" t="str">
        <f t="shared" si="87">IF(I285="已计入",IF(OR(B285="卖出",B285="现金分红"),MIN(Q284,MAX(0,E285-N285)),0),"")</f>
        <v/>
      </c>
      <c r="P285" s="11" t="str">
        <f t="shared" si="88">IF(I285="已计入",IF(AND(B285="卖出",K285=0),MAX(0,Q284-O285),0),"")</f>
        <v/>
      </c>
      <c r="Q285" s="11">
        <f t="shared" si="89">IF(AA285="正常",IF(I285="已计入",ROUND(Q284+IF(OR(B285="买入",B285="定投",B285="转换转入"),E285,0)-O285-P285,2),Q284),"")</f>
        <v>129570</v>
      </c>
      <c r="R285" s="11" t="str">
        <f t="shared" si="80">IF(I285="已计入",ROUND(K285*C285,2),"")</f>
        <v/>
      </c>
      <c r="S285" s="11" t="str">
        <f t="shared" si="81">IF(I285="已计入",ROUND(R285-Q285,2),"")</f>
        <v/>
      </c>
      <c r="T285" s="12" t="str">
        <f t="shared" si="82">IF(I285="已计入",IF(Q285=0,"",S285/Q285),"")</f>
        <v/>
      </c>
      <c r="U285" s="11">
        <f t="shared" si="90">IF(AA285="正常",U284+IF(AND(I285="已计入",OR(B285="买入",B285="定投",B285="转换转入")),E285,0),"")</f>
        <v>129570</v>
      </c>
      <c r="V285" s="11">
        <f t="shared" si="91">IF(AA285="正常",V284+IF(AND(I285="已计入",OR(B285="卖出",B285="现金分红")),E285,0),"")</f>
        <v>0</v>
      </c>
      <c r="W285" s="11">
        <f t="shared" si="92">IF(AA285="正常",W284+IF(I285="已计入",N285,0),"")</f>
        <v>0</v>
      </c>
      <c r="X285" s="11">
        <f t="shared" si="93">IF(AA285="正常",X284+IF(I285="已计入",P285,0),"")</f>
        <v>0</v>
      </c>
      <c r="Y285" s="11" t="str">
        <f t="shared" si="83">IF(I285="已计入",ROUND(R285+V285-U285,2),"")</f>
        <v/>
      </c>
      <c r="Z285" s="13">
        <f t="shared" si="94">IF(AA285="正常",IF(I285="已计入",A285,Z284),"")</f>
        <v>46239</v>
      </c>
      <c r="AA285" s="10" t="str">
        <f>IF(OR($AA$134="错误",COUNTIF($G$135:G285,"待修正")&gt;0),"错误","正常")</f>
        <v>正常</v>
      </c>
      <c r="AB285" s="14">
        <f t="shared" si="95">IF(AA285="正常",IF(I285="已计入",C285,AB284),"")</f>
        <v>6.347</v>
      </c>
    </row>
    <row r="286" ht="23" customHeight="1">
      <c r="A286" s="36"/>
      <c r="B286" s="37"/>
      <c r="C286" s="38"/>
      <c r="D286" s="39"/>
      <c r="E286" s="44" t="str">
        <f t="shared" si="76">IF(AND(ISNUMBER(C286),ISNUMBER(D286),ISNUMBER(F286)),IF(OR(B286="买入",B286="定投"),ROUND(C286*D286+F286,2),IF(B286="卖出",ROUND(C286*D286-F286,2),IF(B286="红利再投",0,""))),"")</f>
        <v/>
      </c>
      <c r="F286" s="39"/>
      <c r="G286" s="45" t="str">
        <f t="shared" si="77">IF(COUNTA(A286:D286,F286)=0,"",IF(I286="已计入","已录入","待修正"))</f>
        <v/>
      </c>
      <c r="H286" s="46" t="str">
        <f t="shared" si="78">IF(COUNTA(A286:D286,F286)=0,"",IF(B286="红利再投","仅增加份额，不增加现金投入","金额由份额、净值和手续费推算"))</f>
        <v/>
      </c>
      <c r="I286" s="10" t="str">
        <f>IF(COUNTA(A286:D286,F286)=0,"",IF(NOT(ISNUMBER(A286)),"缺少有效净值日期",IF(OR(A286&lt;=0,A286&lt;&gt;INT(A286)),"净值日期无效",IF(OR(B286="转换转入",B286="现金分红"),"该类型需实际金额，五项录入不适用",IF(NOT(OR(OR(B286="买入",B286="定投"),B286="卖出",B286="红利再投")),"请选择交易类型",IF(NOT(ISNUMBER(C286)),"缺少成交净值",IF(C286&lt;=0,"成交净值须大于零",IF(NOT(ISNUMBER(D286)),"缺少确认份额",IF(D286&lt;=0,"确认份额须大于零",IF(NOT(ISNUMBER(F286)),"缺少手续费，无费用请填 0",IF(F286&lt;0,"手续费不能为负",IF(AA285="错误","前行待修正",IF(A286&lt;Z285,"日期需按成交顺序递增",IF(AND(B286="红利再投",F286&lt;&gt;0),"红利再投手续费应填 0",IF(AND(B286="红利再投",K285&lt;=0),"红利再投前须有持仓",IF(AND(B286="卖出",D286&gt;K285+0.000001),"卖出份额超过持仓",IF(AND(B286="卖出",F286&gt;=C286*D286),"赎回费不能达到赎回总额",IF(NOT(ISNUMBER(E286)),"自动金额未生成，请检查五项输入",IF(NOT(OR('持仓总览'!$C$7="利润优先",'持仓总览'!$C$7="本金优先")),"请选择卖出分配模式","已计入")))))))))))))))))))</f>
        <v/>
      </c>
      <c r="J286" s="11">
        <f t="shared" si="79">IF(AA286="正常",IF(I286="已计入",IF(OR(OR(B286="买入",B286="定投",B286="转换转入"),B286="红利再投"),D286,IF(B286="卖出",-D286,0)),0),"")</f>
        <v>0</v>
      </c>
      <c r="K286" s="11">
        <f t="shared" si="84">IF(AA286="正常",ROUND(K285+J286,6),"")</f>
        <v>25721.6</v>
      </c>
      <c r="L286" s="11" t="str">
        <f t="shared" si="85">IF(I286="已计入",ROUND(K285*C286,2),"")</f>
        <v/>
      </c>
      <c r="M286" s="11" t="str">
        <f t="shared" si="86">IF(I286="已计入",IF(B286="卖出",MAX(0,L286-Q285-F286),IF(B286="现金分红",MAX(0,L286+E286-Q285),0)),"")</f>
        <v/>
      </c>
      <c r="N286" s="11" t="str">
        <f>IF(I286="已计入",IF(AND(B286="卖出",'持仓总览'!$C$7="本金优先"),MAX(0,E286-Q285),IF(OR(B286="卖出",B286="现金分红"),MIN(E286,M286),0)),"")</f>
        <v/>
      </c>
      <c r="O286" s="11" t="str">
        <f t="shared" si="87">IF(I286="已计入",IF(OR(B286="卖出",B286="现金分红"),MIN(Q285,MAX(0,E286-N286)),0),"")</f>
        <v/>
      </c>
      <c r="P286" s="11" t="str">
        <f t="shared" si="88">IF(I286="已计入",IF(AND(B286="卖出",K286=0),MAX(0,Q285-O286),0),"")</f>
        <v/>
      </c>
      <c r="Q286" s="11">
        <f t="shared" si="89">IF(AA286="正常",IF(I286="已计入",ROUND(Q285+IF(OR(B286="买入",B286="定投",B286="转换转入"),E286,0)-O286-P286,2),Q285),"")</f>
        <v>129570</v>
      </c>
      <c r="R286" s="11" t="str">
        <f t="shared" si="80">IF(I286="已计入",ROUND(K286*C286,2),"")</f>
        <v/>
      </c>
      <c r="S286" s="11" t="str">
        <f t="shared" si="81">IF(I286="已计入",ROUND(R286-Q286,2),"")</f>
        <v/>
      </c>
      <c r="T286" s="12" t="str">
        <f t="shared" si="82">IF(I286="已计入",IF(Q286=0,"",S286/Q286),"")</f>
        <v/>
      </c>
      <c r="U286" s="11">
        <f t="shared" si="90">IF(AA286="正常",U285+IF(AND(I286="已计入",OR(B286="买入",B286="定投",B286="转换转入")),E286,0),"")</f>
        <v>129570</v>
      </c>
      <c r="V286" s="11">
        <f t="shared" si="91">IF(AA286="正常",V285+IF(AND(I286="已计入",OR(B286="卖出",B286="现金分红")),E286,0),"")</f>
        <v>0</v>
      </c>
      <c r="W286" s="11">
        <f t="shared" si="92">IF(AA286="正常",W285+IF(I286="已计入",N286,0),"")</f>
        <v>0</v>
      </c>
      <c r="X286" s="11">
        <f t="shared" si="93">IF(AA286="正常",X285+IF(I286="已计入",P286,0),"")</f>
        <v>0</v>
      </c>
      <c r="Y286" s="11" t="str">
        <f t="shared" si="83">IF(I286="已计入",ROUND(R286+V286-U286,2),"")</f>
        <v/>
      </c>
      <c r="Z286" s="13">
        <f t="shared" si="94">IF(AA286="正常",IF(I286="已计入",A286,Z285),"")</f>
        <v>46239</v>
      </c>
      <c r="AA286" s="10" t="str">
        <f>IF(OR($AA$134="错误",COUNTIF($G$135:G286,"待修正")&gt;0),"错误","正常")</f>
        <v>正常</v>
      </c>
      <c r="AB286" s="14">
        <f t="shared" si="95">IF(AA286="正常",IF(I286="已计入",C286,AB285),"")</f>
        <v>6.347</v>
      </c>
    </row>
    <row r="287" ht="23" customHeight="1">
      <c r="A287" s="36"/>
      <c r="B287" s="37"/>
      <c r="C287" s="38"/>
      <c r="D287" s="39"/>
      <c r="E287" s="44" t="str">
        <f t="shared" si="76">IF(AND(ISNUMBER(C287),ISNUMBER(D287),ISNUMBER(F287)),IF(OR(B287="买入",B287="定投"),ROUND(C287*D287+F287,2),IF(B287="卖出",ROUND(C287*D287-F287,2),IF(B287="红利再投",0,""))),"")</f>
        <v/>
      </c>
      <c r="F287" s="39"/>
      <c r="G287" s="45" t="str">
        <f t="shared" si="77">IF(COUNTA(A287:D287,F287)=0,"",IF(I287="已计入","已录入","待修正"))</f>
        <v/>
      </c>
      <c r="H287" s="46" t="str">
        <f t="shared" si="78">IF(COUNTA(A287:D287,F287)=0,"",IF(B287="红利再投","仅增加份额，不增加现金投入","金额由份额、净值和手续费推算"))</f>
        <v/>
      </c>
      <c r="I287" s="10" t="str">
        <f>IF(COUNTA(A287:D287,F287)=0,"",IF(NOT(ISNUMBER(A287)),"缺少有效净值日期",IF(OR(A287&lt;=0,A287&lt;&gt;INT(A287)),"净值日期无效",IF(OR(B287="转换转入",B287="现金分红"),"该类型需实际金额，五项录入不适用",IF(NOT(OR(OR(B287="买入",B287="定投"),B287="卖出",B287="红利再投")),"请选择交易类型",IF(NOT(ISNUMBER(C287)),"缺少成交净值",IF(C287&lt;=0,"成交净值须大于零",IF(NOT(ISNUMBER(D287)),"缺少确认份额",IF(D287&lt;=0,"确认份额须大于零",IF(NOT(ISNUMBER(F287)),"缺少手续费，无费用请填 0",IF(F287&lt;0,"手续费不能为负",IF(AA286="错误","前行待修正",IF(A287&lt;Z286,"日期需按成交顺序递增",IF(AND(B287="红利再投",F287&lt;&gt;0),"红利再投手续费应填 0",IF(AND(B287="红利再投",K286&lt;=0),"红利再投前须有持仓",IF(AND(B287="卖出",D287&gt;K286+0.000001),"卖出份额超过持仓",IF(AND(B287="卖出",F287&gt;=C287*D287),"赎回费不能达到赎回总额",IF(NOT(ISNUMBER(E287)),"自动金额未生成，请检查五项输入",IF(NOT(OR('持仓总览'!$C$7="利润优先",'持仓总览'!$C$7="本金优先")),"请选择卖出分配模式","已计入")))))))))))))))))))</f>
        <v/>
      </c>
      <c r="J287" s="11">
        <f t="shared" si="79">IF(AA287="正常",IF(I287="已计入",IF(OR(OR(B287="买入",B287="定投",B287="转换转入"),B287="红利再投"),D287,IF(B287="卖出",-D287,0)),0),"")</f>
        <v>0</v>
      </c>
      <c r="K287" s="11">
        <f t="shared" si="84">IF(AA287="正常",ROUND(K286+J287,6),"")</f>
        <v>25721.6</v>
      </c>
      <c r="L287" s="11" t="str">
        <f t="shared" si="85">IF(I287="已计入",ROUND(K286*C287,2),"")</f>
        <v/>
      </c>
      <c r="M287" s="11" t="str">
        <f t="shared" si="86">IF(I287="已计入",IF(B287="卖出",MAX(0,L287-Q286-F287),IF(B287="现金分红",MAX(0,L287+E287-Q286),0)),"")</f>
        <v/>
      </c>
      <c r="N287" s="11" t="str">
        <f>IF(I287="已计入",IF(AND(B287="卖出",'持仓总览'!$C$7="本金优先"),MAX(0,E287-Q286),IF(OR(B287="卖出",B287="现金分红"),MIN(E287,M287),0)),"")</f>
        <v/>
      </c>
      <c r="O287" s="11" t="str">
        <f t="shared" si="87">IF(I287="已计入",IF(OR(B287="卖出",B287="现金分红"),MIN(Q286,MAX(0,E287-N287)),0),"")</f>
        <v/>
      </c>
      <c r="P287" s="11" t="str">
        <f t="shared" si="88">IF(I287="已计入",IF(AND(B287="卖出",K287=0),MAX(0,Q286-O287),0),"")</f>
        <v/>
      </c>
      <c r="Q287" s="11">
        <f t="shared" si="89">IF(AA287="正常",IF(I287="已计入",ROUND(Q286+IF(OR(B287="买入",B287="定投",B287="转换转入"),E287,0)-O287-P287,2),Q286),"")</f>
        <v>129570</v>
      </c>
      <c r="R287" s="11" t="str">
        <f t="shared" si="80">IF(I287="已计入",ROUND(K287*C287,2),"")</f>
        <v/>
      </c>
      <c r="S287" s="11" t="str">
        <f t="shared" si="81">IF(I287="已计入",ROUND(R287-Q287,2),"")</f>
        <v/>
      </c>
      <c r="T287" s="12" t="str">
        <f t="shared" si="82">IF(I287="已计入",IF(Q287=0,"",S287/Q287),"")</f>
        <v/>
      </c>
      <c r="U287" s="11">
        <f t="shared" si="90">IF(AA287="正常",U286+IF(AND(I287="已计入",OR(B287="买入",B287="定投",B287="转换转入")),E287,0),"")</f>
        <v>129570</v>
      </c>
      <c r="V287" s="11">
        <f t="shared" si="91">IF(AA287="正常",V286+IF(AND(I287="已计入",OR(B287="卖出",B287="现金分红")),E287,0),"")</f>
        <v>0</v>
      </c>
      <c r="W287" s="11">
        <f t="shared" si="92">IF(AA287="正常",W286+IF(I287="已计入",N287,0),"")</f>
        <v>0</v>
      </c>
      <c r="X287" s="11">
        <f t="shared" si="93">IF(AA287="正常",X286+IF(I287="已计入",P287,0),"")</f>
        <v>0</v>
      </c>
      <c r="Y287" s="11" t="str">
        <f t="shared" si="83">IF(I287="已计入",ROUND(R287+V287-U287,2),"")</f>
        <v/>
      </c>
      <c r="Z287" s="13">
        <f t="shared" si="94">IF(AA287="正常",IF(I287="已计入",A287,Z286),"")</f>
        <v>46239</v>
      </c>
      <c r="AA287" s="10" t="str">
        <f>IF(OR($AA$134="错误",COUNTIF($G$135:G287,"待修正")&gt;0),"错误","正常")</f>
        <v>正常</v>
      </c>
      <c r="AB287" s="14">
        <f t="shared" si="95">IF(AA287="正常",IF(I287="已计入",C287,AB286),"")</f>
        <v>6.347</v>
      </c>
    </row>
    <row r="288" ht="23" customHeight="1">
      <c r="A288" s="36"/>
      <c r="B288" s="37"/>
      <c r="C288" s="38"/>
      <c r="D288" s="39"/>
      <c r="E288" s="44" t="str">
        <f t="shared" si="76">IF(AND(ISNUMBER(C288),ISNUMBER(D288),ISNUMBER(F288)),IF(OR(B288="买入",B288="定投"),ROUND(C288*D288+F288,2),IF(B288="卖出",ROUND(C288*D288-F288,2),IF(B288="红利再投",0,""))),"")</f>
        <v/>
      </c>
      <c r="F288" s="39"/>
      <c r="G288" s="45" t="str">
        <f t="shared" si="77">IF(COUNTA(A288:D288,F288)=0,"",IF(I288="已计入","已录入","待修正"))</f>
        <v/>
      </c>
      <c r="H288" s="46" t="str">
        <f t="shared" si="78">IF(COUNTA(A288:D288,F288)=0,"",IF(B288="红利再投","仅增加份额，不增加现金投入","金额由份额、净值和手续费推算"))</f>
        <v/>
      </c>
      <c r="I288" s="10" t="str">
        <f>IF(COUNTA(A288:D288,F288)=0,"",IF(NOT(ISNUMBER(A288)),"缺少有效净值日期",IF(OR(A288&lt;=0,A288&lt;&gt;INT(A288)),"净值日期无效",IF(OR(B288="转换转入",B288="现金分红"),"该类型需实际金额，五项录入不适用",IF(NOT(OR(OR(B288="买入",B288="定投"),B288="卖出",B288="红利再投")),"请选择交易类型",IF(NOT(ISNUMBER(C288)),"缺少成交净值",IF(C288&lt;=0,"成交净值须大于零",IF(NOT(ISNUMBER(D288)),"缺少确认份额",IF(D288&lt;=0,"确认份额须大于零",IF(NOT(ISNUMBER(F288)),"缺少手续费，无费用请填 0",IF(F288&lt;0,"手续费不能为负",IF(AA287="错误","前行待修正",IF(A288&lt;Z287,"日期需按成交顺序递增",IF(AND(B288="红利再投",F288&lt;&gt;0),"红利再投手续费应填 0",IF(AND(B288="红利再投",K287&lt;=0),"红利再投前须有持仓",IF(AND(B288="卖出",D288&gt;K287+0.000001),"卖出份额超过持仓",IF(AND(B288="卖出",F288&gt;=C288*D288),"赎回费不能达到赎回总额",IF(NOT(ISNUMBER(E288)),"自动金额未生成，请检查五项输入",IF(NOT(OR('持仓总览'!$C$7="利润优先",'持仓总览'!$C$7="本金优先")),"请选择卖出分配模式","已计入")))))))))))))))))))</f>
        <v/>
      </c>
      <c r="J288" s="11">
        <f t="shared" si="79">IF(AA288="正常",IF(I288="已计入",IF(OR(OR(B288="买入",B288="定投",B288="转换转入"),B288="红利再投"),D288,IF(B288="卖出",-D288,0)),0),"")</f>
        <v>0</v>
      </c>
      <c r="K288" s="11">
        <f t="shared" si="84">IF(AA288="正常",ROUND(K287+J288,6),"")</f>
        <v>25721.6</v>
      </c>
      <c r="L288" s="11" t="str">
        <f t="shared" si="85">IF(I288="已计入",ROUND(K287*C288,2),"")</f>
        <v/>
      </c>
      <c r="M288" s="11" t="str">
        <f t="shared" si="86">IF(I288="已计入",IF(B288="卖出",MAX(0,L288-Q287-F288),IF(B288="现金分红",MAX(0,L288+E288-Q287),0)),"")</f>
        <v/>
      </c>
      <c r="N288" s="11" t="str">
        <f>IF(I288="已计入",IF(AND(B288="卖出",'持仓总览'!$C$7="本金优先"),MAX(0,E288-Q287),IF(OR(B288="卖出",B288="现金分红"),MIN(E288,M288),0)),"")</f>
        <v/>
      </c>
      <c r="O288" s="11" t="str">
        <f t="shared" si="87">IF(I288="已计入",IF(OR(B288="卖出",B288="现金分红"),MIN(Q287,MAX(0,E288-N288)),0),"")</f>
        <v/>
      </c>
      <c r="P288" s="11" t="str">
        <f t="shared" si="88">IF(I288="已计入",IF(AND(B288="卖出",K288=0),MAX(0,Q287-O288),0),"")</f>
        <v/>
      </c>
      <c r="Q288" s="11">
        <f t="shared" si="89">IF(AA288="正常",IF(I288="已计入",ROUND(Q287+IF(OR(B288="买入",B288="定投",B288="转换转入"),E288,0)-O288-P288,2),Q287),"")</f>
        <v>129570</v>
      </c>
      <c r="R288" s="11" t="str">
        <f t="shared" si="80">IF(I288="已计入",ROUND(K288*C288,2),"")</f>
        <v/>
      </c>
      <c r="S288" s="11" t="str">
        <f t="shared" si="81">IF(I288="已计入",ROUND(R288-Q288,2),"")</f>
        <v/>
      </c>
      <c r="T288" s="12" t="str">
        <f t="shared" si="82">IF(I288="已计入",IF(Q288=0,"",S288/Q288),"")</f>
        <v/>
      </c>
      <c r="U288" s="11">
        <f t="shared" si="90">IF(AA288="正常",U287+IF(AND(I288="已计入",OR(B288="买入",B288="定投",B288="转换转入")),E288,0),"")</f>
        <v>129570</v>
      </c>
      <c r="V288" s="11">
        <f t="shared" si="91">IF(AA288="正常",V287+IF(AND(I288="已计入",OR(B288="卖出",B288="现金分红")),E288,0),"")</f>
        <v>0</v>
      </c>
      <c r="W288" s="11">
        <f t="shared" si="92">IF(AA288="正常",W287+IF(I288="已计入",N288,0),"")</f>
        <v>0</v>
      </c>
      <c r="X288" s="11">
        <f t="shared" si="93">IF(AA288="正常",X287+IF(I288="已计入",P288,0),"")</f>
        <v>0</v>
      </c>
      <c r="Y288" s="11" t="str">
        <f t="shared" si="83">IF(I288="已计入",ROUND(R288+V288-U288,2),"")</f>
        <v/>
      </c>
      <c r="Z288" s="13">
        <f t="shared" si="94">IF(AA288="正常",IF(I288="已计入",A288,Z287),"")</f>
        <v>46239</v>
      </c>
      <c r="AA288" s="10" t="str">
        <f>IF(OR($AA$134="错误",COUNTIF($G$135:G288,"待修正")&gt;0),"错误","正常")</f>
        <v>正常</v>
      </c>
      <c r="AB288" s="14">
        <f t="shared" si="95">IF(AA288="正常",IF(I288="已计入",C288,AB287),"")</f>
        <v>6.347</v>
      </c>
    </row>
    <row r="289" ht="23" customHeight="1">
      <c r="A289" s="36"/>
      <c r="B289" s="37"/>
      <c r="C289" s="38"/>
      <c r="D289" s="39"/>
      <c r="E289" s="44" t="str">
        <f t="shared" si="76">IF(AND(ISNUMBER(C289),ISNUMBER(D289),ISNUMBER(F289)),IF(OR(B289="买入",B289="定投"),ROUND(C289*D289+F289,2),IF(B289="卖出",ROUND(C289*D289-F289,2),IF(B289="红利再投",0,""))),"")</f>
        <v/>
      </c>
      <c r="F289" s="39"/>
      <c r="G289" s="45" t="str">
        <f t="shared" si="77">IF(COUNTA(A289:D289,F289)=0,"",IF(I289="已计入","已录入","待修正"))</f>
        <v/>
      </c>
      <c r="H289" s="46" t="str">
        <f t="shared" si="78">IF(COUNTA(A289:D289,F289)=0,"",IF(B289="红利再投","仅增加份额，不增加现金投入","金额由份额、净值和手续费推算"))</f>
        <v/>
      </c>
      <c r="I289" s="10" t="str">
        <f>IF(COUNTA(A289:D289,F289)=0,"",IF(NOT(ISNUMBER(A289)),"缺少有效净值日期",IF(OR(A289&lt;=0,A289&lt;&gt;INT(A289)),"净值日期无效",IF(OR(B289="转换转入",B289="现金分红"),"该类型需实际金额，五项录入不适用",IF(NOT(OR(OR(B289="买入",B289="定投"),B289="卖出",B289="红利再投")),"请选择交易类型",IF(NOT(ISNUMBER(C289)),"缺少成交净值",IF(C289&lt;=0,"成交净值须大于零",IF(NOT(ISNUMBER(D289)),"缺少确认份额",IF(D289&lt;=0,"确认份额须大于零",IF(NOT(ISNUMBER(F289)),"缺少手续费，无费用请填 0",IF(F289&lt;0,"手续费不能为负",IF(AA288="错误","前行待修正",IF(A289&lt;Z288,"日期需按成交顺序递增",IF(AND(B289="红利再投",F289&lt;&gt;0),"红利再投手续费应填 0",IF(AND(B289="红利再投",K288&lt;=0),"红利再投前须有持仓",IF(AND(B289="卖出",D289&gt;K288+0.000001),"卖出份额超过持仓",IF(AND(B289="卖出",F289&gt;=C289*D289),"赎回费不能达到赎回总额",IF(NOT(ISNUMBER(E289)),"自动金额未生成，请检查五项输入",IF(NOT(OR('持仓总览'!$C$7="利润优先",'持仓总览'!$C$7="本金优先")),"请选择卖出分配模式","已计入")))))))))))))))))))</f>
        <v/>
      </c>
      <c r="J289" s="11">
        <f t="shared" si="79">IF(AA289="正常",IF(I289="已计入",IF(OR(OR(B289="买入",B289="定投",B289="转换转入"),B289="红利再投"),D289,IF(B289="卖出",-D289,0)),0),"")</f>
        <v>0</v>
      </c>
      <c r="K289" s="11">
        <f t="shared" si="84">IF(AA289="正常",ROUND(K288+J289,6),"")</f>
        <v>25721.6</v>
      </c>
      <c r="L289" s="11" t="str">
        <f t="shared" si="85">IF(I289="已计入",ROUND(K288*C289,2),"")</f>
        <v/>
      </c>
      <c r="M289" s="11" t="str">
        <f t="shared" si="86">IF(I289="已计入",IF(B289="卖出",MAX(0,L289-Q288-F289),IF(B289="现金分红",MAX(0,L289+E289-Q288),0)),"")</f>
        <v/>
      </c>
      <c r="N289" s="11" t="str">
        <f>IF(I289="已计入",IF(AND(B289="卖出",'持仓总览'!$C$7="本金优先"),MAX(0,E289-Q288),IF(OR(B289="卖出",B289="现金分红"),MIN(E289,M289),0)),"")</f>
        <v/>
      </c>
      <c r="O289" s="11" t="str">
        <f t="shared" si="87">IF(I289="已计入",IF(OR(B289="卖出",B289="现金分红"),MIN(Q288,MAX(0,E289-N289)),0),"")</f>
        <v/>
      </c>
      <c r="P289" s="11" t="str">
        <f t="shared" si="88">IF(I289="已计入",IF(AND(B289="卖出",K289=0),MAX(0,Q288-O289),0),"")</f>
        <v/>
      </c>
      <c r="Q289" s="11">
        <f t="shared" si="89">IF(AA289="正常",IF(I289="已计入",ROUND(Q288+IF(OR(B289="买入",B289="定投",B289="转换转入"),E289,0)-O289-P289,2),Q288),"")</f>
        <v>129570</v>
      </c>
      <c r="R289" s="11" t="str">
        <f t="shared" si="80">IF(I289="已计入",ROUND(K289*C289,2),"")</f>
        <v/>
      </c>
      <c r="S289" s="11" t="str">
        <f t="shared" si="81">IF(I289="已计入",ROUND(R289-Q289,2),"")</f>
        <v/>
      </c>
      <c r="T289" s="12" t="str">
        <f t="shared" si="82">IF(I289="已计入",IF(Q289=0,"",S289/Q289),"")</f>
        <v/>
      </c>
      <c r="U289" s="11">
        <f t="shared" si="90">IF(AA289="正常",U288+IF(AND(I289="已计入",OR(B289="买入",B289="定投",B289="转换转入")),E289,0),"")</f>
        <v>129570</v>
      </c>
      <c r="V289" s="11">
        <f t="shared" si="91">IF(AA289="正常",V288+IF(AND(I289="已计入",OR(B289="卖出",B289="现金分红")),E289,0),"")</f>
        <v>0</v>
      </c>
      <c r="W289" s="11">
        <f t="shared" si="92">IF(AA289="正常",W288+IF(I289="已计入",N289,0),"")</f>
        <v>0</v>
      </c>
      <c r="X289" s="11">
        <f t="shared" si="93">IF(AA289="正常",X288+IF(I289="已计入",P289,0),"")</f>
        <v>0</v>
      </c>
      <c r="Y289" s="11" t="str">
        <f t="shared" si="83">IF(I289="已计入",ROUND(R289+V289-U289,2),"")</f>
        <v/>
      </c>
      <c r="Z289" s="13">
        <f t="shared" si="94">IF(AA289="正常",IF(I289="已计入",A289,Z288),"")</f>
        <v>46239</v>
      </c>
      <c r="AA289" s="10" t="str">
        <f>IF(OR($AA$134="错误",COUNTIF($G$135:G289,"待修正")&gt;0),"错误","正常")</f>
        <v>正常</v>
      </c>
      <c r="AB289" s="14">
        <f t="shared" si="95">IF(AA289="正常",IF(I289="已计入",C289,AB288),"")</f>
        <v>6.347</v>
      </c>
    </row>
    <row r="290" ht="23" customHeight="1">
      <c r="A290" s="36"/>
      <c r="B290" s="37"/>
      <c r="C290" s="38"/>
      <c r="D290" s="39"/>
      <c r="E290" s="44" t="str">
        <f t="shared" si="76">IF(AND(ISNUMBER(C290),ISNUMBER(D290),ISNUMBER(F290)),IF(OR(B290="买入",B290="定投"),ROUND(C290*D290+F290,2),IF(B290="卖出",ROUND(C290*D290-F290,2),IF(B290="红利再投",0,""))),"")</f>
        <v/>
      </c>
      <c r="F290" s="39"/>
      <c r="G290" s="45" t="str">
        <f t="shared" si="77">IF(COUNTA(A290:D290,F290)=0,"",IF(I290="已计入","已录入","待修正"))</f>
        <v/>
      </c>
      <c r="H290" s="46" t="str">
        <f t="shared" si="78">IF(COUNTA(A290:D290,F290)=0,"",IF(B290="红利再投","仅增加份额，不增加现金投入","金额由份额、净值和手续费推算"))</f>
        <v/>
      </c>
      <c r="I290" s="10" t="str">
        <f>IF(COUNTA(A290:D290,F290)=0,"",IF(NOT(ISNUMBER(A290)),"缺少有效净值日期",IF(OR(A290&lt;=0,A290&lt;&gt;INT(A290)),"净值日期无效",IF(OR(B290="转换转入",B290="现金分红"),"该类型需实际金额，五项录入不适用",IF(NOT(OR(OR(B290="买入",B290="定投"),B290="卖出",B290="红利再投")),"请选择交易类型",IF(NOT(ISNUMBER(C290)),"缺少成交净值",IF(C290&lt;=0,"成交净值须大于零",IF(NOT(ISNUMBER(D290)),"缺少确认份额",IF(D290&lt;=0,"确认份额须大于零",IF(NOT(ISNUMBER(F290)),"缺少手续费，无费用请填 0",IF(F290&lt;0,"手续费不能为负",IF(AA289="错误","前行待修正",IF(A290&lt;Z289,"日期需按成交顺序递增",IF(AND(B290="红利再投",F290&lt;&gt;0),"红利再投手续费应填 0",IF(AND(B290="红利再投",K289&lt;=0),"红利再投前须有持仓",IF(AND(B290="卖出",D290&gt;K289+0.000001),"卖出份额超过持仓",IF(AND(B290="卖出",F290&gt;=C290*D290),"赎回费不能达到赎回总额",IF(NOT(ISNUMBER(E290)),"自动金额未生成，请检查五项输入",IF(NOT(OR('持仓总览'!$C$7="利润优先",'持仓总览'!$C$7="本金优先")),"请选择卖出分配模式","已计入")))))))))))))))))))</f>
        <v/>
      </c>
      <c r="J290" s="11">
        <f t="shared" si="79">IF(AA290="正常",IF(I290="已计入",IF(OR(OR(B290="买入",B290="定投",B290="转换转入"),B290="红利再投"),D290,IF(B290="卖出",-D290,0)),0),"")</f>
        <v>0</v>
      </c>
      <c r="K290" s="11">
        <f t="shared" si="84">IF(AA290="正常",ROUND(K289+J290,6),"")</f>
        <v>25721.6</v>
      </c>
      <c r="L290" s="11" t="str">
        <f t="shared" si="85">IF(I290="已计入",ROUND(K289*C290,2),"")</f>
        <v/>
      </c>
      <c r="M290" s="11" t="str">
        <f t="shared" si="86">IF(I290="已计入",IF(B290="卖出",MAX(0,L290-Q289-F290),IF(B290="现金分红",MAX(0,L290+E290-Q289),0)),"")</f>
        <v/>
      </c>
      <c r="N290" s="11" t="str">
        <f>IF(I290="已计入",IF(AND(B290="卖出",'持仓总览'!$C$7="本金优先"),MAX(0,E290-Q289),IF(OR(B290="卖出",B290="现金分红"),MIN(E290,M290),0)),"")</f>
        <v/>
      </c>
      <c r="O290" s="11" t="str">
        <f t="shared" si="87">IF(I290="已计入",IF(OR(B290="卖出",B290="现金分红"),MIN(Q289,MAX(0,E290-N290)),0),"")</f>
        <v/>
      </c>
      <c r="P290" s="11" t="str">
        <f t="shared" si="88">IF(I290="已计入",IF(AND(B290="卖出",K290=0),MAX(0,Q289-O290),0),"")</f>
        <v/>
      </c>
      <c r="Q290" s="11">
        <f t="shared" si="89">IF(AA290="正常",IF(I290="已计入",ROUND(Q289+IF(OR(B290="买入",B290="定投",B290="转换转入"),E290,0)-O290-P290,2),Q289),"")</f>
        <v>129570</v>
      </c>
      <c r="R290" s="11" t="str">
        <f t="shared" si="80">IF(I290="已计入",ROUND(K290*C290,2),"")</f>
        <v/>
      </c>
      <c r="S290" s="11" t="str">
        <f t="shared" si="81">IF(I290="已计入",ROUND(R290-Q290,2),"")</f>
        <v/>
      </c>
      <c r="T290" s="12" t="str">
        <f t="shared" si="82">IF(I290="已计入",IF(Q290=0,"",S290/Q290),"")</f>
        <v/>
      </c>
      <c r="U290" s="11">
        <f t="shared" si="90">IF(AA290="正常",U289+IF(AND(I290="已计入",OR(B290="买入",B290="定投",B290="转换转入")),E290,0),"")</f>
        <v>129570</v>
      </c>
      <c r="V290" s="11">
        <f t="shared" si="91">IF(AA290="正常",V289+IF(AND(I290="已计入",OR(B290="卖出",B290="现金分红")),E290,0),"")</f>
        <v>0</v>
      </c>
      <c r="W290" s="11">
        <f t="shared" si="92">IF(AA290="正常",W289+IF(I290="已计入",N290,0),"")</f>
        <v>0</v>
      </c>
      <c r="X290" s="11">
        <f t="shared" si="93">IF(AA290="正常",X289+IF(I290="已计入",P290,0),"")</f>
        <v>0</v>
      </c>
      <c r="Y290" s="11" t="str">
        <f t="shared" si="83">IF(I290="已计入",ROUND(R290+V290-U290,2),"")</f>
        <v/>
      </c>
      <c r="Z290" s="13">
        <f t="shared" si="94">IF(AA290="正常",IF(I290="已计入",A290,Z289),"")</f>
        <v>46239</v>
      </c>
      <c r="AA290" s="10" t="str">
        <f>IF(OR($AA$134="错误",COUNTIF($G$135:G290,"待修正")&gt;0),"错误","正常")</f>
        <v>正常</v>
      </c>
      <c r="AB290" s="14">
        <f t="shared" si="95">IF(AA290="正常",IF(I290="已计入",C290,AB289),"")</f>
        <v>6.347</v>
      </c>
    </row>
    <row r="291" ht="23" customHeight="1">
      <c r="A291" s="36"/>
      <c r="B291" s="37"/>
      <c r="C291" s="38"/>
      <c r="D291" s="39"/>
      <c r="E291" s="44" t="str">
        <f t="shared" si="76">IF(AND(ISNUMBER(C291),ISNUMBER(D291),ISNUMBER(F291)),IF(OR(B291="买入",B291="定投"),ROUND(C291*D291+F291,2),IF(B291="卖出",ROUND(C291*D291-F291,2),IF(B291="红利再投",0,""))),"")</f>
        <v/>
      </c>
      <c r="F291" s="39"/>
      <c r="G291" s="45" t="str">
        <f t="shared" si="77">IF(COUNTA(A291:D291,F291)=0,"",IF(I291="已计入","已录入","待修正"))</f>
        <v/>
      </c>
      <c r="H291" s="46" t="str">
        <f t="shared" si="78">IF(COUNTA(A291:D291,F291)=0,"",IF(B291="红利再投","仅增加份额，不增加现金投入","金额由份额、净值和手续费推算"))</f>
        <v/>
      </c>
      <c r="I291" s="10" t="str">
        <f>IF(COUNTA(A291:D291,F291)=0,"",IF(NOT(ISNUMBER(A291)),"缺少有效净值日期",IF(OR(A291&lt;=0,A291&lt;&gt;INT(A291)),"净值日期无效",IF(OR(B291="转换转入",B291="现金分红"),"该类型需实际金额，五项录入不适用",IF(NOT(OR(OR(B291="买入",B291="定投"),B291="卖出",B291="红利再投")),"请选择交易类型",IF(NOT(ISNUMBER(C291)),"缺少成交净值",IF(C291&lt;=0,"成交净值须大于零",IF(NOT(ISNUMBER(D291)),"缺少确认份额",IF(D291&lt;=0,"确认份额须大于零",IF(NOT(ISNUMBER(F291)),"缺少手续费，无费用请填 0",IF(F291&lt;0,"手续费不能为负",IF(AA290="错误","前行待修正",IF(A291&lt;Z290,"日期需按成交顺序递增",IF(AND(B291="红利再投",F291&lt;&gt;0),"红利再投手续费应填 0",IF(AND(B291="红利再投",K290&lt;=0),"红利再投前须有持仓",IF(AND(B291="卖出",D291&gt;K290+0.000001),"卖出份额超过持仓",IF(AND(B291="卖出",F291&gt;=C291*D291),"赎回费不能达到赎回总额",IF(NOT(ISNUMBER(E291)),"自动金额未生成，请检查五项输入",IF(NOT(OR('持仓总览'!$C$7="利润优先",'持仓总览'!$C$7="本金优先")),"请选择卖出分配模式","已计入")))))))))))))))))))</f>
        <v/>
      </c>
      <c r="J291" s="11">
        <f t="shared" si="79">IF(AA291="正常",IF(I291="已计入",IF(OR(OR(B291="买入",B291="定投",B291="转换转入"),B291="红利再投"),D291,IF(B291="卖出",-D291,0)),0),"")</f>
        <v>0</v>
      </c>
      <c r="K291" s="11">
        <f t="shared" si="84">IF(AA291="正常",ROUND(K290+J291,6),"")</f>
        <v>25721.6</v>
      </c>
      <c r="L291" s="11" t="str">
        <f t="shared" si="85">IF(I291="已计入",ROUND(K290*C291,2),"")</f>
        <v/>
      </c>
      <c r="M291" s="11" t="str">
        <f t="shared" si="86">IF(I291="已计入",IF(B291="卖出",MAX(0,L291-Q290-F291),IF(B291="现金分红",MAX(0,L291+E291-Q290),0)),"")</f>
        <v/>
      </c>
      <c r="N291" s="11" t="str">
        <f>IF(I291="已计入",IF(AND(B291="卖出",'持仓总览'!$C$7="本金优先"),MAX(0,E291-Q290),IF(OR(B291="卖出",B291="现金分红"),MIN(E291,M291),0)),"")</f>
        <v/>
      </c>
      <c r="O291" s="11" t="str">
        <f t="shared" si="87">IF(I291="已计入",IF(OR(B291="卖出",B291="现金分红"),MIN(Q290,MAX(0,E291-N291)),0),"")</f>
        <v/>
      </c>
      <c r="P291" s="11" t="str">
        <f t="shared" si="88">IF(I291="已计入",IF(AND(B291="卖出",K291=0),MAX(0,Q290-O291),0),"")</f>
        <v/>
      </c>
      <c r="Q291" s="11">
        <f t="shared" si="89">IF(AA291="正常",IF(I291="已计入",ROUND(Q290+IF(OR(B291="买入",B291="定投",B291="转换转入"),E291,0)-O291-P291,2),Q290),"")</f>
        <v>129570</v>
      </c>
      <c r="R291" s="11" t="str">
        <f t="shared" si="80">IF(I291="已计入",ROUND(K291*C291,2),"")</f>
        <v/>
      </c>
      <c r="S291" s="11" t="str">
        <f t="shared" si="81">IF(I291="已计入",ROUND(R291-Q291,2),"")</f>
        <v/>
      </c>
      <c r="T291" s="12" t="str">
        <f t="shared" si="82">IF(I291="已计入",IF(Q291=0,"",S291/Q291),"")</f>
        <v/>
      </c>
      <c r="U291" s="11">
        <f t="shared" si="90">IF(AA291="正常",U290+IF(AND(I291="已计入",OR(B291="买入",B291="定投",B291="转换转入")),E291,0),"")</f>
        <v>129570</v>
      </c>
      <c r="V291" s="11">
        <f t="shared" si="91">IF(AA291="正常",V290+IF(AND(I291="已计入",OR(B291="卖出",B291="现金分红")),E291,0),"")</f>
        <v>0</v>
      </c>
      <c r="W291" s="11">
        <f t="shared" si="92">IF(AA291="正常",W290+IF(I291="已计入",N291,0),"")</f>
        <v>0</v>
      </c>
      <c r="X291" s="11">
        <f t="shared" si="93">IF(AA291="正常",X290+IF(I291="已计入",P291,0),"")</f>
        <v>0</v>
      </c>
      <c r="Y291" s="11" t="str">
        <f t="shared" si="83">IF(I291="已计入",ROUND(R291+V291-U291,2),"")</f>
        <v/>
      </c>
      <c r="Z291" s="13">
        <f t="shared" si="94">IF(AA291="正常",IF(I291="已计入",A291,Z290),"")</f>
        <v>46239</v>
      </c>
      <c r="AA291" s="10" t="str">
        <f>IF(OR($AA$134="错误",COUNTIF($G$135:G291,"待修正")&gt;0),"错误","正常")</f>
        <v>正常</v>
      </c>
      <c r="AB291" s="14">
        <f t="shared" si="95">IF(AA291="正常",IF(I291="已计入",C291,AB290),"")</f>
        <v>6.347</v>
      </c>
    </row>
    <row r="292" ht="23" customHeight="1">
      <c r="A292" s="36"/>
      <c r="B292" s="37"/>
      <c r="C292" s="38"/>
      <c r="D292" s="39"/>
      <c r="E292" s="44" t="str">
        <f t="shared" si="76">IF(AND(ISNUMBER(C292),ISNUMBER(D292),ISNUMBER(F292)),IF(OR(B292="买入",B292="定投"),ROUND(C292*D292+F292,2),IF(B292="卖出",ROUND(C292*D292-F292,2),IF(B292="红利再投",0,""))),"")</f>
        <v/>
      </c>
      <c r="F292" s="39"/>
      <c r="G292" s="45" t="str">
        <f t="shared" si="77">IF(COUNTA(A292:D292,F292)=0,"",IF(I292="已计入","已录入","待修正"))</f>
        <v/>
      </c>
      <c r="H292" s="46" t="str">
        <f t="shared" si="78">IF(COUNTA(A292:D292,F292)=0,"",IF(B292="红利再投","仅增加份额，不增加现金投入","金额由份额、净值和手续费推算"))</f>
        <v/>
      </c>
      <c r="I292" s="10" t="str">
        <f>IF(COUNTA(A292:D292,F292)=0,"",IF(NOT(ISNUMBER(A292)),"缺少有效净值日期",IF(OR(A292&lt;=0,A292&lt;&gt;INT(A292)),"净值日期无效",IF(OR(B292="转换转入",B292="现金分红"),"该类型需实际金额，五项录入不适用",IF(NOT(OR(OR(B292="买入",B292="定投"),B292="卖出",B292="红利再投")),"请选择交易类型",IF(NOT(ISNUMBER(C292)),"缺少成交净值",IF(C292&lt;=0,"成交净值须大于零",IF(NOT(ISNUMBER(D292)),"缺少确认份额",IF(D292&lt;=0,"确认份额须大于零",IF(NOT(ISNUMBER(F292)),"缺少手续费，无费用请填 0",IF(F292&lt;0,"手续费不能为负",IF(AA291="错误","前行待修正",IF(A292&lt;Z291,"日期需按成交顺序递增",IF(AND(B292="红利再投",F292&lt;&gt;0),"红利再投手续费应填 0",IF(AND(B292="红利再投",K291&lt;=0),"红利再投前须有持仓",IF(AND(B292="卖出",D292&gt;K291+0.000001),"卖出份额超过持仓",IF(AND(B292="卖出",F292&gt;=C292*D292),"赎回费不能达到赎回总额",IF(NOT(ISNUMBER(E292)),"自动金额未生成，请检查五项输入",IF(NOT(OR('持仓总览'!$C$7="利润优先",'持仓总览'!$C$7="本金优先")),"请选择卖出分配模式","已计入")))))))))))))))))))</f>
        <v/>
      </c>
      <c r="J292" s="11">
        <f t="shared" si="79">IF(AA292="正常",IF(I292="已计入",IF(OR(OR(B292="买入",B292="定投",B292="转换转入"),B292="红利再投"),D292,IF(B292="卖出",-D292,0)),0),"")</f>
        <v>0</v>
      </c>
      <c r="K292" s="11">
        <f t="shared" si="84">IF(AA292="正常",ROUND(K291+J292,6),"")</f>
        <v>25721.6</v>
      </c>
      <c r="L292" s="11" t="str">
        <f t="shared" si="85">IF(I292="已计入",ROUND(K291*C292,2),"")</f>
        <v/>
      </c>
      <c r="M292" s="11" t="str">
        <f t="shared" si="86">IF(I292="已计入",IF(B292="卖出",MAX(0,L292-Q291-F292),IF(B292="现金分红",MAX(0,L292+E292-Q291),0)),"")</f>
        <v/>
      </c>
      <c r="N292" s="11" t="str">
        <f>IF(I292="已计入",IF(AND(B292="卖出",'持仓总览'!$C$7="本金优先"),MAX(0,E292-Q291),IF(OR(B292="卖出",B292="现金分红"),MIN(E292,M292),0)),"")</f>
        <v/>
      </c>
      <c r="O292" s="11" t="str">
        <f t="shared" si="87">IF(I292="已计入",IF(OR(B292="卖出",B292="现金分红"),MIN(Q291,MAX(0,E292-N292)),0),"")</f>
        <v/>
      </c>
      <c r="P292" s="11" t="str">
        <f t="shared" si="88">IF(I292="已计入",IF(AND(B292="卖出",K292=0),MAX(0,Q291-O292),0),"")</f>
        <v/>
      </c>
      <c r="Q292" s="11">
        <f t="shared" si="89">IF(AA292="正常",IF(I292="已计入",ROUND(Q291+IF(OR(B292="买入",B292="定投",B292="转换转入"),E292,0)-O292-P292,2),Q291),"")</f>
        <v>129570</v>
      </c>
      <c r="R292" s="11" t="str">
        <f t="shared" si="80">IF(I292="已计入",ROUND(K292*C292,2),"")</f>
        <v/>
      </c>
      <c r="S292" s="11" t="str">
        <f t="shared" si="81">IF(I292="已计入",ROUND(R292-Q292,2),"")</f>
        <v/>
      </c>
      <c r="T292" s="12" t="str">
        <f t="shared" si="82">IF(I292="已计入",IF(Q292=0,"",S292/Q292),"")</f>
        <v/>
      </c>
      <c r="U292" s="11">
        <f t="shared" si="90">IF(AA292="正常",U291+IF(AND(I292="已计入",OR(B292="买入",B292="定投",B292="转换转入")),E292,0),"")</f>
        <v>129570</v>
      </c>
      <c r="V292" s="11">
        <f t="shared" si="91">IF(AA292="正常",V291+IF(AND(I292="已计入",OR(B292="卖出",B292="现金分红")),E292,0),"")</f>
        <v>0</v>
      </c>
      <c r="W292" s="11">
        <f t="shared" si="92">IF(AA292="正常",W291+IF(I292="已计入",N292,0),"")</f>
        <v>0</v>
      </c>
      <c r="X292" s="11">
        <f t="shared" si="93">IF(AA292="正常",X291+IF(I292="已计入",P292,0),"")</f>
        <v>0</v>
      </c>
      <c r="Y292" s="11" t="str">
        <f t="shared" si="83">IF(I292="已计入",ROUND(R292+V292-U292,2),"")</f>
        <v/>
      </c>
      <c r="Z292" s="13">
        <f t="shared" si="94">IF(AA292="正常",IF(I292="已计入",A292,Z291),"")</f>
        <v>46239</v>
      </c>
      <c r="AA292" s="10" t="str">
        <f>IF(OR($AA$134="错误",COUNTIF($G$135:G292,"待修正")&gt;0),"错误","正常")</f>
        <v>正常</v>
      </c>
      <c r="AB292" s="14">
        <f t="shared" si="95">IF(AA292="正常",IF(I292="已计入",C292,AB291),"")</f>
        <v>6.347</v>
      </c>
    </row>
    <row r="293" ht="23" customHeight="1">
      <c r="A293" s="36"/>
      <c r="B293" s="37"/>
      <c r="C293" s="38"/>
      <c r="D293" s="39"/>
      <c r="E293" s="44" t="str">
        <f t="shared" si="76">IF(AND(ISNUMBER(C293),ISNUMBER(D293),ISNUMBER(F293)),IF(OR(B293="买入",B293="定投"),ROUND(C293*D293+F293,2),IF(B293="卖出",ROUND(C293*D293-F293,2),IF(B293="红利再投",0,""))),"")</f>
        <v/>
      </c>
      <c r="F293" s="39"/>
      <c r="G293" s="45" t="str">
        <f t="shared" si="77">IF(COUNTA(A293:D293,F293)=0,"",IF(I293="已计入","已录入","待修正"))</f>
        <v/>
      </c>
      <c r="H293" s="46" t="str">
        <f t="shared" si="78">IF(COUNTA(A293:D293,F293)=0,"",IF(B293="红利再投","仅增加份额，不增加现金投入","金额由份额、净值和手续费推算"))</f>
        <v/>
      </c>
      <c r="I293" s="10" t="str">
        <f>IF(COUNTA(A293:D293,F293)=0,"",IF(NOT(ISNUMBER(A293)),"缺少有效净值日期",IF(OR(A293&lt;=0,A293&lt;&gt;INT(A293)),"净值日期无效",IF(OR(B293="转换转入",B293="现金分红"),"该类型需实际金额，五项录入不适用",IF(NOT(OR(OR(B293="买入",B293="定投"),B293="卖出",B293="红利再投")),"请选择交易类型",IF(NOT(ISNUMBER(C293)),"缺少成交净值",IF(C293&lt;=0,"成交净值须大于零",IF(NOT(ISNUMBER(D293)),"缺少确认份额",IF(D293&lt;=0,"确认份额须大于零",IF(NOT(ISNUMBER(F293)),"缺少手续费，无费用请填 0",IF(F293&lt;0,"手续费不能为负",IF(AA292="错误","前行待修正",IF(A293&lt;Z292,"日期需按成交顺序递增",IF(AND(B293="红利再投",F293&lt;&gt;0),"红利再投手续费应填 0",IF(AND(B293="红利再投",K292&lt;=0),"红利再投前须有持仓",IF(AND(B293="卖出",D293&gt;K292+0.000001),"卖出份额超过持仓",IF(AND(B293="卖出",F293&gt;=C293*D293),"赎回费不能达到赎回总额",IF(NOT(ISNUMBER(E293)),"自动金额未生成，请检查五项输入",IF(NOT(OR('持仓总览'!$C$7="利润优先",'持仓总览'!$C$7="本金优先")),"请选择卖出分配模式","已计入")))))))))))))))))))</f>
        <v/>
      </c>
      <c r="J293" s="11">
        <f t="shared" si="79">IF(AA293="正常",IF(I293="已计入",IF(OR(OR(B293="买入",B293="定投",B293="转换转入"),B293="红利再投"),D293,IF(B293="卖出",-D293,0)),0),"")</f>
        <v>0</v>
      </c>
      <c r="K293" s="11">
        <f t="shared" si="84">IF(AA293="正常",ROUND(K292+J293,6),"")</f>
        <v>25721.6</v>
      </c>
      <c r="L293" s="11" t="str">
        <f t="shared" si="85">IF(I293="已计入",ROUND(K292*C293,2),"")</f>
        <v/>
      </c>
      <c r="M293" s="11" t="str">
        <f t="shared" si="86">IF(I293="已计入",IF(B293="卖出",MAX(0,L293-Q292-F293),IF(B293="现金分红",MAX(0,L293+E293-Q292),0)),"")</f>
        <v/>
      </c>
      <c r="N293" s="11" t="str">
        <f>IF(I293="已计入",IF(AND(B293="卖出",'持仓总览'!$C$7="本金优先"),MAX(0,E293-Q292),IF(OR(B293="卖出",B293="现金分红"),MIN(E293,M293),0)),"")</f>
        <v/>
      </c>
      <c r="O293" s="11" t="str">
        <f t="shared" si="87">IF(I293="已计入",IF(OR(B293="卖出",B293="现金分红"),MIN(Q292,MAX(0,E293-N293)),0),"")</f>
        <v/>
      </c>
      <c r="P293" s="11" t="str">
        <f t="shared" si="88">IF(I293="已计入",IF(AND(B293="卖出",K293=0),MAX(0,Q292-O293),0),"")</f>
        <v/>
      </c>
      <c r="Q293" s="11">
        <f t="shared" si="89">IF(AA293="正常",IF(I293="已计入",ROUND(Q292+IF(OR(B293="买入",B293="定投",B293="转换转入"),E293,0)-O293-P293,2),Q292),"")</f>
        <v>129570</v>
      </c>
      <c r="R293" s="11" t="str">
        <f t="shared" si="80">IF(I293="已计入",ROUND(K293*C293,2),"")</f>
        <v/>
      </c>
      <c r="S293" s="11" t="str">
        <f t="shared" si="81">IF(I293="已计入",ROUND(R293-Q293,2),"")</f>
        <v/>
      </c>
      <c r="T293" s="12" t="str">
        <f t="shared" si="82">IF(I293="已计入",IF(Q293=0,"",S293/Q293),"")</f>
        <v/>
      </c>
      <c r="U293" s="11">
        <f t="shared" si="90">IF(AA293="正常",U292+IF(AND(I293="已计入",OR(B293="买入",B293="定投",B293="转换转入")),E293,0),"")</f>
        <v>129570</v>
      </c>
      <c r="V293" s="11">
        <f t="shared" si="91">IF(AA293="正常",V292+IF(AND(I293="已计入",OR(B293="卖出",B293="现金分红")),E293,0),"")</f>
        <v>0</v>
      </c>
      <c r="W293" s="11">
        <f t="shared" si="92">IF(AA293="正常",W292+IF(I293="已计入",N293,0),"")</f>
        <v>0</v>
      </c>
      <c r="X293" s="11">
        <f t="shared" si="93">IF(AA293="正常",X292+IF(I293="已计入",P293,0),"")</f>
        <v>0</v>
      </c>
      <c r="Y293" s="11" t="str">
        <f t="shared" si="83">IF(I293="已计入",ROUND(R293+V293-U293,2),"")</f>
        <v/>
      </c>
      <c r="Z293" s="13">
        <f t="shared" si="94">IF(AA293="正常",IF(I293="已计入",A293,Z292),"")</f>
        <v>46239</v>
      </c>
      <c r="AA293" s="10" t="str">
        <f>IF(OR($AA$134="错误",COUNTIF($G$135:G293,"待修正")&gt;0),"错误","正常")</f>
        <v>正常</v>
      </c>
      <c r="AB293" s="14">
        <f t="shared" si="95">IF(AA293="正常",IF(I293="已计入",C293,AB292),"")</f>
        <v>6.347</v>
      </c>
    </row>
    <row r="294" ht="23" customHeight="1">
      <c r="A294" s="36"/>
      <c r="B294" s="37"/>
      <c r="C294" s="38"/>
      <c r="D294" s="39"/>
      <c r="E294" s="44" t="str">
        <f t="shared" si="76">IF(AND(ISNUMBER(C294),ISNUMBER(D294),ISNUMBER(F294)),IF(OR(B294="买入",B294="定投"),ROUND(C294*D294+F294,2),IF(B294="卖出",ROUND(C294*D294-F294,2),IF(B294="红利再投",0,""))),"")</f>
        <v/>
      </c>
      <c r="F294" s="39"/>
      <c r="G294" s="45" t="str">
        <f t="shared" si="77">IF(COUNTA(A294:D294,F294)=0,"",IF(I294="已计入","已录入","待修正"))</f>
        <v/>
      </c>
      <c r="H294" s="46" t="str">
        <f t="shared" si="78">IF(COUNTA(A294:D294,F294)=0,"",IF(B294="红利再投","仅增加份额，不增加现金投入","金额由份额、净值和手续费推算"))</f>
        <v/>
      </c>
      <c r="I294" s="10" t="str">
        <f>IF(COUNTA(A294:D294,F294)=0,"",IF(NOT(ISNUMBER(A294)),"缺少有效净值日期",IF(OR(A294&lt;=0,A294&lt;&gt;INT(A294)),"净值日期无效",IF(OR(B294="转换转入",B294="现金分红"),"该类型需实际金额，五项录入不适用",IF(NOT(OR(OR(B294="买入",B294="定投"),B294="卖出",B294="红利再投")),"请选择交易类型",IF(NOT(ISNUMBER(C294)),"缺少成交净值",IF(C294&lt;=0,"成交净值须大于零",IF(NOT(ISNUMBER(D294)),"缺少确认份额",IF(D294&lt;=0,"确认份额须大于零",IF(NOT(ISNUMBER(F294)),"缺少手续费，无费用请填 0",IF(F294&lt;0,"手续费不能为负",IF(AA293="错误","前行待修正",IF(A294&lt;Z293,"日期需按成交顺序递增",IF(AND(B294="红利再投",F294&lt;&gt;0),"红利再投手续费应填 0",IF(AND(B294="红利再投",K293&lt;=0),"红利再投前须有持仓",IF(AND(B294="卖出",D294&gt;K293+0.000001),"卖出份额超过持仓",IF(AND(B294="卖出",F294&gt;=C294*D294),"赎回费不能达到赎回总额",IF(NOT(ISNUMBER(E294)),"自动金额未生成，请检查五项输入",IF(NOT(OR('持仓总览'!$C$7="利润优先",'持仓总览'!$C$7="本金优先")),"请选择卖出分配模式","已计入")))))))))))))))))))</f>
        <v/>
      </c>
      <c r="J294" s="11">
        <f t="shared" si="79">IF(AA294="正常",IF(I294="已计入",IF(OR(OR(B294="买入",B294="定投",B294="转换转入"),B294="红利再投"),D294,IF(B294="卖出",-D294,0)),0),"")</f>
        <v>0</v>
      </c>
      <c r="K294" s="11">
        <f t="shared" si="84">IF(AA294="正常",ROUND(K293+J294,6),"")</f>
        <v>25721.6</v>
      </c>
      <c r="L294" s="11" t="str">
        <f t="shared" si="85">IF(I294="已计入",ROUND(K293*C294,2),"")</f>
        <v/>
      </c>
      <c r="M294" s="11" t="str">
        <f t="shared" si="86">IF(I294="已计入",IF(B294="卖出",MAX(0,L294-Q293-F294),IF(B294="现金分红",MAX(0,L294+E294-Q293),0)),"")</f>
        <v/>
      </c>
      <c r="N294" s="11" t="str">
        <f>IF(I294="已计入",IF(AND(B294="卖出",'持仓总览'!$C$7="本金优先"),MAX(0,E294-Q293),IF(OR(B294="卖出",B294="现金分红"),MIN(E294,M294),0)),"")</f>
        <v/>
      </c>
      <c r="O294" s="11" t="str">
        <f t="shared" si="87">IF(I294="已计入",IF(OR(B294="卖出",B294="现金分红"),MIN(Q293,MAX(0,E294-N294)),0),"")</f>
        <v/>
      </c>
      <c r="P294" s="11" t="str">
        <f t="shared" si="88">IF(I294="已计入",IF(AND(B294="卖出",K294=0),MAX(0,Q293-O294),0),"")</f>
        <v/>
      </c>
      <c r="Q294" s="11">
        <f t="shared" si="89">IF(AA294="正常",IF(I294="已计入",ROUND(Q293+IF(OR(B294="买入",B294="定投",B294="转换转入"),E294,0)-O294-P294,2),Q293),"")</f>
        <v>129570</v>
      </c>
      <c r="R294" s="11" t="str">
        <f t="shared" si="80">IF(I294="已计入",ROUND(K294*C294,2),"")</f>
        <v/>
      </c>
      <c r="S294" s="11" t="str">
        <f t="shared" si="81">IF(I294="已计入",ROUND(R294-Q294,2),"")</f>
        <v/>
      </c>
      <c r="T294" s="12" t="str">
        <f t="shared" si="82">IF(I294="已计入",IF(Q294=0,"",S294/Q294),"")</f>
        <v/>
      </c>
      <c r="U294" s="11">
        <f t="shared" si="90">IF(AA294="正常",U293+IF(AND(I294="已计入",OR(B294="买入",B294="定投",B294="转换转入")),E294,0),"")</f>
        <v>129570</v>
      </c>
      <c r="V294" s="11">
        <f t="shared" si="91">IF(AA294="正常",V293+IF(AND(I294="已计入",OR(B294="卖出",B294="现金分红")),E294,0),"")</f>
        <v>0</v>
      </c>
      <c r="W294" s="11">
        <f t="shared" si="92">IF(AA294="正常",W293+IF(I294="已计入",N294,0),"")</f>
        <v>0</v>
      </c>
      <c r="X294" s="11">
        <f t="shared" si="93">IF(AA294="正常",X293+IF(I294="已计入",P294,0),"")</f>
        <v>0</v>
      </c>
      <c r="Y294" s="11" t="str">
        <f t="shared" si="83">IF(I294="已计入",ROUND(R294+V294-U294,2),"")</f>
        <v/>
      </c>
      <c r="Z294" s="13">
        <f t="shared" si="94">IF(AA294="正常",IF(I294="已计入",A294,Z293),"")</f>
        <v>46239</v>
      </c>
      <c r="AA294" s="10" t="str">
        <f>IF(OR($AA$134="错误",COUNTIF($G$135:G294,"待修正")&gt;0),"错误","正常")</f>
        <v>正常</v>
      </c>
      <c r="AB294" s="14">
        <f t="shared" si="95">IF(AA294="正常",IF(I294="已计入",C294,AB293),"")</f>
        <v>6.347</v>
      </c>
    </row>
    <row r="295" ht="23" customHeight="1">
      <c r="A295" s="36"/>
      <c r="B295" s="37"/>
      <c r="C295" s="38"/>
      <c r="D295" s="39"/>
      <c r="E295" s="44" t="str">
        <f t="shared" si="76">IF(AND(ISNUMBER(C295),ISNUMBER(D295),ISNUMBER(F295)),IF(OR(B295="买入",B295="定投"),ROUND(C295*D295+F295,2),IF(B295="卖出",ROUND(C295*D295-F295,2),IF(B295="红利再投",0,""))),"")</f>
        <v/>
      </c>
      <c r="F295" s="39"/>
      <c r="G295" s="45" t="str">
        <f t="shared" si="77">IF(COUNTA(A295:D295,F295)=0,"",IF(I295="已计入","已录入","待修正"))</f>
        <v/>
      </c>
      <c r="H295" s="46" t="str">
        <f t="shared" si="78">IF(COUNTA(A295:D295,F295)=0,"",IF(B295="红利再投","仅增加份额，不增加现金投入","金额由份额、净值和手续费推算"))</f>
        <v/>
      </c>
      <c r="I295" s="10" t="str">
        <f>IF(COUNTA(A295:D295,F295)=0,"",IF(NOT(ISNUMBER(A295)),"缺少有效净值日期",IF(OR(A295&lt;=0,A295&lt;&gt;INT(A295)),"净值日期无效",IF(OR(B295="转换转入",B295="现金分红"),"该类型需实际金额，五项录入不适用",IF(NOT(OR(OR(B295="买入",B295="定投"),B295="卖出",B295="红利再投")),"请选择交易类型",IF(NOT(ISNUMBER(C295)),"缺少成交净值",IF(C295&lt;=0,"成交净值须大于零",IF(NOT(ISNUMBER(D295)),"缺少确认份额",IF(D295&lt;=0,"确认份额须大于零",IF(NOT(ISNUMBER(F295)),"缺少手续费，无费用请填 0",IF(F295&lt;0,"手续费不能为负",IF(AA294="错误","前行待修正",IF(A295&lt;Z294,"日期需按成交顺序递增",IF(AND(B295="红利再投",F295&lt;&gt;0),"红利再投手续费应填 0",IF(AND(B295="红利再投",K294&lt;=0),"红利再投前须有持仓",IF(AND(B295="卖出",D295&gt;K294+0.000001),"卖出份额超过持仓",IF(AND(B295="卖出",F295&gt;=C295*D295),"赎回费不能达到赎回总额",IF(NOT(ISNUMBER(E295)),"自动金额未生成，请检查五项输入",IF(NOT(OR('持仓总览'!$C$7="利润优先",'持仓总览'!$C$7="本金优先")),"请选择卖出分配模式","已计入")))))))))))))))))))</f>
        <v/>
      </c>
      <c r="J295" s="11">
        <f t="shared" si="79">IF(AA295="正常",IF(I295="已计入",IF(OR(OR(B295="买入",B295="定投",B295="转换转入"),B295="红利再投"),D295,IF(B295="卖出",-D295,0)),0),"")</f>
        <v>0</v>
      </c>
      <c r="K295" s="11">
        <f t="shared" si="84">IF(AA295="正常",ROUND(K294+J295,6),"")</f>
        <v>25721.6</v>
      </c>
      <c r="L295" s="11" t="str">
        <f t="shared" si="85">IF(I295="已计入",ROUND(K294*C295,2),"")</f>
        <v/>
      </c>
      <c r="M295" s="11" t="str">
        <f t="shared" si="86">IF(I295="已计入",IF(B295="卖出",MAX(0,L295-Q294-F295),IF(B295="现金分红",MAX(0,L295+E295-Q294),0)),"")</f>
        <v/>
      </c>
      <c r="N295" s="11" t="str">
        <f>IF(I295="已计入",IF(AND(B295="卖出",'持仓总览'!$C$7="本金优先"),MAX(0,E295-Q294),IF(OR(B295="卖出",B295="现金分红"),MIN(E295,M295),0)),"")</f>
        <v/>
      </c>
      <c r="O295" s="11" t="str">
        <f t="shared" si="87">IF(I295="已计入",IF(OR(B295="卖出",B295="现金分红"),MIN(Q294,MAX(0,E295-N295)),0),"")</f>
        <v/>
      </c>
      <c r="P295" s="11" t="str">
        <f t="shared" si="88">IF(I295="已计入",IF(AND(B295="卖出",K295=0),MAX(0,Q294-O295),0),"")</f>
        <v/>
      </c>
      <c r="Q295" s="11">
        <f t="shared" si="89">IF(AA295="正常",IF(I295="已计入",ROUND(Q294+IF(OR(B295="买入",B295="定投",B295="转换转入"),E295,0)-O295-P295,2),Q294),"")</f>
        <v>129570</v>
      </c>
      <c r="R295" s="11" t="str">
        <f t="shared" si="80">IF(I295="已计入",ROUND(K295*C295,2),"")</f>
        <v/>
      </c>
      <c r="S295" s="11" t="str">
        <f t="shared" si="81">IF(I295="已计入",ROUND(R295-Q295,2),"")</f>
        <v/>
      </c>
      <c r="T295" s="12" t="str">
        <f t="shared" si="82">IF(I295="已计入",IF(Q295=0,"",S295/Q295),"")</f>
        <v/>
      </c>
      <c r="U295" s="11">
        <f t="shared" si="90">IF(AA295="正常",U294+IF(AND(I295="已计入",OR(B295="买入",B295="定投",B295="转换转入")),E295,0),"")</f>
        <v>129570</v>
      </c>
      <c r="V295" s="11">
        <f t="shared" si="91">IF(AA295="正常",V294+IF(AND(I295="已计入",OR(B295="卖出",B295="现金分红")),E295,0),"")</f>
        <v>0</v>
      </c>
      <c r="W295" s="11">
        <f t="shared" si="92">IF(AA295="正常",W294+IF(I295="已计入",N295,0),"")</f>
        <v>0</v>
      </c>
      <c r="X295" s="11">
        <f t="shared" si="93">IF(AA295="正常",X294+IF(I295="已计入",P295,0),"")</f>
        <v>0</v>
      </c>
      <c r="Y295" s="11" t="str">
        <f t="shared" si="83">IF(I295="已计入",ROUND(R295+V295-U295,2),"")</f>
        <v/>
      </c>
      <c r="Z295" s="13">
        <f t="shared" si="94">IF(AA295="正常",IF(I295="已计入",A295,Z294),"")</f>
        <v>46239</v>
      </c>
      <c r="AA295" s="10" t="str">
        <f>IF(OR($AA$134="错误",COUNTIF($G$135:G295,"待修正")&gt;0),"错误","正常")</f>
        <v>正常</v>
      </c>
      <c r="AB295" s="14">
        <f t="shared" si="95">IF(AA295="正常",IF(I295="已计入",C295,AB294),"")</f>
        <v>6.347</v>
      </c>
    </row>
    <row r="296" ht="23" customHeight="1">
      <c r="A296" s="36"/>
      <c r="B296" s="37"/>
      <c r="C296" s="38"/>
      <c r="D296" s="39"/>
      <c r="E296" s="44" t="str">
        <f t="shared" si="76">IF(AND(ISNUMBER(C296),ISNUMBER(D296),ISNUMBER(F296)),IF(OR(B296="买入",B296="定投"),ROUND(C296*D296+F296,2),IF(B296="卖出",ROUND(C296*D296-F296,2),IF(B296="红利再投",0,""))),"")</f>
        <v/>
      </c>
      <c r="F296" s="39"/>
      <c r="G296" s="45" t="str">
        <f t="shared" si="77">IF(COUNTA(A296:D296,F296)=0,"",IF(I296="已计入","已录入","待修正"))</f>
        <v/>
      </c>
      <c r="H296" s="46" t="str">
        <f t="shared" si="78">IF(COUNTA(A296:D296,F296)=0,"",IF(B296="红利再投","仅增加份额，不增加现金投入","金额由份额、净值和手续费推算"))</f>
        <v/>
      </c>
      <c r="I296" s="10" t="str">
        <f>IF(COUNTA(A296:D296,F296)=0,"",IF(NOT(ISNUMBER(A296)),"缺少有效净值日期",IF(OR(A296&lt;=0,A296&lt;&gt;INT(A296)),"净值日期无效",IF(OR(B296="转换转入",B296="现金分红"),"该类型需实际金额，五项录入不适用",IF(NOT(OR(OR(B296="买入",B296="定投"),B296="卖出",B296="红利再投")),"请选择交易类型",IF(NOT(ISNUMBER(C296)),"缺少成交净值",IF(C296&lt;=0,"成交净值须大于零",IF(NOT(ISNUMBER(D296)),"缺少确认份额",IF(D296&lt;=0,"确认份额须大于零",IF(NOT(ISNUMBER(F296)),"缺少手续费，无费用请填 0",IF(F296&lt;0,"手续费不能为负",IF(AA295="错误","前行待修正",IF(A296&lt;Z295,"日期需按成交顺序递增",IF(AND(B296="红利再投",F296&lt;&gt;0),"红利再投手续费应填 0",IF(AND(B296="红利再投",K295&lt;=0),"红利再投前须有持仓",IF(AND(B296="卖出",D296&gt;K295+0.000001),"卖出份额超过持仓",IF(AND(B296="卖出",F296&gt;=C296*D296),"赎回费不能达到赎回总额",IF(NOT(ISNUMBER(E296)),"自动金额未生成，请检查五项输入",IF(NOT(OR('持仓总览'!$C$7="利润优先",'持仓总览'!$C$7="本金优先")),"请选择卖出分配模式","已计入")))))))))))))))))))</f>
        <v/>
      </c>
      <c r="J296" s="11">
        <f t="shared" si="79">IF(AA296="正常",IF(I296="已计入",IF(OR(OR(B296="买入",B296="定投",B296="转换转入"),B296="红利再投"),D296,IF(B296="卖出",-D296,0)),0),"")</f>
        <v>0</v>
      </c>
      <c r="K296" s="11">
        <f t="shared" si="84">IF(AA296="正常",ROUND(K295+J296,6),"")</f>
        <v>25721.6</v>
      </c>
      <c r="L296" s="11" t="str">
        <f t="shared" si="85">IF(I296="已计入",ROUND(K295*C296,2),"")</f>
        <v/>
      </c>
      <c r="M296" s="11" t="str">
        <f t="shared" si="86">IF(I296="已计入",IF(B296="卖出",MAX(0,L296-Q295-F296),IF(B296="现金分红",MAX(0,L296+E296-Q295),0)),"")</f>
        <v/>
      </c>
      <c r="N296" s="11" t="str">
        <f>IF(I296="已计入",IF(AND(B296="卖出",'持仓总览'!$C$7="本金优先"),MAX(0,E296-Q295),IF(OR(B296="卖出",B296="现金分红"),MIN(E296,M296),0)),"")</f>
        <v/>
      </c>
      <c r="O296" s="11" t="str">
        <f t="shared" si="87">IF(I296="已计入",IF(OR(B296="卖出",B296="现金分红"),MIN(Q295,MAX(0,E296-N296)),0),"")</f>
        <v/>
      </c>
      <c r="P296" s="11" t="str">
        <f t="shared" si="88">IF(I296="已计入",IF(AND(B296="卖出",K296=0),MAX(0,Q295-O296),0),"")</f>
        <v/>
      </c>
      <c r="Q296" s="11">
        <f t="shared" si="89">IF(AA296="正常",IF(I296="已计入",ROUND(Q295+IF(OR(B296="买入",B296="定投",B296="转换转入"),E296,0)-O296-P296,2),Q295),"")</f>
        <v>129570</v>
      </c>
      <c r="R296" s="11" t="str">
        <f t="shared" si="80">IF(I296="已计入",ROUND(K296*C296,2),"")</f>
        <v/>
      </c>
      <c r="S296" s="11" t="str">
        <f t="shared" si="81">IF(I296="已计入",ROUND(R296-Q296,2),"")</f>
        <v/>
      </c>
      <c r="T296" s="12" t="str">
        <f t="shared" si="82">IF(I296="已计入",IF(Q296=0,"",S296/Q296),"")</f>
        <v/>
      </c>
      <c r="U296" s="11">
        <f t="shared" si="90">IF(AA296="正常",U295+IF(AND(I296="已计入",OR(B296="买入",B296="定投",B296="转换转入")),E296,0),"")</f>
        <v>129570</v>
      </c>
      <c r="V296" s="11">
        <f t="shared" si="91">IF(AA296="正常",V295+IF(AND(I296="已计入",OR(B296="卖出",B296="现金分红")),E296,0),"")</f>
        <v>0</v>
      </c>
      <c r="W296" s="11">
        <f t="shared" si="92">IF(AA296="正常",W295+IF(I296="已计入",N296,0),"")</f>
        <v>0</v>
      </c>
      <c r="X296" s="11">
        <f t="shared" si="93">IF(AA296="正常",X295+IF(I296="已计入",P296,0),"")</f>
        <v>0</v>
      </c>
      <c r="Y296" s="11" t="str">
        <f t="shared" si="83">IF(I296="已计入",ROUND(R296+V296-U296,2),"")</f>
        <v/>
      </c>
      <c r="Z296" s="13">
        <f t="shared" si="94">IF(AA296="正常",IF(I296="已计入",A296,Z295),"")</f>
        <v>46239</v>
      </c>
      <c r="AA296" s="10" t="str">
        <f>IF(OR($AA$134="错误",COUNTIF($G$135:G296,"待修正")&gt;0),"错误","正常")</f>
        <v>正常</v>
      </c>
      <c r="AB296" s="14">
        <f t="shared" si="95">IF(AA296="正常",IF(I296="已计入",C296,AB295),"")</f>
        <v>6.347</v>
      </c>
    </row>
    <row r="297" ht="23" customHeight="1">
      <c r="A297" s="36"/>
      <c r="B297" s="37"/>
      <c r="C297" s="38"/>
      <c r="D297" s="39"/>
      <c r="E297" s="44" t="str">
        <f t="shared" si="76">IF(AND(ISNUMBER(C297),ISNUMBER(D297),ISNUMBER(F297)),IF(OR(B297="买入",B297="定投"),ROUND(C297*D297+F297,2),IF(B297="卖出",ROUND(C297*D297-F297,2),IF(B297="红利再投",0,""))),"")</f>
        <v/>
      </c>
      <c r="F297" s="39"/>
      <c r="G297" s="45" t="str">
        <f t="shared" si="77">IF(COUNTA(A297:D297,F297)=0,"",IF(I297="已计入","已录入","待修正"))</f>
        <v/>
      </c>
      <c r="H297" s="46" t="str">
        <f t="shared" si="78">IF(COUNTA(A297:D297,F297)=0,"",IF(B297="红利再投","仅增加份额，不增加现金投入","金额由份额、净值和手续费推算"))</f>
        <v/>
      </c>
      <c r="I297" s="10" t="str">
        <f>IF(COUNTA(A297:D297,F297)=0,"",IF(NOT(ISNUMBER(A297)),"缺少有效净值日期",IF(OR(A297&lt;=0,A297&lt;&gt;INT(A297)),"净值日期无效",IF(OR(B297="转换转入",B297="现金分红"),"该类型需实际金额，五项录入不适用",IF(NOT(OR(OR(B297="买入",B297="定投"),B297="卖出",B297="红利再投")),"请选择交易类型",IF(NOT(ISNUMBER(C297)),"缺少成交净值",IF(C297&lt;=0,"成交净值须大于零",IF(NOT(ISNUMBER(D297)),"缺少确认份额",IF(D297&lt;=0,"确认份额须大于零",IF(NOT(ISNUMBER(F297)),"缺少手续费，无费用请填 0",IF(F297&lt;0,"手续费不能为负",IF(AA296="错误","前行待修正",IF(A297&lt;Z296,"日期需按成交顺序递增",IF(AND(B297="红利再投",F297&lt;&gt;0),"红利再投手续费应填 0",IF(AND(B297="红利再投",K296&lt;=0),"红利再投前须有持仓",IF(AND(B297="卖出",D297&gt;K296+0.000001),"卖出份额超过持仓",IF(AND(B297="卖出",F297&gt;=C297*D297),"赎回费不能达到赎回总额",IF(NOT(ISNUMBER(E297)),"自动金额未生成，请检查五项输入",IF(NOT(OR('持仓总览'!$C$7="利润优先",'持仓总览'!$C$7="本金优先")),"请选择卖出分配模式","已计入")))))))))))))))))))</f>
        <v/>
      </c>
      <c r="J297" s="11">
        <f t="shared" si="79">IF(AA297="正常",IF(I297="已计入",IF(OR(OR(B297="买入",B297="定投",B297="转换转入"),B297="红利再投"),D297,IF(B297="卖出",-D297,0)),0),"")</f>
        <v>0</v>
      </c>
      <c r="K297" s="11">
        <f t="shared" si="84">IF(AA297="正常",ROUND(K296+J297,6),"")</f>
        <v>25721.6</v>
      </c>
      <c r="L297" s="11" t="str">
        <f t="shared" si="85">IF(I297="已计入",ROUND(K296*C297,2),"")</f>
        <v/>
      </c>
      <c r="M297" s="11" t="str">
        <f t="shared" si="86">IF(I297="已计入",IF(B297="卖出",MAX(0,L297-Q296-F297),IF(B297="现金分红",MAX(0,L297+E297-Q296),0)),"")</f>
        <v/>
      </c>
      <c r="N297" s="11" t="str">
        <f>IF(I297="已计入",IF(AND(B297="卖出",'持仓总览'!$C$7="本金优先"),MAX(0,E297-Q296),IF(OR(B297="卖出",B297="现金分红"),MIN(E297,M297),0)),"")</f>
        <v/>
      </c>
      <c r="O297" s="11" t="str">
        <f t="shared" si="87">IF(I297="已计入",IF(OR(B297="卖出",B297="现金分红"),MIN(Q296,MAX(0,E297-N297)),0),"")</f>
        <v/>
      </c>
      <c r="P297" s="11" t="str">
        <f t="shared" si="88">IF(I297="已计入",IF(AND(B297="卖出",K297=0),MAX(0,Q296-O297),0),"")</f>
        <v/>
      </c>
      <c r="Q297" s="11">
        <f t="shared" si="89">IF(AA297="正常",IF(I297="已计入",ROUND(Q296+IF(OR(B297="买入",B297="定投",B297="转换转入"),E297,0)-O297-P297,2),Q296),"")</f>
        <v>129570</v>
      </c>
      <c r="R297" s="11" t="str">
        <f t="shared" si="80">IF(I297="已计入",ROUND(K297*C297,2),"")</f>
        <v/>
      </c>
      <c r="S297" s="11" t="str">
        <f t="shared" si="81">IF(I297="已计入",ROUND(R297-Q297,2),"")</f>
        <v/>
      </c>
      <c r="T297" s="12" t="str">
        <f t="shared" si="82">IF(I297="已计入",IF(Q297=0,"",S297/Q297),"")</f>
        <v/>
      </c>
      <c r="U297" s="11">
        <f t="shared" si="90">IF(AA297="正常",U296+IF(AND(I297="已计入",OR(B297="买入",B297="定投",B297="转换转入")),E297,0),"")</f>
        <v>129570</v>
      </c>
      <c r="V297" s="11">
        <f t="shared" si="91">IF(AA297="正常",V296+IF(AND(I297="已计入",OR(B297="卖出",B297="现金分红")),E297,0),"")</f>
        <v>0</v>
      </c>
      <c r="W297" s="11">
        <f t="shared" si="92">IF(AA297="正常",W296+IF(I297="已计入",N297,0),"")</f>
        <v>0</v>
      </c>
      <c r="X297" s="11">
        <f t="shared" si="93">IF(AA297="正常",X296+IF(I297="已计入",P297,0),"")</f>
        <v>0</v>
      </c>
      <c r="Y297" s="11" t="str">
        <f t="shared" si="83">IF(I297="已计入",ROUND(R297+V297-U297,2),"")</f>
        <v/>
      </c>
      <c r="Z297" s="13">
        <f t="shared" si="94">IF(AA297="正常",IF(I297="已计入",A297,Z296),"")</f>
        <v>46239</v>
      </c>
      <c r="AA297" s="10" t="str">
        <f>IF(OR($AA$134="错误",COUNTIF($G$135:G297,"待修正")&gt;0),"错误","正常")</f>
        <v>正常</v>
      </c>
      <c r="AB297" s="14">
        <f t="shared" si="95">IF(AA297="正常",IF(I297="已计入",C297,AB296),"")</f>
        <v>6.347</v>
      </c>
    </row>
    <row r="298" ht="23" customHeight="1">
      <c r="A298" s="36"/>
      <c r="B298" s="37"/>
      <c r="C298" s="38"/>
      <c r="D298" s="39"/>
      <c r="E298" s="44" t="str">
        <f t="shared" si="76">IF(AND(ISNUMBER(C298),ISNUMBER(D298),ISNUMBER(F298)),IF(OR(B298="买入",B298="定投"),ROUND(C298*D298+F298,2),IF(B298="卖出",ROUND(C298*D298-F298,2),IF(B298="红利再投",0,""))),"")</f>
        <v/>
      </c>
      <c r="F298" s="39"/>
      <c r="G298" s="45" t="str">
        <f t="shared" si="77">IF(COUNTA(A298:D298,F298)=0,"",IF(I298="已计入","已录入","待修正"))</f>
        <v/>
      </c>
      <c r="H298" s="46" t="str">
        <f t="shared" si="78">IF(COUNTA(A298:D298,F298)=0,"",IF(B298="红利再投","仅增加份额，不增加现金投入","金额由份额、净值和手续费推算"))</f>
        <v/>
      </c>
      <c r="I298" s="10" t="str">
        <f>IF(COUNTA(A298:D298,F298)=0,"",IF(NOT(ISNUMBER(A298)),"缺少有效净值日期",IF(OR(A298&lt;=0,A298&lt;&gt;INT(A298)),"净值日期无效",IF(OR(B298="转换转入",B298="现金分红"),"该类型需实际金额，五项录入不适用",IF(NOT(OR(OR(B298="买入",B298="定投"),B298="卖出",B298="红利再投")),"请选择交易类型",IF(NOT(ISNUMBER(C298)),"缺少成交净值",IF(C298&lt;=0,"成交净值须大于零",IF(NOT(ISNUMBER(D298)),"缺少确认份额",IF(D298&lt;=0,"确认份额须大于零",IF(NOT(ISNUMBER(F298)),"缺少手续费，无费用请填 0",IF(F298&lt;0,"手续费不能为负",IF(AA297="错误","前行待修正",IF(A298&lt;Z297,"日期需按成交顺序递增",IF(AND(B298="红利再投",F298&lt;&gt;0),"红利再投手续费应填 0",IF(AND(B298="红利再投",K297&lt;=0),"红利再投前须有持仓",IF(AND(B298="卖出",D298&gt;K297+0.000001),"卖出份额超过持仓",IF(AND(B298="卖出",F298&gt;=C298*D298),"赎回费不能达到赎回总额",IF(NOT(ISNUMBER(E298)),"自动金额未生成，请检查五项输入",IF(NOT(OR('持仓总览'!$C$7="利润优先",'持仓总览'!$C$7="本金优先")),"请选择卖出分配模式","已计入")))))))))))))))))))</f>
        <v/>
      </c>
      <c r="J298" s="11">
        <f t="shared" si="79">IF(AA298="正常",IF(I298="已计入",IF(OR(OR(B298="买入",B298="定投",B298="转换转入"),B298="红利再投"),D298,IF(B298="卖出",-D298,0)),0),"")</f>
        <v>0</v>
      </c>
      <c r="K298" s="11">
        <f t="shared" si="84">IF(AA298="正常",ROUND(K297+J298,6),"")</f>
        <v>25721.6</v>
      </c>
      <c r="L298" s="11" t="str">
        <f t="shared" si="85">IF(I298="已计入",ROUND(K297*C298,2),"")</f>
        <v/>
      </c>
      <c r="M298" s="11" t="str">
        <f t="shared" si="86">IF(I298="已计入",IF(B298="卖出",MAX(0,L298-Q297-F298),IF(B298="现金分红",MAX(0,L298+E298-Q297),0)),"")</f>
        <v/>
      </c>
      <c r="N298" s="11" t="str">
        <f>IF(I298="已计入",IF(AND(B298="卖出",'持仓总览'!$C$7="本金优先"),MAX(0,E298-Q297),IF(OR(B298="卖出",B298="现金分红"),MIN(E298,M298),0)),"")</f>
        <v/>
      </c>
      <c r="O298" s="11" t="str">
        <f t="shared" si="87">IF(I298="已计入",IF(OR(B298="卖出",B298="现金分红"),MIN(Q297,MAX(0,E298-N298)),0),"")</f>
        <v/>
      </c>
      <c r="P298" s="11" t="str">
        <f t="shared" si="88">IF(I298="已计入",IF(AND(B298="卖出",K298=0),MAX(0,Q297-O298),0),"")</f>
        <v/>
      </c>
      <c r="Q298" s="11">
        <f t="shared" si="89">IF(AA298="正常",IF(I298="已计入",ROUND(Q297+IF(OR(B298="买入",B298="定投",B298="转换转入"),E298,0)-O298-P298,2),Q297),"")</f>
        <v>129570</v>
      </c>
      <c r="R298" s="11" t="str">
        <f t="shared" si="80">IF(I298="已计入",ROUND(K298*C298,2),"")</f>
        <v/>
      </c>
      <c r="S298" s="11" t="str">
        <f t="shared" si="81">IF(I298="已计入",ROUND(R298-Q298,2),"")</f>
        <v/>
      </c>
      <c r="T298" s="12" t="str">
        <f t="shared" si="82">IF(I298="已计入",IF(Q298=0,"",S298/Q298),"")</f>
        <v/>
      </c>
      <c r="U298" s="11">
        <f t="shared" si="90">IF(AA298="正常",U297+IF(AND(I298="已计入",OR(B298="买入",B298="定投",B298="转换转入")),E298,0),"")</f>
        <v>129570</v>
      </c>
      <c r="V298" s="11">
        <f t="shared" si="91">IF(AA298="正常",V297+IF(AND(I298="已计入",OR(B298="卖出",B298="现金分红")),E298,0),"")</f>
        <v>0</v>
      </c>
      <c r="W298" s="11">
        <f t="shared" si="92">IF(AA298="正常",W297+IF(I298="已计入",N298,0),"")</f>
        <v>0</v>
      </c>
      <c r="X298" s="11">
        <f t="shared" si="93">IF(AA298="正常",X297+IF(I298="已计入",P298,0),"")</f>
        <v>0</v>
      </c>
      <c r="Y298" s="11" t="str">
        <f t="shared" si="83">IF(I298="已计入",ROUND(R298+V298-U298,2),"")</f>
        <v/>
      </c>
      <c r="Z298" s="13">
        <f t="shared" si="94">IF(AA298="正常",IF(I298="已计入",A298,Z297),"")</f>
        <v>46239</v>
      </c>
      <c r="AA298" s="10" t="str">
        <f>IF(OR($AA$134="错误",COUNTIF($G$135:G298,"待修正")&gt;0),"错误","正常")</f>
        <v>正常</v>
      </c>
      <c r="AB298" s="14">
        <f t="shared" si="95">IF(AA298="正常",IF(I298="已计入",C298,AB297),"")</f>
        <v>6.347</v>
      </c>
    </row>
    <row r="299" ht="23" customHeight="1">
      <c r="A299" s="36"/>
      <c r="B299" s="37"/>
      <c r="C299" s="38"/>
      <c r="D299" s="39"/>
      <c r="E299" s="44" t="str">
        <f t="shared" si="76">IF(AND(ISNUMBER(C299),ISNUMBER(D299),ISNUMBER(F299)),IF(OR(B299="买入",B299="定投"),ROUND(C299*D299+F299,2),IF(B299="卖出",ROUND(C299*D299-F299,2),IF(B299="红利再投",0,""))),"")</f>
        <v/>
      </c>
      <c r="F299" s="39"/>
      <c r="G299" s="45" t="str">
        <f t="shared" si="77">IF(COUNTA(A299:D299,F299)=0,"",IF(I299="已计入","已录入","待修正"))</f>
        <v/>
      </c>
      <c r="H299" s="46" t="str">
        <f t="shared" si="78">IF(COUNTA(A299:D299,F299)=0,"",IF(B299="红利再投","仅增加份额，不增加现金投入","金额由份额、净值和手续费推算"))</f>
        <v/>
      </c>
      <c r="I299" s="10" t="str">
        <f>IF(COUNTA(A299:D299,F299)=0,"",IF(NOT(ISNUMBER(A299)),"缺少有效净值日期",IF(OR(A299&lt;=0,A299&lt;&gt;INT(A299)),"净值日期无效",IF(OR(B299="转换转入",B299="现金分红"),"该类型需实际金额，五项录入不适用",IF(NOT(OR(OR(B299="买入",B299="定投"),B299="卖出",B299="红利再投")),"请选择交易类型",IF(NOT(ISNUMBER(C299)),"缺少成交净值",IF(C299&lt;=0,"成交净值须大于零",IF(NOT(ISNUMBER(D299)),"缺少确认份额",IF(D299&lt;=0,"确认份额须大于零",IF(NOT(ISNUMBER(F299)),"缺少手续费，无费用请填 0",IF(F299&lt;0,"手续费不能为负",IF(AA298="错误","前行待修正",IF(A299&lt;Z298,"日期需按成交顺序递增",IF(AND(B299="红利再投",F299&lt;&gt;0),"红利再投手续费应填 0",IF(AND(B299="红利再投",K298&lt;=0),"红利再投前须有持仓",IF(AND(B299="卖出",D299&gt;K298+0.000001),"卖出份额超过持仓",IF(AND(B299="卖出",F299&gt;=C299*D299),"赎回费不能达到赎回总额",IF(NOT(ISNUMBER(E299)),"自动金额未生成，请检查五项输入",IF(NOT(OR('持仓总览'!$C$7="利润优先",'持仓总览'!$C$7="本金优先")),"请选择卖出分配模式","已计入")))))))))))))))))))</f>
        <v/>
      </c>
      <c r="J299" s="11">
        <f t="shared" si="79">IF(AA299="正常",IF(I299="已计入",IF(OR(OR(B299="买入",B299="定投",B299="转换转入"),B299="红利再投"),D299,IF(B299="卖出",-D299,0)),0),"")</f>
        <v>0</v>
      </c>
      <c r="K299" s="11">
        <f t="shared" si="84">IF(AA299="正常",ROUND(K298+J299,6),"")</f>
        <v>25721.6</v>
      </c>
      <c r="L299" s="11" t="str">
        <f t="shared" si="85">IF(I299="已计入",ROUND(K298*C299,2),"")</f>
        <v/>
      </c>
      <c r="M299" s="11" t="str">
        <f t="shared" si="86">IF(I299="已计入",IF(B299="卖出",MAX(0,L299-Q298-F299),IF(B299="现金分红",MAX(0,L299+E299-Q298),0)),"")</f>
        <v/>
      </c>
      <c r="N299" s="11" t="str">
        <f>IF(I299="已计入",IF(AND(B299="卖出",'持仓总览'!$C$7="本金优先"),MAX(0,E299-Q298),IF(OR(B299="卖出",B299="现金分红"),MIN(E299,M299),0)),"")</f>
        <v/>
      </c>
      <c r="O299" s="11" t="str">
        <f t="shared" si="87">IF(I299="已计入",IF(OR(B299="卖出",B299="现金分红"),MIN(Q298,MAX(0,E299-N299)),0),"")</f>
        <v/>
      </c>
      <c r="P299" s="11" t="str">
        <f t="shared" si="88">IF(I299="已计入",IF(AND(B299="卖出",K299=0),MAX(0,Q298-O299),0),"")</f>
        <v/>
      </c>
      <c r="Q299" s="11">
        <f t="shared" si="89">IF(AA299="正常",IF(I299="已计入",ROUND(Q298+IF(OR(B299="买入",B299="定投",B299="转换转入"),E299,0)-O299-P299,2),Q298),"")</f>
        <v>129570</v>
      </c>
      <c r="R299" s="11" t="str">
        <f t="shared" si="80">IF(I299="已计入",ROUND(K299*C299,2),"")</f>
        <v/>
      </c>
      <c r="S299" s="11" t="str">
        <f t="shared" si="81">IF(I299="已计入",ROUND(R299-Q299,2),"")</f>
        <v/>
      </c>
      <c r="T299" s="12" t="str">
        <f t="shared" si="82">IF(I299="已计入",IF(Q299=0,"",S299/Q299),"")</f>
        <v/>
      </c>
      <c r="U299" s="11">
        <f t="shared" si="90">IF(AA299="正常",U298+IF(AND(I299="已计入",OR(B299="买入",B299="定投",B299="转换转入")),E299,0),"")</f>
        <v>129570</v>
      </c>
      <c r="V299" s="11">
        <f t="shared" si="91">IF(AA299="正常",V298+IF(AND(I299="已计入",OR(B299="卖出",B299="现金分红")),E299,0),"")</f>
        <v>0</v>
      </c>
      <c r="W299" s="11">
        <f t="shared" si="92">IF(AA299="正常",W298+IF(I299="已计入",N299,0),"")</f>
        <v>0</v>
      </c>
      <c r="X299" s="11">
        <f t="shared" si="93">IF(AA299="正常",X298+IF(I299="已计入",P299,0),"")</f>
        <v>0</v>
      </c>
      <c r="Y299" s="11" t="str">
        <f t="shared" si="83">IF(I299="已计入",ROUND(R299+V299-U299,2),"")</f>
        <v/>
      </c>
      <c r="Z299" s="13">
        <f t="shared" si="94">IF(AA299="正常",IF(I299="已计入",A299,Z298),"")</f>
        <v>46239</v>
      </c>
      <c r="AA299" s="10" t="str">
        <f>IF(OR($AA$134="错误",COUNTIF($G$135:G299,"待修正")&gt;0),"错误","正常")</f>
        <v>正常</v>
      </c>
      <c r="AB299" s="14">
        <f t="shared" si="95">IF(AA299="正常",IF(I299="已计入",C299,AB298),"")</f>
        <v>6.347</v>
      </c>
    </row>
    <row r="300" ht="23" customHeight="1">
      <c r="A300" s="36"/>
      <c r="B300" s="37"/>
      <c r="C300" s="38"/>
      <c r="D300" s="39"/>
      <c r="E300" s="44" t="str">
        <f t="shared" si="76">IF(AND(ISNUMBER(C300),ISNUMBER(D300),ISNUMBER(F300)),IF(OR(B300="买入",B300="定投"),ROUND(C300*D300+F300,2),IF(B300="卖出",ROUND(C300*D300-F300,2),IF(B300="红利再投",0,""))),"")</f>
        <v/>
      </c>
      <c r="F300" s="39"/>
      <c r="G300" s="45" t="str">
        <f t="shared" si="77">IF(COUNTA(A300:D300,F300)=0,"",IF(I300="已计入","已录入","待修正"))</f>
        <v/>
      </c>
      <c r="H300" s="46" t="str">
        <f t="shared" si="78">IF(COUNTA(A300:D300,F300)=0,"",IF(B300="红利再投","仅增加份额，不增加现金投入","金额由份额、净值和手续费推算"))</f>
        <v/>
      </c>
      <c r="I300" s="10" t="str">
        <f>IF(COUNTA(A300:D300,F300)=0,"",IF(NOT(ISNUMBER(A300)),"缺少有效净值日期",IF(OR(A300&lt;=0,A300&lt;&gt;INT(A300)),"净值日期无效",IF(OR(B300="转换转入",B300="现金分红"),"该类型需实际金额，五项录入不适用",IF(NOT(OR(OR(B300="买入",B300="定投"),B300="卖出",B300="红利再投")),"请选择交易类型",IF(NOT(ISNUMBER(C300)),"缺少成交净值",IF(C300&lt;=0,"成交净值须大于零",IF(NOT(ISNUMBER(D300)),"缺少确认份额",IF(D300&lt;=0,"确认份额须大于零",IF(NOT(ISNUMBER(F300)),"缺少手续费，无费用请填 0",IF(F300&lt;0,"手续费不能为负",IF(AA299="错误","前行待修正",IF(A300&lt;Z299,"日期需按成交顺序递增",IF(AND(B300="红利再投",F300&lt;&gt;0),"红利再投手续费应填 0",IF(AND(B300="红利再投",K299&lt;=0),"红利再投前须有持仓",IF(AND(B300="卖出",D300&gt;K299+0.000001),"卖出份额超过持仓",IF(AND(B300="卖出",F300&gt;=C300*D300),"赎回费不能达到赎回总额",IF(NOT(ISNUMBER(E300)),"自动金额未生成，请检查五项输入",IF(NOT(OR('持仓总览'!$C$7="利润优先",'持仓总览'!$C$7="本金优先")),"请选择卖出分配模式","已计入")))))))))))))))))))</f>
        <v/>
      </c>
      <c r="J300" s="11">
        <f t="shared" si="79">IF(AA300="正常",IF(I300="已计入",IF(OR(OR(B300="买入",B300="定投",B300="转换转入"),B300="红利再投"),D300,IF(B300="卖出",-D300,0)),0),"")</f>
        <v>0</v>
      </c>
      <c r="K300" s="11">
        <f t="shared" si="84">IF(AA300="正常",ROUND(K299+J300,6),"")</f>
        <v>25721.6</v>
      </c>
      <c r="L300" s="11" t="str">
        <f t="shared" si="85">IF(I300="已计入",ROUND(K299*C300,2),"")</f>
        <v/>
      </c>
      <c r="M300" s="11" t="str">
        <f t="shared" si="86">IF(I300="已计入",IF(B300="卖出",MAX(0,L300-Q299-F300),IF(B300="现金分红",MAX(0,L300+E300-Q299),0)),"")</f>
        <v/>
      </c>
      <c r="N300" s="11" t="str">
        <f>IF(I300="已计入",IF(AND(B300="卖出",'持仓总览'!$C$7="本金优先"),MAX(0,E300-Q299),IF(OR(B300="卖出",B300="现金分红"),MIN(E300,M300),0)),"")</f>
        <v/>
      </c>
      <c r="O300" s="11" t="str">
        <f t="shared" si="87">IF(I300="已计入",IF(OR(B300="卖出",B300="现金分红"),MIN(Q299,MAX(0,E300-N300)),0),"")</f>
        <v/>
      </c>
      <c r="P300" s="11" t="str">
        <f t="shared" si="88">IF(I300="已计入",IF(AND(B300="卖出",K300=0),MAX(0,Q299-O300),0),"")</f>
        <v/>
      </c>
      <c r="Q300" s="11">
        <f t="shared" si="89">IF(AA300="正常",IF(I300="已计入",ROUND(Q299+IF(OR(B300="买入",B300="定投",B300="转换转入"),E300,0)-O300-P300,2),Q299),"")</f>
        <v>129570</v>
      </c>
      <c r="R300" s="11" t="str">
        <f t="shared" si="80">IF(I300="已计入",ROUND(K300*C300,2),"")</f>
        <v/>
      </c>
      <c r="S300" s="11" t="str">
        <f t="shared" si="81">IF(I300="已计入",ROUND(R300-Q300,2),"")</f>
        <v/>
      </c>
      <c r="T300" s="12" t="str">
        <f t="shared" si="82">IF(I300="已计入",IF(Q300=0,"",S300/Q300),"")</f>
        <v/>
      </c>
      <c r="U300" s="11">
        <f t="shared" si="90">IF(AA300="正常",U299+IF(AND(I300="已计入",OR(B300="买入",B300="定投",B300="转换转入")),E300,0),"")</f>
        <v>129570</v>
      </c>
      <c r="V300" s="11">
        <f t="shared" si="91">IF(AA300="正常",V299+IF(AND(I300="已计入",OR(B300="卖出",B300="现金分红")),E300,0),"")</f>
        <v>0</v>
      </c>
      <c r="W300" s="11">
        <f t="shared" si="92">IF(AA300="正常",W299+IF(I300="已计入",N300,0),"")</f>
        <v>0</v>
      </c>
      <c r="X300" s="11">
        <f t="shared" si="93">IF(AA300="正常",X299+IF(I300="已计入",P300,0),"")</f>
        <v>0</v>
      </c>
      <c r="Y300" s="11" t="str">
        <f t="shared" si="83">IF(I300="已计入",ROUND(R300+V300-U300,2),"")</f>
        <v/>
      </c>
      <c r="Z300" s="13">
        <f t="shared" si="94">IF(AA300="正常",IF(I300="已计入",A300,Z299),"")</f>
        <v>46239</v>
      </c>
      <c r="AA300" s="10" t="str">
        <f>IF(OR($AA$134="错误",COUNTIF($G$135:G300,"待修正")&gt;0),"错误","正常")</f>
        <v>正常</v>
      </c>
      <c r="AB300" s="14">
        <f t="shared" si="95">IF(AA300="正常",IF(I300="已计入",C300,AB299),"")</f>
        <v>6.347</v>
      </c>
    </row>
    <row r="301" ht="23" customHeight="1">
      <c r="A301" s="36"/>
      <c r="B301" s="37"/>
      <c r="C301" s="38"/>
      <c r="D301" s="39"/>
      <c r="E301" s="44" t="str">
        <f t="shared" si="76">IF(AND(ISNUMBER(C301),ISNUMBER(D301),ISNUMBER(F301)),IF(OR(B301="买入",B301="定投"),ROUND(C301*D301+F301,2),IF(B301="卖出",ROUND(C301*D301-F301,2),IF(B301="红利再投",0,""))),"")</f>
        <v/>
      </c>
      <c r="F301" s="39"/>
      <c r="G301" s="45" t="str">
        <f t="shared" si="77">IF(COUNTA(A301:D301,F301)=0,"",IF(I301="已计入","已录入","待修正"))</f>
        <v/>
      </c>
      <c r="H301" s="46" t="str">
        <f t="shared" si="78">IF(COUNTA(A301:D301,F301)=0,"",IF(B301="红利再投","仅增加份额，不增加现金投入","金额由份额、净值和手续费推算"))</f>
        <v/>
      </c>
      <c r="I301" s="10" t="str">
        <f>IF(COUNTA(A301:D301,F301)=0,"",IF(NOT(ISNUMBER(A301)),"缺少有效净值日期",IF(OR(A301&lt;=0,A301&lt;&gt;INT(A301)),"净值日期无效",IF(OR(B301="转换转入",B301="现金分红"),"该类型需实际金额，五项录入不适用",IF(NOT(OR(OR(B301="买入",B301="定投"),B301="卖出",B301="红利再投")),"请选择交易类型",IF(NOT(ISNUMBER(C301)),"缺少成交净值",IF(C301&lt;=0,"成交净值须大于零",IF(NOT(ISNUMBER(D301)),"缺少确认份额",IF(D301&lt;=0,"确认份额须大于零",IF(NOT(ISNUMBER(F301)),"缺少手续费，无费用请填 0",IF(F301&lt;0,"手续费不能为负",IF(AA300="错误","前行待修正",IF(A301&lt;Z300,"日期需按成交顺序递增",IF(AND(B301="红利再投",F301&lt;&gt;0),"红利再投手续费应填 0",IF(AND(B301="红利再投",K300&lt;=0),"红利再投前须有持仓",IF(AND(B301="卖出",D301&gt;K300+0.000001),"卖出份额超过持仓",IF(AND(B301="卖出",F301&gt;=C301*D301),"赎回费不能达到赎回总额",IF(NOT(ISNUMBER(E301)),"自动金额未生成，请检查五项输入",IF(NOT(OR('持仓总览'!$C$7="利润优先",'持仓总览'!$C$7="本金优先")),"请选择卖出分配模式","已计入")))))))))))))))))))</f>
        <v/>
      </c>
      <c r="J301" s="11">
        <f t="shared" si="79">IF(AA301="正常",IF(I301="已计入",IF(OR(OR(B301="买入",B301="定投",B301="转换转入"),B301="红利再投"),D301,IF(B301="卖出",-D301,0)),0),"")</f>
        <v>0</v>
      </c>
      <c r="K301" s="11">
        <f t="shared" si="84">IF(AA301="正常",ROUND(K300+J301,6),"")</f>
        <v>25721.6</v>
      </c>
      <c r="L301" s="11" t="str">
        <f t="shared" si="85">IF(I301="已计入",ROUND(K300*C301,2),"")</f>
        <v/>
      </c>
      <c r="M301" s="11" t="str">
        <f t="shared" si="86">IF(I301="已计入",IF(B301="卖出",MAX(0,L301-Q300-F301),IF(B301="现金分红",MAX(0,L301+E301-Q300),0)),"")</f>
        <v/>
      </c>
      <c r="N301" s="11" t="str">
        <f>IF(I301="已计入",IF(AND(B301="卖出",'持仓总览'!$C$7="本金优先"),MAX(0,E301-Q300),IF(OR(B301="卖出",B301="现金分红"),MIN(E301,M301),0)),"")</f>
        <v/>
      </c>
      <c r="O301" s="11" t="str">
        <f t="shared" si="87">IF(I301="已计入",IF(OR(B301="卖出",B301="现金分红"),MIN(Q300,MAX(0,E301-N301)),0),"")</f>
        <v/>
      </c>
      <c r="P301" s="11" t="str">
        <f t="shared" si="88">IF(I301="已计入",IF(AND(B301="卖出",K301=0),MAX(0,Q300-O301),0),"")</f>
        <v/>
      </c>
      <c r="Q301" s="11">
        <f t="shared" si="89">IF(AA301="正常",IF(I301="已计入",ROUND(Q300+IF(OR(B301="买入",B301="定投",B301="转换转入"),E301,0)-O301-P301,2),Q300),"")</f>
        <v>129570</v>
      </c>
      <c r="R301" s="11" t="str">
        <f t="shared" si="80">IF(I301="已计入",ROUND(K301*C301,2),"")</f>
        <v/>
      </c>
      <c r="S301" s="11" t="str">
        <f t="shared" si="81">IF(I301="已计入",ROUND(R301-Q301,2),"")</f>
        <v/>
      </c>
      <c r="T301" s="12" t="str">
        <f t="shared" si="82">IF(I301="已计入",IF(Q301=0,"",S301/Q301),"")</f>
        <v/>
      </c>
      <c r="U301" s="11">
        <f t="shared" si="90">IF(AA301="正常",U300+IF(AND(I301="已计入",OR(B301="买入",B301="定投",B301="转换转入")),E301,0),"")</f>
        <v>129570</v>
      </c>
      <c r="V301" s="11">
        <f t="shared" si="91">IF(AA301="正常",V300+IF(AND(I301="已计入",OR(B301="卖出",B301="现金分红")),E301,0),"")</f>
        <v>0</v>
      </c>
      <c r="W301" s="11">
        <f t="shared" si="92">IF(AA301="正常",W300+IF(I301="已计入",N301,0),"")</f>
        <v>0</v>
      </c>
      <c r="X301" s="11">
        <f t="shared" si="93">IF(AA301="正常",X300+IF(I301="已计入",P301,0),"")</f>
        <v>0</v>
      </c>
      <c r="Y301" s="11" t="str">
        <f t="shared" si="83">IF(I301="已计入",ROUND(R301+V301-U301,2),"")</f>
        <v/>
      </c>
      <c r="Z301" s="13">
        <f t="shared" si="94">IF(AA301="正常",IF(I301="已计入",A301,Z300),"")</f>
        <v>46239</v>
      </c>
      <c r="AA301" s="10" t="str">
        <f>IF(OR($AA$134="错误",COUNTIF($G$135:G301,"待修正")&gt;0),"错误","正常")</f>
        <v>正常</v>
      </c>
      <c r="AB301" s="14">
        <f t="shared" si="95">IF(AA301="正常",IF(I301="已计入",C301,AB300),"")</f>
        <v>6.347</v>
      </c>
    </row>
    <row r="302" ht="23" customHeight="1">
      <c r="A302" s="36"/>
      <c r="B302" s="37"/>
      <c r="C302" s="38"/>
      <c r="D302" s="39"/>
      <c r="E302" s="44" t="str">
        <f t="shared" si="76">IF(AND(ISNUMBER(C302),ISNUMBER(D302),ISNUMBER(F302)),IF(OR(B302="买入",B302="定投"),ROUND(C302*D302+F302,2),IF(B302="卖出",ROUND(C302*D302-F302,2),IF(B302="红利再投",0,""))),"")</f>
        <v/>
      </c>
      <c r="F302" s="39"/>
      <c r="G302" s="45" t="str">
        <f t="shared" si="77">IF(COUNTA(A302:D302,F302)=0,"",IF(I302="已计入","已录入","待修正"))</f>
        <v/>
      </c>
      <c r="H302" s="46" t="str">
        <f t="shared" si="78">IF(COUNTA(A302:D302,F302)=0,"",IF(B302="红利再投","仅增加份额，不增加现金投入","金额由份额、净值和手续费推算"))</f>
        <v/>
      </c>
      <c r="I302" s="10" t="str">
        <f>IF(COUNTA(A302:D302,F302)=0,"",IF(NOT(ISNUMBER(A302)),"缺少有效净值日期",IF(OR(A302&lt;=0,A302&lt;&gt;INT(A302)),"净值日期无效",IF(OR(B302="转换转入",B302="现金分红"),"该类型需实际金额，五项录入不适用",IF(NOT(OR(OR(B302="买入",B302="定投"),B302="卖出",B302="红利再投")),"请选择交易类型",IF(NOT(ISNUMBER(C302)),"缺少成交净值",IF(C302&lt;=0,"成交净值须大于零",IF(NOT(ISNUMBER(D302)),"缺少确认份额",IF(D302&lt;=0,"确认份额须大于零",IF(NOT(ISNUMBER(F302)),"缺少手续费，无费用请填 0",IF(F302&lt;0,"手续费不能为负",IF(AA301="错误","前行待修正",IF(A302&lt;Z301,"日期需按成交顺序递增",IF(AND(B302="红利再投",F302&lt;&gt;0),"红利再投手续费应填 0",IF(AND(B302="红利再投",K301&lt;=0),"红利再投前须有持仓",IF(AND(B302="卖出",D302&gt;K301+0.000001),"卖出份额超过持仓",IF(AND(B302="卖出",F302&gt;=C302*D302),"赎回费不能达到赎回总额",IF(NOT(ISNUMBER(E302)),"自动金额未生成，请检查五项输入",IF(NOT(OR('持仓总览'!$C$7="利润优先",'持仓总览'!$C$7="本金优先")),"请选择卖出分配模式","已计入")))))))))))))))))))</f>
        <v/>
      </c>
      <c r="J302" s="11">
        <f t="shared" si="79">IF(AA302="正常",IF(I302="已计入",IF(OR(OR(B302="买入",B302="定投",B302="转换转入"),B302="红利再投"),D302,IF(B302="卖出",-D302,0)),0),"")</f>
        <v>0</v>
      </c>
      <c r="K302" s="11">
        <f t="shared" si="84">IF(AA302="正常",ROUND(K301+J302,6),"")</f>
        <v>25721.6</v>
      </c>
      <c r="L302" s="11" t="str">
        <f t="shared" si="85">IF(I302="已计入",ROUND(K301*C302,2),"")</f>
        <v/>
      </c>
      <c r="M302" s="11" t="str">
        <f t="shared" si="86">IF(I302="已计入",IF(B302="卖出",MAX(0,L302-Q301-F302),IF(B302="现金分红",MAX(0,L302+E302-Q301),0)),"")</f>
        <v/>
      </c>
      <c r="N302" s="11" t="str">
        <f>IF(I302="已计入",IF(AND(B302="卖出",'持仓总览'!$C$7="本金优先"),MAX(0,E302-Q301),IF(OR(B302="卖出",B302="现金分红"),MIN(E302,M302),0)),"")</f>
        <v/>
      </c>
      <c r="O302" s="11" t="str">
        <f t="shared" si="87">IF(I302="已计入",IF(OR(B302="卖出",B302="现金分红"),MIN(Q301,MAX(0,E302-N302)),0),"")</f>
        <v/>
      </c>
      <c r="P302" s="11" t="str">
        <f t="shared" si="88">IF(I302="已计入",IF(AND(B302="卖出",K302=0),MAX(0,Q301-O302),0),"")</f>
        <v/>
      </c>
      <c r="Q302" s="11">
        <f t="shared" si="89">IF(AA302="正常",IF(I302="已计入",ROUND(Q301+IF(OR(B302="买入",B302="定投",B302="转换转入"),E302,0)-O302-P302,2),Q301),"")</f>
        <v>129570</v>
      </c>
      <c r="R302" s="11" t="str">
        <f t="shared" si="80">IF(I302="已计入",ROUND(K302*C302,2),"")</f>
        <v/>
      </c>
      <c r="S302" s="11" t="str">
        <f t="shared" si="81">IF(I302="已计入",ROUND(R302-Q302,2),"")</f>
        <v/>
      </c>
      <c r="T302" s="12" t="str">
        <f t="shared" si="82">IF(I302="已计入",IF(Q302=0,"",S302/Q302),"")</f>
        <v/>
      </c>
      <c r="U302" s="11">
        <f t="shared" si="90">IF(AA302="正常",U301+IF(AND(I302="已计入",OR(B302="买入",B302="定投",B302="转换转入")),E302,0),"")</f>
        <v>129570</v>
      </c>
      <c r="V302" s="11">
        <f t="shared" si="91">IF(AA302="正常",V301+IF(AND(I302="已计入",OR(B302="卖出",B302="现金分红")),E302,0),"")</f>
        <v>0</v>
      </c>
      <c r="W302" s="11">
        <f t="shared" si="92">IF(AA302="正常",W301+IF(I302="已计入",N302,0),"")</f>
        <v>0</v>
      </c>
      <c r="X302" s="11">
        <f t="shared" si="93">IF(AA302="正常",X301+IF(I302="已计入",P302,0),"")</f>
        <v>0</v>
      </c>
      <c r="Y302" s="11" t="str">
        <f t="shared" si="83">IF(I302="已计入",ROUND(R302+V302-U302,2),"")</f>
        <v/>
      </c>
      <c r="Z302" s="13">
        <f t="shared" si="94">IF(AA302="正常",IF(I302="已计入",A302,Z301),"")</f>
        <v>46239</v>
      </c>
      <c r="AA302" s="10" t="str">
        <f>IF(OR($AA$134="错误",COUNTIF($G$135:G302,"待修正")&gt;0),"错误","正常")</f>
        <v>正常</v>
      </c>
      <c r="AB302" s="14">
        <f t="shared" si="95">IF(AA302="正常",IF(I302="已计入",C302,AB301),"")</f>
        <v>6.347</v>
      </c>
    </row>
    <row r="303" ht="23" customHeight="1">
      <c r="A303" s="36"/>
      <c r="B303" s="37"/>
      <c r="C303" s="38"/>
      <c r="D303" s="39"/>
      <c r="E303" s="44" t="str">
        <f t="shared" si="76">IF(AND(ISNUMBER(C303),ISNUMBER(D303),ISNUMBER(F303)),IF(OR(B303="买入",B303="定投"),ROUND(C303*D303+F303,2),IF(B303="卖出",ROUND(C303*D303-F303,2),IF(B303="红利再投",0,""))),"")</f>
        <v/>
      </c>
      <c r="F303" s="39"/>
      <c r="G303" s="45" t="str">
        <f t="shared" si="77">IF(COUNTA(A303:D303,F303)=0,"",IF(I303="已计入","已录入","待修正"))</f>
        <v/>
      </c>
      <c r="H303" s="46" t="str">
        <f t="shared" si="78">IF(COUNTA(A303:D303,F303)=0,"",IF(B303="红利再投","仅增加份额，不增加现金投入","金额由份额、净值和手续费推算"))</f>
        <v/>
      </c>
      <c r="I303" s="10" t="str">
        <f>IF(COUNTA(A303:D303,F303)=0,"",IF(NOT(ISNUMBER(A303)),"缺少有效净值日期",IF(OR(A303&lt;=0,A303&lt;&gt;INT(A303)),"净值日期无效",IF(OR(B303="转换转入",B303="现金分红"),"该类型需实际金额，五项录入不适用",IF(NOT(OR(OR(B303="买入",B303="定投"),B303="卖出",B303="红利再投")),"请选择交易类型",IF(NOT(ISNUMBER(C303)),"缺少成交净值",IF(C303&lt;=0,"成交净值须大于零",IF(NOT(ISNUMBER(D303)),"缺少确认份额",IF(D303&lt;=0,"确认份额须大于零",IF(NOT(ISNUMBER(F303)),"缺少手续费，无费用请填 0",IF(F303&lt;0,"手续费不能为负",IF(AA302="错误","前行待修正",IF(A303&lt;Z302,"日期需按成交顺序递增",IF(AND(B303="红利再投",F303&lt;&gt;0),"红利再投手续费应填 0",IF(AND(B303="红利再投",K302&lt;=0),"红利再投前须有持仓",IF(AND(B303="卖出",D303&gt;K302+0.000001),"卖出份额超过持仓",IF(AND(B303="卖出",F303&gt;=C303*D303),"赎回费不能达到赎回总额",IF(NOT(ISNUMBER(E303)),"自动金额未生成，请检查五项输入",IF(NOT(OR('持仓总览'!$C$7="利润优先",'持仓总览'!$C$7="本金优先")),"请选择卖出分配模式","已计入")))))))))))))))))))</f>
        <v/>
      </c>
      <c r="J303" s="11">
        <f t="shared" si="79">IF(AA303="正常",IF(I303="已计入",IF(OR(OR(B303="买入",B303="定投",B303="转换转入"),B303="红利再投"),D303,IF(B303="卖出",-D303,0)),0),"")</f>
        <v>0</v>
      </c>
      <c r="K303" s="11">
        <f t="shared" si="84">IF(AA303="正常",ROUND(K302+J303,6),"")</f>
        <v>25721.6</v>
      </c>
      <c r="L303" s="11" t="str">
        <f t="shared" si="85">IF(I303="已计入",ROUND(K302*C303,2),"")</f>
        <v/>
      </c>
      <c r="M303" s="11" t="str">
        <f t="shared" si="86">IF(I303="已计入",IF(B303="卖出",MAX(0,L303-Q302-F303),IF(B303="现金分红",MAX(0,L303+E303-Q302),0)),"")</f>
        <v/>
      </c>
      <c r="N303" s="11" t="str">
        <f>IF(I303="已计入",IF(AND(B303="卖出",'持仓总览'!$C$7="本金优先"),MAX(0,E303-Q302),IF(OR(B303="卖出",B303="现金分红"),MIN(E303,M303),0)),"")</f>
        <v/>
      </c>
      <c r="O303" s="11" t="str">
        <f t="shared" si="87">IF(I303="已计入",IF(OR(B303="卖出",B303="现金分红"),MIN(Q302,MAX(0,E303-N303)),0),"")</f>
        <v/>
      </c>
      <c r="P303" s="11" t="str">
        <f t="shared" si="88">IF(I303="已计入",IF(AND(B303="卖出",K303=0),MAX(0,Q302-O303),0),"")</f>
        <v/>
      </c>
      <c r="Q303" s="11">
        <f t="shared" si="89">IF(AA303="正常",IF(I303="已计入",ROUND(Q302+IF(OR(B303="买入",B303="定投",B303="转换转入"),E303,0)-O303-P303,2),Q302),"")</f>
        <v>129570</v>
      </c>
      <c r="R303" s="11" t="str">
        <f t="shared" si="80">IF(I303="已计入",ROUND(K303*C303,2),"")</f>
        <v/>
      </c>
      <c r="S303" s="11" t="str">
        <f t="shared" si="81">IF(I303="已计入",ROUND(R303-Q303,2),"")</f>
        <v/>
      </c>
      <c r="T303" s="12" t="str">
        <f t="shared" si="82">IF(I303="已计入",IF(Q303=0,"",S303/Q303),"")</f>
        <v/>
      </c>
      <c r="U303" s="11">
        <f t="shared" si="90">IF(AA303="正常",U302+IF(AND(I303="已计入",OR(B303="买入",B303="定投",B303="转换转入")),E303,0),"")</f>
        <v>129570</v>
      </c>
      <c r="V303" s="11">
        <f t="shared" si="91">IF(AA303="正常",V302+IF(AND(I303="已计入",OR(B303="卖出",B303="现金分红")),E303,0),"")</f>
        <v>0</v>
      </c>
      <c r="W303" s="11">
        <f t="shared" si="92">IF(AA303="正常",W302+IF(I303="已计入",N303,0),"")</f>
        <v>0</v>
      </c>
      <c r="X303" s="11">
        <f t="shared" si="93">IF(AA303="正常",X302+IF(I303="已计入",P303,0),"")</f>
        <v>0</v>
      </c>
      <c r="Y303" s="11" t="str">
        <f t="shared" si="83">IF(I303="已计入",ROUND(R303+V303-U303,2),"")</f>
        <v/>
      </c>
      <c r="Z303" s="13">
        <f t="shared" si="94">IF(AA303="正常",IF(I303="已计入",A303,Z302),"")</f>
        <v>46239</v>
      </c>
      <c r="AA303" s="10" t="str">
        <f>IF(OR($AA$134="错误",COUNTIF($G$135:G303,"待修正")&gt;0),"错误","正常")</f>
        <v>正常</v>
      </c>
      <c r="AB303" s="14">
        <f t="shared" si="95">IF(AA303="正常",IF(I303="已计入",C303,AB302),"")</f>
        <v>6.347</v>
      </c>
    </row>
    <row r="304" ht="23" customHeight="1">
      <c r="A304" s="36"/>
      <c r="B304" s="37"/>
      <c r="C304" s="38"/>
      <c r="D304" s="39"/>
      <c r="E304" s="44" t="str">
        <f t="shared" si="76">IF(AND(ISNUMBER(C304),ISNUMBER(D304),ISNUMBER(F304)),IF(OR(B304="买入",B304="定投"),ROUND(C304*D304+F304,2),IF(B304="卖出",ROUND(C304*D304-F304,2),IF(B304="红利再投",0,""))),"")</f>
        <v/>
      </c>
      <c r="F304" s="39"/>
      <c r="G304" s="45" t="str">
        <f t="shared" si="77">IF(COUNTA(A304:D304,F304)=0,"",IF(I304="已计入","已录入","待修正"))</f>
        <v/>
      </c>
      <c r="H304" s="46" t="str">
        <f t="shared" si="78">IF(COUNTA(A304:D304,F304)=0,"",IF(B304="红利再投","仅增加份额，不增加现金投入","金额由份额、净值和手续费推算"))</f>
        <v/>
      </c>
      <c r="I304" s="10" t="str">
        <f>IF(COUNTA(A304:D304,F304)=0,"",IF(NOT(ISNUMBER(A304)),"缺少有效净值日期",IF(OR(A304&lt;=0,A304&lt;&gt;INT(A304)),"净值日期无效",IF(OR(B304="转换转入",B304="现金分红"),"该类型需实际金额，五项录入不适用",IF(NOT(OR(OR(B304="买入",B304="定投"),B304="卖出",B304="红利再投")),"请选择交易类型",IF(NOT(ISNUMBER(C304)),"缺少成交净值",IF(C304&lt;=0,"成交净值须大于零",IF(NOT(ISNUMBER(D304)),"缺少确认份额",IF(D304&lt;=0,"确认份额须大于零",IF(NOT(ISNUMBER(F304)),"缺少手续费，无费用请填 0",IF(F304&lt;0,"手续费不能为负",IF(AA303="错误","前行待修正",IF(A304&lt;Z303,"日期需按成交顺序递增",IF(AND(B304="红利再投",F304&lt;&gt;0),"红利再投手续费应填 0",IF(AND(B304="红利再投",K303&lt;=0),"红利再投前须有持仓",IF(AND(B304="卖出",D304&gt;K303+0.000001),"卖出份额超过持仓",IF(AND(B304="卖出",F304&gt;=C304*D304),"赎回费不能达到赎回总额",IF(NOT(ISNUMBER(E304)),"自动金额未生成，请检查五项输入",IF(NOT(OR('持仓总览'!$C$7="利润优先",'持仓总览'!$C$7="本金优先")),"请选择卖出分配模式","已计入")))))))))))))))))))</f>
        <v/>
      </c>
      <c r="J304" s="11">
        <f t="shared" si="79">IF(AA304="正常",IF(I304="已计入",IF(OR(OR(B304="买入",B304="定投",B304="转换转入"),B304="红利再投"),D304,IF(B304="卖出",-D304,0)),0),"")</f>
        <v>0</v>
      </c>
      <c r="K304" s="11">
        <f t="shared" si="84">IF(AA304="正常",ROUND(K303+J304,6),"")</f>
        <v>25721.6</v>
      </c>
      <c r="L304" s="11" t="str">
        <f t="shared" si="85">IF(I304="已计入",ROUND(K303*C304,2),"")</f>
        <v/>
      </c>
      <c r="M304" s="11" t="str">
        <f t="shared" si="86">IF(I304="已计入",IF(B304="卖出",MAX(0,L304-Q303-F304),IF(B304="现金分红",MAX(0,L304+E304-Q303),0)),"")</f>
        <v/>
      </c>
      <c r="N304" s="11" t="str">
        <f>IF(I304="已计入",IF(AND(B304="卖出",'持仓总览'!$C$7="本金优先"),MAX(0,E304-Q303),IF(OR(B304="卖出",B304="现金分红"),MIN(E304,M304),0)),"")</f>
        <v/>
      </c>
      <c r="O304" s="11" t="str">
        <f t="shared" si="87">IF(I304="已计入",IF(OR(B304="卖出",B304="现金分红"),MIN(Q303,MAX(0,E304-N304)),0),"")</f>
        <v/>
      </c>
      <c r="P304" s="11" t="str">
        <f t="shared" si="88">IF(I304="已计入",IF(AND(B304="卖出",K304=0),MAX(0,Q303-O304),0),"")</f>
        <v/>
      </c>
      <c r="Q304" s="11">
        <f t="shared" si="89">IF(AA304="正常",IF(I304="已计入",ROUND(Q303+IF(OR(B304="买入",B304="定投",B304="转换转入"),E304,0)-O304-P304,2),Q303),"")</f>
        <v>129570</v>
      </c>
      <c r="R304" s="11" t="str">
        <f t="shared" si="80">IF(I304="已计入",ROUND(K304*C304,2),"")</f>
        <v/>
      </c>
      <c r="S304" s="11" t="str">
        <f t="shared" si="81">IF(I304="已计入",ROUND(R304-Q304,2),"")</f>
        <v/>
      </c>
      <c r="T304" s="12" t="str">
        <f t="shared" si="82">IF(I304="已计入",IF(Q304=0,"",S304/Q304),"")</f>
        <v/>
      </c>
      <c r="U304" s="11">
        <f t="shared" si="90">IF(AA304="正常",U303+IF(AND(I304="已计入",OR(B304="买入",B304="定投",B304="转换转入")),E304,0),"")</f>
        <v>129570</v>
      </c>
      <c r="V304" s="11">
        <f t="shared" si="91">IF(AA304="正常",V303+IF(AND(I304="已计入",OR(B304="卖出",B304="现金分红")),E304,0),"")</f>
        <v>0</v>
      </c>
      <c r="W304" s="11">
        <f t="shared" si="92">IF(AA304="正常",W303+IF(I304="已计入",N304,0),"")</f>
        <v>0</v>
      </c>
      <c r="X304" s="11">
        <f t="shared" si="93">IF(AA304="正常",X303+IF(I304="已计入",P304,0),"")</f>
        <v>0</v>
      </c>
      <c r="Y304" s="11" t="str">
        <f t="shared" si="83">IF(I304="已计入",ROUND(R304+V304-U304,2),"")</f>
        <v/>
      </c>
      <c r="Z304" s="13">
        <f t="shared" si="94">IF(AA304="正常",IF(I304="已计入",A304,Z303),"")</f>
        <v>46239</v>
      </c>
      <c r="AA304" s="10" t="str">
        <f>IF(OR($AA$134="错误",COUNTIF($G$135:G304,"待修正")&gt;0),"错误","正常")</f>
        <v>正常</v>
      </c>
      <c r="AB304" s="14">
        <f t="shared" si="95">IF(AA304="正常",IF(I304="已计入",C304,AB303),"")</f>
        <v>6.347</v>
      </c>
    </row>
    <row r="305" ht="23" customHeight="1">
      <c r="A305" s="36"/>
      <c r="B305" s="37"/>
      <c r="C305" s="38"/>
      <c r="D305" s="39"/>
      <c r="E305" s="44" t="str">
        <f t="shared" si="76">IF(AND(ISNUMBER(C305),ISNUMBER(D305),ISNUMBER(F305)),IF(OR(B305="买入",B305="定投"),ROUND(C305*D305+F305,2),IF(B305="卖出",ROUND(C305*D305-F305,2),IF(B305="红利再投",0,""))),"")</f>
        <v/>
      </c>
      <c r="F305" s="39"/>
      <c r="G305" s="45" t="str">
        <f t="shared" si="77">IF(COUNTA(A305:D305,F305)=0,"",IF(I305="已计入","已录入","待修正"))</f>
        <v/>
      </c>
      <c r="H305" s="46" t="str">
        <f t="shared" si="78">IF(COUNTA(A305:D305,F305)=0,"",IF(B305="红利再投","仅增加份额，不增加现金投入","金额由份额、净值和手续费推算"))</f>
        <v/>
      </c>
      <c r="I305" s="10" t="str">
        <f>IF(COUNTA(A305:D305,F305)=0,"",IF(NOT(ISNUMBER(A305)),"缺少有效净值日期",IF(OR(A305&lt;=0,A305&lt;&gt;INT(A305)),"净值日期无效",IF(OR(B305="转换转入",B305="现金分红"),"该类型需实际金额，五项录入不适用",IF(NOT(OR(OR(B305="买入",B305="定投"),B305="卖出",B305="红利再投")),"请选择交易类型",IF(NOT(ISNUMBER(C305)),"缺少成交净值",IF(C305&lt;=0,"成交净值须大于零",IF(NOT(ISNUMBER(D305)),"缺少确认份额",IF(D305&lt;=0,"确认份额须大于零",IF(NOT(ISNUMBER(F305)),"缺少手续费，无费用请填 0",IF(F305&lt;0,"手续费不能为负",IF(AA304="错误","前行待修正",IF(A305&lt;Z304,"日期需按成交顺序递增",IF(AND(B305="红利再投",F305&lt;&gt;0),"红利再投手续费应填 0",IF(AND(B305="红利再投",K304&lt;=0),"红利再投前须有持仓",IF(AND(B305="卖出",D305&gt;K304+0.000001),"卖出份额超过持仓",IF(AND(B305="卖出",F305&gt;=C305*D305),"赎回费不能达到赎回总额",IF(NOT(ISNUMBER(E305)),"自动金额未生成，请检查五项输入",IF(NOT(OR('持仓总览'!$C$7="利润优先",'持仓总览'!$C$7="本金优先")),"请选择卖出分配模式","已计入")))))))))))))))))))</f>
        <v/>
      </c>
      <c r="J305" s="11">
        <f t="shared" si="79">IF(AA305="正常",IF(I305="已计入",IF(OR(OR(B305="买入",B305="定投",B305="转换转入"),B305="红利再投"),D305,IF(B305="卖出",-D305,0)),0),"")</f>
        <v>0</v>
      </c>
      <c r="K305" s="11">
        <f t="shared" si="84">IF(AA305="正常",ROUND(K304+J305,6),"")</f>
        <v>25721.6</v>
      </c>
      <c r="L305" s="11" t="str">
        <f t="shared" si="85">IF(I305="已计入",ROUND(K304*C305,2),"")</f>
        <v/>
      </c>
      <c r="M305" s="11" t="str">
        <f t="shared" si="86">IF(I305="已计入",IF(B305="卖出",MAX(0,L305-Q304-F305),IF(B305="现金分红",MAX(0,L305+E305-Q304),0)),"")</f>
        <v/>
      </c>
      <c r="N305" s="11" t="str">
        <f>IF(I305="已计入",IF(AND(B305="卖出",'持仓总览'!$C$7="本金优先"),MAX(0,E305-Q304),IF(OR(B305="卖出",B305="现金分红"),MIN(E305,M305),0)),"")</f>
        <v/>
      </c>
      <c r="O305" s="11" t="str">
        <f t="shared" si="87">IF(I305="已计入",IF(OR(B305="卖出",B305="现金分红"),MIN(Q304,MAX(0,E305-N305)),0),"")</f>
        <v/>
      </c>
      <c r="P305" s="11" t="str">
        <f t="shared" si="88">IF(I305="已计入",IF(AND(B305="卖出",K305=0),MAX(0,Q304-O305),0),"")</f>
        <v/>
      </c>
      <c r="Q305" s="11">
        <f t="shared" si="89">IF(AA305="正常",IF(I305="已计入",ROUND(Q304+IF(OR(B305="买入",B305="定投",B305="转换转入"),E305,0)-O305-P305,2),Q304),"")</f>
        <v>129570</v>
      </c>
      <c r="R305" s="11" t="str">
        <f t="shared" si="80">IF(I305="已计入",ROUND(K305*C305,2),"")</f>
        <v/>
      </c>
      <c r="S305" s="11" t="str">
        <f t="shared" si="81">IF(I305="已计入",ROUND(R305-Q305,2),"")</f>
        <v/>
      </c>
      <c r="T305" s="12" t="str">
        <f t="shared" si="82">IF(I305="已计入",IF(Q305=0,"",S305/Q305),"")</f>
        <v/>
      </c>
      <c r="U305" s="11">
        <f t="shared" si="90">IF(AA305="正常",U304+IF(AND(I305="已计入",OR(B305="买入",B305="定投",B305="转换转入")),E305,0),"")</f>
        <v>129570</v>
      </c>
      <c r="V305" s="11">
        <f t="shared" si="91">IF(AA305="正常",V304+IF(AND(I305="已计入",OR(B305="卖出",B305="现金分红")),E305,0),"")</f>
        <v>0</v>
      </c>
      <c r="W305" s="11">
        <f t="shared" si="92">IF(AA305="正常",W304+IF(I305="已计入",N305,0),"")</f>
        <v>0</v>
      </c>
      <c r="X305" s="11">
        <f t="shared" si="93">IF(AA305="正常",X304+IF(I305="已计入",P305,0),"")</f>
        <v>0</v>
      </c>
      <c r="Y305" s="11" t="str">
        <f t="shared" si="83">IF(I305="已计入",ROUND(R305+V305-U305,2),"")</f>
        <v/>
      </c>
      <c r="Z305" s="13">
        <f t="shared" si="94">IF(AA305="正常",IF(I305="已计入",A305,Z304),"")</f>
        <v>46239</v>
      </c>
      <c r="AA305" s="10" t="str">
        <f>IF(OR($AA$134="错误",COUNTIF($G$135:G305,"待修正")&gt;0),"错误","正常")</f>
        <v>正常</v>
      </c>
      <c r="AB305" s="14">
        <f t="shared" si="95">IF(AA305="正常",IF(I305="已计入",C305,AB304),"")</f>
        <v>6.347</v>
      </c>
    </row>
    <row r="306" ht="23" customHeight="1">
      <c r="A306" s="36"/>
      <c r="B306" s="37"/>
      <c r="C306" s="38"/>
      <c r="D306" s="39"/>
      <c r="E306" s="44" t="str">
        <f t="shared" si="76">IF(AND(ISNUMBER(C306),ISNUMBER(D306),ISNUMBER(F306)),IF(OR(B306="买入",B306="定投"),ROUND(C306*D306+F306,2),IF(B306="卖出",ROUND(C306*D306-F306,2),IF(B306="红利再投",0,""))),"")</f>
        <v/>
      </c>
      <c r="F306" s="39"/>
      <c r="G306" s="45" t="str">
        <f t="shared" si="77">IF(COUNTA(A306:D306,F306)=0,"",IF(I306="已计入","已录入","待修正"))</f>
        <v/>
      </c>
      <c r="H306" s="46" t="str">
        <f t="shared" si="78">IF(COUNTA(A306:D306,F306)=0,"",IF(B306="红利再投","仅增加份额，不增加现金投入","金额由份额、净值和手续费推算"))</f>
        <v/>
      </c>
      <c r="I306" s="10" t="str">
        <f>IF(COUNTA(A306:D306,F306)=0,"",IF(NOT(ISNUMBER(A306)),"缺少有效净值日期",IF(OR(A306&lt;=0,A306&lt;&gt;INT(A306)),"净值日期无效",IF(OR(B306="转换转入",B306="现金分红"),"该类型需实际金额，五项录入不适用",IF(NOT(OR(OR(B306="买入",B306="定投"),B306="卖出",B306="红利再投")),"请选择交易类型",IF(NOT(ISNUMBER(C306)),"缺少成交净值",IF(C306&lt;=0,"成交净值须大于零",IF(NOT(ISNUMBER(D306)),"缺少确认份额",IF(D306&lt;=0,"确认份额须大于零",IF(NOT(ISNUMBER(F306)),"缺少手续费，无费用请填 0",IF(F306&lt;0,"手续费不能为负",IF(AA305="错误","前行待修正",IF(A306&lt;Z305,"日期需按成交顺序递增",IF(AND(B306="红利再投",F306&lt;&gt;0),"红利再投手续费应填 0",IF(AND(B306="红利再投",K305&lt;=0),"红利再投前须有持仓",IF(AND(B306="卖出",D306&gt;K305+0.000001),"卖出份额超过持仓",IF(AND(B306="卖出",F306&gt;=C306*D306),"赎回费不能达到赎回总额",IF(NOT(ISNUMBER(E306)),"自动金额未生成，请检查五项输入",IF(NOT(OR('持仓总览'!$C$7="利润优先",'持仓总览'!$C$7="本金优先")),"请选择卖出分配模式","已计入")))))))))))))))))))</f>
        <v/>
      </c>
      <c r="J306" s="11">
        <f t="shared" si="79">IF(AA306="正常",IF(I306="已计入",IF(OR(OR(B306="买入",B306="定投",B306="转换转入"),B306="红利再投"),D306,IF(B306="卖出",-D306,0)),0),"")</f>
        <v>0</v>
      </c>
      <c r="K306" s="11">
        <f t="shared" si="84">IF(AA306="正常",ROUND(K305+J306,6),"")</f>
        <v>25721.6</v>
      </c>
      <c r="L306" s="11" t="str">
        <f t="shared" si="85">IF(I306="已计入",ROUND(K305*C306,2),"")</f>
        <v/>
      </c>
      <c r="M306" s="11" t="str">
        <f t="shared" si="86">IF(I306="已计入",IF(B306="卖出",MAX(0,L306-Q305-F306),IF(B306="现金分红",MAX(0,L306+E306-Q305),0)),"")</f>
        <v/>
      </c>
      <c r="N306" s="11" t="str">
        <f>IF(I306="已计入",IF(AND(B306="卖出",'持仓总览'!$C$7="本金优先"),MAX(0,E306-Q305),IF(OR(B306="卖出",B306="现金分红"),MIN(E306,M306),0)),"")</f>
        <v/>
      </c>
      <c r="O306" s="11" t="str">
        <f t="shared" si="87">IF(I306="已计入",IF(OR(B306="卖出",B306="现金分红"),MIN(Q305,MAX(0,E306-N306)),0),"")</f>
        <v/>
      </c>
      <c r="P306" s="11" t="str">
        <f t="shared" si="88">IF(I306="已计入",IF(AND(B306="卖出",K306=0),MAX(0,Q305-O306),0),"")</f>
        <v/>
      </c>
      <c r="Q306" s="11">
        <f t="shared" si="89">IF(AA306="正常",IF(I306="已计入",ROUND(Q305+IF(OR(B306="买入",B306="定投",B306="转换转入"),E306,0)-O306-P306,2),Q305),"")</f>
        <v>129570</v>
      </c>
      <c r="R306" s="11" t="str">
        <f t="shared" si="80">IF(I306="已计入",ROUND(K306*C306,2),"")</f>
        <v/>
      </c>
      <c r="S306" s="11" t="str">
        <f t="shared" si="81">IF(I306="已计入",ROUND(R306-Q306,2),"")</f>
        <v/>
      </c>
      <c r="T306" s="12" t="str">
        <f t="shared" si="82">IF(I306="已计入",IF(Q306=0,"",S306/Q306),"")</f>
        <v/>
      </c>
      <c r="U306" s="11">
        <f t="shared" si="90">IF(AA306="正常",U305+IF(AND(I306="已计入",OR(B306="买入",B306="定投",B306="转换转入")),E306,0),"")</f>
        <v>129570</v>
      </c>
      <c r="V306" s="11">
        <f t="shared" si="91">IF(AA306="正常",V305+IF(AND(I306="已计入",OR(B306="卖出",B306="现金分红")),E306,0),"")</f>
        <v>0</v>
      </c>
      <c r="W306" s="11">
        <f t="shared" si="92">IF(AA306="正常",W305+IF(I306="已计入",N306,0),"")</f>
        <v>0</v>
      </c>
      <c r="X306" s="11">
        <f t="shared" si="93">IF(AA306="正常",X305+IF(I306="已计入",P306,0),"")</f>
        <v>0</v>
      </c>
      <c r="Y306" s="11" t="str">
        <f t="shared" si="83">IF(I306="已计入",ROUND(R306+V306-U306,2),"")</f>
        <v/>
      </c>
      <c r="Z306" s="13">
        <f t="shared" si="94">IF(AA306="正常",IF(I306="已计入",A306,Z305),"")</f>
        <v>46239</v>
      </c>
      <c r="AA306" s="10" t="str">
        <f>IF(OR($AA$134="错误",COUNTIF($G$135:G306,"待修正")&gt;0),"错误","正常")</f>
        <v>正常</v>
      </c>
      <c r="AB306" s="14">
        <f t="shared" si="95">IF(AA306="正常",IF(I306="已计入",C306,AB305),"")</f>
        <v>6.347</v>
      </c>
    </row>
    <row r="307" ht="23" customHeight="1">
      <c r="A307" s="36"/>
      <c r="B307" s="37"/>
      <c r="C307" s="38"/>
      <c r="D307" s="39"/>
      <c r="E307" s="44" t="str">
        <f t="shared" si="76">IF(AND(ISNUMBER(C307),ISNUMBER(D307),ISNUMBER(F307)),IF(OR(B307="买入",B307="定投"),ROUND(C307*D307+F307,2),IF(B307="卖出",ROUND(C307*D307-F307,2),IF(B307="红利再投",0,""))),"")</f>
        <v/>
      </c>
      <c r="F307" s="39"/>
      <c r="G307" s="45" t="str">
        <f t="shared" si="77">IF(COUNTA(A307:D307,F307)=0,"",IF(I307="已计入","已录入","待修正"))</f>
        <v/>
      </c>
      <c r="H307" s="46" t="str">
        <f t="shared" si="78">IF(COUNTA(A307:D307,F307)=0,"",IF(B307="红利再投","仅增加份额，不增加现金投入","金额由份额、净值和手续费推算"))</f>
        <v/>
      </c>
      <c r="I307" s="10" t="str">
        <f>IF(COUNTA(A307:D307,F307)=0,"",IF(NOT(ISNUMBER(A307)),"缺少有效净值日期",IF(OR(A307&lt;=0,A307&lt;&gt;INT(A307)),"净值日期无效",IF(OR(B307="转换转入",B307="现金分红"),"该类型需实际金额，五项录入不适用",IF(NOT(OR(OR(B307="买入",B307="定投"),B307="卖出",B307="红利再投")),"请选择交易类型",IF(NOT(ISNUMBER(C307)),"缺少成交净值",IF(C307&lt;=0,"成交净值须大于零",IF(NOT(ISNUMBER(D307)),"缺少确认份额",IF(D307&lt;=0,"确认份额须大于零",IF(NOT(ISNUMBER(F307)),"缺少手续费，无费用请填 0",IF(F307&lt;0,"手续费不能为负",IF(AA306="错误","前行待修正",IF(A307&lt;Z306,"日期需按成交顺序递增",IF(AND(B307="红利再投",F307&lt;&gt;0),"红利再投手续费应填 0",IF(AND(B307="红利再投",K306&lt;=0),"红利再投前须有持仓",IF(AND(B307="卖出",D307&gt;K306+0.000001),"卖出份额超过持仓",IF(AND(B307="卖出",F307&gt;=C307*D307),"赎回费不能达到赎回总额",IF(NOT(ISNUMBER(E307)),"自动金额未生成，请检查五项输入",IF(NOT(OR('持仓总览'!$C$7="利润优先",'持仓总览'!$C$7="本金优先")),"请选择卖出分配模式","已计入")))))))))))))))))))</f>
        <v/>
      </c>
      <c r="J307" s="11">
        <f t="shared" si="79">IF(AA307="正常",IF(I307="已计入",IF(OR(OR(B307="买入",B307="定投",B307="转换转入"),B307="红利再投"),D307,IF(B307="卖出",-D307,0)),0),"")</f>
        <v>0</v>
      </c>
      <c r="K307" s="11">
        <f t="shared" si="84">IF(AA307="正常",ROUND(K306+J307,6),"")</f>
        <v>25721.6</v>
      </c>
      <c r="L307" s="11" t="str">
        <f t="shared" si="85">IF(I307="已计入",ROUND(K306*C307,2),"")</f>
        <v/>
      </c>
      <c r="M307" s="11" t="str">
        <f t="shared" si="86">IF(I307="已计入",IF(B307="卖出",MAX(0,L307-Q306-F307),IF(B307="现金分红",MAX(0,L307+E307-Q306),0)),"")</f>
        <v/>
      </c>
      <c r="N307" s="11" t="str">
        <f>IF(I307="已计入",IF(AND(B307="卖出",'持仓总览'!$C$7="本金优先"),MAX(0,E307-Q306),IF(OR(B307="卖出",B307="现金分红"),MIN(E307,M307),0)),"")</f>
        <v/>
      </c>
      <c r="O307" s="11" t="str">
        <f t="shared" si="87">IF(I307="已计入",IF(OR(B307="卖出",B307="现金分红"),MIN(Q306,MAX(0,E307-N307)),0),"")</f>
        <v/>
      </c>
      <c r="P307" s="11" t="str">
        <f t="shared" si="88">IF(I307="已计入",IF(AND(B307="卖出",K307=0),MAX(0,Q306-O307),0),"")</f>
        <v/>
      </c>
      <c r="Q307" s="11">
        <f t="shared" si="89">IF(AA307="正常",IF(I307="已计入",ROUND(Q306+IF(OR(B307="买入",B307="定投",B307="转换转入"),E307,0)-O307-P307,2),Q306),"")</f>
        <v>129570</v>
      </c>
      <c r="R307" s="11" t="str">
        <f t="shared" si="80">IF(I307="已计入",ROUND(K307*C307,2),"")</f>
        <v/>
      </c>
      <c r="S307" s="11" t="str">
        <f t="shared" si="81">IF(I307="已计入",ROUND(R307-Q307,2),"")</f>
        <v/>
      </c>
      <c r="T307" s="12" t="str">
        <f t="shared" si="82">IF(I307="已计入",IF(Q307=0,"",S307/Q307),"")</f>
        <v/>
      </c>
      <c r="U307" s="11">
        <f t="shared" si="90">IF(AA307="正常",U306+IF(AND(I307="已计入",OR(B307="买入",B307="定投",B307="转换转入")),E307,0),"")</f>
        <v>129570</v>
      </c>
      <c r="V307" s="11">
        <f t="shared" si="91">IF(AA307="正常",V306+IF(AND(I307="已计入",OR(B307="卖出",B307="现金分红")),E307,0),"")</f>
        <v>0</v>
      </c>
      <c r="W307" s="11">
        <f t="shared" si="92">IF(AA307="正常",W306+IF(I307="已计入",N307,0),"")</f>
        <v>0</v>
      </c>
      <c r="X307" s="11">
        <f t="shared" si="93">IF(AA307="正常",X306+IF(I307="已计入",P307,0),"")</f>
        <v>0</v>
      </c>
      <c r="Y307" s="11" t="str">
        <f t="shared" si="83">IF(I307="已计入",ROUND(R307+V307-U307,2),"")</f>
        <v/>
      </c>
      <c r="Z307" s="13">
        <f t="shared" si="94">IF(AA307="正常",IF(I307="已计入",A307,Z306),"")</f>
        <v>46239</v>
      </c>
      <c r="AA307" s="10" t="str">
        <f>IF(OR($AA$134="错误",COUNTIF($G$135:G307,"待修正")&gt;0),"错误","正常")</f>
        <v>正常</v>
      </c>
      <c r="AB307" s="14">
        <f t="shared" si="95">IF(AA307="正常",IF(I307="已计入",C307,AB306),"")</f>
        <v>6.347</v>
      </c>
    </row>
    <row r="308" ht="23" customHeight="1">
      <c r="A308" s="36"/>
      <c r="B308" s="37"/>
      <c r="C308" s="38"/>
      <c r="D308" s="39"/>
      <c r="E308" s="44" t="str">
        <f t="shared" si="76">IF(AND(ISNUMBER(C308),ISNUMBER(D308),ISNUMBER(F308)),IF(OR(B308="买入",B308="定投"),ROUND(C308*D308+F308,2),IF(B308="卖出",ROUND(C308*D308-F308,2),IF(B308="红利再投",0,""))),"")</f>
        <v/>
      </c>
      <c r="F308" s="39"/>
      <c r="G308" s="45" t="str">
        <f t="shared" si="77">IF(COUNTA(A308:D308,F308)=0,"",IF(I308="已计入","已录入","待修正"))</f>
        <v/>
      </c>
      <c r="H308" s="46" t="str">
        <f t="shared" si="78">IF(COUNTA(A308:D308,F308)=0,"",IF(B308="红利再投","仅增加份额，不增加现金投入","金额由份额、净值和手续费推算"))</f>
        <v/>
      </c>
      <c r="I308" s="10" t="str">
        <f>IF(COUNTA(A308:D308,F308)=0,"",IF(NOT(ISNUMBER(A308)),"缺少有效净值日期",IF(OR(A308&lt;=0,A308&lt;&gt;INT(A308)),"净值日期无效",IF(OR(B308="转换转入",B308="现金分红"),"该类型需实际金额，五项录入不适用",IF(NOT(OR(OR(B308="买入",B308="定投"),B308="卖出",B308="红利再投")),"请选择交易类型",IF(NOT(ISNUMBER(C308)),"缺少成交净值",IF(C308&lt;=0,"成交净值须大于零",IF(NOT(ISNUMBER(D308)),"缺少确认份额",IF(D308&lt;=0,"确认份额须大于零",IF(NOT(ISNUMBER(F308)),"缺少手续费，无费用请填 0",IF(F308&lt;0,"手续费不能为负",IF(AA307="错误","前行待修正",IF(A308&lt;Z307,"日期需按成交顺序递增",IF(AND(B308="红利再投",F308&lt;&gt;0),"红利再投手续费应填 0",IF(AND(B308="红利再投",K307&lt;=0),"红利再投前须有持仓",IF(AND(B308="卖出",D308&gt;K307+0.000001),"卖出份额超过持仓",IF(AND(B308="卖出",F308&gt;=C308*D308),"赎回费不能达到赎回总额",IF(NOT(ISNUMBER(E308)),"自动金额未生成，请检查五项输入",IF(NOT(OR('持仓总览'!$C$7="利润优先",'持仓总览'!$C$7="本金优先")),"请选择卖出分配模式","已计入")))))))))))))))))))</f>
        <v/>
      </c>
      <c r="J308" s="11">
        <f t="shared" si="79">IF(AA308="正常",IF(I308="已计入",IF(OR(OR(B308="买入",B308="定投",B308="转换转入"),B308="红利再投"),D308,IF(B308="卖出",-D308,0)),0),"")</f>
        <v>0</v>
      </c>
      <c r="K308" s="11">
        <f t="shared" si="84">IF(AA308="正常",ROUND(K307+J308,6),"")</f>
        <v>25721.6</v>
      </c>
      <c r="L308" s="11" t="str">
        <f t="shared" si="85">IF(I308="已计入",ROUND(K307*C308,2),"")</f>
        <v/>
      </c>
      <c r="M308" s="11" t="str">
        <f t="shared" si="86">IF(I308="已计入",IF(B308="卖出",MAX(0,L308-Q307-F308),IF(B308="现金分红",MAX(0,L308+E308-Q307),0)),"")</f>
        <v/>
      </c>
      <c r="N308" s="11" t="str">
        <f>IF(I308="已计入",IF(AND(B308="卖出",'持仓总览'!$C$7="本金优先"),MAX(0,E308-Q307),IF(OR(B308="卖出",B308="现金分红"),MIN(E308,M308),0)),"")</f>
        <v/>
      </c>
      <c r="O308" s="11" t="str">
        <f t="shared" si="87">IF(I308="已计入",IF(OR(B308="卖出",B308="现金分红"),MIN(Q307,MAX(0,E308-N308)),0),"")</f>
        <v/>
      </c>
      <c r="P308" s="11" t="str">
        <f t="shared" si="88">IF(I308="已计入",IF(AND(B308="卖出",K308=0),MAX(0,Q307-O308),0),"")</f>
        <v/>
      </c>
      <c r="Q308" s="11">
        <f t="shared" si="89">IF(AA308="正常",IF(I308="已计入",ROUND(Q307+IF(OR(B308="买入",B308="定投",B308="转换转入"),E308,0)-O308-P308,2),Q307),"")</f>
        <v>129570</v>
      </c>
      <c r="R308" s="11" t="str">
        <f t="shared" si="80">IF(I308="已计入",ROUND(K308*C308,2),"")</f>
        <v/>
      </c>
      <c r="S308" s="11" t="str">
        <f t="shared" si="81">IF(I308="已计入",ROUND(R308-Q308,2),"")</f>
        <v/>
      </c>
      <c r="T308" s="12" t="str">
        <f t="shared" si="82">IF(I308="已计入",IF(Q308=0,"",S308/Q308),"")</f>
        <v/>
      </c>
      <c r="U308" s="11">
        <f t="shared" si="90">IF(AA308="正常",U307+IF(AND(I308="已计入",OR(B308="买入",B308="定投",B308="转换转入")),E308,0),"")</f>
        <v>129570</v>
      </c>
      <c r="V308" s="11">
        <f t="shared" si="91">IF(AA308="正常",V307+IF(AND(I308="已计入",OR(B308="卖出",B308="现金分红")),E308,0),"")</f>
        <v>0</v>
      </c>
      <c r="W308" s="11">
        <f t="shared" si="92">IF(AA308="正常",W307+IF(I308="已计入",N308,0),"")</f>
        <v>0</v>
      </c>
      <c r="X308" s="11">
        <f t="shared" si="93">IF(AA308="正常",X307+IF(I308="已计入",P308,0),"")</f>
        <v>0</v>
      </c>
      <c r="Y308" s="11" t="str">
        <f t="shared" si="83">IF(I308="已计入",ROUND(R308+V308-U308,2),"")</f>
        <v/>
      </c>
      <c r="Z308" s="13">
        <f t="shared" si="94">IF(AA308="正常",IF(I308="已计入",A308,Z307),"")</f>
        <v>46239</v>
      </c>
      <c r="AA308" s="10" t="str">
        <f>IF(OR($AA$134="错误",COUNTIF($G$135:G308,"待修正")&gt;0),"错误","正常")</f>
        <v>正常</v>
      </c>
      <c r="AB308" s="14">
        <f t="shared" si="95">IF(AA308="正常",IF(I308="已计入",C308,AB307),"")</f>
        <v>6.347</v>
      </c>
    </row>
    <row r="309" ht="23" customHeight="1">
      <c r="A309" s="36"/>
      <c r="B309" s="37"/>
      <c r="C309" s="38"/>
      <c r="D309" s="39"/>
      <c r="E309" s="44" t="str">
        <f t="shared" ref="E309:E372" si="96">IF(AND(ISNUMBER(C309),ISNUMBER(D309),ISNUMBER(F309)),IF(OR(B309="买入",B309="定投"),ROUND(C309*D309+F309,2),IF(B309="卖出",ROUND(C309*D309-F309,2),IF(B309="红利再投",0,""))),"")</f>
        <v/>
      </c>
      <c r="F309" s="39"/>
      <c r="G309" s="45" t="str">
        <f t="shared" ref="G309:G372" si="97">IF(COUNTA(A309:D309,F309)=0,"",IF(I309="已计入","已录入","待修正"))</f>
        <v/>
      </c>
      <c r="H309" s="46" t="str">
        <f t="shared" ref="H309:H372" si="98">IF(COUNTA(A309:D309,F309)=0,"",IF(B309="红利再投","仅增加份额，不增加现金投入","金额由份额、净值和手续费推算"))</f>
        <v/>
      </c>
      <c r="I309" s="10" t="str">
        <f>IF(COUNTA(A309:D309,F309)=0,"",IF(NOT(ISNUMBER(A309)),"缺少有效净值日期",IF(OR(A309&lt;=0,A309&lt;&gt;INT(A309)),"净值日期无效",IF(OR(B309="转换转入",B309="现金分红"),"该类型需实际金额，五项录入不适用",IF(NOT(OR(OR(B309="买入",B309="定投"),B309="卖出",B309="红利再投")),"请选择交易类型",IF(NOT(ISNUMBER(C309)),"缺少成交净值",IF(C309&lt;=0,"成交净值须大于零",IF(NOT(ISNUMBER(D309)),"缺少确认份额",IF(D309&lt;=0,"确认份额须大于零",IF(NOT(ISNUMBER(F309)),"缺少手续费，无费用请填 0",IF(F309&lt;0,"手续费不能为负",IF(AA308="错误","前行待修正",IF(A309&lt;Z308,"日期需按成交顺序递增",IF(AND(B309="红利再投",F309&lt;&gt;0),"红利再投手续费应填 0",IF(AND(B309="红利再投",K308&lt;=0),"红利再投前须有持仓",IF(AND(B309="卖出",D309&gt;K308+0.000001),"卖出份额超过持仓",IF(AND(B309="卖出",F309&gt;=C309*D309),"赎回费不能达到赎回总额",IF(NOT(ISNUMBER(E309)),"自动金额未生成，请检查五项输入",IF(NOT(OR('持仓总览'!$C$7="利润优先",'持仓总览'!$C$7="本金优先")),"请选择卖出分配模式","已计入")))))))))))))))))))</f>
        <v/>
      </c>
      <c r="J309" s="11">
        <f t="shared" si="79">IF(AA309="正常",IF(I309="已计入",IF(OR(OR(B309="买入",B309="定投",B309="转换转入"),B309="红利再投"),D309,IF(B309="卖出",-D309,0)),0),"")</f>
        <v>0</v>
      </c>
      <c r="K309" s="11">
        <f t="shared" si="84">IF(AA309="正常",ROUND(K308+J309,6),"")</f>
        <v>25721.6</v>
      </c>
      <c r="L309" s="11" t="str">
        <f t="shared" si="85">IF(I309="已计入",ROUND(K308*C309,2),"")</f>
        <v/>
      </c>
      <c r="M309" s="11" t="str">
        <f t="shared" si="86">IF(I309="已计入",IF(B309="卖出",MAX(0,L309-Q308-F309),IF(B309="现金分红",MAX(0,L309+E309-Q308),0)),"")</f>
        <v/>
      </c>
      <c r="N309" s="11" t="str">
        <f>IF(I309="已计入",IF(AND(B309="卖出",'持仓总览'!$C$7="本金优先"),MAX(0,E309-Q308),IF(OR(B309="卖出",B309="现金分红"),MIN(E309,M309),0)),"")</f>
        <v/>
      </c>
      <c r="O309" s="11" t="str">
        <f t="shared" si="87">IF(I309="已计入",IF(OR(B309="卖出",B309="现金分红"),MIN(Q308,MAX(0,E309-N309)),0),"")</f>
        <v/>
      </c>
      <c r="P309" s="11" t="str">
        <f t="shared" si="88">IF(I309="已计入",IF(AND(B309="卖出",K309=0),MAX(0,Q308-O309),0),"")</f>
        <v/>
      </c>
      <c r="Q309" s="11">
        <f t="shared" si="89">IF(AA309="正常",IF(I309="已计入",ROUND(Q308+IF(OR(B309="买入",B309="定投",B309="转换转入"),E309,0)-O309-P309,2),Q308),"")</f>
        <v>129570</v>
      </c>
      <c r="R309" s="11" t="str">
        <f t="shared" si="80">IF(I309="已计入",ROUND(K309*C309,2),"")</f>
        <v/>
      </c>
      <c r="S309" s="11" t="str">
        <f t="shared" si="81">IF(I309="已计入",ROUND(R309-Q309,2),"")</f>
        <v/>
      </c>
      <c r="T309" s="12" t="str">
        <f t="shared" si="82">IF(I309="已计入",IF(Q309=0,"",S309/Q309),"")</f>
        <v/>
      </c>
      <c r="U309" s="11">
        <f t="shared" si="90">IF(AA309="正常",U308+IF(AND(I309="已计入",OR(B309="买入",B309="定投",B309="转换转入")),E309,0),"")</f>
        <v>129570</v>
      </c>
      <c r="V309" s="11">
        <f t="shared" si="91">IF(AA309="正常",V308+IF(AND(I309="已计入",OR(B309="卖出",B309="现金分红")),E309,0),"")</f>
        <v>0</v>
      </c>
      <c r="W309" s="11">
        <f t="shared" si="92">IF(AA309="正常",W308+IF(I309="已计入",N309,0),"")</f>
        <v>0</v>
      </c>
      <c r="X309" s="11">
        <f t="shared" si="93">IF(AA309="正常",X308+IF(I309="已计入",P309,0),"")</f>
        <v>0</v>
      </c>
      <c r="Y309" s="11" t="str">
        <f t="shared" si="83">IF(I309="已计入",ROUND(R309+V309-U309,2),"")</f>
        <v/>
      </c>
      <c r="Z309" s="13">
        <f t="shared" si="94">IF(AA309="正常",IF(I309="已计入",A309,Z308),"")</f>
        <v>46239</v>
      </c>
      <c r="AA309" s="10" t="str">
        <f>IF(OR($AA$134="错误",COUNTIF($G$135:G309,"待修正")&gt;0),"错误","正常")</f>
        <v>正常</v>
      </c>
      <c r="AB309" s="14">
        <f t="shared" si="95">IF(AA309="正常",IF(I309="已计入",C309,AB308),"")</f>
        <v>6.347</v>
      </c>
    </row>
    <row r="310" ht="23" customHeight="1">
      <c r="A310" s="36"/>
      <c r="B310" s="37"/>
      <c r="C310" s="38"/>
      <c r="D310" s="39"/>
      <c r="E310" s="44" t="str">
        <f t="shared" si="96">IF(AND(ISNUMBER(C310),ISNUMBER(D310),ISNUMBER(F310)),IF(OR(B310="买入",B310="定投"),ROUND(C310*D310+F310,2),IF(B310="卖出",ROUND(C310*D310-F310,2),IF(B310="红利再投",0,""))),"")</f>
        <v/>
      </c>
      <c r="F310" s="39"/>
      <c r="G310" s="45" t="str">
        <f t="shared" si="97">IF(COUNTA(A310:D310,F310)=0,"",IF(I310="已计入","已录入","待修正"))</f>
        <v/>
      </c>
      <c r="H310" s="46" t="str">
        <f t="shared" si="98">IF(COUNTA(A310:D310,F310)=0,"",IF(B310="红利再投","仅增加份额，不增加现金投入","金额由份额、净值和手续费推算"))</f>
        <v/>
      </c>
      <c r="I310" s="10" t="str">
        <f>IF(COUNTA(A310:D310,F310)=0,"",IF(NOT(ISNUMBER(A310)),"缺少有效净值日期",IF(OR(A310&lt;=0,A310&lt;&gt;INT(A310)),"净值日期无效",IF(OR(B310="转换转入",B310="现金分红"),"该类型需实际金额，五项录入不适用",IF(NOT(OR(OR(B310="买入",B310="定投"),B310="卖出",B310="红利再投")),"请选择交易类型",IF(NOT(ISNUMBER(C310)),"缺少成交净值",IF(C310&lt;=0,"成交净值须大于零",IF(NOT(ISNUMBER(D310)),"缺少确认份额",IF(D310&lt;=0,"确认份额须大于零",IF(NOT(ISNUMBER(F310)),"缺少手续费，无费用请填 0",IF(F310&lt;0,"手续费不能为负",IF(AA309="错误","前行待修正",IF(A310&lt;Z309,"日期需按成交顺序递增",IF(AND(B310="红利再投",F310&lt;&gt;0),"红利再投手续费应填 0",IF(AND(B310="红利再投",K309&lt;=0),"红利再投前须有持仓",IF(AND(B310="卖出",D310&gt;K309+0.000001),"卖出份额超过持仓",IF(AND(B310="卖出",F310&gt;=C310*D310),"赎回费不能达到赎回总额",IF(NOT(ISNUMBER(E310)),"自动金额未生成，请检查五项输入",IF(NOT(OR('持仓总览'!$C$7="利润优先",'持仓总览'!$C$7="本金优先")),"请选择卖出分配模式","已计入")))))))))))))))))))</f>
        <v/>
      </c>
      <c r="J310" s="11">
        <f t="shared" si="79">IF(AA310="正常",IF(I310="已计入",IF(OR(OR(B310="买入",B310="定投",B310="转换转入"),B310="红利再投"),D310,IF(B310="卖出",-D310,0)),0),"")</f>
        <v>0</v>
      </c>
      <c r="K310" s="11">
        <f t="shared" si="84">IF(AA310="正常",ROUND(K309+J310,6),"")</f>
        <v>25721.6</v>
      </c>
      <c r="L310" s="11" t="str">
        <f t="shared" si="85">IF(I310="已计入",ROUND(K309*C310,2),"")</f>
        <v/>
      </c>
      <c r="M310" s="11" t="str">
        <f t="shared" si="86">IF(I310="已计入",IF(B310="卖出",MAX(0,L310-Q309-F310),IF(B310="现金分红",MAX(0,L310+E310-Q309),0)),"")</f>
        <v/>
      </c>
      <c r="N310" s="11" t="str">
        <f>IF(I310="已计入",IF(AND(B310="卖出",'持仓总览'!$C$7="本金优先"),MAX(0,E310-Q309),IF(OR(B310="卖出",B310="现金分红"),MIN(E310,M310),0)),"")</f>
        <v/>
      </c>
      <c r="O310" s="11" t="str">
        <f t="shared" si="87">IF(I310="已计入",IF(OR(B310="卖出",B310="现金分红"),MIN(Q309,MAX(0,E310-N310)),0),"")</f>
        <v/>
      </c>
      <c r="P310" s="11" t="str">
        <f t="shared" si="88">IF(I310="已计入",IF(AND(B310="卖出",K310=0),MAX(0,Q309-O310),0),"")</f>
        <v/>
      </c>
      <c r="Q310" s="11">
        <f t="shared" si="89">IF(AA310="正常",IF(I310="已计入",ROUND(Q309+IF(OR(B310="买入",B310="定投",B310="转换转入"),E310,0)-O310-P310,2),Q309),"")</f>
        <v>129570</v>
      </c>
      <c r="R310" s="11" t="str">
        <f t="shared" si="80">IF(I310="已计入",ROUND(K310*C310,2),"")</f>
        <v/>
      </c>
      <c r="S310" s="11" t="str">
        <f t="shared" si="81">IF(I310="已计入",ROUND(R310-Q310,2),"")</f>
        <v/>
      </c>
      <c r="T310" s="12" t="str">
        <f t="shared" si="82">IF(I310="已计入",IF(Q310=0,"",S310/Q310),"")</f>
        <v/>
      </c>
      <c r="U310" s="11">
        <f t="shared" si="90">IF(AA310="正常",U309+IF(AND(I310="已计入",OR(B310="买入",B310="定投",B310="转换转入")),E310,0),"")</f>
        <v>129570</v>
      </c>
      <c r="V310" s="11">
        <f t="shared" si="91">IF(AA310="正常",V309+IF(AND(I310="已计入",OR(B310="卖出",B310="现金分红")),E310,0),"")</f>
        <v>0</v>
      </c>
      <c r="W310" s="11">
        <f t="shared" si="92">IF(AA310="正常",W309+IF(I310="已计入",N310,0),"")</f>
        <v>0</v>
      </c>
      <c r="X310" s="11">
        <f t="shared" si="93">IF(AA310="正常",X309+IF(I310="已计入",P310,0),"")</f>
        <v>0</v>
      </c>
      <c r="Y310" s="11" t="str">
        <f t="shared" si="83">IF(I310="已计入",ROUND(R310+V310-U310,2),"")</f>
        <v/>
      </c>
      <c r="Z310" s="13">
        <f t="shared" si="94">IF(AA310="正常",IF(I310="已计入",A310,Z309),"")</f>
        <v>46239</v>
      </c>
      <c r="AA310" s="10" t="str">
        <f>IF(OR($AA$134="错误",COUNTIF($G$135:G310,"待修正")&gt;0),"错误","正常")</f>
        <v>正常</v>
      </c>
      <c r="AB310" s="14">
        <f t="shared" si="95">IF(AA310="正常",IF(I310="已计入",C310,AB309),"")</f>
        <v>6.347</v>
      </c>
    </row>
    <row r="311" ht="23" customHeight="1">
      <c r="A311" s="36"/>
      <c r="B311" s="37"/>
      <c r="C311" s="38"/>
      <c r="D311" s="39"/>
      <c r="E311" s="44" t="str">
        <f t="shared" si="96">IF(AND(ISNUMBER(C311),ISNUMBER(D311),ISNUMBER(F311)),IF(OR(B311="买入",B311="定投"),ROUND(C311*D311+F311,2),IF(B311="卖出",ROUND(C311*D311-F311,2),IF(B311="红利再投",0,""))),"")</f>
        <v/>
      </c>
      <c r="F311" s="39"/>
      <c r="G311" s="45" t="str">
        <f t="shared" si="97">IF(COUNTA(A311:D311,F311)=0,"",IF(I311="已计入","已录入","待修正"))</f>
        <v/>
      </c>
      <c r="H311" s="46" t="str">
        <f t="shared" si="98">IF(COUNTA(A311:D311,F311)=0,"",IF(B311="红利再投","仅增加份额，不增加现金投入","金额由份额、净值和手续费推算"))</f>
        <v/>
      </c>
      <c r="I311" s="10" t="str">
        <f>IF(COUNTA(A311:D311,F311)=0,"",IF(NOT(ISNUMBER(A311)),"缺少有效净值日期",IF(OR(A311&lt;=0,A311&lt;&gt;INT(A311)),"净值日期无效",IF(OR(B311="转换转入",B311="现金分红"),"该类型需实际金额，五项录入不适用",IF(NOT(OR(OR(B311="买入",B311="定投"),B311="卖出",B311="红利再投")),"请选择交易类型",IF(NOT(ISNUMBER(C311)),"缺少成交净值",IF(C311&lt;=0,"成交净值须大于零",IF(NOT(ISNUMBER(D311)),"缺少确认份额",IF(D311&lt;=0,"确认份额须大于零",IF(NOT(ISNUMBER(F311)),"缺少手续费，无费用请填 0",IF(F311&lt;0,"手续费不能为负",IF(AA310="错误","前行待修正",IF(A311&lt;Z310,"日期需按成交顺序递增",IF(AND(B311="红利再投",F311&lt;&gt;0),"红利再投手续费应填 0",IF(AND(B311="红利再投",K310&lt;=0),"红利再投前须有持仓",IF(AND(B311="卖出",D311&gt;K310+0.000001),"卖出份额超过持仓",IF(AND(B311="卖出",F311&gt;=C311*D311),"赎回费不能达到赎回总额",IF(NOT(ISNUMBER(E311)),"自动金额未生成，请检查五项输入",IF(NOT(OR('持仓总览'!$C$7="利润优先",'持仓总览'!$C$7="本金优先")),"请选择卖出分配模式","已计入")))))))))))))))))))</f>
        <v/>
      </c>
      <c r="J311" s="11">
        <f t="shared" si="79">IF(AA311="正常",IF(I311="已计入",IF(OR(OR(B311="买入",B311="定投",B311="转换转入"),B311="红利再投"),D311,IF(B311="卖出",-D311,0)),0),"")</f>
        <v>0</v>
      </c>
      <c r="K311" s="11">
        <f t="shared" si="84">IF(AA311="正常",ROUND(K310+J311,6),"")</f>
        <v>25721.6</v>
      </c>
      <c r="L311" s="11" t="str">
        <f t="shared" si="85">IF(I311="已计入",ROUND(K310*C311,2),"")</f>
        <v/>
      </c>
      <c r="M311" s="11" t="str">
        <f t="shared" si="86">IF(I311="已计入",IF(B311="卖出",MAX(0,L311-Q310-F311),IF(B311="现金分红",MAX(0,L311+E311-Q310),0)),"")</f>
        <v/>
      </c>
      <c r="N311" s="11" t="str">
        <f>IF(I311="已计入",IF(AND(B311="卖出",'持仓总览'!$C$7="本金优先"),MAX(0,E311-Q310),IF(OR(B311="卖出",B311="现金分红"),MIN(E311,M311),0)),"")</f>
        <v/>
      </c>
      <c r="O311" s="11" t="str">
        <f t="shared" si="87">IF(I311="已计入",IF(OR(B311="卖出",B311="现金分红"),MIN(Q310,MAX(0,E311-N311)),0),"")</f>
        <v/>
      </c>
      <c r="P311" s="11" t="str">
        <f t="shared" si="88">IF(I311="已计入",IF(AND(B311="卖出",K311=0),MAX(0,Q310-O311),0),"")</f>
        <v/>
      </c>
      <c r="Q311" s="11">
        <f t="shared" si="89">IF(AA311="正常",IF(I311="已计入",ROUND(Q310+IF(OR(B311="买入",B311="定投",B311="转换转入"),E311,0)-O311-P311,2),Q310),"")</f>
        <v>129570</v>
      </c>
      <c r="R311" s="11" t="str">
        <f t="shared" si="80">IF(I311="已计入",ROUND(K311*C311,2),"")</f>
        <v/>
      </c>
      <c r="S311" s="11" t="str">
        <f t="shared" si="81">IF(I311="已计入",ROUND(R311-Q311,2),"")</f>
        <v/>
      </c>
      <c r="T311" s="12" t="str">
        <f t="shared" si="82">IF(I311="已计入",IF(Q311=0,"",S311/Q311),"")</f>
        <v/>
      </c>
      <c r="U311" s="11">
        <f t="shared" si="90">IF(AA311="正常",U310+IF(AND(I311="已计入",OR(B311="买入",B311="定投",B311="转换转入")),E311,0),"")</f>
        <v>129570</v>
      </c>
      <c r="V311" s="11">
        <f t="shared" si="91">IF(AA311="正常",V310+IF(AND(I311="已计入",OR(B311="卖出",B311="现金分红")),E311,0),"")</f>
        <v>0</v>
      </c>
      <c r="W311" s="11">
        <f t="shared" si="92">IF(AA311="正常",W310+IF(I311="已计入",N311,0),"")</f>
        <v>0</v>
      </c>
      <c r="X311" s="11">
        <f t="shared" si="93">IF(AA311="正常",X310+IF(I311="已计入",P311,0),"")</f>
        <v>0</v>
      </c>
      <c r="Y311" s="11" t="str">
        <f t="shared" si="83">IF(I311="已计入",ROUND(R311+V311-U311,2),"")</f>
        <v/>
      </c>
      <c r="Z311" s="13">
        <f t="shared" si="94">IF(AA311="正常",IF(I311="已计入",A311,Z310),"")</f>
        <v>46239</v>
      </c>
      <c r="AA311" s="10" t="str">
        <f>IF(OR($AA$134="错误",COUNTIF($G$135:G311,"待修正")&gt;0),"错误","正常")</f>
        <v>正常</v>
      </c>
      <c r="AB311" s="14">
        <f t="shared" si="95">IF(AA311="正常",IF(I311="已计入",C311,AB310),"")</f>
        <v>6.347</v>
      </c>
    </row>
    <row r="312" ht="23" customHeight="1">
      <c r="A312" s="36"/>
      <c r="B312" s="37"/>
      <c r="C312" s="38"/>
      <c r="D312" s="39"/>
      <c r="E312" s="44" t="str">
        <f t="shared" si="96">IF(AND(ISNUMBER(C312),ISNUMBER(D312),ISNUMBER(F312)),IF(OR(B312="买入",B312="定投"),ROUND(C312*D312+F312,2),IF(B312="卖出",ROUND(C312*D312-F312,2),IF(B312="红利再投",0,""))),"")</f>
        <v/>
      </c>
      <c r="F312" s="39"/>
      <c r="G312" s="45" t="str">
        <f t="shared" si="97">IF(COUNTA(A312:D312,F312)=0,"",IF(I312="已计入","已录入","待修正"))</f>
        <v/>
      </c>
      <c r="H312" s="46" t="str">
        <f t="shared" si="98">IF(COUNTA(A312:D312,F312)=0,"",IF(B312="红利再投","仅增加份额，不增加现金投入","金额由份额、净值和手续费推算"))</f>
        <v/>
      </c>
      <c r="I312" s="10" t="str">
        <f>IF(COUNTA(A312:D312,F312)=0,"",IF(NOT(ISNUMBER(A312)),"缺少有效净值日期",IF(OR(A312&lt;=0,A312&lt;&gt;INT(A312)),"净值日期无效",IF(OR(B312="转换转入",B312="现金分红"),"该类型需实际金额，五项录入不适用",IF(NOT(OR(OR(B312="买入",B312="定投"),B312="卖出",B312="红利再投")),"请选择交易类型",IF(NOT(ISNUMBER(C312)),"缺少成交净值",IF(C312&lt;=0,"成交净值须大于零",IF(NOT(ISNUMBER(D312)),"缺少确认份额",IF(D312&lt;=0,"确认份额须大于零",IF(NOT(ISNUMBER(F312)),"缺少手续费，无费用请填 0",IF(F312&lt;0,"手续费不能为负",IF(AA311="错误","前行待修正",IF(A312&lt;Z311,"日期需按成交顺序递增",IF(AND(B312="红利再投",F312&lt;&gt;0),"红利再投手续费应填 0",IF(AND(B312="红利再投",K311&lt;=0),"红利再投前须有持仓",IF(AND(B312="卖出",D312&gt;K311+0.000001),"卖出份额超过持仓",IF(AND(B312="卖出",F312&gt;=C312*D312),"赎回费不能达到赎回总额",IF(NOT(ISNUMBER(E312)),"自动金额未生成，请检查五项输入",IF(NOT(OR('持仓总览'!$C$7="利润优先",'持仓总览'!$C$7="本金优先")),"请选择卖出分配模式","已计入")))))))))))))))))))</f>
        <v/>
      </c>
      <c r="J312" s="11">
        <f t="shared" si="79">IF(AA312="正常",IF(I312="已计入",IF(OR(OR(B312="买入",B312="定投",B312="转换转入"),B312="红利再投"),D312,IF(B312="卖出",-D312,0)),0),"")</f>
        <v>0</v>
      </c>
      <c r="K312" s="11">
        <f t="shared" si="84">IF(AA312="正常",ROUND(K311+J312,6),"")</f>
        <v>25721.6</v>
      </c>
      <c r="L312" s="11" t="str">
        <f t="shared" si="85">IF(I312="已计入",ROUND(K311*C312,2),"")</f>
        <v/>
      </c>
      <c r="M312" s="11" t="str">
        <f t="shared" si="86">IF(I312="已计入",IF(B312="卖出",MAX(0,L312-Q311-F312),IF(B312="现金分红",MAX(0,L312+E312-Q311),0)),"")</f>
        <v/>
      </c>
      <c r="N312" s="11" t="str">
        <f>IF(I312="已计入",IF(AND(B312="卖出",'持仓总览'!$C$7="本金优先"),MAX(0,E312-Q311),IF(OR(B312="卖出",B312="现金分红"),MIN(E312,M312),0)),"")</f>
        <v/>
      </c>
      <c r="O312" s="11" t="str">
        <f t="shared" si="87">IF(I312="已计入",IF(OR(B312="卖出",B312="现金分红"),MIN(Q311,MAX(0,E312-N312)),0),"")</f>
        <v/>
      </c>
      <c r="P312" s="11" t="str">
        <f t="shared" si="88">IF(I312="已计入",IF(AND(B312="卖出",K312=0),MAX(0,Q311-O312),0),"")</f>
        <v/>
      </c>
      <c r="Q312" s="11">
        <f t="shared" si="89">IF(AA312="正常",IF(I312="已计入",ROUND(Q311+IF(OR(B312="买入",B312="定投",B312="转换转入"),E312,0)-O312-P312,2),Q311),"")</f>
        <v>129570</v>
      </c>
      <c r="R312" s="11" t="str">
        <f t="shared" si="80">IF(I312="已计入",ROUND(K312*C312,2),"")</f>
        <v/>
      </c>
      <c r="S312" s="11" t="str">
        <f t="shared" si="81">IF(I312="已计入",ROUND(R312-Q312,2),"")</f>
        <v/>
      </c>
      <c r="T312" s="12" t="str">
        <f t="shared" si="82">IF(I312="已计入",IF(Q312=0,"",S312/Q312),"")</f>
        <v/>
      </c>
      <c r="U312" s="11">
        <f t="shared" si="90">IF(AA312="正常",U311+IF(AND(I312="已计入",OR(B312="买入",B312="定投",B312="转换转入")),E312,0),"")</f>
        <v>129570</v>
      </c>
      <c r="V312" s="11">
        <f t="shared" si="91">IF(AA312="正常",V311+IF(AND(I312="已计入",OR(B312="卖出",B312="现金分红")),E312,0),"")</f>
        <v>0</v>
      </c>
      <c r="W312" s="11">
        <f t="shared" si="92">IF(AA312="正常",W311+IF(I312="已计入",N312,0),"")</f>
        <v>0</v>
      </c>
      <c r="X312" s="11">
        <f t="shared" si="93">IF(AA312="正常",X311+IF(I312="已计入",P312,0),"")</f>
        <v>0</v>
      </c>
      <c r="Y312" s="11" t="str">
        <f t="shared" si="83">IF(I312="已计入",ROUND(R312+V312-U312,2),"")</f>
        <v/>
      </c>
      <c r="Z312" s="13">
        <f t="shared" si="94">IF(AA312="正常",IF(I312="已计入",A312,Z311),"")</f>
        <v>46239</v>
      </c>
      <c r="AA312" s="10" t="str">
        <f>IF(OR($AA$134="错误",COUNTIF($G$135:G312,"待修正")&gt;0),"错误","正常")</f>
        <v>正常</v>
      </c>
      <c r="AB312" s="14">
        <f t="shared" si="95">IF(AA312="正常",IF(I312="已计入",C312,AB311),"")</f>
        <v>6.347</v>
      </c>
    </row>
    <row r="313" ht="23" customHeight="1">
      <c r="A313" s="36"/>
      <c r="B313" s="37"/>
      <c r="C313" s="38"/>
      <c r="D313" s="39"/>
      <c r="E313" s="44" t="str">
        <f t="shared" si="96">IF(AND(ISNUMBER(C313),ISNUMBER(D313),ISNUMBER(F313)),IF(OR(B313="买入",B313="定投"),ROUND(C313*D313+F313,2),IF(B313="卖出",ROUND(C313*D313-F313,2),IF(B313="红利再投",0,""))),"")</f>
        <v/>
      </c>
      <c r="F313" s="39"/>
      <c r="G313" s="45" t="str">
        <f t="shared" si="97">IF(COUNTA(A313:D313,F313)=0,"",IF(I313="已计入","已录入","待修正"))</f>
        <v/>
      </c>
      <c r="H313" s="46" t="str">
        <f t="shared" si="98">IF(COUNTA(A313:D313,F313)=0,"",IF(B313="红利再投","仅增加份额，不增加现金投入","金额由份额、净值和手续费推算"))</f>
        <v/>
      </c>
      <c r="I313" s="10" t="str">
        <f>IF(COUNTA(A313:D313,F313)=0,"",IF(NOT(ISNUMBER(A313)),"缺少有效净值日期",IF(OR(A313&lt;=0,A313&lt;&gt;INT(A313)),"净值日期无效",IF(OR(B313="转换转入",B313="现金分红"),"该类型需实际金额，五项录入不适用",IF(NOT(OR(OR(B313="买入",B313="定投"),B313="卖出",B313="红利再投")),"请选择交易类型",IF(NOT(ISNUMBER(C313)),"缺少成交净值",IF(C313&lt;=0,"成交净值须大于零",IF(NOT(ISNUMBER(D313)),"缺少确认份额",IF(D313&lt;=0,"确认份额须大于零",IF(NOT(ISNUMBER(F313)),"缺少手续费，无费用请填 0",IF(F313&lt;0,"手续费不能为负",IF(AA312="错误","前行待修正",IF(A313&lt;Z312,"日期需按成交顺序递增",IF(AND(B313="红利再投",F313&lt;&gt;0),"红利再投手续费应填 0",IF(AND(B313="红利再投",K312&lt;=0),"红利再投前须有持仓",IF(AND(B313="卖出",D313&gt;K312+0.000001),"卖出份额超过持仓",IF(AND(B313="卖出",F313&gt;=C313*D313),"赎回费不能达到赎回总额",IF(NOT(ISNUMBER(E313)),"自动金额未生成，请检查五项输入",IF(NOT(OR('持仓总览'!$C$7="利润优先",'持仓总览'!$C$7="本金优先")),"请选择卖出分配模式","已计入")))))))))))))))))))</f>
        <v/>
      </c>
      <c r="J313" s="11">
        <f t="shared" si="79">IF(AA313="正常",IF(I313="已计入",IF(OR(OR(B313="买入",B313="定投",B313="转换转入"),B313="红利再投"),D313,IF(B313="卖出",-D313,0)),0),"")</f>
        <v>0</v>
      </c>
      <c r="K313" s="11">
        <f t="shared" si="84">IF(AA313="正常",ROUND(K312+J313,6),"")</f>
        <v>25721.6</v>
      </c>
      <c r="L313" s="11" t="str">
        <f t="shared" si="85">IF(I313="已计入",ROUND(K312*C313,2),"")</f>
        <v/>
      </c>
      <c r="M313" s="11" t="str">
        <f t="shared" si="86">IF(I313="已计入",IF(B313="卖出",MAX(0,L313-Q312-F313),IF(B313="现金分红",MAX(0,L313+E313-Q312),0)),"")</f>
        <v/>
      </c>
      <c r="N313" s="11" t="str">
        <f>IF(I313="已计入",IF(AND(B313="卖出",'持仓总览'!$C$7="本金优先"),MAX(0,E313-Q312),IF(OR(B313="卖出",B313="现金分红"),MIN(E313,M313),0)),"")</f>
        <v/>
      </c>
      <c r="O313" s="11" t="str">
        <f t="shared" si="87">IF(I313="已计入",IF(OR(B313="卖出",B313="现金分红"),MIN(Q312,MAX(0,E313-N313)),0),"")</f>
        <v/>
      </c>
      <c r="P313" s="11" t="str">
        <f t="shared" si="88">IF(I313="已计入",IF(AND(B313="卖出",K313=0),MAX(0,Q312-O313),0),"")</f>
        <v/>
      </c>
      <c r="Q313" s="11">
        <f t="shared" si="89">IF(AA313="正常",IF(I313="已计入",ROUND(Q312+IF(OR(B313="买入",B313="定投",B313="转换转入"),E313,0)-O313-P313,2),Q312),"")</f>
        <v>129570</v>
      </c>
      <c r="R313" s="11" t="str">
        <f t="shared" si="80">IF(I313="已计入",ROUND(K313*C313,2),"")</f>
        <v/>
      </c>
      <c r="S313" s="11" t="str">
        <f t="shared" si="81">IF(I313="已计入",ROUND(R313-Q313,2),"")</f>
        <v/>
      </c>
      <c r="T313" s="12" t="str">
        <f t="shared" si="82">IF(I313="已计入",IF(Q313=0,"",S313/Q313),"")</f>
        <v/>
      </c>
      <c r="U313" s="11">
        <f t="shared" si="90">IF(AA313="正常",U312+IF(AND(I313="已计入",OR(B313="买入",B313="定投",B313="转换转入")),E313,0),"")</f>
        <v>129570</v>
      </c>
      <c r="V313" s="11">
        <f t="shared" si="91">IF(AA313="正常",V312+IF(AND(I313="已计入",OR(B313="卖出",B313="现金分红")),E313,0),"")</f>
        <v>0</v>
      </c>
      <c r="W313" s="11">
        <f t="shared" si="92">IF(AA313="正常",W312+IF(I313="已计入",N313,0),"")</f>
        <v>0</v>
      </c>
      <c r="X313" s="11">
        <f t="shared" si="93">IF(AA313="正常",X312+IF(I313="已计入",P313,0),"")</f>
        <v>0</v>
      </c>
      <c r="Y313" s="11" t="str">
        <f t="shared" si="83">IF(I313="已计入",ROUND(R313+V313-U313,2),"")</f>
        <v/>
      </c>
      <c r="Z313" s="13">
        <f t="shared" si="94">IF(AA313="正常",IF(I313="已计入",A313,Z312),"")</f>
        <v>46239</v>
      </c>
      <c r="AA313" s="10" t="str">
        <f>IF(OR($AA$134="错误",COUNTIF($G$135:G313,"待修正")&gt;0),"错误","正常")</f>
        <v>正常</v>
      </c>
      <c r="AB313" s="14">
        <f t="shared" si="95">IF(AA313="正常",IF(I313="已计入",C313,AB312),"")</f>
        <v>6.347</v>
      </c>
    </row>
    <row r="314" ht="23" customHeight="1">
      <c r="A314" s="36"/>
      <c r="B314" s="37"/>
      <c r="C314" s="38"/>
      <c r="D314" s="39"/>
      <c r="E314" s="44" t="str">
        <f t="shared" si="96">IF(AND(ISNUMBER(C314),ISNUMBER(D314),ISNUMBER(F314)),IF(OR(B314="买入",B314="定投"),ROUND(C314*D314+F314,2),IF(B314="卖出",ROUND(C314*D314-F314,2),IF(B314="红利再投",0,""))),"")</f>
        <v/>
      </c>
      <c r="F314" s="39"/>
      <c r="G314" s="45" t="str">
        <f t="shared" si="97">IF(COUNTA(A314:D314,F314)=0,"",IF(I314="已计入","已录入","待修正"))</f>
        <v/>
      </c>
      <c r="H314" s="46" t="str">
        <f t="shared" si="98">IF(COUNTA(A314:D314,F314)=0,"",IF(B314="红利再投","仅增加份额，不增加现金投入","金额由份额、净值和手续费推算"))</f>
        <v/>
      </c>
      <c r="I314" s="10" t="str">
        <f>IF(COUNTA(A314:D314,F314)=0,"",IF(NOT(ISNUMBER(A314)),"缺少有效净值日期",IF(OR(A314&lt;=0,A314&lt;&gt;INT(A314)),"净值日期无效",IF(OR(B314="转换转入",B314="现金分红"),"该类型需实际金额，五项录入不适用",IF(NOT(OR(OR(B314="买入",B314="定投"),B314="卖出",B314="红利再投")),"请选择交易类型",IF(NOT(ISNUMBER(C314)),"缺少成交净值",IF(C314&lt;=0,"成交净值须大于零",IF(NOT(ISNUMBER(D314)),"缺少确认份额",IF(D314&lt;=0,"确认份额须大于零",IF(NOT(ISNUMBER(F314)),"缺少手续费，无费用请填 0",IF(F314&lt;0,"手续费不能为负",IF(AA313="错误","前行待修正",IF(A314&lt;Z313,"日期需按成交顺序递增",IF(AND(B314="红利再投",F314&lt;&gt;0),"红利再投手续费应填 0",IF(AND(B314="红利再投",K313&lt;=0),"红利再投前须有持仓",IF(AND(B314="卖出",D314&gt;K313+0.000001),"卖出份额超过持仓",IF(AND(B314="卖出",F314&gt;=C314*D314),"赎回费不能达到赎回总额",IF(NOT(ISNUMBER(E314)),"自动金额未生成，请检查五项输入",IF(NOT(OR('持仓总览'!$C$7="利润优先",'持仓总览'!$C$7="本金优先")),"请选择卖出分配模式","已计入")))))))))))))))))))</f>
        <v/>
      </c>
      <c r="J314" s="11">
        <f t="shared" si="79">IF(AA314="正常",IF(I314="已计入",IF(OR(OR(B314="买入",B314="定投",B314="转换转入"),B314="红利再投"),D314,IF(B314="卖出",-D314,0)),0),"")</f>
        <v>0</v>
      </c>
      <c r="K314" s="11">
        <f t="shared" si="84">IF(AA314="正常",ROUND(K313+J314,6),"")</f>
        <v>25721.6</v>
      </c>
      <c r="L314" s="11" t="str">
        <f t="shared" si="85">IF(I314="已计入",ROUND(K313*C314,2),"")</f>
        <v/>
      </c>
      <c r="M314" s="11" t="str">
        <f t="shared" si="86">IF(I314="已计入",IF(B314="卖出",MAX(0,L314-Q313-F314),IF(B314="现金分红",MAX(0,L314+E314-Q313),0)),"")</f>
        <v/>
      </c>
      <c r="N314" s="11" t="str">
        <f>IF(I314="已计入",IF(AND(B314="卖出",'持仓总览'!$C$7="本金优先"),MAX(0,E314-Q313),IF(OR(B314="卖出",B314="现金分红"),MIN(E314,M314),0)),"")</f>
        <v/>
      </c>
      <c r="O314" s="11" t="str">
        <f t="shared" si="87">IF(I314="已计入",IF(OR(B314="卖出",B314="现金分红"),MIN(Q313,MAX(0,E314-N314)),0),"")</f>
        <v/>
      </c>
      <c r="P314" s="11" t="str">
        <f t="shared" si="88">IF(I314="已计入",IF(AND(B314="卖出",K314=0),MAX(0,Q313-O314),0),"")</f>
        <v/>
      </c>
      <c r="Q314" s="11">
        <f t="shared" si="89">IF(AA314="正常",IF(I314="已计入",ROUND(Q313+IF(OR(B314="买入",B314="定投",B314="转换转入"),E314,0)-O314-P314,2),Q313),"")</f>
        <v>129570</v>
      </c>
      <c r="R314" s="11" t="str">
        <f t="shared" si="80">IF(I314="已计入",ROUND(K314*C314,2),"")</f>
        <v/>
      </c>
      <c r="S314" s="11" t="str">
        <f t="shared" si="81">IF(I314="已计入",ROUND(R314-Q314,2),"")</f>
        <v/>
      </c>
      <c r="T314" s="12" t="str">
        <f t="shared" si="82">IF(I314="已计入",IF(Q314=0,"",S314/Q314),"")</f>
        <v/>
      </c>
      <c r="U314" s="11">
        <f t="shared" si="90">IF(AA314="正常",U313+IF(AND(I314="已计入",OR(B314="买入",B314="定投",B314="转换转入")),E314,0),"")</f>
        <v>129570</v>
      </c>
      <c r="V314" s="11">
        <f t="shared" si="91">IF(AA314="正常",V313+IF(AND(I314="已计入",OR(B314="卖出",B314="现金分红")),E314,0),"")</f>
        <v>0</v>
      </c>
      <c r="W314" s="11">
        <f t="shared" si="92">IF(AA314="正常",W313+IF(I314="已计入",N314,0),"")</f>
        <v>0</v>
      </c>
      <c r="X314" s="11">
        <f t="shared" si="93">IF(AA314="正常",X313+IF(I314="已计入",P314,0),"")</f>
        <v>0</v>
      </c>
      <c r="Y314" s="11" t="str">
        <f t="shared" si="83">IF(I314="已计入",ROUND(R314+V314-U314,2),"")</f>
        <v/>
      </c>
      <c r="Z314" s="13">
        <f t="shared" si="94">IF(AA314="正常",IF(I314="已计入",A314,Z313),"")</f>
        <v>46239</v>
      </c>
      <c r="AA314" s="10" t="str">
        <f>IF(OR($AA$134="错误",COUNTIF($G$135:G314,"待修正")&gt;0),"错误","正常")</f>
        <v>正常</v>
      </c>
      <c r="AB314" s="14">
        <f t="shared" si="95">IF(AA314="正常",IF(I314="已计入",C314,AB313),"")</f>
        <v>6.347</v>
      </c>
    </row>
    <row r="315" ht="23" customHeight="1">
      <c r="A315" s="36"/>
      <c r="B315" s="37"/>
      <c r="C315" s="38"/>
      <c r="D315" s="39"/>
      <c r="E315" s="44" t="str">
        <f t="shared" si="96">IF(AND(ISNUMBER(C315),ISNUMBER(D315),ISNUMBER(F315)),IF(OR(B315="买入",B315="定投"),ROUND(C315*D315+F315,2),IF(B315="卖出",ROUND(C315*D315-F315,2),IF(B315="红利再投",0,""))),"")</f>
        <v/>
      </c>
      <c r="F315" s="39"/>
      <c r="G315" s="45" t="str">
        <f t="shared" si="97">IF(COUNTA(A315:D315,F315)=0,"",IF(I315="已计入","已录入","待修正"))</f>
        <v/>
      </c>
      <c r="H315" s="46" t="str">
        <f t="shared" si="98">IF(COUNTA(A315:D315,F315)=0,"",IF(B315="红利再投","仅增加份额，不增加现金投入","金额由份额、净值和手续费推算"))</f>
        <v/>
      </c>
      <c r="I315" s="10" t="str">
        <f>IF(COUNTA(A315:D315,F315)=0,"",IF(NOT(ISNUMBER(A315)),"缺少有效净值日期",IF(OR(A315&lt;=0,A315&lt;&gt;INT(A315)),"净值日期无效",IF(OR(B315="转换转入",B315="现金分红"),"该类型需实际金额，五项录入不适用",IF(NOT(OR(OR(B315="买入",B315="定投"),B315="卖出",B315="红利再投")),"请选择交易类型",IF(NOT(ISNUMBER(C315)),"缺少成交净值",IF(C315&lt;=0,"成交净值须大于零",IF(NOT(ISNUMBER(D315)),"缺少确认份额",IF(D315&lt;=0,"确认份额须大于零",IF(NOT(ISNUMBER(F315)),"缺少手续费，无费用请填 0",IF(F315&lt;0,"手续费不能为负",IF(AA314="错误","前行待修正",IF(A315&lt;Z314,"日期需按成交顺序递增",IF(AND(B315="红利再投",F315&lt;&gt;0),"红利再投手续费应填 0",IF(AND(B315="红利再投",K314&lt;=0),"红利再投前须有持仓",IF(AND(B315="卖出",D315&gt;K314+0.000001),"卖出份额超过持仓",IF(AND(B315="卖出",F315&gt;=C315*D315),"赎回费不能达到赎回总额",IF(NOT(ISNUMBER(E315)),"自动金额未生成，请检查五项输入",IF(NOT(OR('持仓总览'!$C$7="利润优先",'持仓总览'!$C$7="本金优先")),"请选择卖出分配模式","已计入")))))))))))))))))))</f>
        <v/>
      </c>
      <c r="J315" s="11">
        <f t="shared" si="79">IF(AA315="正常",IF(I315="已计入",IF(OR(OR(B315="买入",B315="定投",B315="转换转入"),B315="红利再投"),D315,IF(B315="卖出",-D315,0)),0),"")</f>
        <v>0</v>
      </c>
      <c r="K315" s="11">
        <f t="shared" si="84">IF(AA315="正常",ROUND(K314+J315,6),"")</f>
        <v>25721.6</v>
      </c>
      <c r="L315" s="11" t="str">
        <f t="shared" si="85">IF(I315="已计入",ROUND(K314*C315,2),"")</f>
        <v/>
      </c>
      <c r="M315" s="11" t="str">
        <f t="shared" si="86">IF(I315="已计入",IF(B315="卖出",MAX(0,L315-Q314-F315),IF(B315="现金分红",MAX(0,L315+E315-Q314),0)),"")</f>
        <v/>
      </c>
      <c r="N315" s="11" t="str">
        <f>IF(I315="已计入",IF(AND(B315="卖出",'持仓总览'!$C$7="本金优先"),MAX(0,E315-Q314),IF(OR(B315="卖出",B315="现金分红"),MIN(E315,M315),0)),"")</f>
        <v/>
      </c>
      <c r="O315" s="11" t="str">
        <f t="shared" si="87">IF(I315="已计入",IF(OR(B315="卖出",B315="现金分红"),MIN(Q314,MAX(0,E315-N315)),0),"")</f>
        <v/>
      </c>
      <c r="P315" s="11" t="str">
        <f t="shared" si="88">IF(I315="已计入",IF(AND(B315="卖出",K315=0),MAX(0,Q314-O315),0),"")</f>
        <v/>
      </c>
      <c r="Q315" s="11">
        <f t="shared" si="89">IF(AA315="正常",IF(I315="已计入",ROUND(Q314+IF(OR(B315="买入",B315="定投",B315="转换转入"),E315,0)-O315-P315,2),Q314),"")</f>
        <v>129570</v>
      </c>
      <c r="R315" s="11" t="str">
        <f t="shared" si="80">IF(I315="已计入",ROUND(K315*C315,2),"")</f>
        <v/>
      </c>
      <c r="S315" s="11" t="str">
        <f t="shared" si="81">IF(I315="已计入",ROUND(R315-Q315,2),"")</f>
        <v/>
      </c>
      <c r="T315" s="12" t="str">
        <f t="shared" si="82">IF(I315="已计入",IF(Q315=0,"",S315/Q315),"")</f>
        <v/>
      </c>
      <c r="U315" s="11">
        <f t="shared" si="90">IF(AA315="正常",U314+IF(AND(I315="已计入",OR(B315="买入",B315="定投",B315="转换转入")),E315,0),"")</f>
        <v>129570</v>
      </c>
      <c r="V315" s="11">
        <f t="shared" si="91">IF(AA315="正常",V314+IF(AND(I315="已计入",OR(B315="卖出",B315="现金分红")),E315,0),"")</f>
        <v>0</v>
      </c>
      <c r="W315" s="11">
        <f t="shared" si="92">IF(AA315="正常",W314+IF(I315="已计入",N315,0),"")</f>
        <v>0</v>
      </c>
      <c r="X315" s="11">
        <f t="shared" si="93">IF(AA315="正常",X314+IF(I315="已计入",P315,0),"")</f>
        <v>0</v>
      </c>
      <c r="Y315" s="11" t="str">
        <f t="shared" si="83">IF(I315="已计入",ROUND(R315+V315-U315,2),"")</f>
        <v/>
      </c>
      <c r="Z315" s="13">
        <f t="shared" si="94">IF(AA315="正常",IF(I315="已计入",A315,Z314),"")</f>
        <v>46239</v>
      </c>
      <c r="AA315" s="10" t="str">
        <f>IF(OR($AA$134="错误",COUNTIF($G$135:G315,"待修正")&gt;0),"错误","正常")</f>
        <v>正常</v>
      </c>
      <c r="AB315" s="14">
        <f t="shared" si="95">IF(AA315="正常",IF(I315="已计入",C315,AB314),"")</f>
        <v>6.347</v>
      </c>
    </row>
    <row r="316" ht="23" customHeight="1">
      <c r="A316" s="36"/>
      <c r="B316" s="37"/>
      <c r="C316" s="38"/>
      <c r="D316" s="39"/>
      <c r="E316" s="44" t="str">
        <f t="shared" si="96">IF(AND(ISNUMBER(C316),ISNUMBER(D316),ISNUMBER(F316)),IF(OR(B316="买入",B316="定投"),ROUND(C316*D316+F316,2),IF(B316="卖出",ROUND(C316*D316-F316,2),IF(B316="红利再投",0,""))),"")</f>
        <v/>
      </c>
      <c r="F316" s="39"/>
      <c r="G316" s="45" t="str">
        <f t="shared" si="97">IF(COUNTA(A316:D316,F316)=0,"",IF(I316="已计入","已录入","待修正"))</f>
        <v/>
      </c>
      <c r="H316" s="46" t="str">
        <f t="shared" si="98">IF(COUNTA(A316:D316,F316)=0,"",IF(B316="红利再投","仅增加份额，不增加现金投入","金额由份额、净值和手续费推算"))</f>
        <v/>
      </c>
      <c r="I316" s="10" t="str">
        <f>IF(COUNTA(A316:D316,F316)=0,"",IF(NOT(ISNUMBER(A316)),"缺少有效净值日期",IF(OR(A316&lt;=0,A316&lt;&gt;INT(A316)),"净值日期无效",IF(OR(B316="转换转入",B316="现金分红"),"该类型需实际金额，五项录入不适用",IF(NOT(OR(OR(B316="买入",B316="定投"),B316="卖出",B316="红利再投")),"请选择交易类型",IF(NOT(ISNUMBER(C316)),"缺少成交净值",IF(C316&lt;=0,"成交净值须大于零",IF(NOT(ISNUMBER(D316)),"缺少确认份额",IF(D316&lt;=0,"确认份额须大于零",IF(NOT(ISNUMBER(F316)),"缺少手续费，无费用请填 0",IF(F316&lt;0,"手续费不能为负",IF(AA315="错误","前行待修正",IF(A316&lt;Z315,"日期需按成交顺序递增",IF(AND(B316="红利再投",F316&lt;&gt;0),"红利再投手续费应填 0",IF(AND(B316="红利再投",K315&lt;=0),"红利再投前须有持仓",IF(AND(B316="卖出",D316&gt;K315+0.000001),"卖出份额超过持仓",IF(AND(B316="卖出",F316&gt;=C316*D316),"赎回费不能达到赎回总额",IF(NOT(ISNUMBER(E316)),"自动金额未生成，请检查五项输入",IF(NOT(OR('持仓总览'!$C$7="利润优先",'持仓总览'!$C$7="本金优先")),"请选择卖出分配模式","已计入")))))))))))))))))))</f>
        <v/>
      </c>
      <c r="J316" s="11">
        <f t="shared" si="79">IF(AA316="正常",IF(I316="已计入",IF(OR(OR(B316="买入",B316="定投",B316="转换转入"),B316="红利再投"),D316,IF(B316="卖出",-D316,0)),0),"")</f>
        <v>0</v>
      </c>
      <c r="K316" s="11">
        <f t="shared" si="84">IF(AA316="正常",ROUND(K315+J316,6),"")</f>
        <v>25721.6</v>
      </c>
      <c r="L316" s="11" t="str">
        <f t="shared" si="85">IF(I316="已计入",ROUND(K315*C316,2),"")</f>
        <v/>
      </c>
      <c r="M316" s="11" t="str">
        <f t="shared" si="86">IF(I316="已计入",IF(B316="卖出",MAX(0,L316-Q315-F316),IF(B316="现金分红",MAX(0,L316+E316-Q315),0)),"")</f>
        <v/>
      </c>
      <c r="N316" s="11" t="str">
        <f>IF(I316="已计入",IF(AND(B316="卖出",'持仓总览'!$C$7="本金优先"),MAX(0,E316-Q315),IF(OR(B316="卖出",B316="现金分红"),MIN(E316,M316),0)),"")</f>
        <v/>
      </c>
      <c r="O316" s="11" t="str">
        <f t="shared" si="87">IF(I316="已计入",IF(OR(B316="卖出",B316="现金分红"),MIN(Q315,MAX(0,E316-N316)),0),"")</f>
        <v/>
      </c>
      <c r="P316" s="11" t="str">
        <f t="shared" si="88">IF(I316="已计入",IF(AND(B316="卖出",K316=0),MAX(0,Q315-O316),0),"")</f>
        <v/>
      </c>
      <c r="Q316" s="11">
        <f t="shared" si="89">IF(AA316="正常",IF(I316="已计入",ROUND(Q315+IF(OR(B316="买入",B316="定投",B316="转换转入"),E316,0)-O316-P316,2),Q315),"")</f>
        <v>129570</v>
      </c>
      <c r="R316" s="11" t="str">
        <f t="shared" si="80">IF(I316="已计入",ROUND(K316*C316,2),"")</f>
        <v/>
      </c>
      <c r="S316" s="11" t="str">
        <f t="shared" si="81">IF(I316="已计入",ROUND(R316-Q316,2),"")</f>
        <v/>
      </c>
      <c r="T316" s="12" t="str">
        <f t="shared" si="82">IF(I316="已计入",IF(Q316=0,"",S316/Q316),"")</f>
        <v/>
      </c>
      <c r="U316" s="11">
        <f t="shared" si="90">IF(AA316="正常",U315+IF(AND(I316="已计入",OR(B316="买入",B316="定投",B316="转换转入")),E316,0),"")</f>
        <v>129570</v>
      </c>
      <c r="V316" s="11">
        <f t="shared" si="91">IF(AA316="正常",V315+IF(AND(I316="已计入",OR(B316="卖出",B316="现金分红")),E316,0),"")</f>
        <v>0</v>
      </c>
      <c r="W316" s="11">
        <f t="shared" si="92">IF(AA316="正常",W315+IF(I316="已计入",N316,0),"")</f>
        <v>0</v>
      </c>
      <c r="X316" s="11">
        <f t="shared" si="93">IF(AA316="正常",X315+IF(I316="已计入",P316,0),"")</f>
        <v>0</v>
      </c>
      <c r="Y316" s="11" t="str">
        <f t="shared" si="83">IF(I316="已计入",ROUND(R316+V316-U316,2),"")</f>
        <v/>
      </c>
      <c r="Z316" s="13">
        <f t="shared" si="94">IF(AA316="正常",IF(I316="已计入",A316,Z315),"")</f>
        <v>46239</v>
      </c>
      <c r="AA316" s="10" t="str">
        <f>IF(OR($AA$134="错误",COUNTIF($G$135:G316,"待修正")&gt;0),"错误","正常")</f>
        <v>正常</v>
      </c>
      <c r="AB316" s="14">
        <f t="shared" si="95">IF(AA316="正常",IF(I316="已计入",C316,AB315),"")</f>
        <v>6.347</v>
      </c>
    </row>
    <row r="317" ht="23" customHeight="1">
      <c r="A317" s="36"/>
      <c r="B317" s="37"/>
      <c r="C317" s="38"/>
      <c r="D317" s="39"/>
      <c r="E317" s="44" t="str">
        <f t="shared" si="96">IF(AND(ISNUMBER(C317),ISNUMBER(D317),ISNUMBER(F317)),IF(OR(B317="买入",B317="定投"),ROUND(C317*D317+F317,2),IF(B317="卖出",ROUND(C317*D317-F317,2),IF(B317="红利再投",0,""))),"")</f>
        <v/>
      </c>
      <c r="F317" s="39"/>
      <c r="G317" s="45" t="str">
        <f t="shared" si="97">IF(COUNTA(A317:D317,F317)=0,"",IF(I317="已计入","已录入","待修正"))</f>
        <v/>
      </c>
      <c r="H317" s="46" t="str">
        <f t="shared" si="98">IF(COUNTA(A317:D317,F317)=0,"",IF(B317="红利再投","仅增加份额，不增加现金投入","金额由份额、净值和手续费推算"))</f>
        <v/>
      </c>
      <c r="I317" s="10" t="str">
        <f>IF(COUNTA(A317:D317,F317)=0,"",IF(NOT(ISNUMBER(A317)),"缺少有效净值日期",IF(OR(A317&lt;=0,A317&lt;&gt;INT(A317)),"净值日期无效",IF(OR(B317="转换转入",B317="现金分红"),"该类型需实际金额，五项录入不适用",IF(NOT(OR(OR(B317="买入",B317="定投"),B317="卖出",B317="红利再投")),"请选择交易类型",IF(NOT(ISNUMBER(C317)),"缺少成交净值",IF(C317&lt;=0,"成交净值须大于零",IF(NOT(ISNUMBER(D317)),"缺少确认份额",IF(D317&lt;=0,"确认份额须大于零",IF(NOT(ISNUMBER(F317)),"缺少手续费，无费用请填 0",IF(F317&lt;0,"手续费不能为负",IF(AA316="错误","前行待修正",IF(A317&lt;Z316,"日期需按成交顺序递增",IF(AND(B317="红利再投",F317&lt;&gt;0),"红利再投手续费应填 0",IF(AND(B317="红利再投",K316&lt;=0),"红利再投前须有持仓",IF(AND(B317="卖出",D317&gt;K316+0.000001),"卖出份额超过持仓",IF(AND(B317="卖出",F317&gt;=C317*D317),"赎回费不能达到赎回总额",IF(NOT(ISNUMBER(E317)),"自动金额未生成，请检查五项输入",IF(NOT(OR('持仓总览'!$C$7="利润优先",'持仓总览'!$C$7="本金优先")),"请选择卖出分配模式","已计入")))))))))))))))))))</f>
        <v/>
      </c>
      <c r="J317" s="11">
        <f t="shared" si="79">IF(AA317="正常",IF(I317="已计入",IF(OR(OR(B317="买入",B317="定投",B317="转换转入"),B317="红利再投"),D317,IF(B317="卖出",-D317,0)),0),"")</f>
        <v>0</v>
      </c>
      <c r="K317" s="11">
        <f t="shared" si="84">IF(AA317="正常",ROUND(K316+J317,6),"")</f>
        <v>25721.6</v>
      </c>
      <c r="L317" s="11" t="str">
        <f t="shared" si="85">IF(I317="已计入",ROUND(K316*C317,2),"")</f>
        <v/>
      </c>
      <c r="M317" s="11" t="str">
        <f t="shared" si="86">IF(I317="已计入",IF(B317="卖出",MAX(0,L317-Q316-F317),IF(B317="现金分红",MAX(0,L317+E317-Q316),0)),"")</f>
        <v/>
      </c>
      <c r="N317" s="11" t="str">
        <f>IF(I317="已计入",IF(AND(B317="卖出",'持仓总览'!$C$7="本金优先"),MAX(0,E317-Q316),IF(OR(B317="卖出",B317="现金分红"),MIN(E317,M317),0)),"")</f>
        <v/>
      </c>
      <c r="O317" s="11" t="str">
        <f t="shared" si="87">IF(I317="已计入",IF(OR(B317="卖出",B317="现金分红"),MIN(Q316,MAX(0,E317-N317)),0),"")</f>
        <v/>
      </c>
      <c r="P317" s="11" t="str">
        <f t="shared" si="88">IF(I317="已计入",IF(AND(B317="卖出",K317=0),MAX(0,Q316-O317),0),"")</f>
        <v/>
      </c>
      <c r="Q317" s="11">
        <f t="shared" si="89">IF(AA317="正常",IF(I317="已计入",ROUND(Q316+IF(OR(B317="买入",B317="定投",B317="转换转入"),E317,0)-O317-P317,2),Q316),"")</f>
        <v>129570</v>
      </c>
      <c r="R317" s="11" t="str">
        <f t="shared" si="80">IF(I317="已计入",ROUND(K317*C317,2),"")</f>
        <v/>
      </c>
      <c r="S317" s="11" t="str">
        <f t="shared" si="81">IF(I317="已计入",ROUND(R317-Q317,2),"")</f>
        <v/>
      </c>
      <c r="T317" s="12" t="str">
        <f t="shared" si="82">IF(I317="已计入",IF(Q317=0,"",S317/Q317),"")</f>
        <v/>
      </c>
      <c r="U317" s="11">
        <f t="shared" si="90">IF(AA317="正常",U316+IF(AND(I317="已计入",OR(B317="买入",B317="定投",B317="转换转入")),E317,0),"")</f>
        <v>129570</v>
      </c>
      <c r="V317" s="11">
        <f t="shared" si="91">IF(AA317="正常",V316+IF(AND(I317="已计入",OR(B317="卖出",B317="现金分红")),E317,0),"")</f>
        <v>0</v>
      </c>
      <c r="W317" s="11">
        <f t="shared" si="92">IF(AA317="正常",W316+IF(I317="已计入",N317,0),"")</f>
        <v>0</v>
      </c>
      <c r="X317" s="11">
        <f t="shared" si="93">IF(AA317="正常",X316+IF(I317="已计入",P317,0),"")</f>
        <v>0</v>
      </c>
      <c r="Y317" s="11" t="str">
        <f t="shared" si="83">IF(I317="已计入",ROUND(R317+V317-U317,2),"")</f>
        <v/>
      </c>
      <c r="Z317" s="13">
        <f t="shared" si="94">IF(AA317="正常",IF(I317="已计入",A317,Z316),"")</f>
        <v>46239</v>
      </c>
      <c r="AA317" s="10" t="str">
        <f>IF(OR($AA$134="错误",COUNTIF($G$135:G317,"待修正")&gt;0),"错误","正常")</f>
        <v>正常</v>
      </c>
      <c r="AB317" s="14">
        <f t="shared" si="95">IF(AA317="正常",IF(I317="已计入",C317,AB316),"")</f>
        <v>6.347</v>
      </c>
    </row>
    <row r="318" ht="23" customHeight="1">
      <c r="A318" s="36"/>
      <c r="B318" s="37"/>
      <c r="C318" s="38"/>
      <c r="D318" s="39"/>
      <c r="E318" s="44" t="str">
        <f t="shared" si="96">IF(AND(ISNUMBER(C318),ISNUMBER(D318),ISNUMBER(F318)),IF(OR(B318="买入",B318="定投"),ROUND(C318*D318+F318,2),IF(B318="卖出",ROUND(C318*D318-F318,2),IF(B318="红利再投",0,""))),"")</f>
        <v/>
      </c>
      <c r="F318" s="39"/>
      <c r="G318" s="45" t="str">
        <f t="shared" si="97">IF(COUNTA(A318:D318,F318)=0,"",IF(I318="已计入","已录入","待修正"))</f>
        <v/>
      </c>
      <c r="H318" s="46" t="str">
        <f t="shared" si="98">IF(COUNTA(A318:D318,F318)=0,"",IF(B318="红利再投","仅增加份额，不增加现金投入","金额由份额、净值和手续费推算"))</f>
        <v/>
      </c>
      <c r="I318" s="10" t="str">
        <f>IF(COUNTA(A318:D318,F318)=0,"",IF(NOT(ISNUMBER(A318)),"缺少有效净值日期",IF(OR(A318&lt;=0,A318&lt;&gt;INT(A318)),"净值日期无效",IF(OR(B318="转换转入",B318="现金分红"),"该类型需实际金额，五项录入不适用",IF(NOT(OR(OR(B318="买入",B318="定投"),B318="卖出",B318="红利再投")),"请选择交易类型",IF(NOT(ISNUMBER(C318)),"缺少成交净值",IF(C318&lt;=0,"成交净值须大于零",IF(NOT(ISNUMBER(D318)),"缺少确认份额",IF(D318&lt;=0,"确认份额须大于零",IF(NOT(ISNUMBER(F318)),"缺少手续费，无费用请填 0",IF(F318&lt;0,"手续费不能为负",IF(AA317="错误","前行待修正",IF(A318&lt;Z317,"日期需按成交顺序递增",IF(AND(B318="红利再投",F318&lt;&gt;0),"红利再投手续费应填 0",IF(AND(B318="红利再投",K317&lt;=0),"红利再投前须有持仓",IF(AND(B318="卖出",D318&gt;K317+0.000001),"卖出份额超过持仓",IF(AND(B318="卖出",F318&gt;=C318*D318),"赎回费不能达到赎回总额",IF(NOT(ISNUMBER(E318)),"自动金额未生成，请检查五项输入",IF(NOT(OR('持仓总览'!$C$7="利润优先",'持仓总览'!$C$7="本金优先")),"请选择卖出分配模式","已计入")))))))))))))))))))</f>
        <v/>
      </c>
      <c r="J318" s="11">
        <f t="shared" si="79">IF(AA318="正常",IF(I318="已计入",IF(OR(OR(B318="买入",B318="定投",B318="转换转入"),B318="红利再投"),D318,IF(B318="卖出",-D318,0)),0),"")</f>
        <v>0</v>
      </c>
      <c r="K318" s="11">
        <f t="shared" si="84">IF(AA318="正常",ROUND(K317+J318,6),"")</f>
        <v>25721.6</v>
      </c>
      <c r="L318" s="11" t="str">
        <f t="shared" si="85">IF(I318="已计入",ROUND(K317*C318,2),"")</f>
        <v/>
      </c>
      <c r="M318" s="11" t="str">
        <f t="shared" si="86">IF(I318="已计入",IF(B318="卖出",MAX(0,L318-Q317-F318),IF(B318="现金分红",MAX(0,L318+E318-Q317),0)),"")</f>
        <v/>
      </c>
      <c r="N318" s="11" t="str">
        <f>IF(I318="已计入",IF(AND(B318="卖出",'持仓总览'!$C$7="本金优先"),MAX(0,E318-Q317),IF(OR(B318="卖出",B318="现金分红"),MIN(E318,M318),0)),"")</f>
        <v/>
      </c>
      <c r="O318" s="11" t="str">
        <f t="shared" si="87">IF(I318="已计入",IF(OR(B318="卖出",B318="现金分红"),MIN(Q317,MAX(0,E318-N318)),0),"")</f>
        <v/>
      </c>
      <c r="P318" s="11" t="str">
        <f t="shared" si="88">IF(I318="已计入",IF(AND(B318="卖出",K318=0),MAX(0,Q317-O318),0),"")</f>
        <v/>
      </c>
      <c r="Q318" s="11">
        <f t="shared" si="89">IF(AA318="正常",IF(I318="已计入",ROUND(Q317+IF(OR(B318="买入",B318="定投",B318="转换转入"),E318,0)-O318-P318,2),Q317),"")</f>
        <v>129570</v>
      </c>
      <c r="R318" s="11" t="str">
        <f t="shared" si="80">IF(I318="已计入",ROUND(K318*C318,2),"")</f>
        <v/>
      </c>
      <c r="S318" s="11" t="str">
        <f t="shared" si="81">IF(I318="已计入",ROUND(R318-Q318,2),"")</f>
        <v/>
      </c>
      <c r="T318" s="12" t="str">
        <f t="shared" si="82">IF(I318="已计入",IF(Q318=0,"",S318/Q318),"")</f>
        <v/>
      </c>
      <c r="U318" s="11">
        <f t="shared" si="90">IF(AA318="正常",U317+IF(AND(I318="已计入",OR(B318="买入",B318="定投",B318="转换转入")),E318,0),"")</f>
        <v>129570</v>
      </c>
      <c r="V318" s="11">
        <f t="shared" si="91">IF(AA318="正常",V317+IF(AND(I318="已计入",OR(B318="卖出",B318="现金分红")),E318,0),"")</f>
        <v>0</v>
      </c>
      <c r="W318" s="11">
        <f t="shared" si="92">IF(AA318="正常",W317+IF(I318="已计入",N318,0),"")</f>
        <v>0</v>
      </c>
      <c r="X318" s="11">
        <f t="shared" si="93">IF(AA318="正常",X317+IF(I318="已计入",P318,0),"")</f>
        <v>0</v>
      </c>
      <c r="Y318" s="11" t="str">
        <f t="shared" si="83">IF(I318="已计入",ROUND(R318+V318-U318,2),"")</f>
        <v/>
      </c>
      <c r="Z318" s="13">
        <f t="shared" si="94">IF(AA318="正常",IF(I318="已计入",A318,Z317),"")</f>
        <v>46239</v>
      </c>
      <c r="AA318" s="10" t="str">
        <f>IF(OR($AA$134="错误",COUNTIF($G$135:G318,"待修正")&gt;0),"错误","正常")</f>
        <v>正常</v>
      </c>
      <c r="AB318" s="14">
        <f t="shared" si="95">IF(AA318="正常",IF(I318="已计入",C318,AB317),"")</f>
        <v>6.347</v>
      </c>
    </row>
    <row r="319" ht="23" customHeight="1">
      <c r="A319" s="36"/>
      <c r="B319" s="37"/>
      <c r="C319" s="38"/>
      <c r="D319" s="39"/>
      <c r="E319" s="44" t="str">
        <f t="shared" si="96">IF(AND(ISNUMBER(C319),ISNUMBER(D319),ISNUMBER(F319)),IF(OR(B319="买入",B319="定投"),ROUND(C319*D319+F319,2),IF(B319="卖出",ROUND(C319*D319-F319,2),IF(B319="红利再投",0,""))),"")</f>
        <v/>
      </c>
      <c r="F319" s="39"/>
      <c r="G319" s="45" t="str">
        <f t="shared" si="97">IF(COUNTA(A319:D319,F319)=0,"",IF(I319="已计入","已录入","待修正"))</f>
        <v/>
      </c>
      <c r="H319" s="46" t="str">
        <f t="shared" si="98">IF(COUNTA(A319:D319,F319)=0,"",IF(B319="红利再投","仅增加份额，不增加现金投入","金额由份额、净值和手续费推算"))</f>
        <v/>
      </c>
      <c r="I319" s="10" t="str">
        <f>IF(COUNTA(A319:D319,F319)=0,"",IF(NOT(ISNUMBER(A319)),"缺少有效净值日期",IF(OR(A319&lt;=0,A319&lt;&gt;INT(A319)),"净值日期无效",IF(OR(B319="转换转入",B319="现金分红"),"该类型需实际金额，五项录入不适用",IF(NOT(OR(OR(B319="买入",B319="定投"),B319="卖出",B319="红利再投")),"请选择交易类型",IF(NOT(ISNUMBER(C319)),"缺少成交净值",IF(C319&lt;=0,"成交净值须大于零",IF(NOT(ISNUMBER(D319)),"缺少确认份额",IF(D319&lt;=0,"确认份额须大于零",IF(NOT(ISNUMBER(F319)),"缺少手续费，无费用请填 0",IF(F319&lt;0,"手续费不能为负",IF(AA318="错误","前行待修正",IF(A319&lt;Z318,"日期需按成交顺序递增",IF(AND(B319="红利再投",F319&lt;&gt;0),"红利再投手续费应填 0",IF(AND(B319="红利再投",K318&lt;=0),"红利再投前须有持仓",IF(AND(B319="卖出",D319&gt;K318+0.000001),"卖出份额超过持仓",IF(AND(B319="卖出",F319&gt;=C319*D319),"赎回费不能达到赎回总额",IF(NOT(ISNUMBER(E319)),"自动金额未生成，请检查五项输入",IF(NOT(OR('持仓总览'!$C$7="利润优先",'持仓总览'!$C$7="本金优先")),"请选择卖出分配模式","已计入")))))))))))))))))))</f>
        <v/>
      </c>
      <c r="J319" s="11">
        <f t="shared" si="79">IF(AA319="正常",IF(I319="已计入",IF(OR(OR(B319="买入",B319="定投",B319="转换转入"),B319="红利再投"),D319,IF(B319="卖出",-D319,0)),0),"")</f>
        <v>0</v>
      </c>
      <c r="K319" s="11">
        <f t="shared" si="84">IF(AA319="正常",ROUND(K318+J319,6),"")</f>
        <v>25721.6</v>
      </c>
      <c r="L319" s="11" t="str">
        <f t="shared" si="85">IF(I319="已计入",ROUND(K318*C319,2),"")</f>
        <v/>
      </c>
      <c r="M319" s="11" t="str">
        <f t="shared" si="86">IF(I319="已计入",IF(B319="卖出",MAX(0,L319-Q318-F319),IF(B319="现金分红",MAX(0,L319+E319-Q318),0)),"")</f>
        <v/>
      </c>
      <c r="N319" s="11" t="str">
        <f>IF(I319="已计入",IF(AND(B319="卖出",'持仓总览'!$C$7="本金优先"),MAX(0,E319-Q318),IF(OR(B319="卖出",B319="现金分红"),MIN(E319,M319),0)),"")</f>
        <v/>
      </c>
      <c r="O319" s="11" t="str">
        <f t="shared" si="87">IF(I319="已计入",IF(OR(B319="卖出",B319="现金分红"),MIN(Q318,MAX(0,E319-N319)),0),"")</f>
        <v/>
      </c>
      <c r="P319" s="11" t="str">
        <f t="shared" si="88">IF(I319="已计入",IF(AND(B319="卖出",K319=0),MAX(0,Q318-O319),0),"")</f>
        <v/>
      </c>
      <c r="Q319" s="11">
        <f t="shared" si="89">IF(AA319="正常",IF(I319="已计入",ROUND(Q318+IF(OR(B319="买入",B319="定投",B319="转换转入"),E319,0)-O319-P319,2),Q318),"")</f>
        <v>129570</v>
      </c>
      <c r="R319" s="11" t="str">
        <f t="shared" si="80">IF(I319="已计入",ROUND(K319*C319,2),"")</f>
        <v/>
      </c>
      <c r="S319" s="11" t="str">
        <f t="shared" si="81">IF(I319="已计入",ROUND(R319-Q319,2),"")</f>
        <v/>
      </c>
      <c r="T319" s="12" t="str">
        <f t="shared" si="82">IF(I319="已计入",IF(Q319=0,"",S319/Q319),"")</f>
        <v/>
      </c>
      <c r="U319" s="11">
        <f t="shared" si="90">IF(AA319="正常",U318+IF(AND(I319="已计入",OR(B319="买入",B319="定投",B319="转换转入")),E319,0),"")</f>
        <v>129570</v>
      </c>
      <c r="V319" s="11">
        <f t="shared" si="91">IF(AA319="正常",V318+IF(AND(I319="已计入",OR(B319="卖出",B319="现金分红")),E319,0),"")</f>
        <v>0</v>
      </c>
      <c r="W319" s="11">
        <f t="shared" si="92">IF(AA319="正常",W318+IF(I319="已计入",N319,0),"")</f>
        <v>0</v>
      </c>
      <c r="X319" s="11">
        <f t="shared" si="93">IF(AA319="正常",X318+IF(I319="已计入",P319,0),"")</f>
        <v>0</v>
      </c>
      <c r="Y319" s="11" t="str">
        <f t="shared" si="83">IF(I319="已计入",ROUND(R319+V319-U319,2),"")</f>
        <v/>
      </c>
      <c r="Z319" s="13">
        <f t="shared" si="94">IF(AA319="正常",IF(I319="已计入",A319,Z318),"")</f>
        <v>46239</v>
      </c>
      <c r="AA319" s="10" t="str">
        <f>IF(OR($AA$134="错误",COUNTIF($G$135:G319,"待修正")&gt;0),"错误","正常")</f>
        <v>正常</v>
      </c>
      <c r="AB319" s="14">
        <f t="shared" si="95">IF(AA319="正常",IF(I319="已计入",C319,AB318),"")</f>
        <v>6.347</v>
      </c>
    </row>
    <row r="320" ht="23" customHeight="1">
      <c r="A320" s="36"/>
      <c r="B320" s="37"/>
      <c r="C320" s="38"/>
      <c r="D320" s="39"/>
      <c r="E320" s="44" t="str">
        <f t="shared" si="96">IF(AND(ISNUMBER(C320),ISNUMBER(D320),ISNUMBER(F320)),IF(OR(B320="买入",B320="定投"),ROUND(C320*D320+F320,2),IF(B320="卖出",ROUND(C320*D320-F320,2),IF(B320="红利再投",0,""))),"")</f>
        <v/>
      </c>
      <c r="F320" s="39"/>
      <c r="G320" s="45" t="str">
        <f t="shared" si="97">IF(COUNTA(A320:D320,F320)=0,"",IF(I320="已计入","已录入","待修正"))</f>
        <v/>
      </c>
      <c r="H320" s="46" t="str">
        <f t="shared" si="98">IF(COUNTA(A320:D320,F320)=0,"",IF(B320="红利再投","仅增加份额，不增加现金投入","金额由份额、净值和手续费推算"))</f>
        <v/>
      </c>
      <c r="I320" s="10" t="str">
        <f>IF(COUNTA(A320:D320,F320)=0,"",IF(NOT(ISNUMBER(A320)),"缺少有效净值日期",IF(OR(A320&lt;=0,A320&lt;&gt;INT(A320)),"净值日期无效",IF(OR(B320="转换转入",B320="现金分红"),"该类型需实际金额，五项录入不适用",IF(NOT(OR(OR(B320="买入",B320="定投"),B320="卖出",B320="红利再投")),"请选择交易类型",IF(NOT(ISNUMBER(C320)),"缺少成交净值",IF(C320&lt;=0,"成交净值须大于零",IF(NOT(ISNUMBER(D320)),"缺少确认份额",IF(D320&lt;=0,"确认份额须大于零",IF(NOT(ISNUMBER(F320)),"缺少手续费，无费用请填 0",IF(F320&lt;0,"手续费不能为负",IF(AA319="错误","前行待修正",IF(A320&lt;Z319,"日期需按成交顺序递增",IF(AND(B320="红利再投",F320&lt;&gt;0),"红利再投手续费应填 0",IF(AND(B320="红利再投",K319&lt;=0),"红利再投前须有持仓",IF(AND(B320="卖出",D320&gt;K319+0.000001),"卖出份额超过持仓",IF(AND(B320="卖出",F320&gt;=C320*D320),"赎回费不能达到赎回总额",IF(NOT(ISNUMBER(E320)),"自动金额未生成，请检查五项输入",IF(NOT(OR('持仓总览'!$C$7="利润优先",'持仓总览'!$C$7="本金优先")),"请选择卖出分配模式","已计入")))))))))))))))))))</f>
        <v/>
      </c>
      <c r="J320" s="11">
        <f t="shared" si="79">IF(AA320="正常",IF(I320="已计入",IF(OR(OR(B320="买入",B320="定投",B320="转换转入"),B320="红利再投"),D320,IF(B320="卖出",-D320,0)),0),"")</f>
        <v>0</v>
      </c>
      <c r="K320" s="11">
        <f t="shared" si="84">IF(AA320="正常",ROUND(K319+J320,6),"")</f>
        <v>25721.6</v>
      </c>
      <c r="L320" s="11" t="str">
        <f t="shared" si="85">IF(I320="已计入",ROUND(K319*C320,2),"")</f>
        <v/>
      </c>
      <c r="M320" s="11" t="str">
        <f t="shared" si="86">IF(I320="已计入",IF(B320="卖出",MAX(0,L320-Q319-F320),IF(B320="现金分红",MAX(0,L320+E320-Q319),0)),"")</f>
        <v/>
      </c>
      <c r="N320" s="11" t="str">
        <f>IF(I320="已计入",IF(AND(B320="卖出",'持仓总览'!$C$7="本金优先"),MAX(0,E320-Q319),IF(OR(B320="卖出",B320="现金分红"),MIN(E320,M320),0)),"")</f>
        <v/>
      </c>
      <c r="O320" s="11" t="str">
        <f t="shared" si="87">IF(I320="已计入",IF(OR(B320="卖出",B320="现金分红"),MIN(Q319,MAX(0,E320-N320)),0),"")</f>
        <v/>
      </c>
      <c r="P320" s="11" t="str">
        <f t="shared" si="88">IF(I320="已计入",IF(AND(B320="卖出",K320=0),MAX(0,Q319-O320),0),"")</f>
        <v/>
      </c>
      <c r="Q320" s="11">
        <f t="shared" si="89">IF(AA320="正常",IF(I320="已计入",ROUND(Q319+IF(OR(B320="买入",B320="定投",B320="转换转入"),E320,0)-O320-P320,2),Q319),"")</f>
        <v>129570</v>
      </c>
      <c r="R320" s="11" t="str">
        <f t="shared" si="80">IF(I320="已计入",ROUND(K320*C320,2),"")</f>
        <v/>
      </c>
      <c r="S320" s="11" t="str">
        <f t="shared" si="81">IF(I320="已计入",ROUND(R320-Q320,2),"")</f>
        <v/>
      </c>
      <c r="T320" s="12" t="str">
        <f t="shared" si="82">IF(I320="已计入",IF(Q320=0,"",S320/Q320),"")</f>
        <v/>
      </c>
      <c r="U320" s="11">
        <f t="shared" si="90">IF(AA320="正常",U319+IF(AND(I320="已计入",OR(B320="买入",B320="定投",B320="转换转入")),E320,0),"")</f>
        <v>129570</v>
      </c>
      <c r="V320" s="11">
        <f t="shared" si="91">IF(AA320="正常",V319+IF(AND(I320="已计入",OR(B320="卖出",B320="现金分红")),E320,0),"")</f>
        <v>0</v>
      </c>
      <c r="W320" s="11">
        <f t="shared" si="92">IF(AA320="正常",W319+IF(I320="已计入",N320,0),"")</f>
        <v>0</v>
      </c>
      <c r="X320" s="11">
        <f t="shared" si="93">IF(AA320="正常",X319+IF(I320="已计入",P320,0),"")</f>
        <v>0</v>
      </c>
      <c r="Y320" s="11" t="str">
        <f t="shared" si="83">IF(I320="已计入",ROUND(R320+V320-U320,2),"")</f>
        <v/>
      </c>
      <c r="Z320" s="13">
        <f t="shared" si="94">IF(AA320="正常",IF(I320="已计入",A320,Z319),"")</f>
        <v>46239</v>
      </c>
      <c r="AA320" s="10" t="str">
        <f>IF(OR($AA$134="错误",COUNTIF($G$135:G320,"待修正")&gt;0),"错误","正常")</f>
        <v>正常</v>
      </c>
      <c r="AB320" s="14">
        <f t="shared" si="95">IF(AA320="正常",IF(I320="已计入",C320,AB319),"")</f>
        <v>6.347</v>
      </c>
    </row>
    <row r="321" ht="23" customHeight="1">
      <c r="A321" s="36"/>
      <c r="B321" s="37"/>
      <c r="C321" s="38"/>
      <c r="D321" s="39"/>
      <c r="E321" s="44" t="str">
        <f t="shared" si="96">IF(AND(ISNUMBER(C321),ISNUMBER(D321),ISNUMBER(F321)),IF(OR(B321="买入",B321="定投"),ROUND(C321*D321+F321,2),IF(B321="卖出",ROUND(C321*D321-F321,2),IF(B321="红利再投",0,""))),"")</f>
        <v/>
      </c>
      <c r="F321" s="39"/>
      <c r="G321" s="45" t="str">
        <f t="shared" si="97">IF(COUNTA(A321:D321,F321)=0,"",IF(I321="已计入","已录入","待修正"))</f>
        <v/>
      </c>
      <c r="H321" s="46" t="str">
        <f t="shared" si="98">IF(COUNTA(A321:D321,F321)=0,"",IF(B321="红利再投","仅增加份额，不增加现金投入","金额由份额、净值和手续费推算"))</f>
        <v/>
      </c>
      <c r="I321" s="10" t="str">
        <f>IF(COUNTA(A321:D321,F321)=0,"",IF(NOT(ISNUMBER(A321)),"缺少有效净值日期",IF(OR(A321&lt;=0,A321&lt;&gt;INT(A321)),"净值日期无效",IF(OR(B321="转换转入",B321="现金分红"),"该类型需实际金额，五项录入不适用",IF(NOT(OR(OR(B321="买入",B321="定投"),B321="卖出",B321="红利再投")),"请选择交易类型",IF(NOT(ISNUMBER(C321)),"缺少成交净值",IF(C321&lt;=0,"成交净值须大于零",IF(NOT(ISNUMBER(D321)),"缺少确认份额",IF(D321&lt;=0,"确认份额须大于零",IF(NOT(ISNUMBER(F321)),"缺少手续费，无费用请填 0",IF(F321&lt;0,"手续费不能为负",IF(AA320="错误","前行待修正",IF(A321&lt;Z320,"日期需按成交顺序递增",IF(AND(B321="红利再投",F321&lt;&gt;0),"红利再投手续费应填 0",IF(AND(B321="红利再投",K320&lt;=0),"红利再投前须有持仓",IF(AND(B321="卖出",D321&gt;K320+0.000001),"卖出份额超过持仓",IF(AND(B321="卖出",F321&gt;=C321*D321),"赎回费不能达到赎回总额",IF(NOT(ISNUMBER(E321)),"自动金额未生成，请检查五项输入",IF(NOT(OR('持仓总览'!$C$7="利润优先",'持仓总览'!$C$7="本金优先")),"请选择卖出分配模式","已计入")))))))))))))))))))</f>
        <v/>
      </c>
      <c r="J321" s="11">
        <f t="shared" si="79">IF(AA321="正常",IF(I321="已计入",IF(OR(OR(B321="买入",B321="定投",B321="转换转入"),B321="红利再投"),D321,IF(B321="卖出",-D321,0)),0),"")</f>
        <v>0</v>
      </c>
      <c r="K321" s="11">
        <f t="shared" si="84">IF(AA321="正常",ROUND(K320+J321,6),"")</f>
        <v>25721.6</v>
      </c>
      <c r="L321" s="11" t="str">
        <f t="shared" si="85">IF(I321="已计入",ROUND(K320*C321,2),"")</f>
        <v/>
      </c>
      <c r="M321" s="11" t="str">
        <f t="shared" si="86">IF(I321="已计入",IF(B321="卖出",MAX(0,L321-Q320-F321),IF(B321="现金分红",MAX(0,L321+E321-Q320),0)),"")</f>
        <v/>
      </c>
      <c r="N321" s="11" t="str">
        <f>IF(I321="已计入",IF(AND(B321="卖出",'持仓总览'!$C$7="本金优先"),MAX(0,E321-Q320),IF(OR(B321="卖出",B321="现金分红"),MIN(E321,M321),0)),"")</f>
        <v/>
      </c>
      <c r="O321" s="11" t="str">
        <f t="shared" si="87">IF(I321="已计入",IF(OR(B321="卖出",B321="现金分红"),MIN(Q320,MAX(0,E321-N321)),0),"")</f>
        <v/>
      </c>
      <c r="P321" s="11" t="str">
        <f t="shared" si="88">IF(I321="已计入",IF(AND(B321="卖出",K321=0),MAX(0,Q320-O321),0),"")</f>
        <v/>
      </c>
      <c r="Q321" s="11">
        <f t="shared" si="89">IF(AA321="正常",IF(I321="已计入",ROUND(Q320+IF(OR(B321="买入",B321="定投",B321="转换转入"),E321,0)-O321-P321,2),Q320),"")</f>
        <v>129570</v>
      </c>
      <c r="R321" s="11" t="str">
        <f t="shared" si="80">IF(I321="已计入",ROUND(K321*C321,2),"")</f>
        <v/>
      </c>
      <c r="S321" s="11" t="str">
        <f t="shared" si="81">IF(I321="已计入",ROUND(R321-Q321,2),"")</f>
        <v/>
      </c>
      <c r="T321" s="12" t="str">
        <f t="shared" si="82">IF(I321="已计入",IF(Q321=0,"",S321/Q321),"")</f>
        <v/>
      </c>
      <c r="U321" s="11">
        <f t="shared" si="90">IF(AA321="正常",U320+IF(AND(I321="已计入",OR(B321="买入",B321="定投",B321="转换转入")),E321,0),"")</f>
        <v>129570</v>
      </c>
      <c r="V321" s="11">
        <f t="shared" si="91">IF(AA321="正常",V320+IF(AND(I321="已计入",OR(B321="卖出",B321="现金分红")),E321,0),"")</f>
        <v>0</v>
      </c>
      <c r="W321" s="11">
        <f t="shared" si="92">IF(AA321="正常",W320+IF(I321="已计入",N321,0),"")</f>
        <v>0</v>
      </c>
      <c r="X321" s="11">
        <f t="shared" si="93">IF(AA321="正常",X320+IF(I321="已计入",P321,0),"")</f>
        <v>0</v>
      </c>
      <c r="Y321" s="11" t="str">
        <f t="shared" si="83">IF(I321="已计入",ROUND(R321+V321-U321,2),"")</f>
        <v/>
      </c>
      <c r="Z321" s="13">
        <f t="shared" si="94">IF(AA321="正常",IF(I321="已计入",A321,Z320),"")</f>
        <v>46239</v>
      </c>
      <c r="AA321" s="10" t="str">
        <f>IF(OR($AA$134="错误",COUNTIF($G$135:G321,"待修正")&gt;0),"错误","正常")</f>
        <v>正常</v>
      </c>
      <c r="AB321" s="14">
        <f t="shared" si="95">IF(AA321="正常",IF(I321="已计入",C321,AB320),"")</f>
        <v>6.347</v>
      </c>
    </row>
    <row r="322" ht="23" customHeight="1">
      <c r="A322" s="36"/>
      <c r="B322" s="37"/>
      <c r="C322" s="38"/>
      <c r="D322" s="39"/>
      <c r="E322" s="44" t="str">
        <f t="shared" si="96">IF(AND(ISNUMBER(C322),ISNUMBER(D322),ISNUMBER(F322)),IF(OR(B322="买入",B322="定投"),ROUND(C322*D322+F322,2),IF(B322="卖出",ROUND(C322*D322-F322,2),IF(B322="红利再投",0,""))),"")</f>
        <v/>
      </c>
      <c r="F322" s="39"/>
      <c r="G322" s="45" t="str">
        <f t="shared" si="97">IF(COUNTA(A322:D322,F322)=0,"",IF(I322="已计入","已录入","待修正"))</f>
        <v/>
      </c>
      <c r="H322" s="46" t="str">
        <f t="shared" si="98">IF(COUNTA(A322:D322,F322)=0,"",IF(B322="红利再投","仅增加份额，不增加现金投入","金额由份额、净值和手续费推算"))</f>
        <v/>
      </c>
      <c r="I322" s="10" t="str">
        <f>IF(COUNTA(A322:D322,F322)=0,"",IF(NOT(ISNUMBER(A322)),"缺少有效净值日期",IF(OR(A322&lt;=0,A322&lt;&gt;INT(A322)),"净值日期无效",IF(OR(B322="转换转入",B322="现金分红"),"该类型需实际金额，五项录入不适用",IF(NOT(OR(OR(B322="买入",B322="定投"),B322="卖出",B322="红利再投")),"请选择交易类型",IF(NOT(ISNUMBER(C322)),"缺少成交净值",IF(C322&lt;=0,"成交净值须大于零",IF(NOT(ISNUMBER(D322)),"缺少确认份额",IF(D322&lt;=0,"确认份额须大于零",IF(NOT(ISNUMBER(F322)),"缺少手续费，无费用请填 0",IF(F322&lt;0,"手续费不能为负",IF(AA321="错误","前行待修正",IF(A322&lt;Z321,"日期需按成交顺序递增",IF(AND(B322="红利再投",F322&lt;&gt;0),"红利再投手续费应填 0",IF(AND(B322="红利再投",K321&lt;=0),"红利再投前须有持仓",IF(AND(B322="卖出",D322&gt;K321+0.000001),"卖出份额超过持仓",IF(AND(B322="卖出",F322&gt;=C322*D322),"赎回费不能达到赎回总额",IF(NOT(ISNUMBER(E322)),"自动金额未生成，请检查五项输入",IF(NOT(OR('持仓总览'!$C$7="利润优先",'持仓总览'!$C$7="本金优先")),"请选择卖出分配模式","已计入")))))))))))))))))))</f>
        <v/>
      </c>
      <c r="J322" s="11">
        <f t="shared" si="79">IF(AA322="正常",IF(I322="已计入",IF(OR(OR(B322="买入",B322="定投",B322="转换转入"),B322="红利再投"),D322,IF(B322="卖出",-D322,0)),0),"")</f>
        <v>0</v>
      </c>
      <c r="K322" s="11">
        <f t="shared" si="84">IF(AA322="正常",ROUND(K321+J322,6),"")</f>
        <v>25721.6</v>
      </c>
      <c r="L322" s="11" t="str">
        <f t="shared" si="85">IF(I322="已计入",ROUND(K321*C322,2),"")</f>
        <v/>
      </c>
      <c r="M322" s="11" t="str">
        <f t="shared" si="86">IF(I322="已计入",IF(B322="卖出",MAX(0,L322-Q321-F322),IF(B322="现金分红",MAX(0,L322+E322-Q321),0)),"")</f>
        <v/>
      </c>
      <c r="N322" s="11" t="str">
        <f>IF(I322="已计入",IF(AND(B322="卖出",'持仓总览'!$C$7="本金优先"),MAX(0,E322-Q321),IF(OR(B322="卖出",B322="现金分红"),MIN(E322,M322),0)),"")</f>
        <v/>
      </c>
      <c r="O322" s="11" t="str">
        <f t="shared" si="87">IF(I322="已计入",IF(OR(B322="卖出",B322="现金分红"),MIN(Q321,MAX(0,E322-N322)),0),"")</f>
        <v/>
      </c>
      <c r="P322" s="11" t="str">
        <f t="shared" si="88">IF(I322="已计入",IF(AND(B322="卖出",K322=0),MAX(0,Q321-O322),0),"")</f>
        <v/>
      </c>
      <c r="Q322" s="11">
        <f t="shared" si="89">IF(AA322="正常",IF(I322="已计入",ROUND(Q321+IF(OR(B322="买入",B322="定投",B322="转换转入"),E322,0)-O322-P322,2),Q321),"")</f>
        <v>129570</v>
      </c>
      <c r="R322" s="11" t="str">
        <f t="shared" si="80">IF(I322="已计入",ROUND(K322*C322,2),"")</f>
        <v/>
      </c>
      <c r="S322" s="11" t="str">
        <f t="shared" si="81">IF(I322="已计入",ROUND(R322-Q322,2),"")</f>
        <v/>
      </c>
      <c r="T322" s="12" t="str">
        <f t="shared" si="82">IF(I322="已计入",IF(Q322=0,"",S322/Q322),"")</f>
        <v/>
      </c>
      <c r="U322" s="11">
        <f t="shared" si="90">IF(AA322="正常",U321+IF(AND(I322="已计入",OR(B322="买入",B322="定投",B322="转换转入")),E322,0),"")</f>
        <v>129570</v>
      </c>
      <c r="V322" s="11">
        <f t="shared" si="91">IF(AA322="正常",V321+IF(AND(I322="已计入",OR(B322="卖出",B322="现金分红")),E322,0),"")</f>
        <v>0</v>
      </c>
      <c r="W322" s="11">
        <f t="shared" si="92">IF(AA322="正常",W321+IF(I322="已计入",N322,0),"")</f>
        <v>0</v>
      </c>
      <c r="X322" s="11">
        <f t="shared" si="93">IF(AA322="正常",X321+IF(I322="已计入",P322,0),"")</f>
        <v>0</v>
      </c>
      <c r="Y322" s="11" t="str">
        <f t="shared" si="83">IF(I322="已计入",ROUND(R322+V322-U322,2),"")</f>
        <v/>
      </c>
      <c r="Z322" s="13">
        <f t="shared" si="94">IF(AA322="正常",IF(I322="已计入",A322,Z321),"")</f>
        <v>46239</v>
      </c>
      <c r="AA322" s="10" t="str">
        <f>IF(OR($AA$134="错误",COUNTIF($G$135:G322,"待修正")&gt;0),"错误","正常")</f>
        <v>正常</v>
      </c>
      <c r="AB322" s="14">
        <f t="shared" si="95">IF(AA322="正常",IF(I322="已计入",C322,AB321),"")</f>
        <v>6.347</v>
      </c>
    </row>
    <row r="323" ht="23" customHeight="1">
      <c r="A323" s="36"/>
      <c r="B323" s="37"/>
      <c r="C323" s="38"/>
      <c r="D323" s="39"/>
      <c r="E323" s="44" t="str">
        <f t="shared" si="96">IF(AND(ISNUMBER(C323),ISNUMBER(D323),ISNUMBER(F323)),IF(OR(B323="买入",B323="定投"),ROUND(C323*D323+F323,2),IF(B323="卖出",ROUND(C323*D323-F323,2),IF(B323="红利再投",0,""))),"")</f>
        <v/>
      </c>
      <c r="F323" s="39"/>
      <c r="G323" s="45" t="str">
        <f t="shared" si="97">IF(COUNTA(A323:D323,F323)=0,"",IF(I323="已计入","已录入","待修正"))</f>
        <v/>
      </c>
      <c r="H323" s="46" t="str">
        <f t="shared" si="98">IF(COUNTA(A323:D323,F323)=0,"",IF(B323="红利再投","仅增加份额，不增加现金投入","金额由份额、净值和手续费推算"))</f>
        <v/>
      </c>
      <c r="I323" s="10" t="str">
        <f>IF(COUNTA(A323:D323,F323)=0,"",IF(NOT(ISNUMBER(A323)),"缺少有效净值日期",IF(OR(A323&lt;=0,A323&lt;&gt;INT(A323)),"净值日期无效",IF(OR(B323="转换转入",B323="现金分红"),"该类型需实际金额，五项录入不适用",IF(NOT(OR(OR(B323="买入",B323="定投"),B323="卖出",B323="红利再投")),"请选择交易类型",IF(NOT(ISNUMBER(C323)),"缺少成交净值",IF(C323&lt;=0,"成交净值须大于零",IF(NOT(ISNUMBER(D323)),"缺少确认份额",IF(D323&lt;=0,"确认份额须大于零",IF(NOT(ISNUMBER(F323)),"缺少手续费，无费用请填 0",IF(F323&lt;0,"手续费不能为负",IF(AA322="错误","前行待修正",IF(A323&lt;Z322,"日期需按成交顺序递增",IF(AND(B323="红利再投",F323&lt;&gt;0),"红利再投手续费应填 0",IF(AND(B323="红利再投",K322&lt;=0),"红利再投前须有持仓",IF(AND(B323="卖出",D323&gt;K322+0.000001),"卖出份额超过持仓",IF(AND(B323="卖出",F323&gt;=C323*D323),"赎回费不能达到赎回总额",IF(NOT(ISNUMBER(E323)),"自动金额未生成，请检查五项输入",IF(NOT(OR('持仓总览'!$C$7="利润优先",'持仓总览'!$C$7="本金优先")),"请选择卖出分配模式","已计入")))))))))))))))))))</f>
        <v/>
      </c>
      <c r="J323" s="11">
        <f t="shared" si="79">IF(AA323="正常",IF(I323="已计入",IF(OR(OR(B323="买入",B323="定投",B323="转换转入"),B323="红利再投"),D323,IF(B323="卖出",-D323,0)),0),"")</f>
        <v>0</v>
      </c>
      <c r="K323" s="11">
        <f t="shared" si="84">IF(AA323="正常",ROUND(K322+J323,6),"")</f>
        <v>25721.6</v>
      </c>
      <c r="L323" s="11" t="str">
        <f t="shared" si="85">IF(I323="已计入",ROUND(K322*C323,2),"")</f>
        <v/>
      </c>
      <c r="M323" s="11" t="str">
        <f t="shared" si="86">IF(I323="已计入",IF(B323="卖出",MAX(0,L323-Q322-F323),IF(B323="现金分红",MAX(0,L323+E323-Q322),0)),"")</f>
        <v/>
      </c>
      <c r="N323" s="11" t="str">
        <f>IF(I323="已计入",IF(AND(B323="卖出",'持仓总览'!$C$7="本金优先"),MAX(0,E323-Q322),IF(OR(B323="卖出",B323="现金分红"),MIN(E323,M323),0)),"")</f>
        <v/>
      </c>
      <c r="O323" s="11" t="str">
        <f t="shared" si="87">IF(I323="已计入",IF(OR(B323="卖出",B323="现金分红"),MIN(Q322,MAX(0,E323-N323)),0),"")</f>
        <v/>
      </c>
      <c r="P323" s="11" t="str">
        <f t="shared" si="88">IF(I323="已计入",IF(AND(B323="卖出",K323=0),MAX(0,Q322-O323),0),"")</f>
        <v/>
      </c>
      <c r="Q323" s="11">
        <f t="shared" si="89">IF(AA323="正常",IF(I323="已计入",ROUND(Q322+IF(OR(B323="买入",B323="定投",B323="转换转入"),E323,0)-O323-P323,2),Q322),"")</f>
        <v>129570</v>
      </c>
      <c r="R323" s="11" t="str">
        <f t="shared" si="80">IF(I323="已计入",ROUND(K323*C323,2),"")</f>
        <v/>
      </c>
      <c r="S323" s="11" t="str">
        <f t="shared" si="81">IF(I323="已计入",ROUND(R323-Q323,2),"")</f>
        <v/>
      </c>
      <c r="T323" s="12" t="str">
        <f t="shared" si="82">IF(I323="已计入",IF(Q323=0,"",S323/Q323),"")</f>
        <v/>
      </c>
      <c r="U323" s="11">
        <f t="shared" si="90">IF(AA323="正常",U322+IF(AND(I323="已计入",OR(B323="买入",B323="定投",B323="转换转入")),E323,0),"")</f>
        <v>129570</v>
      </c>
      <c r="V323" s="11">
        <f t="shared" si="91">IF(AA323="正常",V322+IF(AND(I323="已计入",OR(B323="卖出",B323="现金分红")),E323,0),"")</f>
        <v>0</v>
      </c>
      <c r="W323" s="11">
        <f t="shared" si="92">IF(AA323="正常",W322+IF(I323="已计入",N323,0),"")</f>
        <v>0</v>
      </c>
      <c r="X323" s="11">
        <f t="shared" si="93">IF(AA323="正常",X322+IF(I323="已计入",P323,0),"")</f>
        <v>0</v>
      </c>
      <c r="Y323" s="11" t="str">
        <f t="shared" si="83">IF(I323="已计入",ROUND(R323+V323-U323,2),"")</f>
        <v/>
      </c>
      <c r="Z323" s="13">
        <f t="shared" si="94">IF(AA323="正常",IF(I323="已计入",A323,Z322),"")</f>
        <v>46239</v>
      </c>
      <c r="AA323" s="10" t="str">
        <f>IF(OR($AA$134="错误",COUNTIF($G$135:G323,"待修正")&gt;0),"错误","正常")</f>
        <v>正常</v>
      </c>
      <c r="AB323" s="14">
        <f t="shared" si="95">IF(AA323="正常",IF(I323="已计入",C323,AB322),"")</f>
        <v>6.347</v>
      </c>
    </row>
    <row r="324" ht="23" customHeight="1">
      <c r="A324" s="36"/>
      <c r="B324" s="37"/>
      <c r="C324" s="38"/>
      <c r="D324" s="39"/>
      <c r="E324" s="44" t="str">
        <f t="shared" si="96">IF(AND(ISNUMBER(C324),ISNUMBER(D324),ISNUMBER(F324)),IF(OR(B324="买入",B324="定投"),ROUND(C324*D324+F324,2),IF(B324="卖出",ROUND(C324*D324-F324,2),IF(B324="红利再投",0,""))),"")</f>
        <v/>
      </c>
      <c r="F324" s="39"/>
      <c r="G324" s="45" t="str">
        <f t="shared" si="97">IF(COUNTA(A324:D324,F324)=0,"",IF(I324="已计入","已录入","待修正"))</f>
        <v/>
      </c>
      <c r="H324" s="46" t="str">
        <f t="shared" si="98">IF(COUNTA(A324:D324,F324)=0,"",IF(B324="红利再投","仅增加份额，不增加现金投入","金额由份额、净值和手续费推算"))</f>
        <v/>
      </c>
      <c r="I324" s="10" t="str">
        <f>IF(COUNTA(A324:D324,F324)=0,"",IF(NOT(ISNUMBER(A324)),"缺少有效净值日期",IF(OR(A324&lt;=0,A324&lt;&gt;INT(A324)),"净值日期无效",IF(OR(B324="转换转入",B324="现金分红"),"该类型需实际金额，五项录入不适用",IF(NOT(OR(OR(B324="买入",B324="定投"),B324="卖出",B324="红利再投")),"请选择交易类型",IF(NOT(ISNUMBER(C324)),"缺少成交净值",IF(C324&lt;=0,"成交净值须大于零",IF(NOT(ISNUMBER(D324)),"缺少确认份额",IF(D324&lt;=0,"确认份额须大于零",IF(NOT(ISNUMBER(F324)),"缺少手续费，无费用请填 0",IF(F324&lt;0,"手续费不能为负",IF(AA323="错误","前行待修正",IF(A324&lt;Z323,"日期需按成交顺序递增",IF(AND(B324="红利再投",F324&lt;&gt;0),"红利再投手续费应填 0",IF(AND(B324="红利再投",K323&lt;=0),"红利再投前须有持仓",IF(AND(B324="卖出",D324&gt;K323+0.000001),"卖出份额超过持仓",IF(AND(B324="卖出",F324&gt;=C324*D324),"赎回费不能达到赎回总额",IF(NOT(ISNUMBER(E324)),"自动金额未生成，请检查五项输入",IF(NOT(OR('持仓总览'!$C$7="利润优先",'持仓总览'!$C$7="本金优先")),"请选择卖出分配模式","已计入")))))))))))))))))))</f>
        <v/>
      </c>
      <c r="J324" s="11">
        <f t="shared" si="79">IF(AA324="正常",IF(I324="已计入",IF(OR(OR(B324="买入",B324="定投",B324="转换转入"),B324="红利再投"),D324,IF(B324="卖出",-D324,0)),0),"")</f>
        <v>0</v>
      </c>
      <c r="K324" s="11">
        <f t="shared" si="84">IF(AA324="正常",ROUND(K323+J324,6),"")</f>
        <v>25721.6</v>
      </c>
      <c r="L324" s="11" t="str">
        <f t="shared" si="85">IF(I324="已计入",ROUND(K323*C324,2),"")</f>
        <v/>
      </c>
      <c r="M324" s="11" t="str">
        <f t="shared" si="86">IF(I324="已计入",IF(B324="卖出",MAX(0,L324-Q323-F324),IF(B324="现金分红",MAX(0,L324+E324-Q323),0)),"")</f>
        <v/>
      </c>
      <c r="N324" s="11" t="str">
        <f>IF(I324="已计入",IF(AND(B324="卖出",'持仓总览'!$C$7="本金优先"),MAX(0,E324-Q323),IF(OR(B324="卖出",B324="现金分红"),MIN(E324,M324),0)),"")</f>
        <v/>
      </c>
      <c r="O324" s="11" t="str">
        <f t="shared" si="87">IF(I324="已计入",IF(OR(B324="卖出",B324="现金分红"),MIN(Q323,MAX(0,E324-N324)),0),"")</f>
        <v/>
      </c>
      <c r="P324" s="11" t="str">
        <f t="shared" si="88">IF(I324="已计入",IF(AND(B324="卖出",K324=0),MAX(0,Q323-O324),0),"")</f>
        <v/>
      </c>
      <c r="Q324" s="11">
        <f t="shared" si="89">IF(AA324="正常",IF(I324="已计入",ROUND(Q323+IF(OR(B324="买入",B324="定投",B324="转换转入"),E324,0)-O324-P324,2),Q323),"")</f>
        <v>129570</v>
      </c>
      <c r="R324" s="11" t="str">
        <f t="shared" si="80">IF(I324="已计入",ROUND(K324*C324,2),"")</f>
        <v/>
      </c>
      <c r="S324" s="11" t="str">
        <f t="shared" si="81">IF(I324="已计入",ROUND(R324-Q324,2),"")</f>
        <v/>
      </c>
      <c r="T324" s="12" t="str">
        <f t="shared" si="82">IF(I324="已计入",IF(Q324=0,"",S324/Q324),"")</f>
        <v/>
      </c>
      <c r="U324" s="11">
        <f t="shared" si="90">IF(AA324="正常",U323+IF(AND(I324="已计入",OR(B324="买入",B324="定投",B324="转换转入")),E324,0),"")</f>
        <v>129570</v>
      </c>
      <c r="V324" s="11">
        <f t="shared" si="91">IF(AA324="正常",V323+IF(AND(I324="已计入",OR(B324="卖出",B324="现金分红")),E324,0),"")</f>
        <v>0</v>
      </c>
      <c r="W324" s="11">
        <f t="shared" si="92">IF(AA324="正常",W323+IF(I324="已计入",N324,0),"")</f>
        <v>0</v>
      </c>
      <c r="X324" s="11">
        <f t="shared" si="93">IF(AA324="正常",X323+IF(I324="已计入",P324,0),"")</f>
        <v>0</v>
      </c>
      <c r="Y324" s="11" t="str">
        <f t="shared" si="83">IF(I324="已计入",ROUND(R324+V324-U324,2),"")</f>
        <v/>
      </c>
      <c r="Z324" s="13">
        <f t="shared" si="94">IF(AA324="正常",IF(I324="已计入",A324,Z323),"")</f>
        <v>46239</v>
      </c>
      <c r="AA324" s="10" t="str">
        <f>IF(OR($AA$134="错误",COUNTIF($G$135:G324,"待修正")&gt;0),"错误","正常")</f>
        <v>正常</v>
      </c>
      <c r="AB324" s="14">
        <f t="shared" si="95">IF(AA324="正常",IF(I324="已计入",C324,AB323),"")</f>
        <v>6.347</v>
      </c>
    </row>
    <row r="325" ht="23" customHeight="1">
      <c r="A325" s="36"/>
      <c r="B325" s="37"/>
      <c r="C325" s="38"/>
      <c r="D325" s="39"/>
      <c r="E325" s="44" t="str">
        <f t="shared" si="96">IF(AND(ISNUMBER(C325),ISNUMBER(D325),ISNUMBER(F325)),IF(OR(B325="买入",B325="定投"),ROUND(C325*D325+F325,2),IF(B325="卖出",ROUND(C325*D325-F325,2),IF(B325="红利再投",0,""))),"")</f>
        <v/>
      </c>
      <c r="F325" s="39"/>
      <c r="G325" s="45" t="str">
        <f t="shared" si="97">IF(COUNTA(A325:D325,F325)=0,"",IF(I325="已计入","已录入","待修正"))</f>
        <v/>
      </c>
      <c r="H325" s="46" t="str">
        <f t="shared" si="98">IF(COUNTA(A325:D325,F325)=0,"",IF(B325="红利再投","仅增加份额，不增加现金投入","金额由份额、净值和手续费推算"))</f>
        <v/>
      </c>
      <c r="I325" s="10" t="str">
        <f>IF(COUNTA(A325:D325,F325)=0,"",IF(NOT(ISNUMBER(A325)),"缺少有效净值日期",IF(OR(A325&lt;=0,A325&lt;&gt;INT(A325)),"净值日期无效",IF(OR(B325="转换转入",B325="现金分红"),"该类型需实际金额，五项录入不适用",IF(NOT(OR(OR(B325="买入",B325="定投"),B325="卖出",B325="红利再投")),"请选择交易类型",IF(NOT(ISNUMBER(C325)),"缺少成交净值",IF(C325&lt;=0,"成交净值须大于零",IF(NOT(ISNUMBER(D325)),"缺少确认份额",IF(D325&lt;=0,"确认份额须大于零",IF(NOT(ISNUMBER(F325)),"缺少手续费，无费用请填 0",IF(F325&lt;0,"手续费不能为负",IF(AA324="错误","前行待修正",IF(A325&lt;Z324,"日期需按成交顺序递增",IF(AND(B325="红利再投",F325&lt;&gt;0),"红利再投手续费应填 0",IF(AND(B325="红利再投",K324&lt;=0),"红利再投前须有持仓",IF(AND(B325="卖出",D325&gt;K324+0.000001),"卖出份额超过持仓",IF(AND(B325="卖出",F325&gt;=C325*D325),"赎回费不能达到赎回总额",IF(NOT(ISNUMBER(E325)),"自动金额未生成，请检查五项输入",IF(NOT(OR('持仓总览'!$C$7="利润优先",'持仓总览'!$C$7="本金优先")),"请选择卖出分配模式","已计入")))))))))))))))))))</f>
        <v/>
      </c>
      <c r="J325" s="11">
        <f t="shared" si="79">IF(AA325="正常",IF(I325="已计入",IF(OR(OR(B325="买入",B325="定投",B325="转换转入"),B325="红利再投"),D325,IF(B325="卖出",-D325,0)),0),"")</f>
        <v>0</v>
      </c>
      <c r="K325" s="11">
        <f t="shared" si="84">IF(AA325="正常",ROUND(K324+J325,6),"")</f>
        <v>25721.6</v>
      </c>
      <c r="L325" s="11" t="str">
        <f t="shared" si="85">IF(I325="已计入",ROUND(K324*C325,2),"")</f>
        <v/>
      </c>
      <c r="M325" s="11" t="str">
        <f t="shared" si="86">IF(I325="已计入",IF(B325="卖出",MAX(0,L325-Q324-F325),IF(B325="现金分红",MAX(0,L325+E325-Q324),0)),"")</f>
        <v/>
      </c>
      <c r="N325" s="11" t="str">
        <f>IF(I325="已计入",IF(AND(B325="卖出",'持仓总览'!$C$7="本金优先"),MAX(0,E325-Q324),IF(OR(B325="卖出",B325="现金分红"),MIN(E325,M325),0)),"")</f>
        <v/>
      </c>
      <c r="O325" s="11" t="str">
        <f t="shared" si="87">IF(I325="已计入",IF(OR(B325="卖出",B325="现金分红"),MIN(Q324,MAX(0,E325-N325)),0),"")</f>
        <v/>
      </c>
      <c r="P325" s="11" t="str">
        <f t="shared" si="88">IF(I325="已计入",IF(AND(B325="卖出",K325=0),MAX(0,Q324-O325),0),"")</f>
        <v/>
      </c>
      <c r="Q325" s="11">
        <f t="shared" si="89">IF(AA325="正常",IF(I325="已计入",ROUND(Q324+IF(OR(B325="买入",B325="定投",B325="转换转入"),E325,0)-O325-P325,2),Q324),"")</f>
        <v>129570</v>
      </c>
      <c r="R325" s="11" t="str">
        <f t="shared" si="80">IF(I325="已计入",ROUND(K325*C325,2),"")</f>
        <v/>
      </c>
      <c r="S325" s="11" t="str">
        <f t="shared" si="81">IF(I325="已计入",ROUND(R325-Q325,2),"")</f>
        <v/>
      </c>
      <c r="T325" s="12" t="str">
        <f t="shared" si="82">IF(I325="已计入",IF(Q325=0,"",S325/Q325),"")</f>
        <v/>
      </c>
      <c r="U325" s="11">
        <f t="shared" si="90">IF(AA325="正常",U324+IF(AND(I325="已计入",OR(B325="买入",B325="定投",B325="转换转入")),E325,0),"")</f>
        <v>129570</v>
      </c>
      <c r="V325" s="11">
        <f t="shared" si="91">IF(AA325="正常",V324+IF(AND(I325="已计入",OR(B325="卖出",B325="现金分红")),E325,0),"")</f>
        <v>0</v>
      </c>
      <c r="W325" s="11">
        <f t="shared" si="92">IF(AA325="正常",W324+IF(I325="已计入",N325,0),"")</f>
        <v>0</v>
      </c>
      <c r="X325" s="11">
        <f t="shared" si="93">IF(AA325="正常",X324+IF(I325="已计入",P325,0),"")</f>
        <v>0</v>
      </c>
      <c r="Y325" s="11" t="str">
        <f t="shared" si="83">IF(I325="已计入",ROUND(R325+V325-U325,2),"")</f>
        <v/>
      </c>
      <c r="Z325" s="13">
        <f t="shared" si="94">IF(AA325="正常",IF(I325="已计入",A325,Z324),"")</f>
        <v>46239</v>
      </c>
      <c r="AA325" s="10" t="str">
        <f>IF(OR($AA$134="错误",COUNTIF($G$135:G325,"待修正")&gt;0),"错误","正常")</f>
        <v>正常</v>
      </c>
      <c r="AB325" s="14">
        <f t="shared" si="95">IF(AA325="正常",IF(I325="已计入",C325,AB324),"")</f>
        <v>6.347</v>
      </c>
    </row>
    <row r="326" ht="23" customHeight="1">
      <c r="A326" s="36"/>
      <c r="B326" s="37"/>
      <c r="C326" s="38"/>
      <c r="D326" s="39"/>
      <c r="E326" s="44" t="str">
        <f t="shared" si="96">IF(AND(ISNUMBER(C326),ISNUMBER(D326),ISNUMBER(F326)),IF(OR(B326="买入",B326="定投"),ROUND(C326*D326+F326,2),IF(B326="卖出",ROUND(C326*D326-F326,2),IF(B326="红利再投",0,""))),"")</f>
        <v/>
      </c>
      <c r="F326" s="39"/>
      <c r="G326" s="45" t="str">
        <f t="shared" si="97">IF(COUNTA(A326:D326,F326)=0,"",IF(I326="已计入","已录入","待修正"))</f>
        <v/>
      </c>
      <c r="H326" s="46" t="str">
        <f t="shared" si="98">IF(COUNTA(A326:D326,F326)=0,"",IF(B326="红利再投","仅增加份额，不增加现金投入","金额由份额、净值和手续费推算"))</f>
        <v/>
      </c>
      <c r="I326" s="10" t="str">
        <f>IF(COUNTA(A326:D326,F326)=0,"",IF(NOT(ISNUMBER(A326)),"缺少有效净值日期",IF(OR(A326&lt;=0,A326&lt;&gt;INT(A326)),"净值日期无效",IF(OR(B326="转换转入",B326="现金分红"),"该类型需实际金额，五项录入不适用",IF(NOT(OR(OR(B326="买入",B326="定投"),B326="卖出",B326="红利再投")),"请选择交易类型",IF(NOT(ISNUMBER(C326)),"缺少成交净值",IF(C326&lt;=0,"成交净值须大于零",IF(NOT(ISNUMBER(D326)),"缺少确认份额",IF(D326&lt;=0,"确认份额须大于零",IF(NOT(ISNUMBER(F326)),"缺少手续费，无费用请填 0",IF(F326&lt;0,"手续费不能为负",IF(AA325="错误","前行待修正",IF(A326&lt;Z325,"日期需按成交顺序递增",IF(AND(B326="红利再投",F326&lt;&gt;0),"红利再投手续费应填 0",IF(AND(B326="红利再投",K325&lt;=0),"红利再投前须有持仓",IF(AND(B326="卖出",D326&gt;K325+0.000001),"卖出份额超过持仓",IF(AND(B326="卖出",F326&gt;=C326*D326),"赎回费不能达到赎回总额",IF(NOT(ISNUMBER(E326)),"自动金额未生成，请检查五项输入",IF(NOT(OR('持仓总览'!$C$7="利润优先",'持仓总览'!$C$7="本金优先")),"请选择卖出分配模式","已计入")))))))))))))))))))</f>
        <v/>
      </c>
      <c r="J326" s="11">
        <f t="shared" si="79">IF(AA326="正常",IF(I326="已计入",IF(OR(OR(B326="买入",B326="定投",B326="转换转入"),B326="红利再投"),D326,IF(B326="卖出",-D326,0)),0),"")</f>
        <v>0</v>
      </c>
      <c r="K326" s="11">
        <f t="shared" si="84">IF(AA326="正常",ROUND(K325+J326,6),"")</f>
        <v>25721.6</v>
      </c>
      <c r="L326" s="11" t="str">
        <f t="shared" si="85">IF(I326="已计入",ROUND(K325*C326,2),"")</f>
        <v/>
      </c>
      <c r="M326" s="11" t="str">
        <f t="shared" si="86">IF(I326="已计入",IF(B326="卖出",MAX(0,L326-Q325-F326),IF(B326="现金分红",MAX(0,L326+E326-Q325),0)),"")</f>
        <v/>
      </c>
      <c r="N326" s="11" t="str">
        <f>IF(I326="已计入",IF(AND(B326="卖出",'持仓总览'!$C$7="本金优先"),MAX(0,E326-Q325),IF(OR(B326="卖出",B326="现金分红"),MIN(E326,M326),0)),"")</f>
        <v/>
      </c>
      <c r="O326" s="11" t="str">
        <f t="shared" si="87">IF(I326="已计入",IF(OR(B326="卖出",B326="现金分红"),MIN(Q325,MAX(0,E326-N326)),0),"")</f>
        <v/>
      </c>
      <c r="P326" s="11" t="str">
        <f t="shared" si="88">IF(I326="已计入",IF(AND(B326="卖出",K326=0),MAX(0,Q325-O326),0),"")</f>
        <v/>
      </c>
      <c r="Q326" s="11">
        <f t="shared" si="89">IF(AA326="正常",IF(I326="已计入",ROUND(Q325+IF(OR(B326="买入",B326="定投",B326="转换转入"),E326,0)-O326-P326,2),Q325),"")</f>
        <v>129570</v>
      </c>
      <c r="R326" s="11" t="str">
        <f t="shared" si="80">IF(I326="已计入",ROUND(K326*C326,2),"")</f>
        <v/>
      </c>
      <c r="S326" s="11" t="str">
        <f t="shared" si="81">IF(I326="已计入",ROUND(R326-Q326,2),"")</f>
        <v/>
      </c>
      <c r="T326" s="12" t="str">
        <f t="shared" si="82">IF(I326="已计入",IF(Q326=0,"",S326/Q326),"")</f>
        <v/>
      </c>
      <c r="U326" s="11">
        <f t="shared" si="90">IF(AA326="正常",U325+IF(AND(I326="已计入",OR(B326="买入",B326="定投",B326="转换转入")),E326,0),"")</f>
        <v>129570</v>
      </c>
      <c r="V326" s="11">
        <f t="shared" si="91">IF(AA326="正常",V325+IF(AND(I326="已计入",OR(B326="卖出",B326="现金分红")),E326,0),"")</f>
        <v>0</v>
      </c>
      <c r="W326" s="11">
        <f t="shared" si="92">IF(AA326="正常",W325+IF(I326="已计入",N326,0),"")</f>
        <v>0</v>
      </c>
      <c r="X326" s="11">
        <f t="shared" si="93">IF(AA326="正常",X325+IF(I326="已计入",P326,0),"")</f>
        <v>0</v>
      </c>
      <c r="Y326" s="11" t="str">
        <f t="shared" si="83">IF(I326="已计入",ROUND(R326+V326-U326,2),"")</f>
        <v/>
      </c>
      <c r="Z326" s="13">
        <f t="shared" si="94">IF(AA326="正常",IF(I326="已计入",A326,Z325),"")</f>
        <v>46239</v>
      </c>
      <c r="AA326" s="10" t="str">
        <f>IF(OR($AA$134="错误",COUNTIF($G$135:G326,"待修正")&gt;0),"错误","正常")</f>
        <v>正常</v>
      </c>
      <c r="AB326" s="14">
        <f t="shared" si="95">IF(AA326="正常",IF(I326="已计入",C326,AB325),"")</f>
        <v>6.347</v>
      </c>
    </row>
    <row r="327" ht="23" customHeight="1">
      <c r="A327" s="36"/>
      <c r="B327" s="37"/>
      <c r="C327" s="38"/>
      <c r="D327" s="39"/>
      <c r="E327" s="44" t="str">
        <f t="shared" si="96">IF(AND(ISNUMBER(C327),ISNUMBER(D327),ISNUMBER(F327)),IF(OR(B327="买入",B327="定投"),ROUND(C327*D327+F327,2),IF(B327="卖出",ROUND(C327*D327-F327,2),IF(B327="红利再投",0,""))),"")</f>
        <v/>
      </c>
      <c r="F327" s="39"/>
      <c r="G327" s="45" t="str">
        <f t="shared" si="97">IF(COUNTA(A327:D327,F327)=0,"",IF(I327="已计入","已录入","待修正"))</f>
        <v/>
      </c>
      <c r="H327" s="46" t="str">
        <f t="shared" si="98">IF(COUNTA(A327:D327,F327)=0,"",IF(B327="红利再投","仅增加份额，不增加现金投入","金额由份额、净值和手续费推算"))</f>
        <v/>
      </c>
      <c r="I327" s="10" t="str">
        <f>IF(COUNTA(A327:D327,F327)=0,"",IF(NOT(ISNUMBER(A327)),"缺少有效净值日期",IF(OR(A327&lt;=0,A327&lt;&gt;INT(A327)),"净值日期无效",IF(OR(B327="转换转入",B327="现金分红"),"该类型需实际金额，五项录入不适用",IF(NOT(OR(OR(B327="买入",B327="定投"),B327="卖出",B327="红利再投")),"请选择交易类型",IF(NOT(ISNUMBER(C327)),"缺少成交净值",IF(C327&lt;=0,"成交净值须大于零",IF(NOT(ISNUMBER(D327)),"缺少确认份额",IF(D327&lt;=0,"确认份额须大于零",IF(NOT(ISNUMBER(F327)),"缺少手续费，无费用请填 0",IF(F327&lt;0,"手续费不能为负",IF(AA326="错误","前行待修正",IF(A327&lt;Z326,"日期需按成交顺序递增",IF(AND(B327="红利再投",F327&lt;&gt;0),"红利再投手续费应填 0",IF(AND(B327="红利再投",K326&lt;=0),"红利再投前须有持仓",IF(AND(B327="卖出",D327&gt;K326+0.000001),"卖出份额超过持仓",IF(AND(B327="卖出",F327&gt;=C327*D327),"赎回费不能达到赎回总额",IF(NOT(ISNUMBER(E327)),"自动金额未生成，请检查五项输入",IF(NOT(OR('持仓总览'!$C$7="利润优先",'持仓总览'!$C$7="本金优先")),"请选择卖出分配模式","已计入")))))))))))))))))))</f>
        <v/>
      </c>
      <c r="J327" s="11">
        <f t="shared" ref="J327:J390" si="99">IF(AA327="正常",IF(I327="已计入",IF(OR(OR(B327="买入",B327="定投",B327="转换转入"),B327="红利再投"),D327,IF(B327="卖出",-D327,0)),0),"")</f>
        <v>0</v>
      </c>
      <c r="K327" s="11">
        <f t="shared" si="84">IF(AA327="正常",ROUND(K326+J327,6),"")</f>
        <v>25721.6</v>
      </c>
      <c r="L327" s="11" t="str">
        <f t="shared" si="85">IF(I327="已计入",ROUND(K326*C327,2),"")</f>
        <v/>
      </c>
      <c r="M327" s="11" t="str">
        <f t="shared" si="86">IF(I327="已计入",IF(B327="卖出",MAX(0,L327-Q326-F327),IF(B327="现金分红",MAX(0,L327+E327-Q326),0)),"")</f>
        <v/>
      </c>
      <c r="N327" s="11" t="str">
        <f>IF(I327="已计入",IF(AND(B327="卖出",'持仓总览'!$C$7="本金优先"),MAX(0,E327-Q326),IF(OR(B327="卖出",B327="现金分红"),MIN(E327,M327),0)),"")</f>
        <v/>
      </c>
      <c r="O327" s="11" t="str">
        <f t="shared" si="87">IF(I327="已计入",IF(OR(B327="卖出",B327="现金分红"),MIN(Q326,MAX(0,E327-N327)),0),"")</f>
        <v/>
      </c>
      <c r="P327" s="11" t="str">
        <f t="shared" si="88">IF(I327="已计入",IF(AND(B327="卖出",K327=0),MAX(0,Q326-O327),0),"")</f>
        <v/>
      </c>
      <c r="Q327" s="11">
        <f t="shared" si="89">IF(AA327="正常",IF(I327="已计入",ROUND(Q326+IF(OR(B327="买入",B327="定投",B327="转换转入"),E327,0)-O327-P327,2),Q326),"")</f>
        <v>129570</v>
      </c>
      <c r="R327" s="11" t="str">
        <f t="shared" ref="R327:R390" si="100">IF(I327="已计入",ROUND(K327*C327,2),"")</f>
        <v/>
      </c>
      <c r="S327" s="11" t="str">
        <f t="shared" ref="S327:S390" si="101">IF(I327="已计入",ROUND(R327-Q327,2),"")</f>
        <v/>
      </c>
      <c r="T327" s="12" t="str">
        <f t="shared" ref="T327:T390" si="102">IF(I327="已计入",IF(Q327=0,"",S327/Q327),"")</f>
        <v/>
      </c>
      <c r="U327" s="11">
        <f t="shared" si="90">IF(AA327="正常",U326+IF(AND(I327="已计入",OR(B327="买入",B327="定投",B327="转换转入")),E327,0),"")</f>
        <v>129570</v>
      </c>
      <c r="V327" s="11">
        <f t="shared" si="91">IF(AA327="正常",V326+IF(AND(I327="已计入",OR(B327="卖出",B327="现金分红")),E327,0),"")</f>
        <v>0</v>
      </c>
      <c r="W327" s="11">
        <f t="shared" si="92">IF(AA327="正常",W326+IF(I327="已计入",N327,0),"")</f>
        <v>0</v>
      </c>
      <c r="X327" s="11">
        <f t="shared" si="93">IF(AA327="正常",X326+IF(I327="已计入",P327,0),"")</f>
        <v>0</v>
      </c>
      <c r="Y327" s="11" t="str">
        <f t="shared" ref="Y327:Y390" si="103">IF(I327="已计入",ROUND(R327+V327-U327,2),"")</f>
        <v/>
      </c>
      <c r="Z327" s="13">
        <f t="shared" si="94">IF(AA327="正常",IF(I327="已计入",A327,Z326),"")</f>
        <v>46239</v>
      </c>
      <c r="AA327" s="10" t="str">
        <f>IF(OR($AA$134="错误",COUNTIF($G$135:G327,"待修正")&gt;0),"错误","正常")</f>
        <v>正常</v>
      </c>
      <c r="AB327" s="14">
        <f t="shared" si="95">IF(AA327="正常",IF(I327="已计入",C327,AB326),"")</f>
        <v>6.347</v>
      </c>
    </row>
    <row r="328" ht="23" customHeight="1">
      <c r="A328" s="36"/>
      <c r="B328" s="37"/>
      <c r="C328" s="38"/>
      <c r="D328" s="39"/>
      <c r="E328" s="44" t="str">
        <f t="shared" si="96">IF(AND(ISNUMBER(C328),ISNUMBER(D328),ISNUMBER(F328)),IF(OR(B328="买入",B328="定投"),ROUND(C328*D328+F328,2),IF(B328="卖出",ROUND(C328*D328-F328,2),IF(B328="红利再投",0,""))),"")</f>
        <v/>
      </c>
      <c r="F328" s="39"/>
      <c r="G328" s="45" t="str">
        <f t="shared" si="97">IF(COUNTA(A328:D328,F328)=0,"",IF(I328="已计入","已录入","待修正"))</f>
        <v/>
      </c>
      <c r="H328" s="46" t="str">
        <f t="shared" si="98">IF(COUNTA(A328:D328,F328)=0,"",IF(B328="红利再投","仅增加份额，不增加现金投入","金额由份额、净值和手续费推算"))</f>
        <v/>
      </c>
      <c r="I328" s="10" t="str">
        <f>IF(COUNTA(A328:D328,F328)=0,"",IF(NOT(ISNUMBER(A328)),"缺少有效净值日期",IF(OR(A328&lt;=0,A328&lt;&gt;INT(A328)),"净值日期无效",IF(OR(B328="转换转入",B328="现金分红"),"该类型需实际金额，五项录入不适用",IF(NOT(OR(OR(B328="买入",B328="定投"),B328="卖出",B328="红利再投")),"请选择交易类型",IF(NOT(ISNUMBER(C328)),"缺少成交净值",IF(C328&lt;=0,"成交净值须大于零",IF(NOT(ISNUMBER(D328)),"缺少确认份额",IF(D328&lt;=0,"确认份额须大于零",IF(NOT(ISNUMBER(F328)),"缺少手续费，无费用请填 0",IF(F328&lt;0,"手续费不能为负",IF(AA327="错误","前行待修正",IF(A328&lt;Z327,"日期需按成交顺序递增",IF(AND(B328="红利再投",F328&lt;&gt;0),"红利再投手续费应填 0",IF(AND(B328="红利再投",K327&lt;=0),"红利再投前须有持仓",IF(AND(B328="卖出",D328&gt;K327+0.000001),"卖出份额超过持仓",IF(AND(B328="卖出",F328&gt;=C328*D328),"赎回费不能达到赎回总额",IF(NOT(ISNUMBER(E328)),"自动金额未生成，请检查五项输入",IF(NOT(OR('持仓总览'!$C$7="利润优先",'持仓总览'!$C$7="本金优先")),"请选择卖出分配模式","已计入")))))))))))))))))))</f>
        <v/>
      </c>
      <c r="J328" s="11">
        <f t="shared" si="99">IF(AA328="正常",IF(I328="已计入",IF(OR(OR(B328="买入",B328="定投",B328="转换转入"),B328="红利再投"),D328,IF(B328="卖出",-D328,0)),0),"")</f>
        <v>0</v>
      </c>
      <c r="K328" s="11">
        <f t="shared" ref="K328:K391" si="104">IF(AA328="正常",ROUND(K327+J328,6),"")</f>
        <v>25721.6</v>
      </c>
      <c r="L328" s="11" t="str">
        <f t="shared" ref="L328:L391" si="105">IF(I328="已计入",ROUND(K327*C328,2),"")</f>
        <v/>
      </c>
      <c r="M328" s="11" t="str">
        <f t="shared" ref="M328:M391" si="106">IF(I328="已计入",IF(B328="卖出",MAX(0,L328-Q327-F328),IF(B328="现金分红",MAX(0,L328+E328-Q327),0)),"")</f>
        <v/>
      </c>
      <c r="N328" s="11" t="str">
        <f>IF(I328="已计入",IF(AND(B328="卖出",'持仓总览'!$C$7="本金优先"),MAX(0,E328-Q327),IF(OR(B328="卖出",B328="现金分红"),MIN(E328,M328),0)),"")</f>
        <v/>
      </c>
      <c r="O328" s="11" t="str">
        <f t="shared" ref="O328:O391" si="107">IF(I328="已计入",IF(OR(B328="卖出",B328="现金分红"),MIN(Q327,MAX(0,E328-N328)),0),"")</f>
        <v/>
      </c>
      <c r="P328" s="11" t="str">
        <f t="shared" ref="P328:P391" si="108">IF(I328="已计入",IF(AND(B328="卖出",K328=0),MAX(0,Q327-O328),0),"")</f>
        <v/>
      </c>
      <c r="Q328" s="11">
        <f t="shared" ref="Q328:Q391" si="109">IF(AA328="正常",IF(I328="已计入",ROUND(Q327+IF(OR(B328="买入",B328="定投",B328="转换转入"),E328,0)-O328-P328,2),Q327),"")</f>
        <v>129570</v>
      </c>
      <c r="R328" s="11" t="str">
        <f t="shared" si="100">IF(I328="已计入",ROUND(K328*C328,2),"")</f>
        <v/>
      </c>
      <c r="S328" s="11" t="str">
        <f t="shared" si="101">IF(I328="已计入",ROUND(R328-Q328,2),"")</f>
        <v/>
      </c>
      <c r="T328" s="12" t="str">
        <f t="shared" si="102">IF(I328="已计入",IF(Q328=0,"",S328/Q328),"")</f>
        <v/>
      </c>
      <c r="U328" s="11">
        <f t="shared" ref="U328:U391" si="110">IF(AA328="正常",U327+IF(AND(I328="已计入",OR(B328="买入",B328="定投",B328="转换转入")),E328,0),"")</f>
        <v>129570</v>
      </c>
      <c r="V328" s="11">
        <f t="shared" ref="V328:V391" si="111">IF(AA328="正常",V327+IF(AND(I328="已计入",OR(B328="卖出",B328="现金分红")),E328,0),"")</f>
        <v>0</v>
      </c>
      <c r="W328" s="11">
        <f t="shared" ref="W328:W391" si="112">IF(AA328="正常",W327+IF(I328="已计入",N328,0),"")</f>
        <v>0</v>
      </c>
      <c r="X328" s="11">
        <f t="shared" ref="X328:X391" si="113">IF(AA328="正常",X327+IF(I328="已计入",P328,0),"")</f>
        <v>0</v>
      </c>
      <c r="Y328" s="11" t="str">
        <f t="shared" si="103">IF(I328="已计入",ROUND(R328+V328-U328,2),"")</f>
        <v/>
      </c>
      <c r="Z328" s="13">
        <f t="shared" ref="Z328:Z391" si="114">IF(AA328="正常",IF(I328="已计入",A328,Z327),"")</f>
        <v>46239</v>
      </c>
      <c r="AA328" s="10" t="str">
        <f>IF(OR($AA$134="错误",COUNTIF($G$135:G328,"待修正")&gt;0),"错误","正常")</f>
        <v>正常</v>
      </c>
      <c r="AB328" s="14">
        <f t="shared" ref="AB328:AB391" si="115">IF(AA328="正常",IF(I328="已计入",C328,AB327),"")</f>
        <v>6.347</v>
      </c>
    </row>
    <row r="329" ht="23" customHeight="1">
      <c r="A329" s="36"/>
      <c r="B329" s="37"/>
      <c r="C329" s="38"/>
      <c r="D329" s="39"/>
      <c r="E329" s="44" t="str">
        <f t="shared" si="96">IF(AND(ISNUMBER(C329),ISNUMBER(D329),ISNUMBER(F329)),IF(OR(B329="买入",B329="定投"),ROUND(C329*D329+F329,2),IF(B329="卖出",ROUND(C329*D329-F329,2),IF(B329="红利再投",0,""))),"")</f>
        <v/>
      </c>
      <c r="F329" s="39"/>
      <c r="G329" s="45" t="str">
        <f t="shared" si="97">IF(COUNTA(A329:D329,F329)=0,"",IF(I329="已计入","已录入","待修正"))</f>
        <v/>
      </c>
      <c r="H329" s="46" t="str">
        <f t="shared" si="98">IF(COUNTA(A329:D329,F329)=0,"",IF(B329="红利再投","仅增加份额，不增加现金投入","金额由份额、净值和手续费推算"))</f>
        <v/>
      </c>
      <c r="I329" s="10" t="str">
        <f>IF(COUNTA(A329:D329,F329)=0,"",IF(NOT(ISNUMBER(A329)),"缺少有效净值日期",IF(OR(A329&lt;=0,A329&lt;&gt;INT(A329)),"净值日期无效",IF(OR(B329="转换转入",B329="现金分红"),"该类型需实际金额，五项录入不适用",IF(NOT(OR(OR(B329="买入",B329="定投"),B329="卖出",B329="红利再投")),"请选择交易类型",IF(NOT(ISNUMBER(C329)),"缺少成交净值",IF(C329&lt;=0,"成交净值须大于零",IF(NOT(ISNUMBER(D329)),"缺少确认份额",IF(D329&lt;=0,"确认份额须大于零",IF(NOT(ISNUMBER(F329)),"缺少手续费，无费用请填 0",IF(F329&lt;0,"手续费不能为负",IF(AA328="错误","前行待修正",IF(A329&lt;Z328,"日期需按成交顺序递增",IF(AND(B329="红利再投",F329&lt;&gt;0),"红利再投手续费应填 0",IF(AND(B329="红利再投",K328&lt;=0),"红利再投前须有持仓",IF(AND(B329="卖出",D329&gt;K328+0.000001),"卖出份额超过持仓",IF(AND(B329="卖出",F329&gt;=C329*D329),"赎回费不能达到赎回总额",IF(NOT(ISNUMBER(E329)),"自动金额未生成，请检查五项输入",IF(NOT(OR('持仓总览'!$C$7="利润优先",'持仓总览'!$C$7="本金优先")),"请选择卖出分配模式","已计入")))))))))))))))))))</f>
        <v/>
      </c>
      <c r="J329" s="11">
        <f t="shared" si="99">IF(AA329="正常",IF(I329="已计入",IF(OR(OR(B329="买入",B329="定投",B329="转换转入"),B329="红利再投"),D329,IF(B329="卖出",-D329,0)),0),"")</f>
        <v>0</v>
      </c>
      <c r="K329" s="11">
        <f t="shared" si="104">IF(AA329="正常",ROUND(K328+J329,6),"")</f>
        <v>25721.6</v>
      </c>
      <c r="L329" s="11" t="str">
        <f t="shared" si="105">IF(I329="已计入",ROUND(K328*C329,2),"")</f>
        <v/>
      </c>
      <c r="M329" s="11" t="str">
        <f t="shared" si="106">IF(I329="已计入",IF(B329="卖出",MAX(0,L329-Q328-F329),IF(B329="现金分红",MAX(0,L329+E329-Q328),0)),"")</f>
        <v/>
      </c>
      <c r="N329" s="11" t="str">
        <f>IF(I329="已计入",IF(AND(B329="卖出",'持仓总览'!$C$7="本金优先"),MAX(0,E329-Q328),IF(OR(B329="卖出",B329="现金分红"),MIN(E329,M329),0)),"")</f>
        <v/>
      </c>
      <c r="O329" s="11" t="str">
        <f t="shared" si="107">IF(I329="已计入",IF(OR(B329="卖出",B329="现金分红"),MIN(Q328,MAX(0,E329-N329)),0),"")</f>
        <v/>
      </c>
      <c r="P329" s="11" t="str">
        <f t="shared" si="108">IF(I329="已计入",IF(AND(B329="卖出",K329=0),MAX(0,Q328-O329),0),"")</f>
        <v/>
      </c>
      <c r="Q329" s="11">
        <f t="shared" si="109">IF(AA329="正常",IF(I329="已计入",ROUND(Q328+IF(OR(B329="买入",B329="定投",B329="转换转入"),E329,0)-O329-P329,2),Q328),"")</f>
        <v>129570</v>
      </c>
      <c r="R329" s="11" t="str">
        <f t="shared" si="100">IF(I329="已计入",ROUND(K329*C329,2),"")</f>
        <v/>
      </c>
      <c r="S329" s="11" t="str">
        <f t="shared" si="101">IF(I329="已计入",ROUND(R329-Q329,2),"")</f>
        <v/>
      </c>
      <c r="T329" s="12" t="str">
        <f t="shared" si="102">IF(I329="已计入",IF(Q329=0,"",S329/Q329),"")</f>
        <v/>
      </c>
      <c r="U329" s="11">
        <f t="shared" si="110">IF(AA329="正常",U328+IF(AND(I329="已计入",OR(B329="买入",B329="定投",B329="转换转入")),E329,0),"")</f>
        <v>129570</v>
      </c>
      <c r="V329" s="11">
        <f t="shared" si="111">IF(AA329="正常",V328+IF(AND(I329="已计入",OR(B329="卖出",B329="现金分红")),E329,0),"")</f>
        <v>0</v>
      </c>
      <c r="W329" s="11">
        <f t="shared" si="112">IF(AA329="正常",W328+IF(I329="已计入",N329,0),"")</f>
        <v>0</v>
      </c>
      <c r="X329" s="11">
        <f t="shared" si="113">IF(AA329="正常",X328+IF(I329="已计入",P329,0),"")</f>
        <v>0</v>
      </c>
      <c r="Y329" s="11" t="str">
        <f t="shared" si="103">IF(I329="已计入",ROUND(R329+V329-U329,2),"")</f>
        <v/>
      </c>
      <c r="Z329" s="13">
        <f t="shared" si="114">IF(AA329="正常",IF(I329="已计入",A329,Z328),"")</f>
        <v>46239</v>
      </c>
      <c r="AA329" s="10" t="str">
        <f>IF(OR($AA$134="错误",COUNTIF($G$135:G329,"待修正")&gt;0),"错误","正常")</f>
        <v>正常</v>
      </c>
      <c r="AB329" s="14">
        <f t="shared" si="115">IF(AA329="正常",IF(I329="已计入",C329,AB328),"")</f>
        <v>6.347</v>
      </c>
    </row>
    <row r="330" ht="23" customHeight="1">
      <c r="A330" s="36"/>
      <c r="B330" s="37"/>
      <c r="C330" s="38"/>
      <c r="D330" s="39"/>
      <c r="E330" s="44" t="str">
        <f t="shared" si="96">IF(AND(ISNUMBER(C330),ISNUMBER(D330),ISNUMBER(F330)),IF(OR(B330="买入",B330="定投"),ROUND(C330*D330+F330,2),IF(B330="卖出",ROUND(C330*D330-F330,2),IF(B330="红利再投",0,""))),"")</f>
        <v/>
      </c>
      <c r="F330" s="39"/>
      <c r="G330" s="45" t="str">
        <f t="shared" si="97">IF(COUNTA(A330:D330,F330)=0,"",IF(I330="已计入","已录入","待修正"))</f>
        <v/>
      </c>
      <c r="H330" s="46" t="str">
        <f t="shared" si="98">IF(COUNTA(A330:D330,F330)=0,"",IF(B330="红利再投","仅增加份额，不增加现金投入","金额由份额、净值和手续费推算"))</f>
        <v/>
      </c>
      <c r="I330" s="10" t="str">
        <f>IF(COUNTA(A330:D330,F330)=0,"",IF(NOT(ISNUMBER(A330)),"缺少有效净值日期",IF(OR(A330&lt;=0,A330&lt;&gt;INT(A330)),"净值日期无效",IF(OR(B330="转换转入",B330="现金分红"),"该类型需实际金额，五项录入不适用",IF(NOT(OR(OR(B330="买入",B330="定投"),B330="卖出",B330="红利再投")),"请选择交易类型",IF(NOT(ISNUMBER(C330)),"缺少成交净值",IF(C330&lt;=0,"成交净值须大于零",IF(NOT(ISNUMBER(D330)),"缺少确认份额",IF(D330&lt;=0,"确认份额须大于零",IF(NOT(ISNUMBER(F330)),"缺少手续费，无费用请填 0",IF(F330&lt;0,"手续费不能为负",IF(AA329="错误","前行待修正",IF(A330&lt;Z329,"日期需按成交顺序递增",IF(AND(B330="红利再投",F330&lt;&gt;0),"红利再投手续费应填 0",IF(AND(B330="红利再投",K329&lt;=0),"红利再投前须有持仓",IF(AND(B330="卖出",D330&gt;K329+0.000001),"卖出份额超过持仓",IF(AND(B330="卖出",F330&gt;=C330*D330),"赎回费不能达到赎回总额",IF(NOT(ISNUMBER(E330)),"自动金额未生成，请检查五项输入",IF(NOT(OR('持仓总览'!$C$7="利润优先",'持仓总览'!$C$7="本金优先")),"请选择卖出分配模式","已计入")))))))))))))))))))</f>
        <v/>
      </c>
      <c r="J330" s="11">
        <f t="shared" si="99">IF(AA330="正常",IF(I330="已计入",IF(OR(OR(B330="买入",B330="定投",B330="转换转入"),B330="红利再投"),D330,IF(B330="卖出",-D330,0)),0),"")</f>
        <v>0</v>
      </c>
      <c r="K330" s="11">
        <f t="shared" si="104">IF(AA330="正常",ROUND(K329+J330,6),"")</f>
        <v>25721.6</v>
      </c>
      <c r="L330" s="11" t="str">
        <f t="shared" si="105">IF(I330="已计入",ROUND(K329*C330,2),"")</f>
        <v/>
      </c>
      <c r="M330" s="11" t="str">
        <f t="shared" si="106">IF(I330="已计入",IF(B330="卖出",MAX(0,L330-Q329-F330),IF(B330="现金分红",MAX(0,L330+E330-Q329),0)),"")</f>
        <v/>
      </c>
      <c r="N330" s="11" t="str">
        <f>IF(I330="已计入",IF(AND(B330="卖出",'持仓总览'!$C$7="本金优先"),MAX(0,E330-Q329),IF(OR(B330="卖出",B330="现金分红"),MIN(E330,M330),0)),"")</f>
        <v/>
      </c>
      <c r="O330" s="11" t="str">
        <f t="shared" si="107">IF(I330="已计入",IF(OR(B330="卖出",B330="现金分红"),MIN(Q329,MAX(0,E330-N330)),0),"")</f>
        <v/>
      </c>
      <c r="P330" s="11" t="str">
        <f t="shared" si="108">IF(I330="已计入",IF(AND(B330="卖出",K330=0),MAX(0,Q329-O330),0),"")</f>
        <v/>
      </c>
      <c r="Q330" s="11">
        <f t="shared" si="109">IF(AA330="正常",IF(I330="已计入",ROUND(Q329+IF(OR(B330="买入",B330="定投",B330="转换转入"),E330,0)-O330-P330,2),Q329),"")</f>
        <v>129570</v>
      </c>
      <c r="R330" s="11" t="str">
        <f t="shared" si="100">IF(I330="已计入",ROUND(K330*C330,2),"")</f>
        <v/>
      </c>
      <c r="S330" s="11" t="str">
        <f t="shared" si="101">IF(I330="已计入",ROUND(R330-Q330,2),"")</f>
        <v/>
      </c>
      <c r="T330" s="12" t="str">
        <f t="shared" si="102">IF(I330="已计入",IF(Q330=0,"",S330/Q330),"")</f>
        <v/>
      </c>
      <c r="U330" s="11">
        <f t="shared" si="110">IF(AA330="正常",U329+IF(AND(I330="已计入",OR(B330="买入",B330="定投",B330="转换转入")),E330,0),"")</f>
        <v>129570</v>
      </c>
      <c r="V330" s="11">
        <f t="shared" si="111">IF(AA330="正常",V329+IF(AND(I330="已计入",OR(B330="卖出",B330="现金分红")),E330,0),"")</f>
        <v>0</v>
      </c>
      <c r="W330" s="11">
        <f t="shared" si="112">IF(AA330="正常",W329+IF(I330="已计入",N330,0),"")</f>
        <v>0</v>
      </c>
      <c r="X330" s="11">
        <f t="shared" si="113">IF(AA330="正常",X329+IF(I330="已计入",P330,0),"")</f>
        <v>0</v>
      </c>
      <c r="Y330" s="11" t="str">
        <f t="shared" si="103">IF(I330="已计入",ROUND(R330+V330-U330,2),"")</f>
        <v/>
      </c>
      <c r="Z330" s="13">
        <f t="shared" si="114">IF(AA330="正常",IF(I330="已计入",A330,Z329),"")</f>
        <v>46239</v>
      </c>
      <c r="AA330" s="10" t="str">
        <f>IF(OR($AA$134="错误",COUNTIF($G$135:G330,"待修正")&gt;0),"错误","正常")</f>
        <v>正常</v>
      </c>
      <c r="AB330" s="14">
        <f t="shared" si="115">IF(AA330="正常",IF(I330="已计入",C330,AB329),"")</f>
        <v>6.347</v>
      </c>
    </row>
    <row r="331" ht="23" customHeight="1">
      <c r="A331" s="36"/>
      <c r="B331" s="37"/>
      <c r="C331" s="38"/>
      <c r="D331" s="39"/>
      <c r="E331" s="44" t="str">
        <f t="shared" si="96">IF(AND(ISNUMBER(C331),ISNUMBER(D331),ISNUMBER(F331)),IF(OR(B331="买入",B331="定投"),ROUND(C331*D331+F331,2),IF(B331="卖出",ROUND(C331*D331-F331,2),IF(B331="红利再投",0,""))),"")</f>
        <v/>
      </c>
      <c r="F331" s="39"/>
      <c r="G331" s="45" t="str">
        <f t="shared" si="97">IF(COUNTA(A331:D331,F331)=0,"",IF(I331="已计入","已录入","待修正"))</f>
        <v/>
      </c>
      <c r="H331" s="46" t="str">
        <f t="shared" si="98">IF(COUNTA(A331:D331,F331)=0,"",IF(B331="红利再投","仅增加份额，不增加现金投入","金额由份额、净值和手续费推算"))</f>
        <v/>
      </c>
      <c r="I331" s="10" t="str">
        <f>IF(COUNTA(A331:D331,F331)=0,"",IF(NOT(ISNUMBER(A331)),"缺少有效净值日期",IF(OR(A331&lt;=0,A331&lt;&gt;INT(A331)),"净值日期无效",IF(OR(B331="转换转入",B331="现金分红"),"该类型需实际金额，五项录入不适用",IF(NOT(OR(OR(B331="买入",B331="定投"),B331="卖出",B331="红利再投")),"请选择交易类型",IF(NOT(ISNUMBER(C331)),"缺少成交净值",IF(C331&lt;=0,"成交净值须大于零",IF(NOT(ISNUMBER(D331)),"缺少确认份额",IF(D331&lt;=0,"确认份额须大于零",IF(NOT(ISNUMBER(F331)),"缺少手续费，无费用请填 0",IF(F331&lt;0,"手续费不能为负",IF(AA330="错误","前行待修正",IF(A331&lt;Z330,"日期需按成交顺序递增",IF(AND(B331="红利再投",F331&lt;&gt;0),"红利再投手续费应填 0",IF(AND(B331="红利再投",K330&lt;=0),"红利再投前须有持仓",IF(AND(B331="卖出",D331&gt;K330+0.000001),"卖出份额超过持仓",IF(AND(B331="卖出",F331&gt;=C331*D331),"赎回费不能达到赎回总额",IF(NOT(ISNUMBER(E331)),"自动金额未生成，请检查五项输入",IF(NOT(OR('持仓总览'!$C$7="利润优先",'持仓总览'!$C$7="本金优先")),"请选择卖出分配模式","已计入")))))))))))))))))))</f>
        <v/>
      </c>
      <c r="J331" s="11">
        <f t="shared" si="99">IF(AA331="正常",IF(I331="已计入",IF(OR(OR(B331="买入",B331="定投",B331="转换转入"),B331="红利再投"),D331,IF(B331="卖出",-D331,0)),0),"")</f>
        <v>0</v>
      </c>
      <c r="K331" s="11">
        <f t="shared" si="104">IF(AA331="正常",ROUND(K330+J331,6),"")</f>
        <v>25721.6</v>
      </c>
      <c r="L331" s="11" t="str">
        <f t="shared" si="105">IF(I331="已计入",ROUND(K330*C331,2),"")</f>
        <v/>
      </c>
      <c r="M331" s="11" t="str">
        <f t="shared" si="106">IF(I331="已计入",IF(B331="卖出",MAX(0,L331-Q330-F331),IF(B331="现金分红",MAX(0,L331+E331-Q330),0)),"")</f>
        <v/>
      </c>
      <c r="N331" s="11" t="str">
        <f>IF(I331="已计入",IF(AND(B331="卖出",'持仓总览'!$C$7="本金优先"),MAX(0,E331-Q330),IF(OR(B331="卖出",B331="现金分红"),MIN(E331,M331),0)),"")</f>
        <v/>
      </c>
      <c r="O331" s="11" t="str">
        <f t="shared" si="107">IF(I331="已计入",IF(OR(B331="卖出",B331="现金分红"),MIN(Q330,MAX(0,E331-N331)),0),"")</f>
        <v/>
      </c>
      <c r="P331" s="11" t="str">
        <f t="shared" si="108">IF(I331="已计入",IF(AND(B331="卖出",K331=0),MAX(0,Q330-O331),0),"")</f>
        <v/>
      </c>
      <c r="Q331" s="11">
        <f t="shared" si="109">IF(AA331="正常",IF(I331="已计入",ROUND(Q330+IF(OR(B331="买入",B331="定投",B331="转换转入"),E331,0)-O331-P331,2),Q330),"")</f>
        <v>129570</v>
      </c>
      <c r="R331" s="11" t="str">
        <f t="shared" si="100">IF(I331="已计入",ROUND(K331*C331,2),"")</f>
        <v/>
      </c>
      <c r="S331" s="11" t="str">
        <f t="shared" si="101">IF(I331="已计入",ROUND(R331-Q331,2),"")</f>
        <v/>
      </c>
      <c r="T331" s="12" t="str">
        <f t="shared" si="102">IF(I331="已计入",IF(Q331=0,"",S331/Q331),"")</f>
        <v/>
      </c>
      <c r="U331" s="11">
        <f t="shared" si="110">IF(AA331="正常",U330+IF(AND(I331="已计入",OR(B331="买入",B331="定投",B331="转换转入")),E331,0),"")</f>
        <v>129570</v>
      </c>
      <c r="V331" s="11">
        <f t="shared" si="111">IF(AA331="正常",V330+IF(AND(I331="已计入",OR(B331="卖出",B331="现金分红")),E331,0),"")</f>
        <v>0</v>
      </c>
      <c r="W331" s="11">
        <f t="shared" si="112">IF(AA331="正常",W330+IF(I331="已计入",N331,0),"")</f>
        <v>0</v>
      </c>
      <c r="X331" s="11">
        <f t="shared" si="113">IF(AA331="正常",X330+IF(I331="已计入",P331,0),"")</f>
        <v>0</v>
      </c>
      <c r="Y331" s="11" t="str">
        <f t="shared" si="103">IF(I331="已计入",ROUND(R331+V331-U331,2),"")</f>
        <v/>
      </c>
      <c r="Z331" s="13">
        <f t="shared" si="114">IF(AA331="正常",IF(I331="已计入",A331,Z330),"")</f>
        <v>46239</v>
      </c>
      <c r="AA331" s="10" t="str">
        <f>IF(OR($AA$134="错误",COUNTIF($G$135:G331,"待修正")&gt;0),"错误","正常")</f>
        <v>正常</v>
      </c>
      <c r="AB331" s="14">
        <f t="shared" si="115">IF(AA331="正常",IF(I331="已计入",C331,AB330),"")</f>
        <v>6.347</v>
      </c>
    </row>
    <row r="332" ht="23" customHeight="1">
      <c r="A332" s="36"/>
      <c r="B332" s="37"/>
      <c r="C332" s="38"/>
      <c r="D332" s="39"/>
      <c r="E332" s="44" t="str">
        <f t="shared" si="96">IF(AND(ISNUMBER(C332),ISNUMBER(D332),ISNUMBER(F332)),IF(OR(B332="买入",B332="定投"),ROUND(C332*D332+F332,2),IF(B332="卖出",ROUND(C332*D332-F332,2),IF(B332="红利再投",0,""))),"")</f>
        <v/>
      </c>
      <c r="F332" s="39"/>
      <c r="G332" s="45" t="str">
        <f t="shared" si="97">IF(COUNTA(A332:D332,F332)=0,"",IF(I332="已计入","已录入","待修正"))</f>
        <v/>
      </c>
      <c r="H332" s="46" t="str">
        <f t="shared" si="98">IF(COUNTA(A332:D332,F332)=0,"",IF(B332="红利再投","仅增加份额，不增加现金投入","金额由份额、净值和手续费推算"))</f>
        <v/>
      </c>
      <c r="I332" s="10" t="str">
        <f>IF(COUNTA(A332:D332,F332)=0,"",IF(NOT(ISNUMBER(A332)),"缺少有效净值日期",IF(OR(A332&lt;=0,A332&lt;&gt;INT(A332)),"净值日期无效",IF(OR(B332="转换转入",B332="现金分红"),"该类型需实际金额，五项录入不适用",IF(NOT(OR(OR(B332="买入",B332="定投"),B332="卖出",B332="红利再投")),"请选择交易类型",IF(NOT(ISNUMBER(C332)),"缺少成交净值",IF(C332&lt;=0,"成交净值须大于零",IF(NOT(ISNUMBER(D332)),"缺少确认份额",IF(D332&lt;=0,"确认份额须大于零",IF(NOT(ISNUMBER(F332)),"缺少手续费，无费用请填 0",IF(F332&lt;0,"手续费不能为负",IF(AA331="错误","前行待修正",IF(A332&lt;Z331,"日期需按成交顺序递增",IF(AND(B332="红利再投",F332&lt;&gt;0),"红利再投手续费应填 0",IF(AND(B332="红利再投",K331&lt;=0),"红利再投前须有持仓",IF(AND(B332="卖出",D332&gt;K331+0.000001),"卖出份额超过持仓",IF(AND(B332="卖出",F332&gt;=C332*D332),"赎回费不能达到赎回总额",IF(NOT(ISNUMBER(E332)),"自动金额未生成，请检查五项输入",IF(NOT(OR('持仓总览'!$C$7="利润优先",'持仓总览'!$C$7="本金优先")),"请选择卖出分配模式","已计入")))))))))))))))))))</f>
        <v/>
      </c>
      <c r="J332" s="11">
        <f t="shared" si="99">IF(AA332="正常",IF(I332="已计入",IF(OR(OR(B332="买入",B332="定投",B332="转换转入"),B332="红利再投"),D332,IF(B332="卖出",-D332,0)),0),"")</f>
        <v>0</v>
      </c>
      <c r="K332" s="11">
        <f t="shared" si="104">IF(AA332="正常",ROUND(K331+J332,6),"")</f>
        <v>25721.6</v>
      </c>
      <c r="L332" s="11" t="str">
        <f t="shared" si="105">IF(I332="已计入",ROUND(K331*C332,2),"")</f>
        <v/>
      </c>
      <c r="M332" s="11" t="str">
        <f t="shared" si="106">IF(I332="已计入",IF(B332="卖出",MAX(0,L332-Q331-F332),IF(B332="现金分红",MAX(0,L332+E332-Q331),0)),"")</f>
        <v/>
      </c>
      <c r="N332" s="11" t="str">
        <f>IF(I332="已计入",IF(AND(B332="卖出",'持仓总览'!$C$7="本金优先"),MAX(0,E332-Q331),IF(OR(B332="卖出",B332="现金分红"),MIN(E332,M332),0)),"")</f>
        <v/>
      </c>
      <c r="O332" s="11" t="str">
        <f t="shared" si="107">IF(I332="已计入",IF(OR(B332="卖出",B332="现金分红"),MIN(Q331,MAX(0,E332-N332)),0),"")</f>
        <v/>
      </c>
      <c r="P332" s="11" t="str">
        <f t="shared" si="108">IF(I332="已计入",IF(AND(B332="卖出",K332=0),MAX(0,Q331-O332),0),"")</f>
        <v/>
      </c>
      <c r="Q332" s="11">
        <f t="shared" si="109">IF(AA332="正常",IF(I332="已计入",ROUND(Q331+IF(OR(B332="买入",B332="定投",B332="转换转入"),E332,0)-O332-P332,2),Q331),"")</f>
        <v>129570</v>
      </c>
      <c r="R332" s="11" t="str">
        <f t="shared" si="100">IF(I332="已计入",ROUND(K332*C332,2),"")</f>
        <v/>
      </c>
      <c r="S332" s="11" t="str">
        <f t="shared" si="101">IF(I332="已计入",ROUND(R332-Q332,2),"")</f>
        <v/>
      </c>
      <c r="T332" s="12" t="str">
        <f t="shared" si="102">IF(I332="已计入",IF(Q332=0,"",S332/Q332),"")</f>
        <v/>
      </c>
      <c r="U332" s="11">
        <f t="shared" si="110">IF(AA332="正常",U331+IF(AND(I332="已计入",OR(B332="买入",B332="定投",B332="转换转入")),E332,0),"")</f>
        <v>129570</v>
      </c>
      <c r="V332" s="11">
        <f t="shared" si="111">IF(AA332="正常",V331+IF(AND(I332="已计入",OR(B332="卖出",B332="现金分红")),E332,0),"")</f>
        <v>0</v>
      </c>
      <c r="W332" s="11">
        <f t="shared" si="112">IF(AA332="正常",W331+IF(I332="已计入",N332,0),"")</f>
        <v>0</v>
      </c>
      <c r="X332" s="11">
        <f t="shared" si="113">IF(AA332="正常",X331+IF(I332="已计入",P332,0),"")</f>
        <v>0</v>
      </c>
      <c r="Y332" s="11" t="str">
        <f t="shared" si="103">IF(I332="已计入",ROUND(R332+V332-U332,2),"")</f>
        <v/>
      </c>
      <c r="Z332" s="13">
        <f t="shared" si="114">IF(AA332="正常",IF(I332="已计入",A332,Z331),"")</f>
        <v>46239</v>
      </c>
      <c r="AA332" s="10" t="str">
        <f>IF(OR($AA$134="错误",COUNTIF($G$135:G332,"待修正")&gt;0),"错误","正常")</f>
        <v>正常</v>
      </c>
      <c r="AB332" s="14">
        <f t="shared" si="115">IF(AA332="正常",IF(I332="已计入",C332,AB331),"")</f>
        <v>6.347</v>
      </c>
    </row>
    <row r="333" ht="23" customHeight="1">
      <c r="A333" s="36"/>
      <c r="B333" s="37"/>
      <c r="C333" s="38"/>
      <c r="D333" s="39"/>
      <c r="E333" s="44" t="str">
        <f t="shared" si="96">IF(AND(ISNUMBER(C333),ISNUMBER(D333),ISNUMBER(F333)),IF(OR(B333="买入",B333="定投"),ROUND(C333*D333+F333,2),IF(B333="卖出",ROUND(C333*D333-F333,2),IF(B333="红利再投",0,""))),"")</f>
        <v/>
      </c>
      <c r="F333" s="39"/>
      <c r="G333" s="45" t="str">
        <f t="shared" si="97">IF(COUNTA(A333:D333,F333)=0,"",IF(I333="已计入","已录入","待修正"))</f>
        <v/>
      </c>
      <c r="H333" s="46" t="str">
        <f t="shared" si="98">IF(COUNTA(A333:D333,F333)=0,"",IF(B333="红利再投","仅增加份额，不增加现金投入","金额由份额、净值和手续费推算"))</f>
        <v/>
      </c>
      <c r="I333" s="10" t="str">
        <f>IF(COUNTA(A333:D333,F333)=0,"",IF(NOT(ISNUMBER(A333)),"缺少有效净值日期",IF(OR(A333&lt;=0,A333&lt;&gt;INT(A333)),"净值日期无效",IF(OR(B333="转换转入",B333="现金分红"),"该类型需实际金额，五项录入不适用",IF(NOT(OR(OR(B333="买入",B333="定投"),B333="卖出",B333="红利再投")),"请选择交易类型",IF(NOT(ISNUMBER(C333)),"缺少成交净值",IF(C333&lt;=0,"成交净值须大于零",IF(NOT(ISNUMBER(D333)),"缺少确认份额",IF(D333&lt;=0,"确认份额须大于零",IF(NOT(ISNUMBER(F333)),"缺少手续费，无费用请填 0",IF(F333&lt;0,"手续费不能为负",IF(AA332="错误","前行待修正",IF(A333&lt;Z332,"日期需按成交顺序递增",IF(AND(B333="红利再投",F333&lt;&gt;0),"红利再投手续费应填 0",IF(AND(B333="红利再投",K332&lt;=0),"红利再投前须有持仓",IF(AND(B333="卖出",D333&gt;K332+0.000001),"卖出份额超过持仓",IF(AND(B333="卖出",F333&gt;=C333*D333),"赎回费不能达到赎回总额",IF(NOT(ISNUMBER(E333)),"自动金额未生成，请检查五项输入",IF(NOT(OR('持仓总览'!$C$7="利润优先",'持仓总览'!$C$7="本金优先")),"请选择卖出分配模式","已计入")))))))))))))))))))</f>
        <v/>
      </c>
      <c r="J333" s="11">
        <f t="shared" si="99">IF(AA333="正常",IF(I333="已计入",IF(OR(OR(B333="买入",B333="定投",B333="转换转入"),B333="红利再投"),D333,IF(B333="卖出",-D333,0)),0),"")</f>
        <v>0</v>
      </c>
      <c r="K333" s="11">
        <f t="shared" si="104">IF(AA333="正常",ROUND(K332+J333,6),"")</f>
        <v>25721.6</v>
      </c>
      <c r="L333" s="11" t="str">
        <f t="shared" si="105">IF(I333="已计入",ROUND(K332*C333,2),"")</f>
        <v/>
      </c>
      <c r="M333" s="11" t="str">
        <f t="shared" si="106">IF(I333="已计入",IF(B333="卖出",MAX(0,L333-Q332-F333),IF(B333="现金分红",MAX(0,L333+E333-Q332),0)),"")</f>
        <v/>
      </c>
      <c r="N333" s="11" t="str">
        <f>IF(I333="已计入",IF(AND(B333="卖出",'持仓总览'!$C$7="本金优先"),MAX(0,E333-Q332),IF(OR(B333="卖出",B333="现金分红"),MIN(E333,M333),0)),"")</f>
        <v/>
      </c>
      <c r="O333" s="11" t="str">
        <f t="shared" si="107">IF(I333="已计入",IF(OR(B333="卖出",B333="现金分红"),MIN(Q332,MAX(0,E333-N333)),0),"")</f>
        <v/>
      </c>
      <c r="P333" s="11" t="str">
        <f t="shared" si="108">IF(I333="已计入",IF(AND(B333="卖出",K333=0),MAX(0,Q332-O333),0),"")</f>
        <v/>
      </c>
      <c r="Q333" s="11">
        <f t="shared" si="109">IF(AA333="正常",IF(I333="已计入",ROUND(Q332+IF(OR(B333="买入",B333="定投",B333="转换转入"),E333,0)-O333-P333,2),Q332),"")</f>
        <v>129570</v>
      </c>
      <c r="R333" s="11" t="str">
        <f t="shared" si="100">IF(I333="已计入",ROUND(K333*C333,2),"")</f>
        <v/>
      </c>
      <c r="S333" s="11" t="str">
        <f t="shared" si="101">IF(I333="已计入",ROUND(R333-Q333,2),"")</f>
        <v/>
      </c>
      <c r="T333" s="12" t="str">
        <f t="shared" si="102">IF(I333="已计入",IF(Q333=0,"",S333/Q333),"")</f>
        <v/>
      </c>
      <c r="U333" s="11">
        <f t="shared" si="110">IF(AA333="正常",U332+IF(AND(I333="已计入",OR(B333="买入",B333="定投",B333="转换转入")),E333,0),"")</f>
        <v>129570</v>
      </c>
      <c r="V333" s="11">
        <f t="shared" si="111">IF(AA333="正常",V332+IF(AND(I333="已计入",OR(B333="卖出",B333="现金分红")),E333,0),"")</f>
        <v>0</v>
      </c>
      <c r="W333" s="11">
        <f t="shared" si="112">IF(AA333="正常",W332+IF(I333="已计入",N333,0),"")</f>
        <v>0</v>
      </c>
      <c r="X333" s="11">
        <f t="shared" si="113">IF(AA333="正常",X332+IF(I333="已计入",P333,0),"")</f>
        <v>0</v>
      </c>
      <c r="Y333" s="11" t="str">
        <f t="shared" si="103">IF(I333="已计入",ROUND(R333+V333-U333,2),"")</f>
        <v/>
      </c>
      <c r="Z333" s="13">
        <f t="shared" si="114">IF(AA333="正常",IF(I333="已计入",A333,Z332),"")</f>
        <v>46239</v>
      </c>
      <c r="AA333" s="10" t="str">
        <f>IF(OR($AA$134="错误",COUNTIF($G$135:G333,"待修正")&gt;0),"错误","正常")</f>
        <v>正常</v>
      </c>
      <c r="AB333" s="14">
        <f t="shared" si="115">IF(AA333="正常",IF(I333="已计入",C333,AB332),"")</f>
        <v>6.347</v>
      </c>
    </row>
    <row r="334" ht="23" customHeight="1">
      <c r="A334" s="36"/>
      <c r="B334" s="37"/>
      <c r="C334" s="38"/>
      <c r="D334" s="39"/>
      <c r="E334" s="44" t="str">
        <f t="shared" si="96">IF(AND(ISNUMBER(C334),ISNUMBER(D334),ISNUMBER(F334)),IF(OR(B334="买入",B334="定投"),ROUND(C334*D334+F334,2),IF(B334="卖出",ROUND(C334*D334-F334,2),IF(B334="红利再投",0,""))),"")</f>
        <v/>
      </c>
      <c r="F334" s="39"/>
      <c r="G334" s="45" t="str">
        <f t="shared" si="97">IF(COUNTA(A334:D334,F334)=0,"",IF(I334="已计入","已录入","待修正"))</f>
        <v/>
      </c>
      <c r="H334" s="46" t="str">
        <f t="shared" si="98">IF(COUNTA(A334:D334,F334)=0,"",IF(B334="红利再投","仅增加份额，不增加现金投入","金额由份额、净值和手续费推算"))</f>
        <v/>
      </c>
      <c r="I334" s="10" t="str">
        <f>IF(COUNTA(A334:D334,F334)=0,"",IF(NOT(ISNUMBER(A334)),"缺少有效净值日期",IF(OR(A334&lt;=0,A334&lt;&gt;INT(A334)),"净值日期无效",IF(OR(B334="转换转入",B334="现金分红"),"该类型需实际金额，五项录入不适用",IF(NOT(OR(OR(B334="买入",B334="定投"),B334="卖出",B334="红利再投")),"请选择交易类型",IF(NOT(ISNUMBER(C334)),"缺少成交净值",IF(C334&lt;=0,"成交净值须大于零",IF(NOT(ISNUMBER(D334)),"缺少确认份额",IF(D334&lt;=0,"确认份额须大于零",IF(NOT(ISNUMBER(F334)),"缺少手续费，无费用请填 0",IF(F334&lt;0,"手续费不能为负",IF(AA333="错误","前行待修正",IF(A334&lt;Z333,"日期需按成交顺序递增",IF(AND(B334="红利再投",F334&lt;&gt;0),"红利再投手续费应填 0",IF(AND(B334="红利再投",K333&lt;=0),"红利再投前须有持仓",IF(AND(B334="卖出",D334&gt;K333+0.000001),"卖出份额超过持仓",IF(AND(B334="卖出",F334&gt;=C334*D334),"赎回费不能达到赎回总额",IF(NOT(ISNUMBER(E334)),"自动金额未生成，请检查五项输入",IF(NOT(OR('持仓总览'!$C$7="利润优先",'持仓总览'!$C$7="本金优先")),"请选择卖出分配模式","已计入")))))))))))))))))))</f>
        <v/>
      </c>
      <c r="J334" s="11">
        <f t="shared" si="99">IF(AA334="正常",IF(I334="已计入",IF(OR(OR(B334="买入",B334="定投",B334="转换转入"),B334="红利再投"),D334,IF(B334="卖出",-D334,0)),0),"")</f>
        <v>0</v>
      </c>
      <c r="K334" s="11">
        <f t="shared" si="104">IF(AA334="正常",ROUND(K333+J334,6),"")</f>
        <v>25721.6</v>
      </c>
      <c r="L334" s="11" t="str">
        <f t="shared" si="105">IF(I334="已计入",ROUND(K333*C334,2),"")</f>
        <v/>
      </c>
      <c r="M334" s="11" t="str">
        <f t="shared" si="106">IF(I334="已计入",IF(B334="卖出",MAX(0,L334-Q333-F334),IF(B334="现金分红",MAX(0,L334+E334-Q333),0)),"")</f>
        <v/>
      </c>
      <c r="N334" s="11" t="str">
        <f>IF(I334="已计入",IF(AND(B334="卖出",'持仓总览'!$C$7="本金优先"),MAX(0,E334-Q333),IF(OR(B334="卖出",B334="现金分红"),MIN(E334,M334),0)),"")</f>
        <v/>
      </c>
      <c r="O334" s="11" t="str">
        <f t="shared" si="107">IF(I334="已计入",IF(OR(B334="卖出",B334="现金分红"),MIN(Q333,MAX(0,E334-N334)),0),"")</f>
        <v/>
      </c>
      <c r="P334" s="11" t="str">
        <f t="shared" si="108">IF(I334="已计入",IF(AND(B334="卖出",K334=0),MAX(0,Q333-O334),0),"")</f>
        <v/>
      </c>
      <c r="Q334" s="11">
        <f t="shared" si="109">IF(AA334="正常",IF(I334="已计入",ROUND(Q333+IF(OR(B334="买入",B334="定投",B334="转换转入"),E334,0)-O334-P334,2),Q333),"")</f>
        <v>129570</v>
      </c>
      <c r="R334" s="11" t="str">
        <f t="shared" si="100">IF(I334="已计入",ROUND(K334*C334,2),"")</f>
        <v/>
      </c>
      <c r="S334" s="11" t="str">
        <f t="shared" si="101">IF(I334="已计入",ROUND(R334-Q334,2),"")</f>
        <v/>
      </c>
      <c r="T334" s="12" t="str">
        <f t="shared" si="102">IF(I334="已计入",IF(Q334=0,"",S334/Q334),"")</f>
        <v/>
      </c>
      <c r="U334" s="11">
        <f t="shared" si="110">IF(AA334="正常",U333+IF(AND(I334="已计入",OR(B334="买入",B334="定投",B334="转换转入")),E334,0),"")</f>
        <v>129570</v>
      </c>
      <c r="V334" s="11">
        <f t="shared" si="111">IF(AA334="正常",V333+IF(AND(I334="已计入",OR(B334="卖出",B334="现金分红")),E334,0),"")</f>
        <v>0</v>
      </c>
      <c r="W334" s="11">
        <f t="shared" si="112">IF(AA334="正常",W333+IF(I334="已计入",N334,0),"")</f>
        <v>0</v>
      </c>
      <c r="X334" s="11">
        <f t="shared" si="113">IF(AA334="正常",X333+IF(I334="已计入",P334,0),"")</f>
        <v>0</v>
      </c>
      <c r="Y334" s="11" t="str">
        <f t="shared" si="103">IF(I334="已计入",ROUND(R334+V334-U334,2),"")</f>
        <v/>
      </c>
      <c r="Z334" s="13">
        <f t="shared" si="114">IF(AA334="正常",IF(I334="已计入",A334,Z333),"")</f>
        <v>46239</v>
      </c>
      <c r="AA334" s="10" t="str">
        <f>IF(OR($AA$134="错误",COUNTIF($G$135:G334,"待修正")&gt;0),"错误","正常")</f>
        <v>正常</v>
      </c>
      <c r="AB334" s="14">
        <f t="shared" si="115">IF(AA334="正常",IF(I334="已计入",C334,AB333),"")</f>
        <v>6.347</v>
      </c>
    </row>
    <row r="335" ht="23" customHeight="1">
      <c r="A335" s="36"/>
      <c r="B335" s="37"/>
      <c r="C335" s="38"/>
      <c r="D335" s="39"/>
      <c r="E335" s="44" t="str">
        <f t="shared" si="96">IF(AND(ISNUMBER(C335),ISNUMBER(D335),ISNUMBER(F335)),IF(OR(B335="买入",B335="定投"),ROUND(C335*D335+F335,2),IF(B335="卖出",ROUND(C335*D335-F335,2),IF(B335="红利再投",0,""))),"")</f>
        <v/>
      </c>
      <c r="F335" s="39"/>
      <c r="G335" s="45" t="str">
        <f t="shared" si="97">IF(COUNTA(A335:D335,F335)=0,"",IF(I335="已计入","已录入","待修正"))</f>
        <v/>
      </c>
      <c r="H335" s="46" t="str">
        <f t="shared" si="98">IF(COUNTA(A335:D335,F335)=0,"",IF(B335="红利再投","仅增加份额，不增加现金投入","金额由份额、净值和手续费推算"))</f>
        <v/>
      </c>
      <c r="I335" s="10" t="str">
        <f>IF(COUNTA(A335:D335,F335)=0,"",IF(NOT(ISNUMBER(A335)),"缺少有效净值日期",IF(OR(A335&lt;=0,A335&lt;&gt;INT(A335)),"净值日期无效",IF(OR(B335="转换转入",B335="现金分红"),"该类型需实际金额，五项录入不适用",IF(NOT(OR(OR(B335="买入",B335="定投"),B335="卖出",B335="红利再投")),"请选择交易类型",IF(NOT(ISNUMBER(C335)),"缺少成交净值",IF(C335&lt;=0,"成交净值须大于零",IF(NOT(ISNUMBER(D335)),"缺少确认份额",IF(D335&lt;=0,"确认份额须大于零",IF(NOT(ISNUMBER(F335)),"缺少手续费，无费用请填 0",IF(F335&lt;0,"手续费不能为负",IF(AA334="错误","前行待修正",IF(A335&lt;Z334,"日期需按成交顺序递增",IF(AND(B335="红利再投",F335&lt;&gt;0),"红利再投手续费应填 0",IF(AND(B335="红利再投",K334&lt;=0),"红利再投前须有持仓",IF(AND(B335="卖出",D335&gt;K334+0.000001),"卖出份额超过持仓",IF(AND(B335="卖出",F335&gt;=C335*D335),"赎回费不能达到赎回总额",IF(NOT(ISNUMBER(E335)),"自动金额未生成，请检查五项输入",IF(NOT(OR('持仓总览'!$C$7="利润优先",'持仓总览'!$C$7="本金优先")),"请选择卖出分配模式","已计入")))))))))))))))))))</f>
        <v/>
      </c>
      <c r="J335" s="11">
        <f t="shared" si="99">IF(AA335="正常",IF(I335="已计入",IF(OR(OR(B335="买入",B335="定投",B335="转换转入"),B335="红利再投"),D335,IF(B335="卖出",-D335,0)),0),"")</f>
        <v>0</v>
      </c>
      <c r="K335" s="11">
        <f t="shared" si="104">IF(AA335="正常",ROUND(K334+J335,6),"")</f>
        <v>25721.6</v>
      </c>
      <c r="L335" s="11" t="str">
        <f t="shared" si="105">IF(I335="已计入",ROUND(K334*C335,2),"")</f>
        <v/>
      </c>
      <c r="M335" s="11" t="str">
        <f t="shared" si="106">IF(I335="已计入",IF(B335="卖出",MAX(0,L335-Q334-F335),IF(B335="现金分红",MAX(0,L335+E335-Q334),0)),"")</f>
        <v/>
      </c>
      <c r="N335" s="11" t="str">
        <f>IF(I335="已计入",IF(AND(B335="卖出",'持仓总览'!$C$7="本金优先"),MAX(0,E335-Q334),IF(OR(B335="卖出",B335="现金分红"),MIN(E335,M335),0)),"")</f>
        <v/>
      </c>
      <c r="O335" s="11" t="str">
        <f t="shared" si="107">IF(I335="已计入",IF(OR(B335="卖出",B335="现金分红"),MIN(Q334,MAX(0,E335-N335)),0),"")</f>
        <v/>
      </c>
      <c r="P335" s="11" t="str">
        <f t="shared" si="108">IF(I335="已计入",IF(AND(B335="卖出",K335=0),MAX(0,Q334-O335),0),"")</f>
        <v/>
      </c>
      <c r="Q335" s="11">
        <f t="shared" si="109">IF(AA335="正常",IF(I335="已计入",ROUND(Q334+IF(OR(B335="买入",B335="定投",B335="转换转入"),E335,0)-O335-P335,2),Q334),"")</f>
        <v>129570</v>
      </c>
      <c r="R335" s="11" t="str">
        <f t="shared" si="100">IF(I335="已计入",ROUND(K335*C335,2),"")</f>
        <v/>
      </c>
      <c r="S335" s="11" t="str">
        <f t="shared" si="101">IF(I335="已计入",ROUND(R335-Q335,2),"")</f>
        <v/>
      </c>
      <c r="T335" s="12" t="str">
        <f t="shared" si="102">IF(I335="已计入",IF(Q335=0,"",S335/Q335),"")</f>
        <v/>
      </c>
      <c r="U335" s="11">
        <f t="shared" si="110">IF(AA335="正常",U334+IF(AND(I335="已计入",OR(B335="买入",B335="定投",B335="转换转入")),E335,0),"")</f>
        <v>129570</v>
      </c>
      <c r="V335" s="11">
        <f t="shared" si="111">IF(AA335="正常",V334+IF(AND(I335="已计入",OR(B335="卖出",B335="现金分红")),E335,0),"")</f>
        <v>0</v>
      </c>
      <c r="W335" s="11">
        <f t="shared" si="112">IF(AA335="正常",W334+IF(I335="已计入",N335,0),"")</f>
        <v>0</v>
      </c>
      <c r="X335" s="11">
        <f t="shared" si="113">IF(AA335="正常",X334+IF(I335="已计入",P335,0),"")</f>
        <v>0</v>
      </c>
      <c r="Y335" s="11" t="str">
        <f t="shared" si="103">IF(I335="已计入",ROUND(R335+V335-U335,2),"")</f>
        <v/>
      </c>
      <c r="Z335" s="13">
        <f t="shared" si="114">IF(AA335="正常",IF(I335="已计入",A335,Z334),"")</f>
        <v>46239</v>
      </c>
      <c r="AA335" s="10" t="str">
        <f>IF(OR($AA$134="错误",COUNTIF($G$135:G335,"待修正")&gt;0),"错误","正常")</f>
        <v>正常</v>
      </c>
      <c r="AB335" s="14">
        <f t="shared" si="115">IF(AA335="正常",IF(I335="已计入",C335,AB334),"")</f>
        <v>6.347</v>
      </c>
    </row>
    <row r="336" ht="23" customHeight="1">
      <c r="A336" s="36"/>
      <c r="B336" s="37"/>
      <c r="C336" s="38"/>
      <c r="D336" s="39"/>
      <c r="E336" s="44" t="str">
        <f t="shared" si="96">IF(AND(ISNUMBER(C336),ISNUMBER(D336),ISNUMBER(F336)),IF(OR(B336="买入",B336="定投"),ROUND(C336*D336+F336,2),IF(B336="卖出",ROUND(C336*D336-F336,2),IF(B336="红利再投",0,""))),"")</f>
        <v/>
      </c>
      <c r="F336" s="39"/>
      <c r="G336" s="45" t="str">
        <f t="shared" si="97">IF(COUNTA(A336:D336,F336)=0,"",IF(I336="已计入","已录入","待修正"))</f>
        <v/>
      </c>
      <c r="H336" s="46" t="str">
        <f t="shared" si="98">IF(COUNTA(A336:D336,F336)=0,"",IF(B336="红利再投","仅增加份额，不增加现金投入","金额由份额、净值和手续费推算"))</f>
        <v/>
      </c>
      <c r="I336" s="10" t="str">
        <f>IF(COUNTA(A336:D336,F336)=0,"",IF(NOT(ISNUMBER(A336)),"缺少有效净值日期",IF(OR(A336&lt;=0,A336&lt;&gt;INT(A336)),"净值日期无效",IF(OR(B336="转换转入",B336="现金分红"),"该类型需实际金额，五项录入不适用",IF(NOT(OR(OR(B336="买入",B336="定投"),B336="卖出",B336="红利再投")),"请选择交易类型",IF(NOT(ISNUMBER(C336)),"缺少成交净值",IF(C336&lt;=0,"成交净值须大于零",IF(NOT(ISNUMBER(D336)),"缺少确认份额",IF(D336&lt;=0,"确认份额须大于零",IF(NOT(ISNUMBER(F336)),"缺少手续费，无费用请填 0",IF(F336&lt;0,"手续费不能为负",IF(AA335="错误","前行待修正",IF(A336&lt;Z335,"日期需按成交顺序递增",IF(AND(B336="红利再投",F336&lt;&gt;0),"红利再投手续费应填 0",IF(AND(B336="红利再投",K335&lt;=0),"红利再投前须有持仓",IF(AND(B336="卖出",D336&gt;K335+0.000001),"卖出份额超过持仓",IF(AND(B336="卖出",F336&gt;=C336*D336),"赎回费不能达到赎回总额",IF(NOT(ISNUMBER(E336)),"自动金额未生成，请检查五项输入",IF(NOT(OR('持仓总览'!$C$7="利润优先",'持仓总览'!$C$7="本金优先")),"请选择卖出分配模式","已计入")))))))))))))))))))</f>
        <v/>
      </c>
      <c r="J336" s="11">
        <f t="shared" si="99">IF(AA336="正常",IF(I336="已计入",IF(OR(OR(B336="买入",B336="定投",B336="转换转入"),B336="红利再投"),D336,IF(B336="卖出",-D336,0)),0),"")</f>
        <v>0</v>
      </c>
      <c r="K336" s="11">
        <f t="shared" si="104">IF(AA336="正常",ROUND(K335+J336,6),"")</f>
        <v>25721.6</v>
      </c>
      <c r="L336" s="11" t="str">
        <f t="shared" si="105">IF(I336="已计入",ROUND(K335*C336,2),"")</f>
        <v/>
      </c>
      <c r="M336" s="11" t="str">
        <f t="shared" si="106">IF(I336="已计入",IF(B336="卖出",MAX(0,L336-Q335-F336),IF(B336="现金分红",MAX(0,L336+E336-Q335),0)),"")</f>
        <v/>
      </c>
      <c r="N336" s="11" t="str">
        <f>IF(I336="已计入",IF(AND(B336="卖出",'持仓总览'!$C$7="本金优先"),MAX(0,E336-Q335),IF(OR(B336="卖出",B336="现金分红"),MIN(E336,M336),0)),"")</f>
        <v/>
      </c>
      <c r="O336" s="11" t="str">
        <f t="shared" si="107">IF(I336="已计入",IF(OR(B336="卖出",B336="现金分红"),MIN(Q335,MAX(0,E336-N336)),0),"")</f>
        <v/>
      </c>
      <c r="P336" s="11" t="str">
        <f t="shared" si="108">IF(I336="已计入",IF(AND(B336="卖出",K336=0),MAX(0,Q335-O336),0),"")</f>
        <v/>
      </c>
      <c r="Q336" s="11">
        <f t="shared" si="109">IF(AA336="正常",IF(I336="已计入",ROUND(Q335+IF(OR(B336="买入",B336="定投",B336="转换转入"),E336,0)-O336-P336,2),Q335),"")</f>
        <v>129570</v>
      </c>
      <c r="R336" s="11" t="str">
        <f t="shared" si="100">IF(I336="已计入",ROUND(K336*C336,2),"")</f>
        <v/>
      </c>
      <c r="S336" s="11" t="str">
        <f t="shared" si="101">IF(I336="已计入",ROUND(R336-Q336,2),"")</f>
        <v/>
      </c>
      <c r="T336" s="12" t="str">
        <f t="shared" si="102">IF(I336="已计入",IF(Q336=0,"",S336/Q336),"")</f>
        <v/>
      </c>
      <c r="U336" s="11">
        <f t="shared" si="110">IF(AA336="正常",U335+IF(AND(I336="已计入",OR(B336="买入",B336="定投",B336="转换转入")),E336,0),"")</f>
        <v>129570</v>
      </c>
      <c r="V336" s="11">
        <f t="shared" si="111">IF(AA336="正常",V335+IF(AND(I336="已计入",OR(B336="卖出",B336="现金分红")),E336,0),"")</f>
        <v>0</v>
      </c>
      <c r="W336" s="11">
        <f t="shared" si="112">IF(AA336="正常",W335+IF(I336="已计入",N336,0),"")</f>
        <v>0</v>
      </c>
      <c r="X336" s="11">
        <f t="shared" si="113">IF(AA336="正常",X335+IF(I336="已计入",P336,0),"")</f>
        <v>0</v>
      </c>
      <c r="Y336" s="11" t="str">
        <f t="shared" si="103">IF(I336="已计入",ROUND(R336+V336-U336,2),"")</f>
        <v/>
      </c>
      <c r="Z336" s="13">
        <f t="shared" si="114">IF(AA336="正常",IF(I336="已计入",A336,Z335),"")</f>
        <v>46239</v>
      </c>
      <c r="AA336" s="10" t="str">
        <f>IF(OR($AA$134="错误",COUNTIF($G$135:G336,"待修正")&gt;0),"错误","正常")</f>
        <v>正常</v>
      </c>
      <c r="AB336" s="14">
        <f t="shared" si="115">IF(AA336="正常",IF(I336="已计入",C336,AB335),"")</f>
        <v>6.347</v>
      </c>
    </row>
    <row r="337" ht="23" customHeight="1">
      <c r="A337" s="36"/>
      <c r="B337" s="37"/>
      <c r="C337" s="38"/>
      <c r="D337" s="39"/>
      <c r="E337" s="44" t="str">
        <f t="shared" si="96">IF(AND(ISNUMBER(C337),ISNUMBER(D337),ISNUMBER(F337)),IF(OR(B337="买入",B337="定投"),ROUND(C337*D337+F337,2),IF(B337="卖出",ROUND(C337*D337-F337,2),IF(B337="红利再投",0,""))),"")</f>
        <v/>
      </c>
      <c r="F337" s="39"/>
      <c r="G337" s="45" t="str">
        <f t="shared" si="97">IF(COUNTA(A337:D337,F337)=0,"",IF(I337="已计入","已录入","待修正"))</f>
        <v/>
      </c>
      <c r="H337" s="46" t="str">
        <f t="shared" si="98">IF(COUNTA(A337:D337,F337)=0,"",IF(B337="红利再投","仅增加份额，不增加现金投入","金额由份额、净值和手续费推算"))</f>
        <v/>
      </c>
      <c r="I337" s="10" t="str">
        <f>IF(COUNTA(A337:D337,F337)=0,"",IF(NOT(ISNUMBER(A337)),"缺少有效净值日期",IF(OR(A337&lt;=0,A337&lt;&gt;INT(A337)),"净值日期无效",IF(OR(B337="转换转入",B337="现金分红"),"该类型需实际金额，五项录入不适用",IF(NOT(OR(OR(B337="买入",B337="定投"),B337="卖出",B337="红利再投")),"请选择交易类型",IF(NOT(ISNUMBER(C337)),"缺少成交净值",IF(C337&lt;=0,"成交净值须大于零",IF(NOT(ISNUMBER(D337)),"缺少确认份额",IF(D337&lt;=0,"确认份额须大于零",IF(NOT(ISNUMBER(F337)),"缺少手续费，无费用请填 0",IF(F337&lt;0,"手续费不能为负",IF(AA336="错误","前行待修正",IF(A337&lt;Z336,"日期需按成交顺序递增",IF(AND(B337="红利再投",F337&lt;&gt;0),"红利再投手续费应填 0",IF(AND(B337="红利再投",K336&lt;=0),"红利再投前须有持仓",IF(AND(B337="卖出",D337&gt;K336+0.000001),"卖出份额超过持仓",IF(AND(B337="卖出",F337&gt;=C337*D337),"赎回费不能达到赎回总额",IF(NOT(ISNUMBER(E337)),"自动金额未生成，请检查五项输入",IF(NOT(OR('持仓总览'!$C$7="利润优先",'持仓总览'!$C$7="本金优先")),"请选择卖出分配模式","已计入")))))))))))))))))))</f>
        <v/>
      </c>
      <c r="J337" s="11">
        <f t="shared" si="99">IF(AA337="正常",IF(I337="已计入",IF(OR(OR(B337="买入",B337="定投",B337="转换转入"),B337="红利再投"),D337,IF(B337="卖出",-D337,0)),0),"")</f>
        <v>0</v>
      </c>
      <c r="K337" s="11">
        <f t="shared" si="104">IF(AA337="正常",ROUND(K336+J337,6),"")</f>
        <v>25721.6</v>
      </c>
      <c r="L337" s="11" t="str">
        <f t="shared" si="105">IF(I337="已计入",ROUND(K336*C337,2),"")</f>
        <v/>
      </c>
      <c r="M337" s="11" t="str">
        <f t="shared" si="106">IF(I337="已计入",IF(B337="卖出",MAX(0,L337-Q336-F337),IF(B337="现金分红",MAX(0,L337+E337-Q336),0)),"")</f>
        <v/>
      </c>
      <c r="N337" s="11" t="str">
        <f>IF(I337="已计入",IF(AND(B337="卖出",'持仓总览'!$C$7="本金优先"),MAX(0,E337-Q336),IF(OR(B337="卖出",B337="现金分红"),MIN(E337,M337),0)),"")</f>
        <v/>
      </c>
      <c r="O337" s="11" t="str">
        <f t="shared" si="107">IF(I337="已计入",IF(OR(B337="卖出",B337="现金分红"),MIN(Q336,MAX(0,E337-N337)),0),"")</f>
        <v/>
      </c>
      <c r="P337" s="11" t="str">
        <f t="shared" si="108">IF(I337="已计入",IF(AND(B337="卖出",K337=0),MAX(0,Q336-O337),0),"")</f>
        <v/>
      </c>
      <c r="Q337" s="11">
        <f t="shared" si="109">IF(AA337="正常",IF(I337="已计入",ROUND(Q336+IF(OR(B337="买入",B337="定投",B337="转换转入"),E337,0)-O337-P337,2),Q336),"")</f>
        <v>129570</v>
      </c>
      <c r="R337" s="11" t="str">
        <f t="shared" si="100">IF(I337="已计入",ROUND(K337*C337,2),"")</f>
        <v/>
      </c>
      <c r="S337" s="11" t="str">
        <f t="shared" si="101">IF(I337="已计入",ROUND(R337-Q337,2),"")</f>
        <v/>
      </c>
      <c r="T337" s="12" t="str">
        <f t="shared" si="102">IF(I337="已计入",IF(Q337=0,"",S337/Q337),"")</f>
        <v/>
      </c>
      <c r="U337" s="11">
        <f t="shared" si="110">IF(AA337="正常",U336+IF(AND(I337="已计入",OR(B337="买入",B337="定投",B337="转换转入")),E337,0),"")</f>
        <v>129570</v>
      </c>
      <c r="V337" s="11">
        <f t="shared" si="111">IF(AA337="正常",V336+IF(AND(I337="已计入",OR(B337="卖出",B337="现金分红")),E337,0),"")</f>
        <v>0</v>
      </c>
      <c r="W337" s="11">
        <f t="shared" si="112">IF(AA337="正常",W336+IF(I337="已计入",N337,0),"")</f>
        <v>0</v>
      </c>
      <c r="X337" s="11">
        <f t="shared" si="113">IF(AA337="正常",X336+IF(I337="已计入",P337,0),"")</f>
        <v>0</v>
      </c>
      <c r="Y337" s="11" t="str">
        <f t="shared" si="103">IF(I337="已计入",ROUND(R337+V337-U337,2),"")</f>
        <v/>
      </c>
      <c r="Z337" s="13">
        <f t="shared" si="114">IF(AA337="正常",IF(I337="已计入",A337,Z336),"")</f>
        <v>46239</v>
      </c>
      <c r="AA337" s="10" t="str">
        <f>IF(OR($AA$134="错误",COUNTIF($G$135:G337,"待修正")&gt;0),"错误","正常")</f>
        <v>正常</v>
      </c>
      <c r="AB337" s="14">
        <f t="shared" si="115">IF(AA337="正常",IF(I337="已计入",C337,AB336),"")</f>
        <v>6.347</v>
      </c>
    </row>
    <row r="338" ht="23" customHeight="1">
      <c r="A338" s="36"/>
      <c r="B338" s="37"/>
      <c r="C338" s="38"/>
      <c r="D338" s="39"/>
      <c r="E338" s="44" t="str">
        <f t="shared" si="96">IF(AND(ISNUMBER(C338),ISNUMBER(D338),ISNUMBER(F338)),IF(OR(B338="买入",B338="定投"),ROUND(C338*D338+F338,2),IF(B338="卖出",ROUND(C338*D338-F338,2),IF(B338="红利再投",0,""))),"")</f>
        <v/>
      </c>
      <c r="F338" s="39"/>
      <c r="G338" s="45" t="str">
        <f t="shared" si="97">IF(COUNTA(A338:D338,F338)=0,"",IF(I338="已计入","已录入","待修正"))</f>
        <v/>
      </c>
      <c r="H338" s="46" t="str">
        <f t="shared" si="98">IF(COUNTA(A338:D338,F338)=0,"",IF(B338="红利再投","仅增加份额，不增加现金投入","金额由份额、净值和手续费推算"))</f>
        <v/>
      </c>
      <c r="I338" s="10" t="str">
        <f>IF(COUNTA(A338:D338,F338)=0,"",IF(NOT(ISNUMBER(A338)),"缺少有效净值日期",IF(OR(A338&lt;=0,A338&lt;&gt;INT(A338)),"净值日期无效",IF(OR(B338="转换转入",B338="现金分红"),"该类型需实际金额，五项录入不适用",IF(NOT(OR(OR(B338="买入",B338="定投"),B338="卖出",B338="红利再投")),"请选择交易类型",IF(NOT(ISNUMBER(C338)),"缺少成交净值",IF(C338&lt;=0,"成交净值须大于零",IF(NOT(ISNUMBER(D338)),"缺少确认份额",IF(D338&lt;=0,"确认份额须大于零",IF(NOT(ISNUMBER(F338)),"缺少手续费，无费用请填 0",IF(F338&lt;0,"手续费不能为负",IF(AA337="错误","前行待修正",IF(A338&lt;Z337,"日期需按成交顺序递增",IF(AND(B338="红利再投",F338&lt;&gt;0),"红利再投手续费应填 0",IF(AND(B338="红利再投",K337&lt;=0),"红利再投前须有持仓",IF(AND(B338="卖出",D338&gt;K337+0.000001),"卖出份额超过持仓",IF(AND(B338="卖出",F338&gt;=C338*D338),"赎回费不能达到赎回总额",IF(NOT(ISNUMBER(E338)),"自动金额未生成，请检查五项输入",IF(NOT(OR('持仓总览'!$C$7="利润优先",'持仓总览'!$C$7="本金优先")),"请选择卖出分配模式","已计入")))))))))))))))))))</f>
        <v/>
      </c>
      <c r="J338" s="11">
        <f t="shared" si="99">IF(AA338="正常",IF(I338="已计入",IF(OR(OR(B338="买入",B338="定投",B338="转换转入"),B338="红利再投"),D338,IF(B338="卖出",-D338,0)),0),"")</f>
        <v>0</v>
      </c>
      <c r="K338" s="11">
        <f t="shared" si="104">IF(AA338="正常",ROUND(K337+J338,6),"")</f>
        <v>25721.6</v>
      </c>
      <c r="L338" s="11" t="str">
        <f t="shared" si="105">IF(I338="已计入",ROUND(K337*C338,2),"")</f>
        <v/>
      </c>
      <c r="M338" s="11" t="str">
        <f t="shared" si="106">IF(I338="已计入",IF(B338="卖出",MAX(0,L338-Q337-F338),IF(B338="现金分红",MAX(0,L338+E338-Q337),0)),"")</f>
        <v/>
      </c>
      <c r="N338" s="11" t="str">
        <f>IF(I338="已计入",IF(AND(B338="卖出",'持仓总览'!$C$7="本金优先"),MAX(0,E338-Q337),IF(OR(B338="卖出",B338="现金分红"),MIN(E338,M338),0)),"")</f>
        <v/>
      </c>
      <c r="O338" s="11" t="str">
        <f t="shared" si="107">IF(I338="已计入",IF(OR(B338="卖出",B338="现金分红"),MIN(Q337,MAX(0,E338-N338)),0),"")</f>
        <v/>
      </c>
      <c r="P338" s="11" t="str">
        <f t="shared" si="108">IF(I338="已计入",IF(AND(B338="卖出",K338=0),MAX(0,Q337-O338),0),"")</f>
        <v/>
      </c>
      <c r="Q338" s="11">
        <f t="shared" si="109">IF(AA338="正常",IF(I338="已计入",ROUND(Q337+IF(OR(B338="买入",B338="定投",B338="转换转入"),E338,0)-O338-P338,2),Q337),"")</f>
        <v>129570</v>
      </c>
      <c r="R338" s="11" t="str">
        <f t="shared" si="100">IF(I338="已计入",ROUND(K338*C338,2),"")</f>
        <v/>
      </c>
      <c r="S338" s="11" t="str">
        <f t="shared" si="101">IF(I338="已计入",ROUND(R338-Q338,2),"")</f>
        <v/>
      </c>
      <c r="T338" s="12" t="str">
        <f t="shared" si="102">IF(I338="已计入",IF(Q338=0,"",S338/Q338),"")</f>
        <v/>
      </c>
      <c r="U338" s="11">
        <f t="shared" si="110">IF(AA338="正常",U337+IF(AND(I338="已计入",OR(B338="买入",B338="定投",B338="转换转入")),E338,0),"")</f>
        <v>129570</v>
      </c>
      <c r="V338" s="11">
        <f t="shared" si="111">IF(AA338="正常",V337+IF(AND(I338="已计入",OR(B338="卖出",B338="现金分红")),E338,0),"")</f>
        <v>0</v>
      </c>
      <c r="W338" s="11">
        <f t="shared" si="112">IF(AA338="正常",W337+IF(I338="已计入",N338,0),"")</f>
        <v>0</v>
      </c>
      <c r="X338" s="11">
        <f t="shared" si="113">IF(AA338="正常",X337+IF(I338="已计入",P338,0),"")</f>
        <v>0</v>
      </c>
      <c r="Y338" s="11" t="str">
        <f t="shared" si="103">IF(I338="已计入",ROUND(R338+V338-U338,2),"")</f>
        <v/>
      </c>
      <c r="Z338" s="13">
        <f t="shared" si="114">IF(AA338="正常",IF(I338="已计入",A338,Z337),"")</f>
        <v>46239</v>
      </c>
      <c r="AA338" s="10" t="str">
        <f>IF(OR($AA$134="错误",COUNTIF($G$135:G338,"待修正")&gt;0),"错误","正常")</f>
        <v>正常</v>
      </c>
      <c r="AB338" s="14">
        <f t="shared" si="115">IF(AA338="正常",IF(I338="已计入",C338,AB337),"")</f>
        <v>6.347</v>
      </c>
    </row>
    <row r="339" ht="23" customHeight="1">
      <c r="A339" s="36"/>
      <c r="B339" s="37"/>
      <c r="C339" s="38"/>
      <c r="D339" s="39"/>
      <c r="E339" s="44" t="str">
        <f t="shared" si="96">IF(AND(ISNUMBER(C339),ISNUMBER(D339),ISNUMBER(F339)),IF(OR(B339="买入",B339="定投"),ROUND(C339*D339+F339,2),IF(B339="卖出",ROUND(C339*D339-F339,2),IF(B339="红利再投",0,""))),"")</f>
        <v/>
      </c>
      <c r="F339" s="39"/>
      <c r="G339" s="45" t="str">
        <f t="shared" si="97">IF(COUNTA(A339:D339,F339)=0,"",IF(I339="已计入","已录入","待修正"))</f>
        <v/>
      </c>
      <c r="H339" s="46" t="str">
        <f t="shared" si="98">IF(COUNTA(A339:D339,F339)=0,"",IF(B339="红利再投","仅增加份额，不增加现金投入","金额由份额、净值和手续费推算"))</f>
        <v/>
      </c>
      <c r="I339" s="10" t="str">
        <f>IF(COUNTA(A339:D339,F339)=0,"",IF(NOT(ISNUMBER(A339)),"缺少有效净值日期",IF(OR(A339&lt;=0,A339&lt;&gt;INT(A339)),"净值日期无效",IF(OR(B339="转换转入",B339="现金分红"),"该类型需实际金额，五项录入不适用",IF(NOT(OR(OR(B339="买入",B339="定投"),B339="卖出",B339="红利再投")),"请选择交易类型",IF(NOT(ISNUMBER(C339)),"缺少成交净值",IF(C339&lt;=0,"成交净值须大于零",IF(NOT(ISNUMBER(D339)),"缺少确认份额",IF(D339&lt;=0,"确认份额须大于零",IF(NOT(ISNUMBER(F339)),"缺少手续费，无费用请填 0",IF(F339&lt;0,"手续费不能为负",IF(AA338="错误","前行待修正",IF(A339&lt;Z338,"日期需按成交顺序递增",IF(AND(B339="红利再投",F339&lt;&gt;0),"红利再投手续费应填 0",IF(AND(B339="红利再投",K338&lt;=0),"红利再投前须有持仓",IF(AND(B339="卖出",D339&gt;K338+0.000001),"卖出份额超过持仓",IF(AND(B339="卖出",F339&gt;=C339*D339),"赎回费不能达到赎回总额",IF(NOT(ISNUMBER(E339)),"自动金额未生成，请检查五项输入",IF(NOT(OR('持仓总览'!$C$7="利润优先",'持仓总览'!$C$7="本金优先")),"请选择卖出分配模式","已计入")))))))))))))))))))</f>
        <v/>
      </c>
      <c r="J339" s="11">
        <f t="shared" si="99">IF(AA339="正常",IF(I339="已计入",IF(OR(OR(B339="买入",B339="定投",B339="转换转入"),B339="红利再投"),D339,IF(B339="卖出",-D339,0)),0),"")</f>
        <v>0</v>
      </c>
      <c r="K339" s="11">
        <f t="shared" si="104">IF(AA339="正常",ROUND(K338+J339,6),"")</f>
        <v>25721.6</v>
      </c>
      <c r="L339" s="11" t="str">
        <f t="shared" si="105">IF(I339="已计入",ROUND(K338*C339,2),"")</f>
        <v/>
      </c>
      <c r="M339" s="11" t="str">
        <f t="shared" si="106">IF(I339="已计入",IF(B339="卖出",MAX(0,L339-Q338-F339),IF(B339="现金分红",MAX(0,L339+E339-Q338),0)),"")</f>
        <v/>
      </c>
      <c r="N339" s="11" t="str">
        <f>IF(I339="已计入",IF(AND(B339="卖出",'持仓总览'!$C$7="本金优先"),MAX(0,E339-Q338),IF(OR(B339="卖出",B339="现金分红"),MIN(E339,M339),0)),"")</f>
        <v/>
      </c>
      <c r="O339" s="11" t="str">
        <f t="shared" si="107">IF(I339="已计入",IF(OR(B339="卖出",B339="现金分红"),MIN(Q338,MAX(0,E339-N339)),0),"")</f>
        <v/>
      </c>
      <c r="P339" s="11" t="str">
        <f t="shared" si="108">IF(I339="已计入",IF(AND(B339="卖出",K339=0),MAX(0,Q338-O339),0),"")</f>
        <v/>
      </c>
      <c r="Q339" s="11">
        <f t="shared" si="109">IF(AA339="正常",IF(I339="已计入",ROUND(Q338+IF(OR(B339="买入",B339="定投",B339="转换转入"),E339,0)-O339-P339,2),Q338),"")</f>
        <v>129570</v>
      </c>
      <c r="R339" s="11" t="str">
        <f t="shared" si="100">IF(I339="已计入",ROUND(K339*C339,2),"")</f>
        <v/>
      </c>
      <c r="S339" s="11" t="str">
        <f t="shared" si="101">IF(I339="已计入",ROUND(R339-Q339,2),"")</f>
        <v/>
      </c>
      <c r="T339" s="12" t="str">
        <f t="shared" si="102">IF(I339="已计入",IF(Q339=0,"",S339/Q339),"")</f>
        <v/>
      </c>
      <c r="U339" s="11">
        <f t="shared" si="110">IF(AA339="正常",U338+IF(AND(I339="已计入",OR(B339="买入",B339="定投",B339="转换转入")),E339,0),"")</f>
        <v>129570</v>
      </c>
      <c r="V339" s="11">
        <f t="shared" si="111">IF(AA339="正常",V338+IF(AND(I339="已计入",OR(B339="卖出",B339="现金分红")),E339,0),"")</f>
        <v>0</v>
      </c>
      <c r="W339" s="11">
        <f t="shared" si="112">IF(AA339="正常",W338+IF(I339="已计入",N339,0),"")</f>
        <v>0</v>
      </c>
      <c r="X339" s="11">
        <f t="shared" si="113">IF(AA339="正常",X338+IF(I339="已计入",P339,0),"")</f>
        <v>0</v>
      </c>
      <c r="Y339" s="11" t="str">
        <f t="shared" si="103">IF(I339="已计入",ROUND(R339+V339-U339,2),"")</f>
        <v/>
      </c>
      <c r="Z339" s="13">
        <f t="shared" si="114">IF(AA339="正常",IF(I339="已计入",A339,Z338),"")</f>
        <v>46239</v>
      </c>
      <c r="AA339" s="10" t="str">
        <f>IF(OR($AA$134="错误",COUNTIF($G$135:G339,"待修正")&gt;0),"错误","正常")</f>
        <v>正常</v>
      </c>
      <c r="AB339" s="14">
        <f t="shared" si="115">IF(AA339="正常",IF(I339="已计入",C339,AB338),"")</f>
        <v>6.347</v>
      </c>
    </row>
    <row r="340" ht="23" customHeight="1">
      <c r="A340" s="36"/>
      <c r="B340" s="37"/>
      <c r="C340" s="38"/>
      <c r="D340" s="39"/>
      <c r="E340" s="44" t="str">
        <f t="shared" si="96">IF(AND(ISNUMBER(C340),ISNUMBER(D340),ISNUMBER(F340)),IF(OR(B340="买入",B340="定投"),ROUND(C340*D340+F340,2),IF(B340="卖出",ROUND(C340*D340-F340,2),IF(B340="红利再投",0,""))),"")</f>
        <v/>
      </c>
      <c r="F340" s="39"/>
      <c r="G340" s="45" t="str">
        <f t="shared" si="97">IF(COUNTA(A340:D340,F340)=0,"",IF(I340="已计入","已录入","待修正"))</f>
        <v/>
      </c>
      <c r="H340" s="46" t="str">
        <f t="shared" si="98">IF(COUNTA(A340:D340,F340)=0,"",IF(B340="红利再投","仅增加份额，不增加现金投入","金额由份额、净值和手续费推算"))</f>
        <v/>
      </c>
      <c r="I340" s="10" t="str">
        <f>IF(COUNTA(A340:D340,F340)=0,"",IF(NOT(ISNUMBER(A340)),"缺少有效净值日期",IF(OR(A340&lt;=0,A340&lt;&gt;INT(A340)),"净值日期无效",IF(OR(B340="转换转入",B340="现金分红"),"该类型需实际金额，五项录入不适用",IF(NOT(OR(OR(B340="买入",B340="定投"),B340="卖出",B340="红利再投")),"请选择交易类型",IF(NOT(ISNUMBER(C340)),"缺少成交净值",IF(C340&lt;=0,"成交净值须大于零",IF(NOT(ISNUMBER(D340)),"缺少确认份额",IF(D340&lt;=0,"确认份额须大于零",IF(NOT(ISNUMBER(F340)),"缺少手续费，无费用请填 0",IF(F340&lt;0,"手续费不能为负",IF(AA339="错误","前行待修正",IF(A340&lt;Z339,"日期需按成交顺序递增",IF(AND(B340="红利再投",F340&lt;&gt;0),"红利再投手续费应填 0",IF(AND(B340="红利再投",K339&lt;=0),"红利再投前须有持仓",IF(AND(B340="卖出",D340&gt;K339+0.000001),"卖出份额超过持仓",IF(AND(B340="卖出",F340&gt;=C340*D340),"赎回费不能达到赎回总额",IF(NOT(ISNUMBER(E340)),"自动金额未生成，请检查五项输入",IF(NOT(OR('持仓总览'!$C$7="利润优先",'持仓总览'!$C$7="本金优先")),"请选择卖出分配模式","已计入")))))))))))))))))))</f>
        <v/>
      </c>
      <c r="J340" s="11">
        <f t="shared" si="99">IF(AA340="正常",IF(I340="已计入",IF(OR(OR(B340="买入",B340="定投",B340="转换转入"),B340="红利再投"),D340,IF(B340="卖出",-D340,0)),0),"")</f>
        <v>0</v>
      </c>
      <c r="K340" s="11">
        <f t="shared" si="104">IF(AA340="正常",ROUND(K339+J340,6),"")</f>
        <v>25721.6</v>
      </c>
      <c r="L340" s="11" t="str">
        <f t="shared" si="105">IF(I340="已计入",ROUND(K339*C340,2),"")</f>
        <v/>
      </c>
      <c r="M340" s="11" t="str">
        <f t="shared" si="106">IF(I340="已计入",IF(B340="卖出",MAX(0,L340-Q339-F340),IF(B340="现金分红",MAX(0,L340+E340-Q339),0)),"")</f>
        <v/>
      </c>
      <c r="N340" s="11" t="str">
        <f>IF(I340="已计入",IF(AND(B340="卖出",'持仓总览'!$C$7="本金优先"),MAX(0,E340-Q339),IF(OR(B340="卖出",B340="现金分红"),MIN(E340,M340),0)),"")</f>
        <v/>
      </c>
      <c r="O340" s="11" t="str">
        <f t="shared" si="107">IF(I340="已计入",IF(OR(B340="卖出",B340="现金分红"),MIN(Q339,MAX(0,E340-N340)),0),"")</f>
        <v/>
      </c>
      <c r="P340" s="11" t="str">
        <f t="shared" si="108">IF(I340="已计入",IF(AND(B340="卖出",K340=0),MAX(0,Q339-O340),0),"")</f>
        <v/>
      </c>
      <c r="Q340" s="11">
        <f t="shared" si="109">IF(AA340="正常",IF(I340="已计入",ROUND(Q339+IF(OR(B340="买入",B340="定投",B340="转换转入"),E340,0)-O340-P340,2),Q339),"")</f>
        <v>129570</v>
      </c>
      <c r="R340" s="11" t="str">
        <f t="shared" si="100">IF(I340="已计入",ROUND(K340*C340,2),"")</f>
        <v/>
      </c>
      <c r="S340" s="11" t="str">
        <f t="shared" si="101">IF(I340="已计入",ROUND(R340-Q340,2),"")</f>
        <v/>
      </c>
      <c r="T340" s="12" t="str">
        <f t="shared" si="102">IF(I340="已计入",IF(Q340=0,"",S340/Q340),"")</f>
        <v/>
      </c>
      <c r="U340" s="11">
        <f t="shared" si="110">IF(AA340="正常",U339+IF(AND(I340="已计入",OR(B340="买入",B340="定投",B340="转换转入")),E340,0),"")</f>
        <v>129570</v>
      </c>
      <c r="V340" s="11">
        <f t="shared" si="111">IF(AA340="正常",V339+IF(AND(I340="已计入",OR(B340="卖出",B340="现金分红")),E340,0),"")</f>
        <v>0</v>
      </c>
      <c r="W340" s="11">
        <f t="shared" si="112">IF(AA340="正常",W339+IF(I340="已计入",N340,0),"")</f>
        <v>0</v>
      </c>
      <c r="X340" s="11">
        <f t="shared" si="113">IF(AA340="正常",X339+IF(I340="已计入",P340,0),"")</f>
        <v>0</v>
      </c>
      <c r="Y340" s="11" t="str">
        <f t="shared" si="103">IF(I340="已计入",ROUND(R340+V340-U340,2),"")</f>
        <v/>
      </c>
      <c r="Z340" s="13">
        <f t="shared" si="114">IF(AA340="正常",IF(I340="已计入",A340,Z339),"")</f>
        <v>46239</v>
      </c>
      <c r="AA340" s="10" t="str">
        <f>IF(OR($AA$134="错误",COUNTIF($G$135:G340,"待修正")&gt;0),"错误","正常")</f>
        <v>正常</v>
      </c>
      <c r="AB340" s="14">
        <f t="shared" si="115">IF(AA340="正常",IF(I340="已计入",C340,AB339),"")</f>
        <v>6.347</v>
      </c>
    </row>
    <row r="341" ht="23" customHeight="1">
      <c r="A341" s="36"/>
      <c r="B341" s="37"/>
      <c r="C341" s="38"/>
      <c r="D341" s="39"/>
      <c r="E341" s="44" t="str">
        <f t="shared" si="96">IF(AND(ISNUMBER(C341),ISNUMBER(D341),ISNUMBER(F341)),IF(OR(B341="买入",B341="定投"),ROUND(C341*D341+F341,2),IF(B341="卖出",ROUND(C341*D341-F341,2),IF(B341="红利再投",0,""))),"")</f>
        <v/>
      </c>
      <c r="F341" s="39"/>
      <c r="G341" s="45" t="str">
        <f t="shared" si="97">IF(COUNTA(A341:D341,F341)=0,"",IF(I341="已计入","已录入","待修正"))</f>
        <v/>
      </c>
      <c r="H341" s="46" t="str">
        <f t="shared" si="98">IF(COUNTA(A341:D341,F341)=0,"",IF(B341="红利再投","仅增加份额，不增加现金投入","金额由份额、净值和手续费推算"))</f>
        <v/>
      </c>
      <c r="I341" s="10" t="str">
        <f>IF(COUNTA(A341:D341,F341)=0,"",IF(NOT(ISNUMBER(A341)),"缺少有效净值日期",IF(OR(A341&lt;=0,A341&lt;&gt;INT(A341)),"净值日期无效",IF(OR(B341="转换转入",B341="现金分红"),"该类型需实际金额，五项录入不适用",IF(NOT(OR(OR(B341="买入",B341="定投"),B341="卖出",B341="红利再投")),"请选择交易类型",IF(NOT(ISNUMBER(C341)),"缺少成交净值",IF(C341&lt;=0,"成交净值须大于零",IF(NOT(ISNUMBER(D341)),"缺少确认份额",IF(D341&lt;=0,"确认份额须大于零",IF(NOT(ISNUMBER(F341)),"缺少手续费，无费用请填 0",IF(F341&lt;0,"手续费不能为负",IF(AA340="错误","前行待修正",IF(A341&lt;Z340,"日期需按成交顺序递增",IF(AND(B341="红利再投",F341&lt;&gt;0),"红利再投手续费应填 0",IF(AND(B341="红利再投",K340&lt;=0),"红利再投前须有持仓",IF(AND(B341="卖出",D341&gt;K340+0.000001),"卖出份额超过持仓",IF(AND(B341="卖出",F341&gt;=C341*D341),"赎回费不能达到赎回总额",IF(NOT(ISNUMBER(E341)),"自动金额未生成，请检查五项输入",IF(NOT(OR('持仓总览'!$C$7="利润优先",'持仓总览'!$C$7="本金优先")),"请选择卖出分配模式","已计入")))))))))))))))))))</f>
        <v/>
      </c>
      <c r="J341" s="11">
        <f t="shared" si="99">IF(AA341="正常",IF(I341="已计入",IF(OR(OR(B341="买入",B341="定投",B341="转换转入"),B341="红利再投"),D341,IF(B341="卖出",-D341,0)),0),"")</f>
        <v>0</v>
      </c>
      <c r="K341" s="11">
        <f t="shared" si="104">IF(AA341="正常",ROUND(K340+J341,6),"")</f>
        <v>25721.6</v>
      </c>
      <c r="L341" s="11" t="str">
        <f t="shared" si="105">IF(I341="已计入",ROUND(K340*C341,2),"")</f>
        <v/>
      </c>
      <c r="M341" s="11" t="str">
        <f t="shared" si="106">IF(I341="已计入",IF(B341="卖出",MAX(0,L341-Q340-F341),IF(B341="现金分红",MAX(0,L341+E341-Q340),0)),"")</f>
        <v/>
      </c>
      <c r="N341" s="11" t="str">
        <f>IF(I341="已计入",IF(AND(B341="卖出",'持仓总览'!$C$7="本金优先"),MAX(0,E341-Q340),IF(OR(B341="卖出",B341="现金分红"),MIN(E341,M341),0)),"")</f>
        <v/>
      </c>
      <c r="O341" s="11" t="str">
        <f t="shared" si="107">IF(I341="已计入",IF(OR(B341="卖出",B341="现金分红"),MIN(Q340,MAX(0,E341-N341)),0),"")</f>
        <v/>
      </c>
      <c r="P341" s="11" t="str">
        <f t="shared" si="108">IF(I341="已计入",IF(AND(B341="卖出",K341=0),MAX(0,Q340-O341),0),"")</f>
        <v/>
      </c>
      <c r="Q341" s="11">
        <f t="shared" si="109">IF(AA341="正常",IF(I341="已计入",ROUND(Q340+IF(OR(B341="买入",B341="定投",B341="转换转入"),E341,0)-O341-P341,2),Q340),"")</f>
        <v>129570</v>
      </c>
      <c r="R341" s="11" t="str">
        <f t="shared" si="100">IF(I341="已计入",ROUND(K341*C341,2),"")</f>
        <v/>
      </c>
      <c r="S341" s="11" t="str">
        <f t="shared" si="101">IF(I341="已计入",ROUND(R341-Q341,2),"")</f>
        <v/>
      </c>
      <c r="T341" s="12" t="str">
        <f t="shared" si="102">IF(I341="已计入",IF(Q341=0,"",S341/Q341),"")</f>
        <v/>
      </c>
      <c r="U341" s="11">
        <f t="shared" si="110">IF(AA341="正常",U340+IF(AND(I341="已计入",OR(B341="买入",B341="定投",B341="转换转入")),E341,0),"")</f>
        <v>129570</v>
      </c>
      <c r="V341" s="11">
        <f t="shared" si="111">IF(AA341="正常",V340+IF(AND(I341="已计入",OR(B341="卖出",B341="现金分红")),E341,0),"")</f>
        <v>0</v>
      </c>
      <c r="W341" s="11">
        <f t="shared" si="112">IF(AA341="正常",W340+IF(I341="已计入",N341,0),"")</f>
        <v>0</v>
      </c>
      <c r="X341" s="11">
        <f t="shared" si="113">IF(AA341="正常",X340+IF(I341="已计入",P341,0),"")</f>
        <v>0</v>
      </c>
      <c r="Y341" s="11" t="str">
        <f t="shared" si="103">IF(I341="已计入",ROUND(R341+V341-U341,2),"")</f>
        <v/>
      </c>
      <c r="Z341" s="13">
        <f t="shared" si="114">IF(AA341="正常",IF(I341="已计入",A341,Z340),"")</f>
        <v>46239</v>
      </c>
      <c r="AA341" s="10" t="str">
        <f>IF(OR($AA$134="错误",COUNTIF($G$135:G341,"待修正")&gt;0),"错误","正常")</f>
        <v>正常</v>
      </c>
      <c r="AB341" s="14">
        <f t="shared" si="115">IF(AA341="正常",IF(I341="已计入",C341,AB340),"")</f>
        <v>6.347</v>
      </c>
    </row>
    <row r="342" ht="23" customHeight="1">
      <c r="A342" s="36"/>
      <c r="B342" s="37"/>
      <c r="C342" s="38"/>
      <c r="D342" s="39"/>
      <c r="E342" s="44" t="str">
        <f t="shared" si="96">IF(AND(ISNUMBER(C342),ISNUMBER(D342),ISNUMBER(F342)),IF(OR(B342="买入",B342="定投"),ROUND(C342*D342+F342,2),IF(B342="卖出",ROUND(C342*D342-F342,2),IF(B342="红利再投",0,""))),"")</f>
        <v/>
      </c>
      <c r="F342" s="39"/>
      <c r="G342" s="45" t="str">
        <f t="shared" si="97">IF(COUNTA(A342:D342,F342)=0,"",IF(I342="已计入","已录入","待修正"))</f>
        <v/>
      </c>
      <c r="H342" s="46" t="str">
        <f t="shared" si="98">IF(COUNTA(A342:D342,F342)=0,"",IF(B342="红利再投","仅增加份额，不增加现金投入","金额由份额、净值和手续费推算"))</f>
        <v/>
      </c>
      <c r="I342" s="10" t="str">
        <f>IF(COUNTA(A342:D342,F342)=0,"",IF(NOT(ISNUMBER(A342)),"缺少有效净值日期",IF(OR(A342&lt;=0,A342&lt;&gt;INT(A342)),"净值日期无效",IF(OR(B342="转换转入",B342="现金分红"),"该类型需实际金额，五项录入不适用",IF(NOT(OR(OR(B342="买入",B342="定投"),B342="卖出",B342="红利再投")),"请选择交易类型",IF(NOT(ISNUMBER(C342)),"缺少成交净值",IF(C342&lt;=0,"成交净值须大于零",IF(NOT(ISNUMBER(D342)),"缺少确认份额",IF(D342&lt;=0,"确认份额须大于零",IF(NOT(ISNUMBER(F342)),"缺少手续费，无费用请填 0",IF(F342&lt;0,"手续费不能为负",IF(AA341="错误","前行待修正",IF(A342&lt;Z341,"日期需按成交顺序递增",IF(AND(B342="红利再投",F342&lt;&gt;0),"红利再投手续费应填 0",IF(AND(B342="红利再投",K341&lt;=0),"红利再投前须有持仓",IF(AND(B342="卖出",D342&gt;K341+0.000001),"卖出份额超过持仓",IF(AND(B342="卖出",F342&gt;=C342*D342),"赎回费不能达到赎回总额",IF(NOT(ISNUMBER(E342)),"自动金额未生成，请检查五项输入",IF(NOT(OR('持仓总览'!$C$7="利润优先",'持仓总览'!$C$7="本金优先")),"请选择卖出分配模式","已计入")))))))))))))))))))</f>
        <v/>
      </c>
      <c r="J342" s="11">
        <f t="shared" si="99">IF(AA342="正常",IF(I342="已计入",IF(OR(OR(B342="买入",B342="定投",B342="转换转入"),B342="红利再投"),D342,IF(B342="卖出",-D342,0)),0),"")</f>
        <v>0</v>
      </c>
      <c r="K342" s="11">
        <f t="shared" si="104">IF(AA342="正常",ROUND(K341+J342,6),"")</f>
        <v>25721.6</v>
      </c>
      <c r="L342" s="11" t="str">
        <f t="shared" si="105">IF(I342="已计入",ROUND(K341*C342,2),"")</f>
        <v/>
      </c>
      <c r="M342" s="11" t="str">
        <f t="shared" si="106">IF(I342="已计入",IF(B342="卖出",MAX(0,L342-Q341-F342),IF(B342="现金分红",MAX(0,L342+E342-Q341),0)),"")</f>
        <v/>
      </c>
      <c r="N342" s="11" t="str">
        <f>IF(I342="已计入",IF(AND(B342="卖出",'持仓总览'!$C$7="本金优先"),MAX(0,E342-Q341),IF(OR(B342="卖出",B342="现金分红"),MIN(E342,M342),0)),"")</f>
        <v/>
      </c>
      <c r="O342" s="11" t="str">
        <f t="shared" si="107">IF(I342="已计入",IF(OR(B342="卖出",B342="现金分红"),MIN(Q341,MAX(0,E342-N342)),0),"")</f>
        <v/>
      </c>
      <c r="P342" s="11" t="str">
        <f t="shared" si="108">IF(I342="已计入",IF(AND(B342="卖出",K342=0),MAX(0,Q341-O342),0),"")</f>
        <v/>
      </c>
      <c r="Q342" s="11">
        <f t="shared" si="109">IF(AA342="正常",IF(I342="已计入",ROUND(Q341+IF(OR(B342="买入",B342="定投",B342="转换转入"),E342,0)-O342-P342,2),Q341),"")</f>
        <v>129570</v>
      </c>
      <c r="R342" s="11" t="str">
        <f t="shared" si="100">IF(I342="已计入",ROUND(K342*C342,2),"")</f>
        <v/>
      </c>
      <c r="S342" s="11" t="str">
        <f t="shared" si="101">IF(I342="已计入",ROUND(R342-Q342,2),"")</f>
        <v/>
      </c>
      <c r="T342" s="12" t="str">
        <f t="shared" si="102">IF(I342="已计入",IF(Q342=0,"",S342/Q342),"")</f>
        <v/>
      </c>
      <c r="U342" s="11">
        <f t="shared" si="110">IF(AA342="正常",U341+IF(AND(I342="已计入",OR(B342="买入",B342="定投",B342="转换转入")),E342,0),"")</f>
        <v>129570</v>
      </c>
      <c r="V342" s="11">
        <f t="shared" si="111">IF(AA342="正常",V341+IF(AND(I342="已计入",OR(B342="卖出",B342="现金分红")),E342,0),"")</f>
        <v>0</v>
      </c>
      <c r="W342" s="11">
        <f t="shared" si="112">IF(AA342="正常",W341+IF(I342="已计入",N342,0),"")</f>
        <v>0</v>
      </c>
      <c r="X342" s="11">
        <f t="shared" si="113">IF(AA342="正常",X341+IF(I342="已计入",P342,0),"")</f>
        <v>0</v>
      </c>
      <c r="Y342" s="11" t="str">
        <f t="shared" si="103">IF(I342="已计入",ROUND(R342+V342-U342,2),"")</f>
        <v/>
      </c>
      <c r="Z342" s="13">
        <f t="shared" si="114">IF(AA342="正常",IF(I342="已计入",A342,Z341),"")</f>
        <v>46239</v>
      </c>
      <c r="AA342" s="10" t="str">
        <f>IF(OR($AA$134="错误",COUNTIF($G$135:G342,"待修正")&gt;0),"错误","正常")</f>
        <v>正常</v>
      </c>
      <c r="AB342" s="14">
        <f t="shared" si="115">IF(AA342="正常",IF(I342="已计入",C342,AB341),"")</f>
        <v>6.347</v>
      </c>
    </row>
    <row r="343" ht="23" customHeight="1">
      <c r="A343" s="36"/>
      <c r="B343" s="37"/>
      <c r="C343" s="38"/>
      <c r="D343" s="39"/>
      <c r="E343" s="44" t="str">
        <f t="shared" si="96">IF(AND(ISNUMBER(C343),ISNUMBER(D343),ISNUMBER(F343)),IF(OR(B343="买入",B343="定投"),ROUND(C343*D343+F343,2),IF(B343="卖出",ROUND(C343*D343-F343,2),IF(B343="红利再投",0,""))),"")</f>
        <v/>
      </c>
      <c r="F343" s="39"/>
      <c r="G343" s="45" t="str">
        <f t="shared" si="97">IF(COUNTA(A343:D343,F343)=0,"",IF(I343="已计入","已录入","待修正"))</f>
        <v/>
      </c>
      <c r="H343" s="46" t="str">
        <f t="shared" si="98">IF(COUNTA(A343:D343,F343)=0,"",IF(B343="红利再投","仅增加份额，不增加现金投入","金额由份额、净值和手续费推算"))</f>
        <v/>
      </c>
      <c r="I343" s="10" t="str">
        <f>IF(COUNTA(A343:D343,F343)=0,"",IF(NOT(ISNUMBER(A343)),"缺少有效净值日期",IF(OR(A343&lt;=0,A343&lt;&gt;INT(A343)),"净值日期无效",IF(OR(B343="转换转入",B343="现金分红"),"该类型需实际金额，五项录入不适用",IF(NOT(OR(OR(B343="买入",B343="定投"),B343="卖出",B343="红利再投")),"请选择交易类型",IF(NOT(ISNUMBER(C343)),"缺少成交净值",IF(C343&lt;=0,"成交净值须大于零",IF(NOT(ISNUMBER(D343)),"缺少确认份额",IF(D343&lt;=0,"确认份额须大于零",IF(NOT(ISNUMBER(F343)),"缺少手续费，无费用请填 0",IF(F343&lt;0,"手续费不能为负",IF(AA342="错误","前行待修正",IF(A343&lt;Z342,"日期需按成交顺序递增",IF(AND(B343="红利再投",F343&lt;&gt;0),"红利再投手续费应填 0",IF(AND(B343="红利再投",K342&lt;=0),"红利再投前须有持仓",IF(AND(B343="卖出",D343&gt;K342+0.000001),"卖出份额超过持仓",IF(AND(B343="卖出",F343&gt;=C343*D343),"赎回费不能达到赎回总额",IF(NOT(ISNUMBER(E343)),"自动金额未生成，请检查五项输入",IF(NOT(OR('持仓总览'!$C$7="利润优先",'持仓总览'!$C$7="本金优先")),"请选择卖出分配模式","已计入")))))))))))))))))))</f>
        <v/>
      </c>
      <c r="J343" s="11">
        <f t="shared" si="99">IF(AA343="正常",IF(I343="已计入",IF(OR(OR(B343="买入",B343="定投",B343="转换转入"),B343="红利再投"),D343,IF(B343="卖出",-D343,0)),0),"")</f>
        <v>0</v>
      </c>
      <c r="K343" s="11">
        <f t="shared" si="104">IF(AA343="正常",ROUND(K342+J343,6),"")</f>
        <v>25721.6</v>
      </c>
      <c r="L343" s="11" t="str">
        <f t="shared" si="105">IF(I343="已计入",ROUND(K342*C343,2),"")</f>
        <v/>
      </c>
      <c r="M343" s="11" t="str">
        <f t="shared" si="106">IF(I343="已计入",IF(B343="卖出",MAX(0,L343-Q342-F343),IF(B343="现金分红",MAX(0,L343+E343-Q342),0)),"")</f>
        <v/>
      </c>
      <c r="N343" s="11" t="str">
        <f>IF(I343="已计入",IF(AND(B343="卖出",'持仓总览'!$C$7="本金优先"),MAX(0,E343-Q342),IF(OR(B343="卖出",B343="现金分红"),MIN(E343,M343),0)),"")</f>
        <v/>
      </c>
      <c r="O343" s="11" t="str">
        <f t="shared" si="107">IF(I343="已计入",IF(OR(B343="卖出",B343="现金分红"),MIN(Q342,MAX(0,E343-N343)),0),"")</f>
        <v/>
      </c>
      <c r="P343" s="11" t="str">
        <f t="shared" si="108">IF(I343="已计入",IF(AND(B343="卖出",K343=0),MAX(0,Q342-O343),0),"")</f>
        <v/>
      </c>
      <c r="Q343" s="11">
        <f t="shared" si="109">IF(AA343="正常",IF(I343="已计入",ROUND(Q342+IF(OR(B343="买入",B343="定投",B343="转换转入"),E343,0)-O343-P343,2),Q342),"")</f>
        <v>129570</v>
      </c>
      <c r="R343" s="11" t="str">
        <f t="shared" si="100">IF(I343="已计入",ROUND(K343*C343,2),"")</f>
        <v/>
      </c>
      <c r="S343" s="11" t="str">
        <f t="shared" si="101">IF(I343="已计入",ROUND(R343-Q343,2),"")</f>
        <v/>
      </c>
      <c r="T343" s="12" t="str">
        <f t="shared" si="102">IF(I343="已计入",IF(Q343=0,"",S343/Q343),"")</f>
        <v/>
      </c>
      <c r="U343" s="11">
        <f t="shared" si="110">IF(AA343="正常",U342+IF(AND(I343="已计入",OR(B343="买入",B343="定投",B343="转换转入")),E343,0),"")</f>
        <v>129570</v>
      </c>
      <c r="V343" s="11">
        <f t="shared" si="111">IF(AA343="正常",V342+IF(AND(I343="已计入",OR(B343="卖出",B343="现金分红")),E343,0),"")</f>
        <v>0</v>
      </c>
      <c r="W343" s="11">
        <f t="shared" si="112">IF(AA343="正常",W342+IF(I343="已计入",N343,0),"")</f>
        <v>0</v>
      </c>
      <c r="X343" s="11">
        <f t="shared" si="113">IF(AA343="正常",X342+IF(I343="已计入",P343,0),"")</f>
        <v>0</v>
      </c>
      <c r="Y343" s="11" t="str">
        <f t="shared" si="103">IF(I343="已计入",ROUND(R343+V343-U343,2),"")</f>
        <v/>
      </c>
      <c r="Z343" s="13">
        <f t="shared" si="114">IF(AA343="正常",IF(I343="已计入",A343,Z342),"")</f>
        <v>46239</v>
      </c>
      <c r="AA343" s="10" t="str">
        <f>IF(OR($AA$134="错误",COUNTIF($G$135:G343,"待修正")&gt;0),"错误","正常")</f>
        <v>正常</v>
      </c>
      <c r="AB343" s="14">
        <f t="shared" si="115">IF(AA343="正常",IF(I343="已计入",C343,AB342),"")</f>
        <v>6.347</v>
      </c>
    </row>
    <row r="344" ht="23" customHeight="1">
      <c r="A344" s="36"/>
      <c r="B344" s="37"/>
      <c r="C344" s="38"/>
      <c r="D344" s="39"/>
      <c r="E344" s="44" t="str">
        <f t="shared" si="96">IF(AND(ISNUMBER(C344),ISNUMBER(D344),ISNUMBER(F344)),IF(OR(B344="买入",B344="定投"),ROUND(C344*D344+F344,2),IF(B344="卖出",ROUND(C344*D344-F344,2),IF(B344="红利再投",0,""))),"")</f>
        <v/>
      </c>
      <c r="F344" s="39"/>
      <c r="G344" s="45" t="str">
        <f t="shared" si="97">IF(COUNTA(A344:D344,F344)=0,"",IF(I344="已计入","已录入","待修正"))</f>
        <v/>
      </c>
      <c r="H344" s="46" t="str">
        <f t="shared" si="98">IF(COUNTA(A344:D344,F344)=0,"",IF(B344="红利再投","仅增加份额，不增加现金投入","金额由份额、净值和手续费推算"))</f>
        <v/>
      </c>
      <c r="I344" s="10" t="str">
        <f>IF(COUNTA(A344:D344,F344)=0,"",IF(NOT(ISNUMBER(A344)),"缺少有效净值日期",IF(OR(A344&lt;=0,A344&lt;&gt;INT(A344)),"净值日期无效",IF(OR(B344="转换转入",B344="现金分红"),"该类型需实际金额，五项录入不适用",IF(NOT(OR(OR(B344="买入",B344="定投"),B344="卖出",B344="红利再投")),"请选择交易类型",IF(NOT(ISNUMBER(C344)),"缺少成交净值",IF(C344&lt;=0,"成交净值须大于零",IF(NOT(ISNUMBER(D344)),"缺少确认份额",IF(D344&lt;=0,"确认份额须大于零",IF(NOT(ISNUMBER(F344)),"缺少手续费，无费用请填 0",IF(F344&lt;0,"手续费不能为负",IF(AA343="错误","前行待修正",IF(A344&lt;Z343,"日期需按成交顺序递增",IF(AND(B344="红利再投",F344&lt;&gt;0),"红利再投手续费应填 0",IF(AND(B344="红利再投",K343&lt;=0),"红利再投前须有持仓",IF(AND(B344="卖出",D344&gt;K343+0.000001),"卖出份额超过持仓",IF(AND(B344="卖出",F344&gt;=C344*D344),"赎回费不能达到赎回总额",IF(NOT(ISNUMBER(E344)),"自动金额未生成，请检查五项输入",IF(NOT(OR('持仓总览'!$C$7="利润优先",'持仓总览'!$C$7="本金优先")),"请选择卖出分配模式","已计入")))))))))))))))))))</f>
        <v/>
      </c>
      <c r="J344" s="11">
        <f t="shared" si="99">IF(AA344="正常",IF(I344="已计入",IF(OR(OR(B344="买入",B344="定投",B344="转换转入"),B344="红利再投"),D344,IF(B344="卖出",-D344,0)),0),"")</f>
        <v>0</v>
      </c>
      <c r="K344" s="11">
        <f t="shared" si="104">IF(AA344="正常",ROUND(K343+J344,6),"")</f>
        <v>25721.6</v>
      </c>
      <c r="L344" s="11" t="str">
        <f t="shared" si="105">IF(I344="已计入",ROUND(K343*C344,2),"")</f>
        <v/>
      </c>
      <c r="M344" s="11" t="str">
        <f t="shared" si="106">IF(I344="已计入",IF(B344="卖出",MAX(0,L344-Q343-F344),IF(B344="现金分红",MAX(0,L344+E344-Q343),0)),"")</f>
        <v/>
      </c>
      <c r="N344" s="11" t="str">
        <f>IF(I344="已计入",IF(AND(B344="卖出",'持仓总览'!$C$7="本金优先"),MAX(0,E344-Q343),IF(OR(B344="卖出",B344="现金分红"),MIN(E344,M344),0)),"")</f>
        <v/>
      </c>
      <c r="O344" s="11" t="str">
        <f t="shared" si="107">IF(I344="已计入",IF(OR(B344="卖出",B344="现金分红"),MIN(Q343,MAX(0,E344-N344)),0),"")</f>
        <v/>
      </c>
      <c r="P344" s="11" t="str">
        <f t="shared" si="108">IF(I344="已计入",IF(AND(B344="卖出",K344=0),MAX(0,Q343-O344),0),"")</f>
        <v/>
      </c>
      <c r="Q344" s="11">
        <f t="shared" si="109">IF(AA344="正常",IF(I344="已计入",ROUND(Q343+IF(OR(B344="买入",B344="定投",B344="转换转入"),E344,0)-O344-P344,2),Q343),"")</f>
        <v>129570</v>
      </c>
      <c r="R344" s="11" t="str">
        <f t="shared" si="100">IF(I344="已计入",ROUND(K344*C344,2),"")</f>
        <v/>
      </c>
      <c r="S344" s="11" t="str">
        <f t="shared" si="101">IF(I344="已计入",ROUND(R344-Q344,2),"")</f>
        <v/>
      </c>
      <c r="T344" s="12" t="str">
        <f t="shared" si="102">IF(I344="已计入",IF(Q344=0,"",S344/Q344),"")</f>
        <v/>
      </c>
      <c r="U344" s="11">
        <f t="shared" si="110">IF(AA344="正常",U343+IF(AND(I344="已计入",OR(B344="买入",B344="定投",B344="转换转入")),E344,0),"")</f>
        <v>129570</v>
      </c>
      <c r="V344" s="11">
        <f t="shared" si="111">IF(AA344="正常",V343+IF(AND(I344="已计入",OR(B344="卖出",B344="现金分红")),E344,0),"")</f>
        <v>0</v>
      </c>
      <c r="W344" s="11">
        <f t="shared" si="112">IF(AA344="正常",W343+IF(I344="已计入",N344,0),"")</f>
        <v>0</v>
      </c>
      <c r="X344" s="11">
        <f t="shared" si="113">IF(AA344="正常",X343+IF(I344="已计入",P344,0),"")</f>
        <v>0</v>
      </c>
      <c r="Y344" s="11" t="str">
        <f t="shared" si="103">IF(I344="已计入",ROUND(R344+V344-U344,2),"")</f>
        <v/>
      </c>
      <c r="Z344" s="13">
        <f t="shared" si="114">IF(AA344="正常",IF(I344="已计入",A344,Z343),"")</f>
        <v>46239</v>
      </c>
      <c r="AA344" s="10" t="str">
        <f>IF(OR($AA$134="错误",COUNTIF($G$135:G344,"待修正")&gt;0),"错误","正常")</f>
        <v>正常</v>
      </c>
      <c r="AB344" s="14">
        <f t="shared" si="115">IF(AA344="正常",IF(I344="已计入",C344,AB343),"")</f>
        <v>6.347</v>
      </c>
    </row>
    <row r="345" ht="23" customHeight="1">
      <c r="A345" s="36"/>
      <c r="B345" s="37"/>
      <c r="C345" s="38"/>
      <c r="D345" s="39"/>
      <c r="E345" s="44" t="str">
        <f t="shared" si="96">IF(AND(ISNUMBER(C345),ISNUMBER(D345),ISNUMBER(F345)),IF(OR(B345="买入",B345="定投"),ROUND(C345*D345+F345,2),IF(B345="卖出",ROUND(C345*D345-F345,2),IF(B345="红利再投",0,""))),"")</f>
        <v/>
      </c>
      <c r="F345" s="39"/>
      <c r="G345" s="45" t="str">
        <f t="shared" si="97">IF(COUNTA(A345:D345,F345)=0,"",IF(I345="已计入","已录入","待修正"))</f>
        <v/>
      </c>
      <c r="H345" s="46" t="str">
        <f t="shared" si="98">IF(COUNTA(A345:D345,F345)=0,"",IF(B345="红利再投","仅增加份额，不增加现金投入","金额由份额、净值和手续费推算"))</f>
        <v/>
      </c>
      <c r="I345" s="10" t="str">
        <f>IF(COUNTA(A345:D345,F345)=0,"",IF(NOT(ISNUMBER(A345)),"缺少有效净值日期",IF(OR(A345&lt;=0,A345&lt;&gt;INT(A345)),"净值日期无效",IF(OR(B345="转换转入",B345="现金分红"),"该类型需实际金额，五项录入不适用",IF(NOT(OR(OR(B345="买入",B345="定投"),B345="卖出",B345="红利再投")),"请选择交易类型",IF(NOT(ISNUMBER(C345)),"缺少成交净值",IF(C345&lt;=0,"成交净值须大于零",IF(NOT(ISNUMBER(D345)),"缺少确认份额",IF(D345&lt;=0,"确认份额须大于零",IF(NOT(ISNUMBER(F345)),"缺少手续费，无费用请填 0",IF(F345&lt;0,"手续费不能为负",IF(AA344="错误","前行待修正",IF(A345&lt;Z344,"日期需按成交顺序递增",IF(AND(B345="红利再投",F345&lt;&gt;0),"红利再投手续费应填 0",IF(AND(B345="红利再投",K344&lt;=0),"红利再投前须有持仓",IF(AND(B345="卖出",D345&gt;K344+0.000001),"卖出份额超过持仓",IF(AND(B345="卖出",F345&gt;=C345*D345),"赎回费不能达到赎回总额",IF(NOT(ISNUMBER(E345)),"自动金额未生成，请检查五项输入",IF(NOT(OR('持仓总览'!$C$7="利润优先",'持仓总览'!$C$7="本金优先")),"请选择卖出分配模式","已计入")))))))))))))))))))</f>
        <v/>
      </c>
      <c r="J345" s="11">
        <f t="shared" si="99">IF(AA345="正常",IF(I345="已计入",IF(OR(OR(B345="买入",B345="定投",B345="转换转入"),B345="红利再投"),D345,IF(B345="卖出",-D345,0)),0),"")</f>
        <v>0</v>
      </c>
      <c r="K345" s="11">
        <f t="shared" si="104">IF(AA345="正常",ROUND(K344+J345,6),"")</f>
        <v>25721.6</v>
      </c>
      <c r="L345" s="11" t="str">
        <f t="shared" si="105">IF(I345="已计入",ROUND(K344*C345,2),"")</f>
        <v/>
      </c>
      <c r="M345" s="11" t="str">
        <f t="shared" si="106">IF(I345="已计入",IF(B345="卖出",MAX(0,L345-Q344-F345),IF(B345="现金分红",MAX(0,L345+E345-Q344),0)),"")</f>
        <v/>
      </c>
      <c r="N345" s="11" t="str">
        <f>IF(I345="已计入",IF(AND(B345="卖出",'持仓总览'!$C$7="本金优先"),MAX(0,E345-Q344),IF(OR(B345="卖出",B345="现金分红"),MIN(E345,M345),0)),"")</f>
        <v/>
      </c>
      <c r="O345" s="11" t="str">
        <f t="shared" si="107">IF(I345="已计入",IF(OR(B345="卖出",B345="现金分红"),MIN(Q344,MAX(0,E345-N345)),0),"")</f>
        <v/>
      </c>
      <c r="P345" s="11" t="str">
        <f t="shared" si="108">IF(I345="已计入",IF(AND(B345="卖出",K345=0),MAX(0,Q344-O345),0),"")</f>
        <v/>
      </c>
      <c r="Q345" s="11">
        <f t="shared" si="109">IF(AA345="正常",IF(I345="已计入",ROUND(Q344+IF(OR(B345="买入",B345="定投",B345="转换转入"),E345,0)-O345-P345,2),Q344),"")</f>
        <v>129570</v>
      </c>
      <c r="R345" s="11" t="str">
        <f t="shared" si="100">IF(I345="已计入",ROUND(K345*C345,2),"")</f>
        <v/>
      </c>
      <c r="S345" s="11" t="str">
        <f t="shared" si="101">IF(I345="已计入",ROUND(R345-Q345,2),"")</f>
        <v/>
      </c>
      <c r="T345" s="12" t="str">
        <f t="shared" si="102">IF(I345="已计入",IF(Q345=0,"",S345/Q345),"")</f>
        <v/>
      </c>
      <c r="U345" s="11">
        <f t="shared" si="110">IF(AA345="正常",U344+IF(AND(I345="已计入",OR(B345="买入",B345="定投",B345="转换转入")),E345,0),"")</f>
        <v>129570</v>
      </c>
      <c r="V345" s="11">
        <f t="shared" si="111">IF(AA345="正常",V344+IF(AND(I345="已计入",OR(B345="卖出",B345="现金分红")),E345,0),"")</f>
        <v>0</v>
      </c>
      <c r="W345" s="11">
        <f t="shared" si="112">IF(AA345="正常",W344+IF(I345="已计入",N345,0),"")</f>
        <v>0</v>
      </c>
      <c r="X345" s="11">
        <f t="shared" si="113">IF(AA345="正常",X344+IF(I345="已计入",P345,0),"")</f>
        <v>0</v>
      </c>
      <c r="Y345" s="11" t="str">
        <f t="shared" si="103">IF(I345="已计入",ROUND(R345+V345-U345,2),"")</f>
        <v/>
      </c>
      <c r="Z345" s="13">
        <f t="shared" si="114">IF(AA345="正常",IF(I345="已计入",A345,Z344),"")</f>
        <v>46239</v>
      </c>
      <c r="AA345" s="10" t="str">
        <f>IF(OR($AA$134="错误",COUNTIF($G$135:G345,"待修正")&gt;0),"错误","正常")</f>
        <v>正常</v>
      </c>
      <c r="AB345" s="14">
        <f t="shared" si="115">IF(AA345="正常",IF(I345="已计入",C345,AB344),"")</f>
        <v>6.347</v>
      </c>
    </row>
    <row r="346" ht="23" customHeight="1">
      <c r="A346" s="36"/>
      <c r="B346" s="37"/>
      <c r="C346" s="38"/>
      <c r="D346" s="39"/>
      <c r="E346" s="44" t="str">
        <f t="shared" si="96">IF(AND(ISNUMBER(C346),ISNUMBER(D346),ISNUMBER(F346)),IF(OR(B346="买入",B346="定投"),ROUND(C346*D346+F346,2),IF(B346="卖出",ROUND(C346*D346-F346,2),IF(B346="红利再投",0,""))),"")</f>
        <v/>
      </c>
      <c r="F346" s="39"/>
      <c r="G346" s="45" t="str">
        <f t="shared" si="97">IF(COUNTA(A346:D346,F346)=0,"",IF(I346="已计入","已录入","待修正"))</f>
        <v/>
      </c>
      <c r="H346" s="46" t="str">
        <f t="shared" si="98">IF(COUNTA(A346:D346,F346)=0,"",IF(B346="红利再投","仅增加份额，不增加现金投入","金额由份额、净值和手续费推算"))</f>
        <v/>
      </c>
      <c r="I346" s="10" t="str">
        <f>IF(COUNTA(A346:D346,F346)=0,"",IF(NOT(ISNUMBER(A346)),"缺少有效净值日期",IF(OR(A346&lt;=0,A346&lt;&gt;INT(A346)),"净值日期无效",IF(OR(B346="转换转入",B346="现金分红"),"该类型需实际金额，五项录入不适用",IF(NOT(OR(OR(B346="买入",B346="定投"),B346="卖出",B346="红利再投")),"请选择交易类型",IF(NOT(ISNUMBER(C346)),"缺少成交净值",IF(C346&lt;=0,"成交净值须大于零",IF(NOT(ISNUMBER(D346)),"缺少确认份额",IF(D346&lt;=0,"确认份额须大于零",IF(NOT(ISNUMBER(F346)),"缺少手续费，无费用请填 0",IF(F346&lt;0,"手续费不能为负",IF(AA345="错误","前行待修正",IF(A346&lt;Z345,"日期需按成交顺序递增",IF(AND(B346="红利再投",F346&lt;&gt;0),"红利再投手续费应填 0",IF(AND(B346="红利再投",K345&lt;=0),"红利再投前须有持仓",IF(AND(B346="卖出",D346&gt;K345+0.000001),"卖出份额超过持仓",IF(AND(B346="卖出",F346&gt;=C346*D346),"赎回费不能达到赎回总额",IF(NOT(ISNUMBER(E346)),"自动金额未生成，请检查五项输入",IF(NOT(OR('持仓总览'!$C$7="利润优先",'持仓总览'!$C$7="本金优先")),"请选择卖出分配模式","已计入")))))))))))))))))))</f>
        <v/>
      </c>
      <c r="J346" s="11">
        <f t="shared" si="99">IF(AA346="正常",IF(I346="已计入",IF(OR(OR(B346="买入",B346="定投",B346="转换转入"),B346="红利再投"),D346,IF(B346="卖出",-D346,0)),0),"")</f>
        <v>0</v>
      </c>
      <c r="K346" s="11">
        <f t="shared" si="104">IF(AA346="正常",ROUND(K345+J346,6),"")</f>
        <v>25721.6</v>
      </c>
      <c r="L346" s="11" t="str">
        <f t="shared" si="105">IF(I346="已计入",ROUND(K345*C346,2),"")</f>
        <v/>
      </c>
      <c r="M346" s="11" t="str">
        <f t="shared" si="106">IF(I346="已计入",IF(B346="卖出",MAX(0,L346-Q345-F346),IF(B346="现金分红",MAX(0,L346+E346-Q345),0)),"")</f>
        <v/>
      </c>
      <c r="N346" s="11" t="str">
        <f>IF(I346="已计入",IF(AND(B346="卖出",'持仓总览'!$C$7="本金优先"),MAX(0,E346-Q345),IF(OR(B346="卖出",B346="现金分红"),MIN(E346,M346),0)),"")</f>
        <v/>
      </c>
      <c r="O346" s="11" t="str">
        <f t="shared" si="107">IF(I346="已计入",IF(OR(B346="卖出",B346="现金分红"),MIN(Q345,MAX(0,E346-N346)),0),"")</f>
        <v/>
      </c>
      <c r="P346" s="11" t="str">
        <f t="shared" si="108">IF(I346="已计入",IF(AND(B346="卖出",K346=0),MAX(0,Q345-O346),0),"")</f>
        <v/>
      </c>
      <c r="Q346" s="11">
        <f t="shared" si="109">IF(AA346="正常",IF(I346="已计入",ROUND(Q345+IF(OR(B346="买入",B346="定投",B346="转换转入"),E346,0)-O346-P346,2),Q345),"")</f>
        <v>129570</v>
      </c>
      <c r="R346" s="11" t="str">
        <f t="shared" si="100">IF(I346="已计入",ROUND(K346*C346,2),"")</f>
        <v/>
      </c>
      <c r="S346" s="11" t="str">
        <f t="shared" si="101">IF(I346="已计入",ROUND(R346-Q346,2),"")</f>
        <v/>
      </c>
      <c r="T346" s="12" t="str">
        <f t="shared" si="102">IF(I346="已计入",IF(Q346=0,"",S346/Q346),"")</f>
        <v/>
      </c>
      <c r="U346" s="11">
        <f t="shared" si="110">IF(AA346="正常",U345+IF(AND(I346="已计入",OR(B346="买入",B346="定投",B346="转换转入")),E346,0),"")</f>
        <v>129570</v>
      </c>
      <c r="V346" s="11">
        <f t="shared" si="111">IF(AA346="正常",V345+IF(AND(I346="已计入",OR(B346="卖出",B346="现金分红")),E346,0),"")</f>
        <v>0</v>
      </c>
      <c r="W346" s="11">
        <f t="shared" si="112">IF(AA346="正常",W345+IF(I346="已计入",N346,0),"")</f>
        <v>0</v>
      </c>
      <c r="X346" s="11">
        <f t="shared" si="113">IF(AA346="正常",X345+IF(I346="已计入",P346,0),"")</f>
        <v>0</v>
      </c>
      <c r="Y346" s="11" t="str">
        <f t="shared" si="103">IF(I346="已计入",ROUND(R346+V346-U346,2),"")</f>
        <v/>
      </c>
      <c r="Z346" s="13">
        <f t="shared" si="114">IF(AA346="正常",IF(I346="已计入",A346,Z345),"")</f>
        <v>46239</v>
      </c>
      <c r="AA346" s="10" t="str">
        <f>IF(OR($AA$134="错误",COUNTIF($G$135:G346,"待修正")&gt;0),"错误","正常")</f>
        <v>正常</v>
      </c>
      <c r="AB346" s="14">
        <f t="shared" si="115">IF(AA346="正常",IF(I346="已计入",C346,AB345),"")</f>
        <v>6.347</v>
      </c>
    </row>
    <row r="347" ht="23" customHeight="1">
      <c r="A347" s="36"/>
      <c r="B347" s="37"/>
      <c r="C347" s="38"/>
      <c r="D347" s="39"/>
      <c r="E347" s="44" t="str">
        <f t="shared" si="96">IF(AND(ISNUMBER(C347),ISNUMBER(D347),ISNUMBER(F347)),IF(OR(B347="买入",B347="定投"),ROUND(C347*D347+F347,2),IF(B347="卖出",ROUND(C347*D347-F347,2),IF(B347="红利再投",0,""))),"")</f>
        <v/>
      </c>
      <c r="F347" s="39"/>
      <c r="G347" s="45" t="str">
        <f t="shared" si="97">IF(COUNTA(A347:D347,F347)=0,"",IF(I347="已计入","已录入","待修正"))</f>
        <v/>
      </c>
      <c r="H347" s="46" t="str">
        <f t="shared" si="98">IF(COUNTA(A347:D347,F347)=0,"",IF(B347="红利再投","仅增加份额，不增加现金投入","金额由份额、净值和手续费推算"))</f>
        <v/>
      </c>
      <c r="I347" s="10" t="str">
        <f>IF(COUNTA(A347:D347,F347)=0,"",IF(NOT(ISNUMBER(A347)),"缺少有效净值日期",IF(OR(A347&lt;=0,A347&lt;&gt;INT(A347)),"净值日期无效",IF(OR(B347="转换转入",B347="现金分红"),"该类型需实际金额，五项录入不适用",IF(NOT(OR(OR(B347="买入",B347="定投"),B347="卖出",B347="红利再投")),"请选择交易类型",IF(NOT(ISNUMBER(C347)),"缺少成交净值",IF(C347&lt;=0,"成交净值须大于零",IF(NOT(ISNUMBER(D347)),"缺少确认份额",IF(D347&lt;=0,"确认份额须大于零",IF(NOT(ISNUMBER(F347)),"缺少手续费，无费用请填 0",IF(F347&lt;0,"手续费不能为负",IF(AA346="错误","前行待修正",IF(A347&lt;Z346,"日期需按成交顺序递增",IF(AND(B347="红利再投",F347&lt;&gt;0),"红利再投手续费应填 0",IF(AND(B347="红利再投",K346&lt;=0),"红利再投前须有持仓",IF(AND(B347="卖出",D347&gt;K346+0.000001),"卖出份额超过持仓",IF(AND(B347="卖出",F347&gt;=C347*D347),"赎回费不能达到赎回总额",IF(NOT(ISNUMBER(E347)),"自动金额未生成，请检查五项输入",IF(NOT(OR('持仓总览'!$C$7="利润优先",'持仓总览'!$C$7="本金优先")),"请选择卖出分配模式","已计入")))))))))))))))))))</f>
        <v/>
      </c>
      <c r="J347" s="11">
        <f t="shared" si="99">IF(AA347="正常",IF(I347="已计入",IF(OR(OR(B347="买入",B347="定投",B347="转换转入"),B347="红利再投"),D347,IF(B347="卖出",-D347,0)),0),"")</f>
        <v>0</v>
      </c>
      <c r="K347" s="11">
        <f t="shared" si="104">IF(AA347="正常",ROUND(K346+J347,6),"")</f>
        <v>25721.6</v>
      </c>
      <c r="L347" s="11" t="str">
        <f t="shared" si="105">IF(I347="已计入",ROUND(K346*C347,2),"")</f>
        <v/>
      </c>
      <c r="M347" s="11" t="str">
        <f t="shared" si="106">IF(I347="已计入",IF(B347="卖出",MAX(0,L347-Q346-F347),IF(B347="现金分红",MAX(0,L347+E347-Q346),0)),"")</f>
        <v/>
      </c>
      <c r="N347" s="11" t="str">
        <f>IF(I347="已计入",IF(AND(B347="卖出",'持仓总览'!$C$7="本金优先"),MAX(0,E347-Q346),IF(OR(B347="卖出",B347="现金分红"),MIN(E347,M347),0)),"")</f>
        <v/>
      </c>
      <c r="O347" s="11" t="str">
        <f t="shared" si="107">IF(I347="已计入",IF(OR(B347="卖出",B347="现金分红"),MIN(Q346,MAX(0,E347-N347)),0),"")</f>
        <v/>
      </c>
      <c r="P347" s="11" t="str">
        <f t="shared" si="108">IF(I347="已计入",IF(AND(B347="卖出",K347=0),MAX(0,Q346-O347),0),"")</f>
        <v/>
      </c>
      <c r="Q347" s="11">
        <f t="shared" si="109">IF(AA347="正常",IF(I347="已计入",ROUND(Q346+IF(OR(B347="买入",B347="定投",B347="转换转入"),E347,0)-O347-P347,2),Q346),"")</f>
        <v>129570</v>
      </c>
      <c r="R347" s="11" t="str">
        <f t="shared" si="100">IF(I347="已计入",ROUND(K347*C347,2),"")</f>
        <v/>
      </c>
      <c r="S347" s="11" t="str">
        <f t="shared" si="101">IF(I347="已计入",ROUND(R347-Q347,2),"")</f>
        <v/>
      </c>
      <c r="T347" s="12" t="str">
        <f t="shared" si="102">IF(I347="已计入",IF(Q347=0,"",S347/Q347),"")</f>
        <v/>
      </c>
      <c r="U347" s="11">
        <f t="shared" si="110">IF(AA347="正常",U346+IF(AND(I347="已计入",OR(B347="买入",B347="定投",B347="转换转入")),E347,0),"")</f>
        <v>129570</v>
      </c>
      <c r="V347" s="11">
        <f t="shared" si="111">IF(AA347="正常",V346+IF(AND(I347="已计入",OR(B347="卖出",B347="现金分红")),E347,0),"")</f>
        <v>0</v>
      </c>
      <c r="W347" s="11">
        <f t="shared" si="112">IF(AA347="正常",W346+IF(I347="已计入",N347,0),"")</f>
        <v>0</v>
      </c>
      <c r="X347" s="11">
        <f t="shared" si="113">IF(AA347="正常",X346+IF(I347="已计入",P347,0),"")</f>
        <v>0</v>
      </c>
      <c r="Y347" s="11" t="str">
        <f t="shared" si="103">IF(I347="已计入",ROUND(R347+V347-U347,2),"")</f>
        <v/>
      </c>
      <c r="Z347" s="13">
        <f t="shared" si="114">IF(AA347="正常",IF(I347="已计入",A347,Z346),"")</f>
        <v>46239</v>
      </c>
      <c r="AA347" s="10" t="str">
        <f>IF(OR($AA$134="错误",COUNTIF($G$135:G347,"待修正")&gt;0),"错误","正常")</f>
        <v>正常</v>
      </c>
      <c r="AB347" s="14">
        <f t="shared" si="115">IF(AA347="正常",IF(I347="已计入",C347,AB346),"")</f>
        <v>6.347</v>
      </c>
    </row>
    <row r="348" ht="23" customHeight="1">
      <c r="A348" s="36"/>
      <c r="B348" s="37"/>
      <c r="C348" s="38"/>
      <c r="D348" s="39"/>
      <c r="E348" s="44" t="str">
        <f t="shared" si="96">IF(AND(ISNUMBER(C348),ISNUMBER(D348),ISNUMBER(F348)),IF(OR(B348="买入",B348="定投"),ROUND(C348*D348+F348,2),IF(B348="卖出",ROUND(C348*D348-F348,2),IF(B348="红利再投",0,""))),"")</f>
        <v/>
      </c>
      <c r="F348" s="39"/>
      <c r="G348" s="45" t="str">
        <f t="shared" si="97">IF(COUNTA(A348:D348,F348)=0,"",IF(I348="已计入","已录入","待修正"))</f>
        <v/>
      </c>
      <c r="H348" s="46" t="str">
        <f t="shared" si="98">IF(COUNTA(A348:D348,F348)=0,"",IF(B348="红利再投","仅增加份额，不增加现金投入","金额由份额、净值和手续费推算"))</f>
        <v/>
      </c>
      <c r="I348" s="10" t="str">
        <f>IF(COUNTA(A348:D348,F348)=0,"",IF(NOT(ISNUMBER(A348)),"缺少有效净值日期",IF(OR(A348&lt;=0,A348&lt;&gt;INT(A348)),"净值日期无效",IF(OR(B348="转换转入",B348="现金分红"),"该类型需实际金额，五项录入不适用",IF(NOT(OR(OR(B348="买入",B348="定投"),B348="卖出",B348="红利再投")),"请选择交易类型",IF(NOT(ISNUMBER(C348)),"缺少成交净值",IF(C348&lt;=0,"成交净值须大于零",IF(NOT(ISNUMBER(D348)),"缺少确认份额",IF(D348&lt;=0,"确认份额须大于零",IF(NOT(ISNUMBER(F348)),"缺少手续费，无费用请填 0",IF(F348&lt;0,"手续费不能为负",IF(AA347="错误","前行待修正",IF(A348&lt;Z347,"日期需按成交顺序递增",IF(AND(B348="红利再投",F348&lt;&gt;0),"红利再投手续费应填 0",IF(AND(B348="红利再投",K347&lt;=0),"红利再投前须有持仓",IF(AND(B348="卖出",D348&gt;K347+0.000001),"卖出份额超过持仓",IF(AND(B348="卖出",F348&gt;=C348*D348),"赎回费不能达到赎回总额",IF(NOT(ISNUMBER(E348)),"自动金额未生成，请检查五项输入",IF(NOT(OR('持仓总览'!$C$7="利润优先",'持仓总览'!$C$7="本金优先")),"请选择卖出分配模式","已计入")))))))))))))))))))</f>
        <v/>
      </c>
      <c r="J348" s="11">
        <f t="shared" si="99">IF(AA348="正常",IF(I348="已计入",IF(OR(OR(B348="买入",B348="定投",B348="转换转入"),B348="红利再投"),D348,IF(B348="卖出",-D348,0)),0),"")</f>
        <v>0</v>
      </c>
      <c r="K348" s="11">
        <f t="shared" si="104">IF(AA348="正常",ROUND(K347+J348,6),"")</f>
        <v>25721.6</v>
      </c>
      <c r="L348" s="11" t="str">
        <f t="shared" si="105">IF(I348="已计入",ROUND(K347*C348,2),"")</f>
        <v/>
      </c>
      <c r="M348" s="11" t="str">
        <f t="shared" si="106">IF(I348="已计入",IF(B348="卖出",MAX(0,L348-Q347-F348),IF(B348="现金分红",MAX(0,L348+E348-Q347),0)),"")</f>
        <v/>
      </c>
      <c r="N348" s="11" t="str">
        <f>IF(I348="已计入",IF(AND(B348="卖出",'持仓总览'!$C$7="本金优先"),MAX(0,E348-Q347),IF(OR(B348="卖出",B348="现金分红"),MIN(E348,M348),0)),"")</f>
        <v/>
      </c>
      <c r="O348" s="11" t="str">
        <f t="shared" si="107">IF(I348="已计入",IF(OR(B348="卖出",B348="现金分红"),MIN(Q347,MAX(0,E348-N348)),0),"")</f>
        <v/>
      </c>
      <c r="P348" s="11" t="str">
        <f t="shared" si="108">IF(I348="已计入",IF(AND(B348="卖出",K348=0),MAX(0,Q347-O348),0),"")</f>
        <v/>
      </c>
      <c r="Q348" s="11">
        <f t="shared" si="109">IF(AA348="正常",IF(I348="已计入",ROUND(Q347+IF(OR(B348="买入",B348="定投",B348="转换转入"),E348,0)-O348-P348,2),Q347),"")</f>
        <v>129570</v>
      </c>
      <c r="R348" s="11" t="str">
        <f t="shared" si="100">IF(I348="已计入",ROUND(K348*C348,2),"")</f>
        <v/>
      </c>
      <c r="S348" s="11" t="str">
        <f t="shared" si="101">IF(I348="已计入",ROUND(R348-Q348,2),"")</f>
        <v/>
      </c>
      <c r="T348" s="12" t="str">
        <f t="shared" si="102">IF(I348="已计入",IF(Q348=0,"",S348/Q348),"")</f>
        <v/>
      </c>
      <c r="U348" s="11">
        <f t="shared" si="110">IF(AA348="正常",U347+IF(AND(I348="已计入",OR(B348="买入",B348="定投",B348="转换转入")),E348,0),"")</f>
        <v>129570</v>
      </c>
      <c r="V348" s="11">
        <f t="shared" si="111">IF(AA348="正常",V347+IF(AND(I348="已计入",OR(B348="卖出",B348="现金分红")),E348,0),"")</f>
        <v>0</v>
      </c>
      <c r="W348" s="11">
        <f t="shared" si="112">IF(AA348="正常",W347+IF(I348="已计入",N348,0),"")</f>
        <v>0</v>
      </c>
      <c r="X348" s="11">
        <f t="shared" si="113">IF(AA348="正常",X347+IF(I348="已计入",P348,0),"")</f>
        <v>0</v>
      </c>
      <c r="Y348" s="11" t="str">
        <f t="shared" si="103">IF(I348="已计入",ROUND(R348+V348-U348,2),"")</f>
        <v/>
      </c>
      <c r="Z348" s="13">
        <f t="shared" si="114">IF(AA348="正常",IF(I348="已计入",A348,Z347),"")</f>
        <v>46239</v>
      </c>
      <c r="AA348" s="10" t="str">
        <f>IF(OR($AA$134="错误",COUNTIF($G$135:G348,"待修正")&gt;0),"错误","正常")</f>
        <v>正常</v>
      </c>
      <c r="AB348" s="14">
        <f t="shared" si="115">IF(AA348="正常",IF(I348="已计入",C348,AB347),"")</f>
        <v>6.347</v>
      </c>
    </row>
    <row r="349" ht="23" customHeight="1">
      <c r="A349" s="36"/>
      <c r="B349" s="37"/>
      <c r="C349" s="38"/>
      <c r="D349" s="39"/>
      <c r="E349" s="44" t="str">
        <f t="shared" si="96">IF(AND(ISNUMBER(C349),ISNUMBER(D349),ISNUMBER(F349)),IF(OR(B349="买入",B349="定投"),ROUND(C349*D349+F349,2),IF(B349="卖出",ROUND(C349*D349-F349,2),IF(B349="红利再投",0,""))),"")</f>
        <v/>
      </c>
      <c r="F349" s="39"/>
      <c r="G349" s="45" t="str">
        <f t="shared" si="97">IF(COUNTA(A349:D349,F349)=0,"",IF(I349="已计入","已录入","待修正"))</f>
        <v/>
      </c>
      <c r="H349" s="46" t="str">
        <f t="shared" si="98">IF(COUNTA(A349:D349,F349)=0,"",IF(B349="红利再投","仅增加份额，不增加现金投入","金额由份额、净值和手续费推算"))</f>
        <v/>
      </c>
      <c r="I349" s="10" t="str">
        <f>IF(COUNTA(A349:D349,F349)=0,"",IF(NOT(ISNUMBER(A349)),"缺少有效净值日期",IF(OR(A349&lt;=0,A349&lt;&gt;INT(A349)),"净值日期无效",IF(OR(B349="转换转入",B349="现金分红"),"该类型需实际金额，五项录入不适用",IF(NOT(OR(OR(B349="买入",B349="定投"),B349="卖出",B349="红利再投")),"请选择交易类型",IF(NOT(ISNUMBER(C349)),"缺少成交净值",IF(C349&lt;=0,"成交净值须大于零",IF(NOT(ISNUMBER(D349)),"缺少确认份额",IF(D349&lt;=0,"确认份额须大于零",IF(NOT(ISNUMBER(F349)),"缺少手续费，无费用请填 0",IF(F349&lt;0,"手续费不能为负",IF(AA348="错误","前行待修正",IF(A349&lt;Z348,"日期需按成交顺序递增",IF(AND(B349="红利再投",F349&lt;&gt;0),"红利再投手续费应填 0",IF(AND(B349="红利再投",K348&lt;=0),"红利再投前须有持仓",IF(AND(B349="卖出",D349&gt;K348+0.000001),"卖出份额超过持仓",IF(AND(B349="卖出",F349&gt;=C349*D349),"赎回费不能达到赎回总额",IF(NOT(ISNUMBER(E349)),"自动金额未生成，请检查五项输入",IF(NOT(OR('持仓总览'!$C$7="利润优先",'持仓总览'!$C$7="本金优先")),"请选择卖出分配模式","已计入")))))))))))))))))))</f>
        <v/>
      </c>
      <c r="J349" s="11">
        <f t="shared" si="99">IF(AA349="正常",IF(I349="已计入",IF(OR(OR(B349="买入",B349="定投",B349="转换转入"),B349="红利再投"),D349,IF(B349="卖出",-D349,0)),0),"")</f>
        <v>0</v>
      </c>
      <c r="K349" s="11">
        <f t="shared" si="104">IF(AA349="正常",ROUND(K348+J349,6),"")</f>
        <v>25721.6</v>
      </c>
      <c r="L349" s="11" t="str">
        <f t="shared" si="105">IF(I349="已计入",ROUND(K348*C349,2),"")</f>
        <v/>
      </c>
      <c r="M349" s="11" t="str">
        <f t="shared" si="106">IF(I349="已计入",IF(B349="卖出",MAX(0,L349-Q348-F349),IF(B349="现金分红",MAX(0,L349+E349-Q348),0)),"")</f>
        <v/>
      </c>
      <c r="N349" s="11" t="str">
        <f>IF(I349="已计入",IF(AND(B349="卖出",'持仓总览'!$C$7="本金优先"),MAX(0,E349-Q348),IF(OR(B349="卖出",B349="现金分红"),MIN(E349,M349),0)),"")</f>
        <v/>
      </c>
      <c r="O349" s="11" t="str">
        <f t="shared" si="107">IF(I349="已计入",IF(OR(B349="卖出",B349="现金分红"),MIN(Q348,MAX(0,E349-N349)),0),"")</f>
        <v/>
      </c>
      <c r="P349" s="11" t="str">
        <f t="shared" si="108">IF(I349="已计入",IF(AND(B349="卖出",K349=0),MAX(0,Q348-O349),0),"")</f>
        <v/>
      </c>
      <c r="Q349" s="11">
        <f t="shared" si="109">IF(AA349="正常",IF(I349="已计入",ROUND(Q348+IF(OR(B349="买入",B349="定投",B349="转换转入"),E349,0)-O349-P349,2),Q348),"")</f>
        <v>129570</v>
      </c>
      <c r="R349" s="11" t="str">
        <f t="shared" si="100">IF(I349="已计入",ROUND(K349*C349,2),"")</f>
        <v/>
      </c>
      <c r="S349" s="11" t="str">
        <f t="shared" si="101">IF(I349="已计入",ROUND(R349-Q349,2),"")</f>
        <v/>
      </c>
      <c r="T349" s="12" t="str">
        <f t="shared" si="102">IF(I349="已计入",IF(Q349=0,"",S349/Q349),"")</f>
        <v/>
      </c>
      <c r="U349" s="11">
        <f t="shared" si="110">IF(AA349="正常",U348+IF(AND(I349="已计入",OR(B349="买入",B349="定投",B349="转换转入")),E349,0),"")</f>
        <v>129570</v>
      </c>
      <c r="V349" s="11">
        <f t="shared" si="111">IF(AA349="正常",V348+IF(AND(I349="已计入",OR(B349="卖出",B349="现金分红")),E349,0),"")</f>
        <v>0</v>
      </c>
      <c r="W349" s="11">
        <f t="shared" si="112">IF(AA349="正常",W348+IF(I349="已计入",N349,0),"")</f>
        <v>0</v>
      </c>
      <c r="X349" s="11">
        <f t="shared" si="113">IF(AA349="正常",X348+IF(I349="已计入",P349,0),"")</f>
        <v>0</v>
      </c>
      <c r="Y349" s="11" t="str">
        <f t="shared" si="103">IF(I349="已计入",ROUND(R349+V349-U349,2),"")</f>
        <v/>
      </c>
      <c r="Z349" s="13">
        <f t="shared" si="114">IF(AA349="正常",IF(I349="已计入",A349,Z348),"")</f>
        <v>46239</v>
      </c>
      <c r="AA349" s="10" t="str">
        <f>IF(OR($AA$134="错误",COUNTIF($G$135:G349,"待修正")&gt;0),"错误","正常")</f>
        <v>正常</v>
      </c>
      <c r="AB349" s="14">
        <f t="shared" si="115">IF(AA349="正常",IF(I349="已计入",C349,AB348),"")</f>
        <v>6.347</v>
      </c>
    </row>
    <row r="350" ht="23" customHeight="1">
      <c r="A350" s="36"/>
      <c r="B350" s="37"/>
      <c r="C350" s="38"/>
      <c r="D350" s="39"/>
      <c r="E350" s="44" t="str">
        <f t="shared" si="96">IF(AND(ISNUMBER(C350),ISNUMBER(D350),ISNUMBER(F350)),IF(OR(B350="买入",B350="定投"),ROUND(C350*D350+F350,2),IF(B350="卖出",ROUND(C350*D350-F350,2),IF(B350="红利再投",0,""))),"")</f>
        <v/>
      </c>
      <c r="F350" s="39"/>
      <c r="G350" s="45" t="str">
        <f t="shared" si="97">IF(COUNTA(A350:D350,F350)=0,"",IF(I350="已计入","已录入","待修正"))</f>
        <v/>
      </c>
      <c r="H350" s="46" t="str">
        <f t="shared" si="98">IF(COUNTA(A350:D350,F350)=0,"",IF(B350="红利再投","仅增加份额，不增加现金投入","金额由份额、净值和手续费推算"))</f>
        <v/>
      </c>
      <c r="I350" s="10" t="str">
        <f>IF(COUNTA(A350:D350,F350)=0,"",IF(NOT(ISNUMBER(A350)),"缺少有效净值日期",IF(OR(A350&lt;=0,A350&lt;&gt;INT(A350)),"净值日期无效",IF(OR(B350="转换转入",B350="现金分红"),"该类型需实际金额，五项录入不适用",IF(NOT(OR(OR(B350="买入",B350="定投"),B350="卖出",B350="红利再投")),"请选择交易类型",IF(NOT(ISNUMBER(C350)),"缺少成交净值",IF(C350&lt;=0,"成交净值须大于零",IF(NOT(ISNUMBER(D350)),"缺少确认份额",IF(D350&lt;=0,"确认份额须大于零",IF(NOT(ISNUMBER(F350)),"缺少手续费，无费用请填 0",IF(F350&lt;0,"手续费不能为负",IF(AA349="错误","前行待修正",IF(A350&lt;Z349,"日期需按成交顺序递增",IF(AND(B350="红利再投",F350&lt;&gt;0),"红利再投手续费应填 0",IF(AND(B350="红利再投",K349&lt;=0),"红利再投前须有持仓",IF(AND(B350="卖出",D350&gt;K349+0.000001),"卖出份额超过持仓",IF(AND(B350="卖出",F350&gt;=C350*D350),"赎回费不能达到赎回总额",IF(NOT(ISNUMBER(E350)),"自动金额未生成，请检查五项输入",IF(NOT(OR('持仓总览'!$C$7="利润优先",'持仓总览'!$C$7="本金优先")),"请选择卖出分配模式","已计入")))))))))))))))))))</f>
        <v/>
      </c>
      <c r="J350" s="11">
        <f t="shared" si="99">IF(AA350="正常",IF(I350="已计入",IF(OR(OR(B350="买入",B350="定投",B350="转换转入"),B350="红利再投"),D350,IF(B350="卖出",-D350,0)),0),"")</f>
        <v>0</v>
      </c>
      <c r="K350" s="11">
        <f t="shared" si="104">IF(AA350="正常",ROUND(K349+J350,6),"")</f>
        <v>25721.6</v>
      </c>
      <c r="L350" s="11" t="str">
        <f t="shared" si="105">IF(I350="已计入",ROUND(K349*C350,2),"")</f>
        <v/>
      </c>
      <c r="M350" s="11" t="str">
        <f t="shared" si="106">IF(I350="已计入",IF(B350="卖出",MAX(0,L350-Q349-F350),IF(B350="现金分红",MAX(0,L350+E350-Q349),0)),"")</f>
        <v/>
      </c>
      <c r="N350" s="11" t="str">
        <f>IF(I350="已计入",IF(AND(B350="卖出",'持仓总览'!$C$7="本金优先"),MAX(0,E350-Q349),IF(OR(B350="卖出",B350="现金分红"),MIN(E350,M350),0)),"")</f>
        <v/>
      </c>
      <c r="O350" s="11" t="str">
        <f t="shared" si="107">IF(I350="已计入",IF(OR(B350="卖出",B350="现金分红"),MIN(Q349,MAX(0,E350-N350)),0),"")</f>
        <v/>
      </c>
      <c r="P350" s="11" t="str">
        <f t="shared" si="108">IF(I350="已计入",IF(AND(B350="卖出",K350=0),MAX(0,Q349-O350),0),"")</f>
        <v/>
      </c>
      <c r="Q350" s="11">
        <f t="shared" si="109">IF(AA350="正常",IF(I350="已计入",ROUND(Q349+IF(OR(B350="买入",B350="定投",B350="转换转入"),E350,0)-O350-P350,2),Q349),"")</f>
        <v>129570</v>
      </c>
      <c r="R350" s="11" t="str">
        <f t="shared" si="100">IF(I350="已计入",ROUND(K350*C350,2),"")</f>
        <v/>
      </c>
      <c r="S350" s="11" t="str">
        <f t="shared" si="101">IF(I350="已计入",ROUND(R350-Q350,2),"")</f>
        <v/>
      </c>
      <c r="T350" s="12" t="str">
        <f t="shared" si="102">IF(I350="已计入",IF(Q350=0,"",S350/Q350),"")</f>
        <v/>
      </c>
      <c r="U350" s="11">
        <f t="shared" si="110">IF(AA350="正常",U349+IF(AND(I350="已计入",OR(B350="买入",B350="定投",B350="转换转入")),E350,0),"")</f>
        <v>129570</v>
      </c>
      <c r="V350" s="11">
        <f t="shared" si="111">IF(AA350="正常",V349+IF(AND(I350="已计入",OR(B350="卖出",B350="现金分红")),E350,0),"")</f>
        <v>0</v>
      </c>
      <c r="W350" s="11">
        <f t="shared" si="112">IF(AA350="正常",W349+IF(I350="已计入",N350,0),"")</f>
        <v>0</v>
      </c>
      <c r="X350" s="11">
        <f t="shared" si="113">IF(AA350="正常",X349+IF(I350="已计入",P350,0),"")</f>
        <v>0</v>
      </c>
      <c r="Y350" s="11" t="str">
        <f t="shared" si="103">IF(I350="已计入",ROUND(R350+V350-U350,2),"")</f>
        <v/>
      </c>
      <c r="Z350" s="13">
        <f t="shared" si="114">IF(AA350="正常",IF(I350="已计入",A350,Z349),"")</f>
        <v>46239</v>
      </c>
      <c r="AA350" s="10" t="str">
        <f>IF(OR($AA$134="错误",COUNTIF($G$135:G350,"待修正")&gt;0),"错误","正常")</f>
        <v>正常</v>
      </c>
      <c r="AB350" s="14">
        <f t="shared" si="115">IF(AA350="正常",IF(I350="已计入",C350,AB349),"")</f>
        <v>6.347</v>
      </c>
    </row>
    <row r="351" ht="23" customHeight="1">
      <c r="A351" s="36"/>
      <c r="B351" s="37"/>
      <c r="C351" s="38"/>
      <c r="D351" s="39"/>
      <c r="E351" s="44" t="str">
        <f t="shared" si="96">IF(AND(ISNUMBER(C351),ISNUMBER(D351),ISNUMBER(F351)),IF(OR(B351="买入",B351="定投"),ROUND(C351*D351+F351,2),IF(B351="卖出",ROUND(C351*D351-F351,2),IF(B351="红利再投",0,""))),"")</f>
        <v/>
      </c>
      <c r="F351" s="39"/>
      <c r="G351" s="45" t="str">
        <f t="shared" si="97">IF(COUNTA(A351:D351,F351)=0,"",IF(I351="已计入","已录入","待修正"))</f>
        <v/>
      </c>
      <c r="H351" s="46" t="str">
        <f t="shared" si="98">IF(COUNTA(A351:D351,F351)=0,"",IF(B351="红利再投","仅增加份额，不增加现金投入","金额由份额、净值和手续费推算"))</f>
        <v/>
      </c>
      <c r="I351" s="10" t="str">
        <f>IF(COUNTA(A351:D351,F351)=0,"",IF(NOT(ISNUMBER(A351)),"缺少有效净值日期",IF(OR(A351&lt;=0,A351&lt;&gt;INT(A351)),"净值日期无效",IF(OR(B351="转换转入",B351="现金分红"),"该类型需实际金额，五项录入不适用",IF(NOT(OR(OR(B351="买入",B351="定投"),B351="卖出",B351="红利再投")),"请选择交易类型",IF(NOT(ISNUMBER(C351)),"缺少成交净值",IF(C351&lt;=0,"成交净值须大于零",IF(NOT(ISNUMBER(D351)),"缺少确认份额",IF(D351&lt;=0,"确认份额须大于零",IF(NOT(ISNUMBER(F351)),"缺少手续费，无费用请填 0",IF(F351&lt;0,"手续费不能为负",IF(AA350="错误","前行待修正",IF(A351&lt;Z350,"日期需按成交顺序递增",IF(AND(B351="红利再投",F351&lt;&gt;0),"红利再投手续费应填 0",IF(AND(B351="红利再投",K350&lt;=0),"红利再投前须有持仓",IF(AND(B351="卖出",D351&gt;K350+0.000001),"卖出份额超过持仓",IF(AND(B351="卖出",F351&gt;=C351*D351),"赎回费不能达到赎回总额",IF(NOT(ISNUMBER(E351)),"自动金额未生成，请检查五项输入",IF(NOT(OR('持仓总览'!$C$7="利润优先",'持仓总览'!$C$7="本金优先")),"请选择卖出分配模式","已计入")))))))))))))))))))</f>
        <v/>
      </c>
      <c r="J351" s="11">
        <f t="shared" si="99">IF(AA351="正常",IF(I351="已计入",IF(OR(OR(B351="买入",B351="定投",B351="转换转入"),B351="红利再投"),D351,IF(B351="卖出",-D351,0)),0),"")</f>
        <v>0</v>
      </c>
      <c r="K351" s="11">
        <f t="shared" si="104">IF(AA351="正常",ROUND(K350+J351,6),"")</f>
        <v>25721.6</v>
      </c>
      <c r="L351" s="11" t="str">
        <f t="shared" si="105">IF(I351="已计入",ROUND(K350*C351,2),"")</f>
        <v/>
      </c>
      <c r="M351" s="11" t="str">
        <f t="shared" si="106">IF(I351="已计入",IF(B351="卖出",MAX(0,L351-Q350-F351),IF(B351="现金分红",MAX(0,L351+E351-Q350),0)),"")</f>
        <v/>
      </c>
      <c r="N351" s="11" t="str">
        <f>IF(I351="已计入",IF(AND(B351="卖出",'持仓总览'!$C$7="本金优先"),MAX(0,E351-Q350),IF(OR(B351="卖出",B351="现金分红"),MIN(E351,M351),0)),"")</f>
        <v/>
      </c>
      <c r="O351" s="11" t="str">
        <f t="shared" si="107">IF(I351="已计入",IF(OR(B351="卖出",B351="现金分红"),MIN(Q350,MAX(0,E351-N351)),0),"")</f>
        <v/>
      </c>
      <c r="P351" s="11" t="str">
        <f t="shared" si="108">IF(I351="已计入",IF(AND(B351="卖出",K351=0),MAX(0,Q350-O351),0),"")</f>
        <v/>
      </c>
      <c r="Q351" s="11">
        <f t="shared" si="109">IF(AA351="正常",IF(I351="已计入",ROUND(Q350+IF(OR(B351="买入",B351="定投",B351="转换转入"),E351,0)-O351-P351,2),Q350),"")</f>
        <v>129570</v>
      </c>
      <c r="R351" s="11" t="str">
        <f t="shared" si="100">IF(I351="已计入",ROUND(K351*C351,2),"")</f>
        <v/>
      </c>
      <c r="S351" s="11" t="str">
        <f t="shared" si="101">IF(I351="已计入",ROUND(R351-Q351,2),"")</f>
        <v/>
      </c>
      <c r="T351" s="12" t="str">
        <f t="shared" si="102">IF(I351="已计入",IF(Q351=0,"",S351/Q351),"")</f>
        <v/>
      </c>
      <c r="U351" s="11">
        <f t="shared" si="110">IF(AA351="正常",U350+IF(AND(I351="已计入",OR(B351="买入",B351="定投",B351="转换转入")),E351,0),"")</f>
        <v>129570</v>
      </c>
      <c r="V351" s="11">
        <f t="shared" si="111">IF(AA351="正常",V350+IF(AND(I351="已计入",OR(B351="卖出",B351="现金分红")),E351,0),"")</f>
        <v>0</v>
      </c>
      <c r="W351" s="11">
        <f t="shared" si="112">IF(AA351="正常",W350+IF(I351="已计入",N351,0),"")</f>
        <v>0</v>
      </c>
      <c r="X351" s="11">
        <f t="shared" si="113">IF(AA351="正常",X350+IF(I351="已计入",P351,0),"")</f>
        <v>0</v>
      </c>
      <c r="Y351" s="11" t="str">
        <f t="shared" si="103">IF(I351="已计入",ROUND(R351+V351-U351,2),"")</f>
        <v/>
      </c>
      <c r="Z351" s="13">
        <f t="shared" si="114">IF(AA351="正常",IF(I351="已计入",A351,Z350),"")</f>
        <v>46239</v>
      </c>
      <c r="AA351" s="10" t="str">
        <f>IF(OR($AA$134="错误",COUNTIF($G$135:G351,"待修正")&gt;0),"错误","正常")</f>
        <v>正常</v>
      </c>
      <c r="AB351" s="14">
        <f t="shared" si="115">IF(AA351="正常",IF(I351="已计入",C351,AB350),"")</f>
        <v>6.347</v>
      </c>
    </row>
    <row r="352" ht="23" customHeight="1">
      <c r="A352" s="36"/>
      <c r="B352" s="37"/>
      <c r="C352" s="38"/>
      <c r="D352" s="39"/>
      <c r="E352" s="44" t="str">
        <f t="shared" si="96">IF(AND(ISNUMBER(C352),ISNUMBER(D352),ISNUMBER(F352)),IF(OR(B352="买入",B352="定投"),ROUND(C352*D352+F352,2),IF(B352="卖出",ROUND(C352*D352-F352,2),IF(B352="红利再投",0,""))),"")</f>
        <v/>
      </c>
      <c r="F352" s="39"/>
      <c r="G352" s="45" t="str">
        <f t="shared" si="97">IF(COUNTA(A352:D352,F352)=0,"",IF(I352="已计入","已录入","待修正"))</f>
        <v/>
      </c>
      <c r="H352" s="46" t="str">
        <f t="shared" si="98">IF(COUNTA(A352:D352,F352)=0,"",IF(B352="红利再投","仅增加份额，不增加现金投入","金额由份额、净值和手续费推算"))</f>
        <v/>
      </c>
      <c r="I352" s="10" t="str">
        <f>IF(COUNTA(A352:D352,F352)=0,"",IF(NOT(ISNUMBER(A352)),"缺少有效净值日期",IF(OR(A352&lt;=0,A352&lt;&gt;INT(A352)),"净值日期无效",IF(OR(B352="转换转入",B352="现金分红"),"该类型需实际金额，五项录入不适用",IF(NOT(OR(OR(B352="买入",B352="定投"),B352="卖出",B352="红利再投")),"请选择交易类型",IF(NOT(ISNUMBER(C352)),"缺少成交净值",IF(C352&lt;=0,"成交净值须大于零",IF(NOT(ISNUMBER(D352)),"缺少确认份额",IF(D352&lt;=0,"确认份额须大于零",IF(NOT(ISNUMBER(F352)),"缺少手续费，无费用请填 0",IF(F352&lt;0,"手续费不能为负",IF(AA351="错误","前行待修正",IF(A352&lt;Z351,"日期需按成交顺序递增",IF(AND(B352="红利再投",F352&lt;&gt;0),"红利再投手续费应填 0",IF(AND(B352="红利再投",K351&lt;=0),"红利再投前须有持仓",IF(AND(B352="卖出",D352&gt;K351+0.000001),"卖出份额超过持仓",IF(AND(B352="卖出",F352&gt;=C352*D352),"赎回费不能达到赎回总额",IF(NOT(ISNUMBER(E352)),"自动金额未生成，请检查五项输入",IF(NOT(OR('持仓总览'!$C$7="利润优先",'持仓总览'!$C$7="本金优先")),"请选择卖出分配模式","已计入")))))))))))))))))))</f>
        <v/>
      </c>
      <c r="J352" s="11">
        <f t="shared" si="99">IF(AA352="正常",IF(I352="已计入",IF(OR(OR(B352="买入",B352="定投",B352="转换转入"),B352="红利再投"),D352,IF(B352="卖出",-D352,0)),0),"")</f>
        <v>0</v>
      </c>
      <c r="K352" s="11">
        <f t="shared" si="104">IF(AA352="正常",ROUND(K351+J352,6),"")</f>
        <v>25721.6</v>
      </c>
      <c r="L352" s="11" t="str">
        <f t="shared" si="105">IF(I352="已计入",ROUND(K351*C352,2),"")</f>
        <v/>
      </c>
      <c r="M352" s="11" t="str">
        <f t="shared" si="106">IF(I352="已计入",IF(B352="卖出",MAX(0,L352-Q351-F352),IF(B352="现金分红",MAX(0,L352+E352-Q351),0)),"")</f>
        <v/>
      </c>
      <c r="N352" s="11" t="str">
        <f>IF(I352="已计入",IF(AND(B352="卖出",'持仓总览'!$C$7="本金优先"),MAX(0,E352-Q351),IF(OR(B352="卖出",B352="现金分红"),MIN(E352,M352),0)),"")</f>
        <v/>
      </c>
      <c r="O352" s="11" t="str">
        <f t="shared" si="107">IF(I352="已计入",IF(OR(B352="卖出",B352="现金分红"),MIN(Q351,MAX(0,E352-N352)),0),"")</f>
        <v/>
      </c>
      <c r="P352" s="11" t="str">
        <f t="shared" si="108">IF(I352="已计入",IF(AND(B352="卖出",K352=0),MAX(0,Q351-O352),0),"")</f>
        <v/>
      </c>
      <c r="Q352" s="11">
        <f t="shared" si="109">IF(AA352="正常",IF(I352="已计入",ROUND(Q351+IF(OR(B352="买入",B352="定投",B352="转换转入"),E352,0)-O352-P352,2),Q351),"")</f>
        <v>129570</v>
      </c>
      <c r="R352" s="11" t="str">
        <f t="shared" si="100">IF(I352="已计入",ROUND(K352*C352,2),"")</f>
        <v/>
      </c>
      <c r="S352" s="11" t="str">
        <f t="shared" si="101">IF(I352="已计入",ROUND(R352-Q352,2),"")</f>
        <v/>
      </c>
      <c r="T352" s="12" t="str">
        <f t="shared" si="102">IF(I352="已计入",IF(Q352=0,"",S352/Q352),"")</f>
        <v/>
      </c>
      <c r="U352" s="11">
        <f t="shared" si="110">IF(AA352="正常",U351+IF(AND(I352="已计入",OR(B352="买入",B352="定投",B352="转换转入")),E352,0),"")</f>
        <v>129570</v>
      </c>
      <c r="V352" s="11">
        <f t="shared" si="111">IF(AA352="正常",V351+IF(AND(I352="已计入",OR(B352="卖出",B352="现金分红")),E352,0),"")</f>
        <v>0</v>
      </c>
      <c r="W352" s="11">
        <f t="shared" si="112">IF(AA352="正常",W351+IF(I352="已计入",N352,0),"")</f>
        <v>0</v>
      </c>
      <c r="X352" s="11">
        <f t="shared" si="113">IF(AA352="正常",X351+IF(I352="已计入",P352,0),"")</f>
        <v>0</v>
      </c>
      <c r="Y352" s="11" t="str">
        <f t="shared" si="103">IF(I352="已计入",ROUND(R352+V352-U352,2),"")</f>
        <v/>
      </c>
      <c r="Z352" s="13">
        <f t="shared" si="114">IF(AA352="正常",IF(I352="已计入",A352,Z351),"")</f>
        <v>46239</v>
      </c>
      <c r="AA352" s="10" t="str">
        <f>IF(OR($AA$134="错误",COUNTIF($G$135:G352,"待修正")&gt;0),"错误","正常")</f>
        <v>正常</v>
      </c>
      <c r="AB352" s="14">
        <f t="shared" si="115">IF(AA352="正常",IF(I352="已计入",C352,AB351),"")</f>
        <v>6.347</v>
      </c>
    </row>
    <row r="353" ht="23" customHeight="1">
      <c r="A353" s="36"/>
      <c r="B353" s="37"/>
      <c r="C353" s="38"/>
      <c r="D353" s="39"/>
      <c r="E353" s="44" t="str">
        <f t="shared" si="96">IF(AND(ISNUMBER(C353),ISNUMBER(D353),ISNUMBER(F353)),IF(OR(B353="买入",B353="定投"),ROUND(C353*D353+F353,2),IF(B353="卖出",ROUND(C353*D353-F353,2),IF(B353="红利再投",0,""))),"")</f>
        <v/>
      </c>
      <c r="F353" s="39"/>
      <c r="G353" s="45" t="str">
        <f t="shared" si="97">IF(COUNTA(A353:D353,F353)=0,"",IF(I353="已计入","已录入","待修正"))</f>
        <v/>
      </c>
      <c r="H353" s="46" t="str">
        <f t="shared" si="98">IF(COUNTA(A353:D353,F353)=0,"",IF(B353="红利再投","仅增加份额，不增加现金投入","金额由份额、净值和手续费推算"))</f>
        <v/>
      </c>
      <c r="I353" s="10" t="str">
        <f>IF(COUNTA(A353:D353,F353)=0,"",IF(NOT(ISNUMBER(A353)),"缺少有效净值日期",IF(OR(A353&lt;=0,A353&lt;&gt;INT(A353)),"净值日期无效",IF(OR(B353="转换转入",B353="现金分红"),"该类型需实际金额，五项录入不适用",IF(NOT(OR(OR(B353="买入",B353="定投"),B353="卖出",B353="红利再投")),"请选择交易类型",IF(NOT(ISNUMBER(C353)),"缺少成交净值",IF(C353&lt;=0,"成交净值须大于零",IF(NOT(ISNUMBER(D353)),"缺少确认份额",IF(D353&lt;=0,"确认份额须大于零",IF(NOT(ISNUMBER(F353)),"缺少手续费，无费用请填 0",IF(F353&lt;0,"手续费不能为负",IF(AA352="错误","前行待修正",IF(A353&lt;Z352,"日期需按成交顺序递增",IF(AND(B353="红利再投",F353&lt;&gt;0),"红利再投手续费应填 0",IF(AND(B353="红利再投",K352&lt;=0),"红利再投前须有持仓",IF(AND(B353="卖出",D353&gt;K352+0.000001),"卖出份额超过持仓",IF(AND(B353="卖出",F353&gt;=C353*D353),"赎回费不能达到赎回总额",IF(NOT(ISNUMBER(E353)),"自动金额未生成，请检查五项输入",IF(NOT(OR('持仓总览'!$C$7="利润优先",'持仓总览'!$C$7="本金优先")),"请选择卖出分配模式","已计入")))))))))))))))))))</f>
        <v/>
      </c>
      <c r="J353" s="11">
        <f t="shared" si="99">IF(AA353="正常",IF(I353="已计入",IF(OR(OR(B353="买入",B353="定投",B353="转换转入"),B353="红利再投"),D353,IF(B353="卖出",-D353,0)),0),"")</f>
        <v>0</v>
      </c>
      <c r="K353" s="11">
        <f t="shared" si="104">IF(AA353="正常",ROUND(K352+J353,6),"")</f>
        <v>25721.6</v>
      </c>
      <c r="L353" s="11" t="str">
        <f t="shared" si="105">IF(I353="已计入",ROUND(K352*C353,2),"")</f>
        <v/>
      </c>
      <c r="M353" s="11" t="str">
        <f t="shared" si="106">IF(I353="已计入",IF(B353="卖出",MAX(0,L353-Q352-F353),IF(B353="现金分红",MAX(0,L353+E353-Q352),0)),"")</f>
        <v/>
      </c>
      <c r="N353" s="11" t="str">
        <f>IF(I353="已计入",IF(AND(B353="卖出",'持仓总览'!$C$7="本金优先"),MAX(0,E353-Q352),IF(OR(B353="卖出",B353="现金分红"),MIN(E353,M353),0)),"")</f>
        <v/>
      </c>
      <c r="O353" s="11" t="str">
        <f t="shared" si="107">IF(I353="已计入",IF(OR(B353="卖出",B353="现金分红"),MIN(Q352,MAX(0,E353-N353)),0),"")</f>
        <v/>
      </c>
      <c r="P353" s="11" t="str">
        <f t="shared" si="108">IF(I353="已计入",IF(AND(B353="卖出",K353=0),MAX(0,Q352-O353),0),"")</f>
        <v/>
      </c>
      <c r="Q353" s="11">
        <f t="shared" si="109">IF(AA353="正常",IF(I353="已计入",ROUND(Q352+IF(OR(B353="买入",B353="定投",B353="转换转入"),E353,0)-O353-P353,2),Q352),"")</f>
        <v>129570</v>
      </c>
      <c r="R353" s="11" t="str">
        <f t="shared" si="100">IF(I353="已计入",ROUND(K353*C353,2),"")</f>
        <v/>
      </c>
      <c r="S353" s="11" t="str">
        <f t="shared" si="101">IF(I353="已计入",ROUND(R353-Q353,2),"")</f>
        <v/>
      </c>
      <c r="T353" s="12" t="str">
        <f t="shared" si="102">IF(I353="已计入",IF(Q353=0,"",S353/Q353),"")</f>
        <v/>
      </c>
      <c r="U353" s="11">
        <f t="shared" si="110">IF(AA353="正常",U352+IF(AND(I353="已计入",OR(B353="买入",B353="定投",B353="转换转入")),E353,0),"")</f>
        <v>129570</v>
      </c>
      <c r="V353" s="11">
        <f t="shared" si="111">IF(AA353="正常",V352+IF(AND(I353="已计入",OR(B353="卖出",B353="现金分红")),E353,0),"")</f>
        <v>0</v>
      </c>
      <c r="W353" s="11">
        <f t="shared" si="112">IF(AA353="正常",W352+IF(I353="已计入",N353,0),"")</f>
        <v>0</v>
      </c>
      <c r="X353" s="11">
        <f t="shared" si="113">IF(AA353="正常",X352+IF(I353="已计入",P353,0),"")</f>
        <v>0</v>
      </c>
      <c r="Y353" s="11" t="str">
        <f t="shared" si="103">IF(I353="已计入",ROUND(R353+V353-U353,2),"")</f>
        <v/>
      </c>
      <c r="Z353" s="13">
        <f t="shared" si="114">IF(AA353="正常",IF(I353="已计入",A353,Z352),"")</f>
        <v>46239</v>
      </c>
      <c r="AA353" s="10" t="str">
        <f>IF(OR($AA$134="错误",COUNTIF($G$135:G353,"待修正")&gt;0),"错误","正常")</f>
        <v>正常</v>
      </c>
      <c r="AB353" s="14">
        <f t="shared" si="115">IF(AA353="正常",IF(I353="已计入",C353,AB352),"")</f>
        <v>6.347</v>
      </c>
    </row>
    <row r="354" ht="23" customHeight="1">
      <c r="A354" s="36"/>
      <c r="B354" s="37"/>
      <c r="C354" s="38"/>
      <c r="D354" s="39"/>
      <c r="E354" s="44" t="str">
        <f t="shared" si="96">IF(AND(ISNUMBER(C354),ISNUMBER(D354),ISNUMBER(F354)),IF(OR(B354="买入",B354="定投"),ROUND(C354*D354+F354,2),IF(B354="卖出",ROUND(C354*D354-F354,2),IF(B354="红利再投",0,""))),"")</f>
        <v/>
      </c>
      <c r="F354" s="39"/>
      <c r="G354" s="45" t="str">
        <f t="shared" si="97">IF(COUNTA(A354:D354,F354)=0,"",IF(I354="已计入","已录入","待修正"))</f>
        <v/>
      </c>
      <c r="H354" s="46" t="str">
        <f t="shared" si="98">IF(COUNTA(A354:D354,F354)=0,"",IF(B354="红利再投","仅增加份额，不增加现金投入","金额由份额、净值和手续费推算"))</f>
        <v/>
      </c>
      <c r="I354" s="10" t="str">
        <f>IF(COUNTA(A354:D354,F354)=0,"",IF(NOT(ISNUMBER(A354)),"缺少有效净值日期",IF(OR(A354&lt;=0,A354&lt;&gt;INT(A354)),"净值日期无效",IF(OR(B354="转换转入",B354="现金分红"),"该类型需实际金额，五项录入不适用",IF(NOT(OR(OR(B354="买入",B354="定投"),B354="卖出",B354="红利再投")),"请选择交易类型",IF(NOT(ISNUMBER(C354)),"缺少成交净值",IF(C354&lt;=0,"成交净值须大于零",IF(NOT(ISNUMBER(D354)),"缺少确认份额",IF(D354&lt;=0,"确认份额须大于零",IF(NOT(ISNUMBER(F354)),"缺少手续费，无费用请填 0",IF(F354&lt;0,"手续费不能为负",IF(AA353="错误","前行待修正",IF(A354&lt;Z353,"日期需按成交顺序递增",IF(AND(B354="红利再投",F354&lt;&gt;0),"红利再投手续费应填 0",IF(AND(B354="红利再投",K353&lt;=0),"红利再投前须有持仓",IF(AND(B354="卖出",D354&gt;K353+0.000001),"卖出份额超过持仓",IF(AND(B354="卖出",F354&gt;=C354*D354),"赎回费不能达到赎回总额",IF(NOT(ISNUMBER(E354)),"自动金额未生成，请检查五项输入",IF(NOT(OR('持仓总览'!$C$7="利润优先",'持仓总览'!$C$7="本金优先")),"请选择卖出分配模式","已计入")))))))))))))))))))</f>
        <v/>
      </c>
      <c r="J354" s="11">
        <f t="shared" si="99">IF(AA354="正常",IF(I354="已计入",IF(OR(OR(B354="买入",B354="定投",B354="转换转入"),B354="红利再投"),D354,IF(B354="卖出",-D354,0)),0),"")</f>
        <v>0</v>
      </c>
      <c r="K354" s="11">
        <f t="shared" si="104">IF(AA354="正常",ROUND(K353+J354,6),"")</f>
        <v>25721.6</v>
      </c>
      <c r="L354" s="11" t="str">
        <f t="shared" si="105">IF(I354="已计入",ROUND(K353*C354,2),"")</f>
        <v/>
      </c>
      <c r="M354" s="11" t="str">
        <f t="shared" si="106">IF(I354="已计入",IF(B354="卖出",MAX(0,L354-Q353-F354),IF(B354="现金分红",MAX(0,L354+E354-Q353),0)),"")</f>
        <v/>
      </c>
      <c r="N354" s="11" t="str">
        <f>IF(I354="已计入",IF(AND(B354="卖出",'持仓总览'!$C$7="本金优先"),MAX(0,E354-Q353),IF(OR(B354="卖出",B354="现金分红"),MIN(E354,M354),0)),"")</f>
        <v/>
      </c>
      <c r="O354" s="11" t="str">
        <f t="shared" si="107">IF(I354="已计入",IF(OR(B354="卖出",B354="现金分红"),MIN(Q353,MAX(0,E354-N354)),0),"")</f>
        <v/>
      </c>
      <c r="P354" s="11" t="str">
        <f t="shared" si="108">IF(I354="已计入",IF(AND(B354="卖出",K354=0),MAX(0,Q353-O354),0),"")</f>
        <v/>
      </c>
      <c r="Q354" s="11">
        <f t="shared" si="109">IF(AA354="正常",IF(I354="已计入",ROUND(Q353+IF(OR(B354="买入",B354="定投",B354="转换转入"),E354,0)-O354-P354,2),Q353),"")</f>
        <v>129570</v>
      </c>
      <c r="R354" s="11" t="str">
        <f t="shared" si="100">IF(I354="已计入",ROUND(K354*C354,2),"")</f>
        <v/>
      </c>
      <c r="S354" s="11" t="str">
        <f t="shared" si="101">IF(I354="已计入",ROUND(R354-Q354,2),"")</f>
        <v/>
      </c>
      <c r="T354" s="12" t="str">
        <f t="shared" si="102">IF(I354="已计入",IF(Q354=0,"",S354/Q354),"")</f>
        <v/>
      </c>
      <c r="U354" s="11">
        <f t="shared" si="110">IF(AA354="正常",U353+IF(AND(I354="已计入",OR(B354="买入",B354="定投",B354="转换转入")),E354,0),"")</f>
        <v>129570</v>
      </c>
      <c r="V354" s="11">
        <f t="shared" si="111">IF(AA354="正常",V353+IF(AND(I354="已计入",OR(B354="卖出",B354="现金分红")),E354,0),"")</f>
        <v>0</v>
      </c>
      <c r="W354" s="11">
        <f t="shared" si="112">IF(AA354="正常",W353+IF(I354="已计入",N354,0),"")</f>
        <v>0</v>
      </c>
      <c r="X354" s="11">
        <f t="shared" si="113">IF(AA354="正常",X353+IF(I354="已计入",P354,0),"")</f>
        <v>0</v>
      </c>
      <c r="Y354" s="11" t="str">
        <f t="shared" si="103">IF(I354="已计入",ROUND(R354+V354-U354,2),"")</f>
        <v/>
      </c>
      <c r="Z354" s="13">
        <f t="shared" si="114">IF(AA354="正常",IF(I354="已计入",A354,Z353),"")</f>
        <v>46239</v>
      </c>
      <c r="AA354" s="10" t="str">
        <f>IF(OR($AA$134="错误",COUNTIF($G$135:G354,"待修正")&gt;0),"错误","正常")</f>
        <v>正常</v>
      </c>
      <c r="AB354" s="14">
        <f t="shared" si="115">IF(AA354="正常",IF(I354="已计入",C354,AB353),"")</f>
        <v>6.347</v>
      </c>
    </row>
    <row r="355" ht="23" customHeight="1">
      <c r="A355" s="36"/>
      <c r="B355" s="37"/>
      <c r="C355" s="38"/>
      <c r="D355" s="39"/>
      <c r="E355" s="44" t="str">
        <f t="shared" si="96">IF(AND(ISNUMBER(C355),ISNUMBER(D355),ISNUMBER(F355)),IF(OR(B355="买入",B355="定投"),ROUND(C355*D355+F355,2),IF(B355="卖出",ROUND(C355*D355-F355,2),IF(B355="红利再投",0,""))),"")</f>
        <v/>
      </c>
      <c r="F355" s="39"/>
      <c r="G355" s="45" t="str">
        <f t="shared" si="97">IF(COUNTA(A355:D355,F355)=0,"",IF(I355="已计入","已录入","待修正"))</f>
        <v/>
      </c>
      <c r="H355" s="46" t="str">
        <f t="shared" si="98">IF(COUNTA(A355:D355,F355)=0,"",IF(B355="红利再投","仅增加份额，不增加现金投入","金额由份额、净值和手续费推算"))</f>
        <v/>
      </c>
      <c r="I355" s="10" t="str">
        <f>IF(COUNTA(A355:D355,F355)=0,"",IF(NOT(ISNUMBER(A355)),"缺少有效净值日期",IF(OR(A355&lt;=0,A355&lt;&gt;INT(A355)),"净值日期无效",IF(OR(B355="转换转入",B355="现金分红"),"该类型需实际金额，五项录入不适用",IF(NOT(OR(OR(B355="买入",B355="定投"),B355="卖出",B355="红利再投")),"请选择交易类型",IF(NOT(ISNUMBER(C355)),"缺少成交净值",IF(C355&lt;=0,"成交净值须大于零",IF(NOT(ISNUMBER(D355)),"缺少确认份额",IF(D355&lt;=0,"确认份额须大于零",IF(NOT(ISNUMBER(F355)),"缺少手续费，无费用请填 0",IF(F355&lt;0,"手续费不能为负",IF(AA354="错误","前行待修正",IF(A355&lt;Z354,"日期需按成交顺序递增",IF(AND(B355="红利再投",F355&lt;&gt;0),"红利再投手续费应填 0",IF(AND(B355="红利再投",K354&lt;=0),"红利再投前须有持仓",IF(AND(B355="卖出",D355&gt;K354+0.000001),"卖出份额超过持仓",IF(AND(B355="卖出",F355&gt;=C355*D355),"赎回费不能达到赎回总额",IF(NOT(ISNUMBER(E355)),"自动金额未生成，请检查五项输入",IF(NOT(OR('持仓总览'!$C$7="利润优先",'持仓总览'!$C$7="本金优先")),"请选择卖出分配模式","已计入")))))))))))))))))))</f>
        <v/>
      </c>
      <c r="J355" s="11">
        <f t="shared" si="99">IF(AA355="正常",IF(I355="已计入",IF(OR(OR(B355="买入",B355="定投",B355="转换转入"),B355="红利再投"),D355,IF(B355="卖出",-D355,0)),0),"")</f>
        <v>0</v>
      </c>
      <c r="K355" s="11">
        <f t="shared" si="104">IF(AA355="正常",ROUND(K354+J355,6),"")</f>
        <v>25721.6</v>
      </c>
      <c r="L355" s="11" t="str">
        <f t="shared" si="105">IF(I355="已计入",ROUND(K354*C355,2),"")</f>
        <v/>
      </c>
      <c r="M355" s="11" t="str">
        <f t="shared" si="106">IF(I355="已计入",IF(B355="卖出",MAX(0,L355-Q354-F355),IF(B355="现金分红",MAX(0,L355+E355-Q354),0)),"")</f>
        <v/>
      </c>
      <c r="N355" s="11" t="str">
        <f>IF(I355="已计入",IF(AND(B355="卖出",'持仓总览'!$C$7="本金优先"),MAX(0,E355-Q354),IF(OR(B355="卖出",B355="现金分红"),MIN(E355,M355),0)),"")</f>
        <v/>
      </c>
      <c r="O355" s="11" t="str">
        <f t="shared" si="107">IF(I355="已计入",IF(OR(B355="卖出",B355="现金分红"),MIN(Q354,MAX(0,E355-N355)),0),"")</f>
        <v/>
      </c>
      <c r="P355" s="11" t="str">
        <f t="shared" si="108">IF(I355="已计入",IF(AND(B355="卖出",K355=0),MAX(0,Q354-O355),0),"")</f>
        <v/>
      </c>
      <c r="Q355" s="11">
        <f t="shared" si="109">IF(AA355="正常",IF(I355="已计入",ROUND(Q354+IF(OR(B355="买入",B355="定投",B355="转换转入"),E355,0)-O355-P355,2),Q354),"")</f>
        <v>129570</v>
      </c>
      <c r="R355" s="11" t="str">
        <f t="shared" si="100">IF(I355="已计入",ROUND(K355*C355,2),"")</f>
        <v/>
      </c>
      <c r="S355" s="11" t="str">
        <f t="shared" si="101">IF(I355="已计入",ROUND(R355-Q355,2),"")</f>
        <v/>
      </c>
      <c r="T355" s="12" t="str">
        <f t="shared" si="102">IF(I355="已计入",IF(Q355=0,"",S355/Q355),"")</f>
        <v/>
      </c>
      <c r="U355" s="11">
        <f t="shared" si="110">IF(AA355="正常",U354+IF(AND(I355="已计入",OR(B355="买入",B355="定投",B355="转换转入")),E355,0),"")</f>
        <v>129570</v>
      </c>
      <c r="V355" s="11">
        <f t="shared" si="111">IF(AA355="正常",V354+IF(AND(I355="已计入",OR(B355="卖出",B355="现金分红")),E355,0),"")</f>
        <v>0</v>
      </c>
      <c r="W355" s="11">
        <f t="shared" si="112">IF(AA355="正常",W354+IF(I355="已计入",N355,0),"")</f>
        <v>0</v>
      </c>
      <c r="X355" s="11">
        <f t="shared" si="113">IF(AA355="正常",X354+IF(I355="已计入",P355,0),"")</f>
        <v>0</v>
      </c>
      <c r="Y355" s="11" t="str">
        <f t="shared" si="103">IF(I355="已计入",ROUND(R355+V355-U355,2),"")</f>
        <v/>
      </c>
      <c r="Z355" s="13">
        <f t="shared" si="114">IF(AA355="正常",IF(I355="已计入",A355,Z354),"")</f>
        <v>46239</v>
      </c>
      <c r="AA355" s="10" t="str">
        <f>IF(OR($AA$134="错误",COUNTIF($G$135:G355,"待修正")&gt;0),"错误","正常")</f>
        <v>正常</v>
      </c>
      <c r="AB355" s="14">
        <f t="shared" si="115">IF(AA355="正常",IF(I355="已计入",C355,AB354),"")</f>
        <v>6.347</v>
      </c>
    </row>
    <row r="356" ht="23" customHeight="1">
      <c r="A356" s="36"/>
      <c r="B356" s="37"/>
      <c r="C356" s="38"/>
      <c r="D356" s="39"/>
      <c r="E356" s="44" t="str">
        <f t="shared" si="96">IF(AND(ISNUMBER(C356),ISNUMBER(D356),ISNUMBER(F356)),IF(OR(B356="买入",B356="定投"),ROUND(C356*D356+F356,2),IF(B356="卖出",ROUND(C356*D356-F356,2),IF(B356="红利再投",0,""))),"")</f>
        <v/>
      </c>
      <c r="F356" s="39"/>
      <c r="G356" s="45" t="str">
        <f t="shared" si="97">IF(COUNTA(A356:D356,F356)=0,"",IF(I356="已计入","已录入","待修正"))</f>
        <v/>
      </c>
      <c r="H356" s="46" t="str">
        <f t="shared" si="98">IF(COUNTA(A356:D356,F356)=0,"",IF(B356="红利再投","仅增加份额，不增加现金投入","金额由份额、净值和手续费推算"))</f>
        <v/>
      </c>
      <c r="I356" s="10" t="str">
        <f>IF(COUNTA(A356:D356,F356)=0,"",IF(NOT(ISNUMBER(A356)),"缺少有效净值日期",IF(OR(A356&lt;=0,A356&lt;&gt;INT(A356)),"净值日期无效",IF(OR(B356="转换转入",B356="现金分红"),"该类型需实际金额，五项录入不适用",IF(NOT(OR(OR(B356="买入",B356="定投"),B356="卖出",B356="红利再投")),"请选择交易类型",IF(NOT(ISNUMBER(C356)),"缺少成交净值",IF(C356&lt;=0,"成交净值须大于零",IF(NOT(ISNUMBER(D356)),"缺少确认份额",IF(D356&lt;=0,"确认份额须大于零",IF(NOT(ISNUMBER(F356)),"缺少手续费，无费用请填 0",IF(F356&lt;0,"手续费不能为负",IF(AA355="错误","前行待修正",IF(A356&lt;Z355,"日期需按成交顺序递增",IF(AND(B356="红利再投",F356&lt;&gt;0),"红利再投手续费应填 0",IF(AND(B356="红利再投",K355&lt;=0),"红利再投前须有持仓",IF(AND(B356="卖出",D356&gt;K355+0.000001),"卖出份额超过持仓",IF(AND(B356="卖出",F356&gt;=C356*D356),"赎回费不能达到赎回总额",IF(NOT(ISNUMBER(E356)),"自动金额未生成，请检查五项输入",IF(NOT(OR('持仓总览'!$C$7="利润优先",'持仓总览'!$C$7="本金优先")),"请选择卖出分配模式","已计入")))))))))))))))))))</f>
        <v/>
      </c>
      <c r="J356" s="11">
        <f t="shared" si="99">IF(AA356="正常",IF(I356="已计入",IF(OR(OR(B356="买入",B356="定投",B356="转换转入"),B356="红利再投"),D356,IF(B356="卖出",-D356,0)),0),"")</f>
        <v>0</v>
      </c>
      <c r="K356" s="11">
        <f t="shared" si="104">IF(AA356="正常",ROUND(K355+J356,6),"")</f>
        <v>25721.6</v>
      </c>
      <c r="L356" s="11" t="str">
        <f t="shared" si="105">IF(I356="已计入",ROUND(K355*C356,2),"")</f>
        <v/>
      </c>
      <c r="M356" s="11" t="str">
        <f t="shared" si="106">IF(I356="已计入",IF(B356="卖出",MAX(0,L356-Q355-F356),IF(B356="现金分红",MAX(0,L356+E356-Q355),0)),"")</f>
        <v/>
      </c>
      <c r="N356" s="11" t="str">
        <f>IF(I356="已计入",IF(AND(B356="卖出",'持仓总览'!$C$7="本金优先"),MAX(0,E356-Q355),IF(OR(B356="卖出",B356="现金分红"),MIN(E356,M356),0)),"")</f>
        <v/>
      </c>
      <c r="O356" s="11" t="str">
        <f t="shared" si="107">IF(I356="已计入",IF(OR(B356="卖出",B356="现金分红"),MIN(Q355,MAX(0,E356-N356)),0),"")</f>
        <v/>
      </c>
      <c r="P356" s="11" t="str">
        <f t="shared" si="108">IF(I356="已计入",IF(AND(B356="卖出",K356=0),MAX(0,Q355-O356),0),"")</f>
        <v/>
      </c>
      <c r="Q356" s="11">
        <f t="shared" si="109">IF(AA356="正常",IF(I356="已计入",ROUND(Q355+IF(OR(B356="买入",B356="定投",B356="转换转入"),E356,0)-O356-P356,2),Q355),"")</f>
        <v>129570</v>
      </c>
      <c r="R356" s="11" t="str">
        <f t="shared" si="100">IF(I356="已计入",ROUND(K356*C356,2),"")</f>
        <v/>
      </c>
      <c r="S356" s="11" t="str">
        <f t="shared" si="101">IF(I356="已计入",ROUND(R356-Q356,2),"")</f>
        <v/>
      </c>
      <c r="T356" s="12" t="str">
        <f t="shared" si="102">IF(I356="已计入",IF(Q356=0,"",S356/Q356),"")</f>
        <v/>
      </c>
      <c r="U356" s="11">
        <f t="shared" si="110">IF(AA356="正常",U355+IF(AND(I356="已计入",OR(B356="买入",B356="定投",B356="转换转入")),E356,0),"")</f>
        <v>129570</v>
      </c>
      <c r="V356" s="11">
        <f t="shared" si="111">IF(AA356="正常",V355+IF(AND(I356="已计入",OR(B356="卖出",B356="现金分红")),E356,0),"")</f>
        <v>0</v>
      </c>
      <c r="W356" s="11">
        <f t="shared" si="112">IF(AA356="正常",W355+IF(I356="已计入",N356,0),"")</f>
        <v>0</v>
      </c>
      <c r="X356" s="11">
        <f t="shared" si="113">IF(AA356="正常",X355+IF(I356="已计入",P356,0),"")</f>
        <v>0</v>
      </c>
      <c r="Y356" s="11" t="str">
        <f t="shared" si="103">IF(I356="已计入",ROUND(R356+V356-U356,2),"")</f>
        <v/>
      </c>
      <c r="Z356" s="13">
        <f t="shared" si="114">IF(AA356="正常",IF(I356="已计入",A356,Z355),"")</f>
        <v>46239</v>
      </c>
      <c r="AA356" s="10" t="str">
        <f>IF(OR($AA$134="错误",COUNTIF($G$135:G356,"待修正")&gt;0),"错误","正常")</f>
        <v>正常</v>
      </c>
      <c r="AB356" s="14">
        <f t="shared" si="115">IF(AA356="正常",IF(I356="已计入",C356,AB355),"")</f>
        <v>6.347</v>
      </c>
    </row>
    <row r="357" ht="23" customHeight="1">
      <c r="A357" s="36"/>
      <c r="B357" s="37"/>
      <c r="C357" s="38"/>
      <c r="D357" s="39"/>
      <c r="E357" s="44" t="str">
        <f t="shared" si="96">IF(AND(ISNUMBER(C357),ISNUMBER(D357),ISNUMBER(F357)),IF(OR(B357="买入",B357="定投"),ROUND(C357*D357+F357,2),IF(B357="卖出",ROUND(C357*D357-F357,2),IF(B357="红利再投",0,""))),"")</f>
        <v/>
      </c>
      <c r="F357" s="39"/>
      <c r="G357" s="45" t="str">
        <f t="shared" si="97">IF(COUNTA(A357:D357,F357)=0,"",IF(I357="已计入","已录入","待修正"))</f>
        <v/>
      </c>
      <c r="H357" s="46" t="str">
        <f t="shared" si="98">IF(COUNTA(A357:D357,F357)=0,"",IF(B357="红利再投","仅增加份额，不增加现金投入","金额由份额、净值和手续费推算"))</f>
        <v/>
      </c>
      <c r="I357" s="10" t="str">
        <f>IF(COUNTA(A357:D357,F357)=0,"",IF(NOT(ISNUMBER(A357)),"缺少有效净值日期",IF(OR(A357&lt;=0,A357&lt;&gt;INT(A357)),"净值日期无效",IF(OR(B357="转换转入",B357="现金分红"),"该类型需实际金额，五项录入不适用",IF(NOT(OR(OR(B357="买入",B357="定投"),B357="卖出",B357="红利再投")),"请选择交易类型",IF(NOT(ISNUMBER(C357)),"缺少成交净值",IF(C357&lt;=0,"成交净值须大于零",IF(NOT(ISNUMBER(D357)),"缺少确认份额",IF(D357&lt;=0,"确认份额须大于零",IF(NOT(ISNUMBER(F357)),"缺少手续费，无费用请填 0",IF(F357&lt;0,"手续费不能为负",IF(AA356="错误","前行待修正",IF(A357&lt;Z356,"日期需按成交顺序递增",IF(AND(B357="红利再投",F357&lt;&gt;0),"红利再投手续费应填 0",IF(AND(B357="红利再投",K356&lt;=0),"红利再投前须有持仓",IF(AND(B357="卖出",D357&gt;K356+0.000001),"卖出份额超过持仓",IF(AND(B357="卖出",F357&gt;=C357*D357),"赎回费不能达到赎回总额",IF(NOT(ISNUMBER(E357)),"自动金额未生成，请检查五项输入",IF(NOT(OR('持仓总览'!$C$7="利润优先",'持仓总览'!$C$7="本金优先")),"请选择卖出分配模式","已计入")))))))))))))))))))</f>
        <v/>
      </c>
      <c r="J357" s="11">
        <f t="shared" si="99">IF(AA357="正常",IF(I357="已计入",IF(OR(OR(B357="买入",B357="定投",B357="转换转入"),B357="红利再投"),D357,IF(B357="卖出",-D357,0)),0),"")</f>
        <v>0</v>
      </c>
      <c r="K357" s="11">
        <f t="shared" si="104">IF(AA357="正常",ROUND(K356+J357,6),"")</f>
        <v>25721.6</v>
      </c>
      <c r="L357" s="11" t="str">
        <f t="shared" si="105">IF(I357="已计入",ROUND(K356*C357,2),"")</f>
        <v/>
      </c>
      <c r="M357" s="11" t="str">
        <f t="shared" si="106">IF(I357="已计入",IF(B357="卖出",MAX(0,L357-Q356-F357),IF(B357="现金分红",MAX(0,L357+E357-Q356),0)),"")</f>
        <v/>
      </c>
      <c r="N357" s="11" t="str">
        <f>IF(I357="已计入",IF(AND(B357="卖出",'持仓总览'!$C$7="本金优先"),MAX(0,E357-Q356),IF(OR(B357="卖出",B357="现金分红"),MIN(E357,M357),0)),"")</f>
        <v/>
      </c>
      <c r="O357" s="11" t="str">
        <f t="shared" si="107">IF(I357="已计入",IF(OR(B357="卖出",B357="现金分红"),MIN(Q356,MAX(0,E357-N357)),0),"")</f>
        <v/>
      </c>
      <c r="P357" s="11" t="str">
        <f t="shared" si="108">IF(I357="已计入",IF(AND(B357="卖出",K357=0),MAX(0,Q356-O357),0),"")</f>
        <v/>
      </c>
      <c r="Q357" s="11">
        <f t="shared" si="109">IF(AA357="正常",IF(I357="已计入",ROUND(Q356+IF(OR(B357="买入",B357="定投",B357="转换转入"),E357,0)-O357-P357,2),Q356),"")</f>
        <v>129570</v>
      </c>
      <c r="R357" s="11" t="str">
        <f t="shared" si="100">IF(I357="已计入",ROUND(K357*C357,2),"")</f>
        <v/>
      </c>
      <c r="S357" s="11" t="str">
        <f t="shared" si="101">IF(I357="已计入",ROUND(R357-Q357,2),"")</f>
        <v/>
      </c>
      <c r="T357" s="12" t="str">
        <f t="shared" si="102">IF(I357="已计入",IF(Q357=0,"",S357/Q357),"")</f>
        <v/>
      </c>
      <c r="U357" s="11">
        <f t="shared" si="110">IF(AA357="正常",U356+IF(AND(I357="已计入",OR(B357="买入",B357="定投",B357="转换转入")),E357,0),"")</f>
        <v>129570</v>
      </c>
      <c r="V357" s="11">
        <f t="shared" si="111">IF(AA357="正常",V356+IF(AND(I357="已计入",OR(B357="卖出",B357="现金分红")),E357,0),"")</f>
        <v>0</v>
      </c>
      <c r="W357" s="11">
        <f t="shared" si="112">IF(AA357="正常",W356+IF(I357="已计入",N357,0),"")</f>
        <v>0</v>
      </c>
      <c r="X357" s="11">
        <f t="shared" si="113">IF(AA357="正常",X356+IF(I357="已计入",P357,0),"")</f>
        <v>0</v>
      </c>
      <c r="Y357" s="11" t="str">
        <f t="shared" si="103">IF(I357="已计入",ROUND(R357+V357-U357,2),"")</f>
        <v/>
      </c>
      <c r="Z357" s="13">
        <f t="shared" si="114">IF(AA357="正常",IF(I357="已计入",A357,Z356),"")</f>
        <v>46239</v>
      </c>
      <c r="AA357" s="10" t="str">
        <f>IF(OR($AA$134="错误",COUNTIF($G$135:G357,"待修正")&gt;0),"错误","正常")</f>
        <v>正常</v>
      </c>
      <c r="AB357" s="14">
        <f t="shared" si="115">IF(AA357="正常",IF(I357="已计入",C357,AB356),"")</f>
        <v>6.347</v>
      </c>
    </row>
    <row r="358" ht="23" customHeight="1">
      <c r="A358" s="36"/>
      <c r="B358" s="37"/>
      <c r="C358" s="38"/>
      <c r="D358" s="39"/>
      <c r="E358" s="44" t="str">
        <f t="shared" si="96">IF(AND(ISNUMBER(C358),ISNUMBER(D358),ISNUMBER(F358)),IF(OR(B358="买入",B358="定投"),ROUND(C358*D358+F358,2),IF(B358="卖出",ROUND(C358*D358-F358,2),IF(B358="红利再投",0,""))),"")</f>
        <v/>
      </c>
      <c r="F358" s="39"/>
      <c r="G358" s="45" t="str">
        <f t="shared" si="97">IF(COUNTA(A358:D358,F358)=0,"",IF(I358="已计入","已录入","待修正"))</f>
        <v/>
      </c>
      <c r="H358" s="46" t="str">
        <f t="shared" si="98">IF(COUNTA(A358:D358,F358)=0,"",IF(B358="红利再投","仅增加份额，不增加现金投入","金额由份额、净值和手续费推算"))</f>
        <v/>
      </c>
      <c r="I358" s="10" t="str">
        <f>IF(COUNTA(A358:D358,F358)=0,"",IF(NOT(ISNUMBER(A358)),"缺少有效净值日期",IF(OR(A358&lt;=0,A358&lt;&gt;INT(A358)),"净值日期无效",IF(OR(B358="转换转入",B358="现金分红"),"该类型需实际金额，五项录入不适用",IF(NOT(OR(OR(B358="买入",B358="定投"),B358="卖出",B358="红利再投")),"请选择交易类型",IF(NOT(ISNUMBER(C358)),"缺少成交净值",IF(C358&lt;=0,"成交净值须大于零",IF(NOT(ISNUMBER(D358)),"缺少确认份额",IF(D358&lt;=0,"确认份额须大于零",IF(NOT(ISNUMBER(F358)),"缺少手续费，无费用请填 0",IF(F358&lt;0,"手续费不能为负",IF(AA357="错误","前行待修正",IF(A358&lt;Z357,"日期需按成交顺序递增",IF(AND(B358="红利再投",F358&lt;&gt;0),"红利再投手续费应填 0",IF(AND(B358="红利再投",K357&lt;=0),"红利再投前须有持仓",IF(AND(B358="卖出",D358&gt;K357+0.000001),"卖出份额超过持仓",IF(AND(B358="卖出",F358&gt;=C358*D358),"赎回费不能达到赎回总额",IF(NOT(ISNUMBER(E358)),"自动金额未生成，请检查五项输入",IF(NOT(OR('持仓总览'!$C$7="利润优先",'持仓总览'!$C$7="本金优先")),"请选择卖出分配模式","已计入")))))))))))))))))))</f>
        <v/>
      </c>
      <c r="J358" s="11">
        <f t="shared" si="99">IF(AA358="正常",IF(I358="已计入",IF(OR(OR(B358="买入",B358="定投",B358="转换转入"),B358="红利再投"),D358,IF(B358="卖出",-D358,0)),0),"")</f>
        <v>0</v>
      </c>
      <c r="K358" s="11">
        <f t="shared" si="104">IF(AA358="正常",ROUND(K357+J358,6),"")</f>
        <v>25721.6</v>
      </c>
      <c r="L358" s="11" t="str">
        <f t="shared" si="105">IF(I358="已计入",ROUND(K357*C358,2),"")</f>
        <v/>
      </c>
      <c r="M358" s="11" t="str">
        <f t="shared" si="106">IF(I358="已计入",IF(B358="卖出",MAX(0,L358-Q357-F358),IF(B358="现金分红",MAX(0,L358+E358-Q357),0)),"")</f>
        <v/>
      </c>
      <c r="N358" s="11" t="str">
        <f>IF(I358="已计入",IF(AND(B358="卖出",'持仓总览'!$C$7="本金优先"),MAX(0,E358-Q357),IF(OR(B358="卖出",B358="现金分红"),MIN(E358,M358),0)),"")</f>
        <v/>
      </c>
      <c r="O358" s="11" t="str">
        <f t="shared" si="107">IF(I358="已计入",IF(OR(B358="卖出",B358="现金分红"),MIN(Q357,MAX(0,E358-N358)),0),"")</f>
        <v/>
      </c>
      <c r="P358" s="11" t="str">
        <f t="shared" si="108">IF(I358="已计入",IF(AND(B358="卖出",K358=0),MAX(0,Q357-O358),0),"")</f>
        <v/>
      </c>
      <c r="Q358" s="11">
        <f t="shared" si="109">IF(AA358="正常",IF(I358="已计入",ROUND(Q357+IF(OR(B358="买入",B358="定投",B358="转换转入"),E358,0)-O358-P358,2),Q357),"")</f>
        <v>129570</v>
      </c>
      <c r="R358" s="11" t="str">
        <f t="shared" si="100">IF(I358="已计入",ROUND(K358*C358,2),"")</f>
        <v/>
      </c>
      <c r="S358" s="11" t="str">
        <f t="shared" si="101">IF(I358="已计入",ROUND(R358-Q358,2),"")</f>
        <v/>
      </c>
      <c r="T358" s="12" t="str">
        <f t="shared" si="102">IF(I358="已计入",IF(Q358=0,"",S358/Q358),"")</f>
        <v/>
      </c>
      <c r="U358" s="11">
        <f t="shared" si="110">IF(AA358="正常",U357+IF(AND(I358="已计入",OR(B358="买入",B358="定投",B358="转换转入")),E358,0),"")</f>
        <v>129570</v>
      </c>
      <c r="V358" s="11">
        <f t="shared" si="111">IF(AA358="正常",V357+IF(AND(I358="已计入",OR(B358="卖出",B358="现金分红")),E358,0),"")</f>
        <v>0</v>
      </c>
      <c r="W358" s="11">
        <f t="shared" si="112">IF(AA358="正常",W357+IF(I358="已计入",N358,0),"")</f>
        <v>0</v>
      </c>
      <c r="X358" s="11">
        <f t="shared" si="113">IF(AA358="正常",X357+IF(I358="已计入",P358,0),"")</f>
        <v>0</v>
      </c>
      <c r="Y358" s="11" t="str">
        <f t="shared" si="103">IF(I358="已计入",ROUND(R358+V358-U358,2),"")</f>
        <v/>
      </c>
      <c r="Z358" s="13">
        <f t="shared" si="114">IF(AA358="正常",IF(I358="已计入",A358,Z357),"")</f>
        <v>46239</v>
      </c>
      <c r="AA358" s="10" t="str">
        <f>IF(OR($AA$134="错误",COUNTIF($G$135:G358,"待修正")&gt;0),"错误","正常")</f>
        <v>正常</v>
      </c>
      <c r="AB358" s="14">
        <f t="shared" si="115">IF(AA358="正常",IF(I358="已计入",C358,AB357),"")</f>
        <v>6.347</v>
      </c>
    </row>
    <row r="359" ht="23" customHeight="1">
      <c r="A359" s="36"/>
      <c r="B359" s="37"/>
      <c r="C359" s="38"/>
      <c r="D359" s="39"/>
      <c r="E359" s="44" t="str">
        <f t="shared" si="96">IF(AND(ISNUMBER(C359),ISNUMBER(D359),ISNUMBER(F359)),IF(OR(B359="买入",B359="定投"),ROUND(C359*D359+F359,2),IF(B359="卖出",ROUND(C359*D359-F359,2),IF(B359="红利再投",0,""))),"")</f>
        <v/>
      </c>
      <c r="F359" s="39"/>
      <c r="G359" s="45" t="str">
        <f t="shared" si="97">IF(COUNTA(A359:D359,F359)=0,"",IF(I359="已计入","已录入","待修正"))</f>
        <v/>
      </c>
      <c r="H359" s="46" t="str">
        <f t="shared" si="98">IF(COUNTA(A359:D359,F359)=0,"",IF(B359="红利再投","仅增加份额，不增加现金投入","金额由份额、净值和手续费推算"))</f>
        <v/>
      </c>
      <c r="I359" s="10" t="str">
        <f>IF(COUNTA(A359:D359,F359)=0,"",IF(NOT(ISNUMBER(A359)),"缺少有效净值日期",IF(OR(A359&lt;=0,A359&lt;&gt;INT(A359)),"净值日期无效",IF(OR(B359="转换转入",B359="现金分红"),"该类型需实际金额，五项录入不适用",IF(NOT(OR(OR(B359="买入",B359="定投"),B359="卖出",B359="红利再投")),"请选择交易类型",IF(NOT(ISNUMBER(C359)),"缺少成交净值",IF(C359&lt;=0,"成交净值须大于零",IF(NOT(ISNUMBER(D359)),"缺少确认份额",IF(D359&lt;=0,"确认份额须大于零",IF(NOT(ISNUMBER(F359)),"缺少手续费，无费用请填 0",IF(F359&lt;0,"手续费不能为负",IF(AA358="错误","前行待修正",IF(A359&lt;Z358,"日期需按成交顺序递增",IF(AND(B359="红利再投",F359&lt;&gt;0),"红利再投手续费应填 0",IF(AND(B359="红利再投",K358&lt;=0),"红利再投前须有持仓",IF(AND(B359="卖出",D359&gt;K358+0.000001),"卖出份额超过持仓",IF(AND(B359="卖出",F359&gt;=C359*D359),"赎回费不能达到赎回总额",IF(NOT(ISNUMBER(E359)),"自动金额未生成，请检查五项输入",IF(NOT(OR('持仓总览'!$C$7="利润优先",'持仓总览'!$C$7="本金优先")),"请选择卖出分配模式","已计入")))))))))))))))))))</f>
        <v/>
      </c>
      <c r="J359" s="11">
        <f t="shared" si="99">IF(AA359="正常",IF(I359="已计入",IF(OR(OR(B359="买入",B359="定投",B359="转换转入"),B359="红利再投"),D359,IF(B359="卖出",-D359,0)),0),"")</f>
        <v>0</v>
      </c>
      <c r="K359" s="11">
        <f t="shared" si="104">IF(AA359="正常",ROUND(K358+J359,6),"")</f>
        <v>25721.6</v>
      </c>
      <c r="L359" s="11" t="str">
        <f t="shared" si="105">IF(I359="已计入",ROUND(K358*C359,2),"")</f>
        <v/>
      </c>
      <c r="M359" s="11" t="str">
        <f t="shared" si="106">IF(I359="已计入",IF(B359="卖出",MAX(0,L359-Q358-F359),IF(B359="现金分红",MAX(0,L359+E359-Q358),0)),"")</f>
        <v/>
      </c>
      <c r="N359" s="11" t="str">
        <f>IF(I359="已计入",IF(AND(B359="卖出",'持仓总览'!$C$7="本金优先"),MAX(0,E359-Q358),IF(OR(B359="卖出",B359="现金分红"),MIN(E359,M359),0)),"")</f>
        <v/>
      </c>
      <c r="O359" s="11" t="str">
        <f t="shared" si="107">IF(I359="已计入",IF(OR(B359="卖出",B359="现金分红"),MIN(Q358,MAX(0,E359-N359)),0),"")</f>
        <v/>
      </c>
      <c r="P359" s="11" t="str">
        <f t="shared" si="108">IF(I359="已计入",IF(AND(B359="卖出",K359=0),MAX(0,Q358-O359),0),"")</f>
        <v/>
      </c>
      <c r="Q359" s="11">
        <f t="shared" si="109">IF(AA359="正常",IF(I359="已计入",ROUND(Q358+IF(OR(B359="买入",B359="定投",B359="转换转入"),E359,0)-O359-P359,2),Q358),"")</f>
        <v>129570</v>
      </c>
      <c r="R359" s="11" t="str">
        <f t="shared" si="100">IF(I359="已计入",ROUND(K359*C359,2),"")</f>
        <v/>
      </c>
      <c r="S359" s="11" t="str">
        <f t="shared" si="101">IF(I359="已计入",ROUND(R359-Q359,2),"")</f>
        <v/>
      </c>
      <c r="T359" s="12" t="str">
        <f t="shared" si="102">IF(I359="已计入",IF(Q359=0,"",S359/Q359),"")</f>
        <v/>
      </c>
      <c r="U359" s="11">
        <f t="shared" si="110">IF(AA359="正常",U358+IF(AND(I359="已计入",OR(B359="买入",B359="定投",B359="转换转入")),E359,0),"")</f>
        <v>129570</v>
      </c>
      <c r="V359" s="11">
        <f t="shared" si="111">IF(AA359="正常",V358+IF(AND(I359="已计入",OR(B359="卖出",B359="现金分红")),E359,0),"")</f>
        <v>0</v>
      </c>
      <c r="W359" s="11">
        <f t="shared" si="112">IF(AA359="正常",W358+IF(I359="已计入",N359,0),"")</f>
        <v>0</v>
      </c>
      <c r="X359" s="11">
        <f t="shared" si="113">IF(AA359="正常",X358+IF(I359="已计入",P359,0),"")</f>
        <v>0</v>
      </c>
      <c r="Y359" s="11" t="str">
        <f t="shared" si="103">IF(I359="已计入",ROUND(R359+V359-U359,2),"")</f>
        <v/>
      </c>
      <c r="Z359" s="13">
        <f t="shared" si="114">IF(AA359="正常",IF(I359="已计入",A359,Z358),"")</f>
        <v>46239</v>
      </c>
      <c r="AA359" s="10" t="str">
        <f>IF(OR($AA$134="错误",COUNTIF($G$135:G359,"待修正")&gt;0),"错误","正常")</f>
        <v>正常</v>
      </c>
      <c r="AB359" s="14">
        <f t="shared" si="115">IF(AA359="正常",IF(I359="已计入",C359,AB358),"")</f>
        <v>6.347</v>
      </c>
    </row>
    <row r="360" ht="23" customHeight="1">
      <c r="A360" s="36"/>
      <c r="B360" s="37"/>
      <c r="C360" s="38"/>
      <c r="D360" s="39"/>
      <c r="E360" s="44" t="str">
        <f t="shared" si="96">IF(AND(ISNUMBER(C360),ISNUMBER(D360),ISNUMBER(F360)),IF(OR(B360="买入",B360="定投"),ROUND(C360*D360+F360,2),IF(B360="卖出",ROUND(C360*D360-F360,2),IF(B360="红利再投",0,""))),"")</f>
        <v/>
      </c>
      <c r="F360" s="39"/>
      <c r="G360" s="45" t="str">
        <f t="shared" si="97">IF(COUNTA(A360:D360,F360)=0,"",IF(I360="已计入","已录入","待修正"))</f>
        <v/>
      </c>
      <c r="H360" s="46" t="str">
        <f t="shared" si="98">IF(COUNTA(A360:D360,F360)=0,"",IF(B360="红利再投","仅增加份额，不增加现金投入","金额由份额、净值和手续费推算"))</f>
        <v/>
      </c>
      <c r="I360" s="10" t="str">
        <f>IF(COUNTA(A360:D360,F360)=0,"",IF(NOT(ISNUMBER(A360)),"缺少有效净值日期",IF(OR(A360&lt;=0,A360&lt;&gt;INT(A360)),"净值日期无效",IF(OR(B360="转换转入",B360="现金分红"),"该类型需实际金额，五项录入不适用",IF(NOT(OR(OR(B360="买入",B360="定投"),B360="卖出",B360="红利再投")),"请选择交易类型",IF(NOT(ISNUMBER(C360)),"缺少成交净值",IF(C360&lt;=0,"成交净值须大于零",IF(NOT(ISNUMBER(D360)),"缺少确认份额",IF(D360&lt;=0,"确认份额须大于零",IF(NOT(ISNUMBER(F360)),"缺少手续费，无费用请填 0",IF(F360&lt;0,"手续费不能为负",IF(AA359="错误","前行待修正",IF(A360&lt;Z359,"日期需按成交顺序递增",IF(AND(B360="红利再投",F360&lt;&gt;0),"红利再投手续费应填 0",IF(AND(B360="红利再投",K359&lt;=0),"红利再投前须有持仓",IF(AND(B360="卖出",D360&gt;K359+0.000001),"卖出份额超过持仓",IF(AND(B360="卖出",F360&gt;=C360*D360),"赎回费不能达到赎回总额",IF(NOT(ISNUMBER(E360)),"自动金额未生成，请检查五项输入",IF(NOT(OR('持仓总览'!$C$7="利润优先",'持仓总览'!$C$7="本金优先")),"请选择卖出分配模式","已计入")))))))))))))))))))</f>
        <v/>
      </c>
      <c r="J360" s="11">
        <f t="shared" si="99">IF(AA360="正常",IF(I360="已计入",IF(OR(OR(B360="买入",B360="定投",B360="转换转入"),B360="红利再投"),D360,IF(B360="卖出",-D360,0)),0),"")</f>
        <v>0</v>
      </c>
      <c r="K360" s="11">
        <f t="shared" si="104">IF(AA360="正常",ROUND(K359+J360,6),"")</f>
        <v>25721.6</v>
      </c>
      <c r="L360" s="11" t="str">
        <f t="shared" si="105">IF(I360="已计入",ROUND(K359*C360,2),"")</f>
        <v/>
      </c>
      <c r="M360" s="11" t="str">
        <f t="shared" si="106">IF(I360="已计入",IF(B360="卖出",MAX(0,L360-Q359-F360),IF(B360="现金分红",MAX(0,L360+E360-Q359),0)),"")</f>
        <v/>
      </c>
      <c r="N360" s="11" t="str">
        <f>IF(I360="已计入",IF(AND(B360="卖出",'持仓总览'!$C$7="本金优先"),MAX(0,E360-Q359),IF(OR(B360="卖出",B360="现金分红"),MIN(E360,M360),0)),"")</f>
        <v/>
      </c>
      <c r="O360" s="11" t="str">
        <f t="shared" si="107">IF(I360="已计入",IF(OR(B360="卖出",B360="现金分红"),MIN(Q359,MAX(0,E360-N360)),0),"")</f>
        <v/>
      </c>
      <c r="P360" s="11" t="str">
        <f t="shared" si="108">IF(I360="已计入",IF(AND(B360="卖出",K360=0),MAX(0,Q359-O360),0),"")</f>
        <v/>
      </c>
      <c r="Q360" s="11">
        <f t="shared" si="109">IF(AA360="正常",IF(I360="已计入",ROUND(Q359+IF(OR(B360="买入",B360="定投",B360="转换转入"),E360,0)-O360-P360,2),Q359),"")</f>
        <v>129570</v>
      </c>
      <c r="R360" s="11" t="str">
        <f t="shared" si="100">IF(I360="已计入",ROUND(K360*C360,2),"")</f>
        <v/>
      </c>
      <c r="S360" s="11" t="str">
        <f t="shared" si="101">IF(I360="已计入",ROUND(R360-Q360,2),"")</f>
        <v/>
      </c>
      <c r="T360" s="12" t="str">
        <f t="shared" si="102">IF(I360="已计入",IF(Q360=0,"",S360/Q360),"")</f>
        <v/>
      </c>
      <c r="U360" s="11">
        <f t="shared" si="110">IF(AA360="正常",U359+IF(AND(I360="已计入",OR(B360="买入",B360="定投",B360="转换转入")),E360,0),"")</f>
        <v>129570</v>
      </c>
      <c r="V360" s="11">
        <f t="shared" si="111">IF(AA360="正常",V359+IF(AND(I360="已计入",OR(B360="卖出",B360="现金分红")),E360,0),"")</f>
        <v>0</v>
      </c>
      <c r="W360" s="11">
        <f t="shared" si="112">IF(AA360="正常",W359+IF(I360="已计入",N360,0),"")</f>
        <v>0</v>
      </c>
      <c r="X360" s="11">
        <f t="shared" si="113">IF(AA360="正常",X359+IF(I360="已计入",P360,0),"")</f>
        <v>0</v>
      </c>
      <c r="Y360" s="11" t="str">
        <f t="shared" si="103">IF(I360="已计入",ROUND(R360+V360-U360,2),"")</f>
        <v/>
      </c>
      <c r="Z360" s="13">
        <f t="shared" si="114">IF(AA360="正常",IF(I360="已计入",A360,Z359),"")</f>
        <v>46239</v>
      </c>
      <c r="AA360" s="10" t="str">
        <f>IF(OR($AA$134="错误",COUNTIF($G$135:G360,"待修正")&gt;0),"错误","正常")</f>
        <v>正常</v>
      </c>
      <c r="AB360" s="14">
        <f t="shared" si="115">IF(AA360="正常",IF(I360="已计入",C360,AB359),"")</f>
        <v>6.347</v>
      </c>
    </row>
    <row r="361" ht="23" customHeight="1">
      <c r="A361" s="36"/>
      <c r="B361" s="37"/>
      <c r="C361" s="38"/>
      <c r="D361" s="39"/>
      <c r="E361" s="44" t="str">
        <f t="shared" si="96">IF(AND(ISNUMBER(C361),ISNUMBER(D361),ISNUMBER(F361)),IF(OR(B361="买入",B361="定投"),ROUND(C361*D361+F361,2),IF(B361="卖出",ROUND(C361*D361-F361,2),IF(B361="红利再投",0,""))),"")</f>
        <v/>
      </c>
      <c r="F361" s="39"/>
      <c r="G361" s="45" t="str">
        <f t="shared" si="97">IF(COUNTA(A361:D361,F361)=0,"",IF(I361="已计入","已录入","待修正"))</f>
        <v/>
      </c>
      <c r="H361" s="46" t="str">
        <f t="shared" si="98">IF(COUNTA(A361:D361,F361)=0,"",IF(B361="红利再投","仅增加份额，不增加现金投入","金额由份额、净值和手续费推算"))</f>
        <v/>
      </c>
      <c r="I361" s="10" t="str">
        <f>IF(COUNTA(A361:D361,F361)=0,"",IF(NOT(ISNUMBER(A361)),"缺少有效净值日期",IF(OR(A361&lt;=0,A361&lt;&gt;INT(A361)),"净值日期无效",IF(OR(B361="转换转入",B361="现金分红"),"该类型需实际金额，五项录入不适用",IF(NOT(OR(OR(B361="买入",B361="定投"),B361="卖出",B361="红利再投")),"请选择交易类型",IF(NOT(ISNUMBER(C361)),"缺少成交净值",IF(C361&lt;=0,"成交净值须大于零",IF(NOT(ISNUMBER(D361)),"缺少确认份额",IF(D361&lt;=0,"确认份额须大于零",IF(NOT(ISNUMBER(F361)),"缺少手续费，无费用请填 0",IF(F361&lt;0,"手续费不能为负",IF(AA360="错误","前行待修正",IF(A361&lt;Z360,"日期需按成交顺序递增",IF(AND(B361="红利再投",F361&lt;&gt;0),"红利再投手续费应填 0",IF(AND(B361="红利再投",K360&lt;=0),"红利再投前须有持仓",IF(AND(B361="卖出",D361&gt;K360+0.000001),"卖出份额超过持仓",IF(AND(B361="卖出",F361&gt;=C361*D361),"赎回费不能达到赎回总额",IF(NOT(ISNUMBER(E361)),"自动金额未生成，请检查五项输入",IF(NOT(OR('持仓总览'!$C$7="利润优先",'持仓总览'!$C$7="本金优先")),"请选择卖出分配模式","已计入")))))))))))))))))))</f>
        <v/>
      </c>
      <c r="J361" s="11">
        <f t="shared" si="99">IF(AA361="正常",IF(I361="已计入",IF(OR(OR(B361="买入",B361="定投",B361="转换转入"),B361="红利再投"),D361,IF(B361="卖出",-D361,0)),0),"")</f>
        <v>0</v>
      </c>
      <c r="K361" s="11">
        <f t="shared" si="104">IF(AA361="正常",ROUND(K360+J361,6),"")</f>
        <v>25721.6</v>
      </c>
      <c r="L361" s="11" t="str">
        <f t="shared" si="105">IF(I361="已计入",ROUND(K360*C361,2),"")</f>
        <v/>
      </c>
      <c r="M361" s="11" t="str">
        <f t="shared" si="106">IF(I361="已计入",IF(B361="卖出",MAX(0,L361-Q360-F361),IF(B361="现金分红",MAX(0,L361+E361-Q360),0)),"")</f>
        <v/>
      </c>
      <c r="N361" s="11" t="str">
        <f>IF(I361="已计入",IF(AND(B361="卖出",'持仓总览'!$C$7="本金优先"),MAX(0,E361-Q360),IF(OR(B361="卖出",B361="现金分红"),MIN(E361,M361),0)),"")</f>
        <v/>
      </c>
      <c r="O361" s="11" t="str">
        <f t="shared" si="107">IF(I361="已计入",IF(OR(B361="卖出",B361="现金分红"),MIN(Q360,MAX(0,E361-N361)),0),"")</f>
        <v/>
      </c>
      <c r="P361" s="11" t="str">
        <f t="shared" si="108">IF(I361="已计入",IF(AND(B361="卖出",K361=0),MAX(0,Q360-O361),0),"")</f>
        <v/>
      </c>
      <c r="Q361" s="11">
        <f t="shared" si="109">IF(AA361="正常",IF(I361="已计入",ROUND(Q360+IF(OR(B361="买入",B361="定投",B361="转换转入"),E361,0)-O361-P361,2),Q360),"")</f>
        <v>129570</v>
      </c>
      <c r="R361" s="11" t="str">
        <f t="shared" si="100">IF(I361="已计入",ROUND(K361*C361,2),"")</f>
        <v/>
      </c>
      <c r="S361" s="11" t="str">
        <f t="shared" si="101">IF(I361="已计入",ROUND(R361-Q361,2),"")</f>
        <v/>
      </c>
      <c r="T361" s="12" t="str">
        <f t="shared" si="102">IF(I361="已计入",IF(Q361=0,"",S361/Q361),"")</f>
        <v/>
      </c>
      <c r="U361" s="11">
        <f t="shared" si="110">IF(AA361="正常",U360+IF(AND(I361="已计入",OR(B361="买入",B361="定投",B361="转换转入")),E361,0),"")</f>
        <v>129570</v>
      </c>
      <c r="V361" s="11">
        <f t="shared" si="111">IF(AA361="正常",V360+IF(AND(I361="已计入",OR(B361="卖出",B361="现金分红")),E361,0),"")</f>
        <v>0</v>
      </c>
      <c r="W361" s="11">
        <f t="shared" si="112">IF(AA361="正常",W360+IF(I361="已计入",N361,0),"")</f>
        <v>0</v>
      </c>
      <c r="X361" s="11">
        <f t="shared" si="113">IF(AA361="正常",X360+IF(I361="已计入",P361,0),"")</f>
        <v>0</v>
      </c>
      <c r="Y361" s="11" t="str">
        <f t="shared" si="103">IF(I361="已计入",ROUND(R361+V361-U361,2),"")</f>
        <v/>
      </c>
      <c r="Z361" s="13">
        <f t="shared" si="114">IF(AA361="正常",IF(I361="已计入",A361,Z360),"")</f>
        <v>46239</v>
      </c>
      <c r="AA361" s="10" t="str">
        <f>IF(OR($AA$134="错误",COUNTIF($G$135:G361,"待修正")&gt;0),"错误","正常")</f>
        <v>正常</v>
      </c>
      <c r="AB361" s="14">
        <f t="shared" si="115">IF(AA361="正常",IF(I361="已计入",C361,AB360),"")</f>
        <v>6.347</v>
      </c>
    </row>
    <row r="362" ht="23" customHeight="1">
      <c r="A362" s="36"/>
      <c r="B362" s="37"/>
      <c r="C362" s="38"/>
      <c r="D362" s="39"/>
      <c r="E362" s="44" t="str">
        <f t="shared" si="96">IF(AND(ISNUMBER(C362),ISNUMBER(D362),ISNUMBER(F362)),IF(OR(B362="买入",B362="定投"),ROUND(C362*D362+F362,2),IF(B362="卖出",ROUND(C362*D362-F362,2),IF(B362="红利再投",0,""))),"")</f>
        <v/>
      </c>
      <c r="F362" s="39"/>
      <c r="G362" s="45" t="str">
        <f t="shared" si="97">IF(COUNTA(A362:D362,F362)=0,"",IF(I362="已计入","已录入","待修正"))</f>
        <v/>
      </c>
      <c r="H362" s="46" t="str">
        <f t="shared" si="98">IF(COUNTA(A362:D362,F362)=0,"",IF(B362="红利再投","仅增加份额，不增加现金投入","金额由份额、净值和手续费推算"))</f>
        <v/>
      </c>
      <c r="I362" s="10" t="str">
        <f>IF(COUNTA(A362:D362,F362)=0,"",IF(NOT(ISNUMBER(A362)),"缺少有效净值日期",IF(OR(A362&lt;=0,A362&lt;&gt;INT(A362)),"净值日期无效",IF(OR(B362="转换转入",B362="现金分红"),"该类型需实际金额，五项录入不适用",IF(NOT(OR(OR(B362="买入",B362="定投"),B362="卖出",B362="红利再投")),"请选择交易类型",IF(NOT(ISNUMBER(C362)),"缺少成交净值",IF(C362&lt;=0,"成交净值须大于零",IF(NOT(ISNUMBER(D362)),"缺少确认份额",IF(D362&lt;=0,"确认份额须大于零",IF(NOT(ISNUMBER(F362)),"缺少手续费，无费用请填 0",IF(F362&lt;0,"手续费不能为负",IF(AA361="错误","前行待修正",IF(A362&lt;Z361,"日期需按成交顺序递增",IF(AND(B362="红利再投",F362&lt;&gt;0),"红利再投手续费应填 0",IF(AND(B362="红利再投",K361&lt;=0),"红利再投前须有持仓",IF(AND(B362="卖出",D362&gt;K361+0.000001),"卖出份额超过持仓",IF(AND(B362="卖出",F362&gt;=C362*D362),"赎回费不能达到赎回总额",IF(NOT(ISNUMBER(E362)),"自动金额未生成，请检查五项输入",IF(NOT(OR('持仓总览'!$C$7="利润优先",'持仓总览'!$C$7="本金优先")),"请选择卖出分配模式","已计入")))))))))))))))))))</f>
        <v/>
      </c>
      <c r="J362" s="11">
        <f t="shared" si="99">IF(AA362="正常",IF(I362="已计入",IF(OR(OR(B362="买入",B362="定投",B362="转换转入"),B362="红利再投"),D362,IF(B362="卖出",-D362,0)),0),"")</f>
        <v>0</v>
      </c>
      <c r="K362" s="11">
        <f t="shared" si="104">IF(AA362="正常",ROUND(K361+J362,6),"")</f>
        <v>25721.6</v>
      </c>
      <c r="L362" s="11" t="str">
        <f t="shared" si="105">IF(I362="已计入",ROUND(K361*C362,2),"")</f>
        <v/>
      </c>
      <c r="M362" s="11" t="str">
        <f t="shared" si="106">IF(I362="已计入",IF(B362="卖出",MAX(0,L362-Q361-F362),IF(B362="现金分红",MAX(0,L362+E362-Q361),0)),"")</f>
        <v/>
      </c>
      <c r="N362" s="11" t="str">
        <f>IF(I362="已计入",IF(AND(B362="卖出",'持仓总览'!$C$7="本金优先"),MAX(0,E362-Q361),IF(OR(B362="卖出",B362="现金分红"),MIN(E362,M362),0)),"")</f>
        <v/>
      </c>
      <c r="O362" s="11" t="str">
        <f t="shared" si="107">IF(I362="已计入",IF(OR(B362="卖出",B362="现金分红"),MIN(Q361,MAX(0,E362-N362)),0),"")</f>
        <v/>
      </c>
      <c r="P362" s="11" t="str">
        <f t="shared" si="108">IF(I362="已计入",IF(AND(B362="卖出",K362=0),MAX(0,Q361-O362),0),"")</f>
        <v/>
      </c>
      <c r="Q362" s="11">
        <f t="shared" si="109">IF(AA362="正常",IF(I362="已计入",ROUND(Q361+IF(OR(B362="买入",B362="定投",B362="转换转入"),E362,0)-O362-P362,2),Q361),"")</f>
        <v>129570</v>
      </c>
      <c r="R362" s="11" t="str">
        <f t="shared" si="100">IF(I362="已计入",ROUND(K362*C362,2),"")</f>
        <v/>
      </c>
      <c r="S362" s="11" t="str">
        <f t="shared" si="101">IF(I362="已计入",ROUND(R362-Q362,2),"")</f>
        <v/>
      </c>
      <c r="T362" s="12" t="str">
        <f t="shared" si="102">IF(I362="已计入",IF(Q362=0,"",S362/Q362),"")</f>
        <v/>
      </c>
      <c r="U362" s="11">
        <f t="shared" si="110">IF(AA362="正常",U361+IF(AND(I362="已计入",OR(B362="买入",B362="定投",B362="转换转入")),E362,0),"")</f>
        <v>129570</v>
      </c>
      <c r="V362" s="11">
        <f t="shared" si="111">IF(AA362="正常",V361+IF(AND(I362="已计入",OR(B362="卖出",B362="现金分红")),E362,0),"")</f>
        <v>0</v>
      </c>
      <c r="W362" s="11">
        <f t="shared" si="112">IF(AA362="正常",W361+IF(I362="已计入",N362,0),"")</f>
        <v>0</v>
      </c>
      <c r="X362" s="11">
        <f t="shared" si="113">IF(AA362="正常",X361+IF(I362="已计入",P362,0),"")</f>
        <v>0</v>
      </c>
      <c r="Y362" s="11" t="str">
        <f t="shared" si="103">IF(I362="已计入",ROUND(R362+V362-U362,2),"")</f>
        <v/>
      </c>
      <c r="Z362" s="13">
        <f t="shared" si="114">IF(AA362="正常",IF(I362="已计入",A362,Z361),"")</f>
        <v>46239</v>
      </c>
      <c r="AA362" s="10" t="str">
        <f>IF(OR($AA$134="错误",COUNTIF($G$135:G362,"待修正")&gt;0),"错误","正常")</f>
        <v>正常</v>
      </c>
      <c r="AB362" s="14">
        <f t="shared" si="115">IF(AA362="正常",IF(I362="已计入",C362,AB361),"")</f>
        <v>6.347</v>
      </c>
    </row>
    <row r="363" ht="23" customHeight="1">
      <c r="A363" s="36"/>
      <c r="B363" s="37"/>
      <c r="C363" s="38"/>
      <c r="D363" s="39"/>
      <c r="E363" s="44" t="str">
        <f t="shared" si="96">IF(AND(ISNUMBER(C363),ISNUMBER(D363),ISNUMBER(F363)),IF(OR(B363="买入",B363="定投"),ROUND(C363*D363+F363,2),IF(B363="卖出",ROUND(C363*D363-F363,2),IF(B363="红利再投",0,""))),"")</f>
        <v/>
      </c>
      <c r="F363" s="39"/>
      <c r="G363" s="45" t="str">
        <f t="shared" si="97">IF(COUNTA(A363:D363,F363)=0,"",IF(I363="已计入","已录入","待修正"))</f>
        <v/>
      </c>
      <c r="H363" s="46" t="str">
        <f t="shared" si="98">IF(COUNTA(A363:D363,F363)=0,"",IF(B363="红利再投","仅增加份额，不增加现金投入","金额由份额、净值和手续费推算"))</f>
        <v/>
      </c>
      <c r="I363" s="10" t="str">
        <f>IF(COUNTA(A363:D363,F363)=0,"",IF(NOT(ISNUMBER(A363)),"缺少有效净值日期",IF(OR(A363&lt;=0,A363&lt;&gt;INT(A363)),"净值日期无效",IF(OR(B363="转换转入",B363="现金分红"),"该类型需实际金额，五项录入不适用",IF(NOT(OR(OR(B363="买入",B363="定投"),B363="卖出",B363="红利再投")),"请选择交易类型",IF(NOT(ISNUMBER(C363)),"缺少成交净值",IF(C363&lt;=0,"成交净值须大于零",IF(NOT(ISNUMBER(D363)),"缺少确认份额",IF(D363&lt;=0,"确认份额须大于零",IF(NOT(ISNUMBER(F363)),"缺少手续费，无费用请填 0",IF(F363&lt;0,"手续费不能为负",IF(AA362="错误","前行待修正",IF(A363&lt;Z362,"日期需按成交顺序递增",IF(AND(B363="红利再投",F363&lt;&gt;0),"红利再投手续费应填 0",IF(AND(B363="红利再投",K362&lt;=0),"红利再投前须有持仓",IF(AND(B363="卖出",D363&gt;K362+0.000001),"卖出份额超过持仓",IF(AND(B363="卖出",F363&gt;=C363*D363),"赎回费不能达到赎回总额",IF(NOT(ISNUMBER(E363)),"自动金额未生成，请检查五项输入",IF(NOT(OR('持仓总览'!$C$7="利润优先",'持仓总览'!$C$7="本金优先")),"请选择卖出分配模式","已计入")))))))))))))))))))</f>
        <v/>
      </c>
      <c r="J363" s="11">
        <f t="shared" si="99">IF(AA363="正常",IF(I363="已计入",IF(OR(OR(B363="买入",B363="定投",B363="转换转入"),B363="红利再投"),D363,IF(B363="卖出",-D363,0)),0),"")</f>
        <v>0</v>
      </c>
      <c r="K363" s="11">
        <f t="shared" si="104">IF(AA363="正常",ROUND(K362+J363,6),"")</f>
        <v>25721.6</v>
      </c>
      <c r="L363" s="11" t="str">
        <f t="shared" si="105">IF(I363="已计入",ROUND(K362*C363,2),"")</f>
        <v/>
      </c>
      <c r="M363" s="11" t="str">
        <f t="shared" si="106">IF(I363="已计入",IF(B363="卖出",MAX(0,L363-Q362-F363),IF(B363="现金分红",MAX(0,L363+E363-Q362),0)),"")</f>
        <v/>
      </c>
      <c r="N363" s="11" t="str">
        <f>IF(I363="已计入",IF(AND(B363="卖出",'持仓总览'!$C$7="本金优先"),MAX(0,E363-Q362),IF(OR(B363="卖出",B363="现金分红"),MIN(E363,M363),0)),"")</f>
        <v/>
      </c>
      <c r="O363" s="11" t="str">
        <f t="shared" si="107">IF(I363="已计入",IF(OR(B363="卖出",B363="现金分红"),MIN(Q362,MAX(0,E363-N363)),0),"")</f>
        <v/>
      </c>
      <c r="P363" s="11" t="str">
        <f t="shared" si="108">IF(I363="已计入",IF(AND(B363="卖出",K363=0),MAX(0,Q362-O363),0),"")</f>
        <v/>
      </c>
      <c r="Q363" s="11">
        <f t="shared" si="109">IF(AA363="正常",IF(I363="已计入",ROUND(Q362+IF(OR(B363="买入",B363="定投",B363="转换转入"),E363,0)-O363-P363,2),Q362),"")</f>
        <v>129570</v>
      </c>
      <c r="R363" s="11" t="str">
        <f t="shared" si="100">IF(I363="已计入",ROUND(K363*C363,2),"")</f>
        <v/>
      </c>
      <c r="S363" s="11" t="str">
        <f t="shared" si="101">IF(I363="已计入",ROUND(R363-Q363,2),"")</f>
        <v/>
      </c>
      <c r="T363" s="12" t="str">
        <f t="shared" si="102">IF(I363="已计入",IF(Q363=0,"",S363/Q363),"")</f>
        <v/>
      </c>
      <c r="U363" s="11">
        <f t="shared" si="110">IF(AA363="正常",U362+IF(AND(I363="已计入",OR(B363="买入",B363="定投",B363="转换转入")),E363,0),"")</f>
        <v>129570</v>
      </c>
      <c r="V363" s="11">
        <f t="shared" si="111">IF(AA363="正常",V362+IF(AND(I363="已计入",OR(B363="卖出",B363="现金分红")),E363,0),"")</f>
        <v>0</v>
      </c>
      <c r="W363" s="11">
        <f t="shared" si="112">IF(AA363="正常",W362+IF(I363="已计入",N363,0),"")</f>
        <v>0</v>
      </c>
      <c r="X363" s="11">
        <f t="shared" si="113">IF(AA363="正常",X362+IF(I363="已计入",P363,0),"")</f>
        <v>0</v>
      </c>
      <c r="Y363" s="11" t="str">
        <f t="shared" si="103">IF(I363="已计入",ROUND(R363+V363-U363,2),"")</f>
        <v/>
      </c>
      <c r="Z363" s="13">
        <f t="shared" si="114">IF(AA363="正常",IF(I363="已计入",A363,Z362),"")</f>
        <v>46239</v>
      </c>
      <c r="AA363" s="10" t="str">
        <f>IF(OR($AA$134="错误",COUNTIF($G$135:G363,"待修正")&gt;0),"错误","正常")</f>
        <v>正常</v>
      </c>
      <c r="AB363" s="14">
        <f t="shared" si="115">IF(AA363="正常",IF(I363="已计入",C363,AB362),"")</f>
        <v>6.347</v>
      </c>
    </row>
    <row r="364" ht="23" customHeight="1">
      <c r="A364" s="36"/>
      <c r="B364" s="37"/>
      <c r="C364" s="38"/>
      <c r="D364" s="39"/>
      <c r="E364" s="44" t="str">
        <f t="shared" si="96">IF(AND(ISNUMBER(C364),ISNUMBER(D364),ISNUMBER(F364)),IF(OR(B364="买入",B364="定投"),ROUND(C364*D364+F364,2),IF(B364="卖出",ROUND(C364*D364-F364,2),IF(B364="红利再投",0,""))),"")</f>
        <v/>
      </c>
      <c r="F364" s="39"/>
      <c r="G364" s="45" t="str">
        <f t="shared" si="97">IF(COUNTA(A364:D364,F364)=0,"",IF(I364="已计入","已录入","待修正"))</f>
        <v/>
      </c>
      <c r="H364" s="46" t="str">
        <f t="shared" si="98">IF(COUNTA(A364:D364,F364)=0,"",IF(B364="红利再投","仅增加份额，不增加现金投入","金额由份额、净值和手续费推算"))</f>
        <v/>
      </c>
      <c r="I364" s="10" t="str">
        <f>IF(COUNTA(A364:D364,F364)=0,"",IF(NOT(ISNUMBER(A364)),"缺少有效净值日期",IF(OR(A364&lt;=0,A364&lt;&gt;INT(A364)),"净值日期无效",IF(OR(B364="转换转入",B364="现金分红"),"该类型需实际金额，五项录入不适用",IF(NOT(OR(OR(B364="买入",B364="定投"),B364="卖出",B364="红利再投")),"请选择交易类型",IF(NOT(ISNUMBER(C364)),"缺少成交净值",IF(C364&lt;=0,"成交净值须大于零",IF(NOT(ISNUMBER(D364)),"缺少确认份额",IF(D364&lt;=0,"确认份额须大于零",IF(NOT(ISNUMBER(F364)),"缺少手续费，无费用请填 0",IF(F364&lt;0,"手续费不能为负",IF(AA363="错误","前行待修正",IF(A364&lt;Z363,"日期需按成交顺序递增",IF(AND(B364="红利再投",F364&lt;&gt;0),"红利再投手续费应填 0",IF(AND(B364="红利再投",K363&lt;=0),"红利再投前须有持仓",IF(AND(B364="卖出",D364&gt;K363+0.000001),"卖出份额超过持仓",IF(AND(B364="卖出",F364&gt;=C364*D364),"赎回费不能达到赎回总额",IF(NOT(ISNUMBER(E364)),"自动金额未生成，请检查五项输入",IF(NOT(OR('持仓总览'!$C$7="利润优先",'持仓总览'!$C$7="本金优先")),"请选择卖出分配模式","已计入")))))))))))))))))))</f>
        <v/>
      </c>
      <c r="J364" s="11">
        <f t="shared" si="99">IF(AA364="正常",IF(I364="已计入",IF(OR(OR(B364="买入",B364="定投",B364="转换转入"),B364="红利再投"),D364,IF(B364="卖出",-D364,0)),0),"")</f>
        <v>0</v>
      </c>
      <c r="K364" s="11">
        <f t="shared" si="104">IF(AA364="正常",ROUND(K363+J364,6),"")</f>
        <v>25721.6</v>
      </c>
      <c r="L364" s="11" t="str">
        <f t="shared" si="105">IF(I364="已计入",ROUND(K363*C364,2),"")</f>
        <v/>
      </c>
      <c r="M364" s="11" t="str">
        <f t="shared" si="106">IF(I364="已计入",IF(B364="卖出",MAX(0,L364-Q363-F364),IF(B364="现金分红",MAX(0,L364+E364-Q363),0)),"")</f>
        <v/>
      </c>
      <c r="N364" s="11" t="str">
        <f>IF(I364="已计入",IF(AND(B364="卖出",'持仓总览'!$C$7="本金优先"),MAX(0,E364-Q363),IF(OR(B364="卖出",B364="现金分红"),MIN(E364,M364),0)),"")</f>
        <v/>
      </c>
      <c r="O364" s="11" t="str">
        <f t="shared" si="107">IF(I364="已计入",IF(OR(B364="卖出",B364="现金分红"),MIN(Q363,MAX(0,E364-N364)),0),"")</f>
        <v/>
      </c>
      <c r="P364" s="11" t="str">
        <f t="shared" si="108">IF(I364="已计入",IF(AND(B364="卖出",K364=0),MAX(0,Q363-O364),0),"")</f>
        <v/>
      </c>
      <c r="Q364" s="11">
        <f t="shared" si="109">IF(AA364="正常",IF(I364="已计入",ROUND(Q363+IF(OR(B364="买入",B364="定投",B364="转换转入"),E364,0)-O364-P364,2),Q363),"")</f>
        <v>129570</v>
      </c>
      <c r="R364" s="11" t="str">
        <f t="shared" si="100">IF(I364="已计入",ROUND(K364*C364,2),"")</f>
        <v/>
      </c>
      <c r="S364" s="11" t="str">
        <f t="shared" si="101">IF(I364="已计入",ROUND(R364-Q364,2),"")</f>
        <v/>
      </c>
      <c r="T364" s="12" t="str">
        <f t="shared" si="102">IF(I364="已计入",IF(Q364=0,"",S364/Q364),"")</f>
        <v/>
      </c>
      <c r="U364" s="11">
        <f t="shared" si="110">IF(AA364="正常",U363+IF(AND(I364="已计入",OR(B364="买入",B364="定投",B364="转换转入")),E364,0),"")</f>
        <v>129570</v>
      </c>
      <c r="V364" s="11">
        <f t="shared" si="111">IF(AA364="正常",V363+IF(AND(I364="已计入",OR(B364="卖出",B364="现金分红")),E364,0),"")</f>
        <v>0</v>
      </c>
      <c r="W364" s="11">
        <f t="shared" si="112">IF(AA364="正常",W363+IF(I364="已计入",N364,0),"")</f>
        <v>0</v>
      </c>
      <c r="X364" s="11">
        <f t="shared" si="113">IF(AA364="正常",X363+IF(I364="已计入",P364,0),"")</f>
        <v>0</v>
      </c>
      <c r="Y364" s="11" t="str">
        <f t="shared" si="103">IF(I364="已计入",ROUND(R364+V364-U364,2),"")</f>
        <v/>
      </c>
      <c r="Z364" s="13">
        <f t="shared" si="114">IF(AA364="正常",IF(I364="已计入",A364,Z363),"")</f>
        <v>46239</v>
      </c>
      <c r="AA364" s="10" t="str">
        <f>IF(OR($AA$134="错误",COUNTIF($G$135:G364,"待修正")&gt;0),"错误","正常")</f>
        <v>正常</v>
      </c>
      <c r="AB364" s="14">
        <f t="shared" si="115">IF(AA364="正常",IF(I364="已计入",C364,AB363),"")</f>
        <v>6.347</v>
      </c>
    </row>
    <row r="365" ht="23" customHeight="1">
      <c r="A365" s="36"/>
      <c r="B365" s="37"/>
      <c r="C365" s="38"/>
      <c r="D365" s="39"/>
      <c r="E365" s="44" t="str">
        <f t="shared" si="96">IF(AND(ISNUMBER(C365),ISNUMBER(D365),ISNUMBER(F365)),IF(OR(B365="买入",B365="定投"),ROUND(C365*D365+F365,2),IF(B365="卖出",ROUND(C365*D365-F365,2),IF(B365="红利再投",0,""))),"")</f>
        <v/>
      </c>
      <c r="F365" s="39"/>
      <c r="G365" s="45" t="str">
        <f t="shared" si="97">IF(COUNTA(A365:D365,F365)=0,"",IF(I365="已计入","已录入","待修正"))</f>
        <v/>
      </c>
      <c r="H365" s="46" t="str">
        <f t="shared" si="98">IF(COUNTA(A365:D365,F365)=0,"",IF(B365="红利再投","仅增加份额，不增加现金投入","金额由份额、净值和手续费推算"))</f>
        <v/>
      </c>
      <c r="I365" s="10" t="str">
        <f>IF(COUNTA(A365:D365,F365)=0,"",IF(NOT(ISNUMBER(A365)),"缺少有效净值日期",IF(OR(A365&lt;=0,A365&lt;&gt;INT(A365)),"净值日期无效",IF(OR(B365="转换转入",B365="现金分红"),"该类型需实际金额，五项录入不适用",IF(NOT(OR(OR(B365="买入",B365="定投"),B365="卖出",B365="红利再投")),"请选择交易类型",IF(NOT(ISNUMBER(C365)),"缺少成交净值",IF(C365&lt;=0,"成交净值须大于零",IF(NOT(ISNUMBER(D365)),"缺少确认份额",IF(D365&lt;=0,"确认份额须大于零",IF(NOT(ISNUMBER(F365)),"缺少手续费，无费用请填 0",IF(F365&lt;0,"手续费不能为负",IF(AA364="错误","前行待修正",IF(A365&lt;Z364,"日期需按成交顺序递增",IF(AND(B365="红利再投",F365&lt;&gt;0),"红利再投手续费应填 0",IF(AND(B365="红利再投",K364&lt;=0),"红利再投前须有持仓",IF(AND(B365="卖出",D365&gt;K364+0.000001),"卖出份额超过持仓",IF(AND(B365="卖出",F365&gt;=C365*D365),"赎回费不能达到赎回总额",IF(NOT(ISNUMBER(E365)),"自动金额未生成，请检查五项输入",IF(NOT(OR('持仓总览'!$C$7="利润优先",'持仓总览'!$C$7="本金优先")),"请选择卖出分配模式","已计入")))))))))))))))))))</f>
        <v/>
      </c>
      <c r="J365" s="11">
        <f t="shared" si="99">IF(AA365="正常",IF(I365="已计入",IF(OR(OR(B365="买入",B365="定投",B365="转换转入"),B365="红利再投"),D365,IF(B365="卖出",-D365,0)),0),"")</f>
        <v>0</v>
      </c>
      <c r="K365" s="11">
        <f t="shared" si="104">IF(AA365="正常",ROUND(K364+J365,6),"")</f>
        <v>25721.6</v>
      </c>
      <c r="L365" s="11" t="str">
        <f t="shared" si="105">IF(I365="已计入",ROUND(K364*C365,2),"")</f>
        <v/>
      </c>
      <c r="M365" s="11" t="str">
        <f t="shared" si="106">IF(I365="已计入",IF(B365="卖出",MAX(0,L365-Q364-F365),IF(B365="现金分红",MAX(0,L365+E365-Q364),0)),"")</f>
        <v/>
      </c>
      <c r="N365" s="11" t="str">
        <f>IF(I365="已计入",IF(AND(B365="卖出",'持仓总览'!$C$7="本金优先"),MAX(0,E365-Q364),IF(OR(B365="卖出",B365="现金分红"),MIN(E365,M365),0)),"")</f>
        <v/>
      </c>
      <c r="O365" s="11" t="str">
        <f t="shared" si="107">IF(I365="已计入",IF(OR(B365="卖出",B365="现金分红"),MIN(Q364,MAX(0,E365-N365)),0),"")</f>
        <v/>
      </c>
      <c r="P365" s="11" t="str">
        <f t="shared" si="108">IF(I365="已计入",IF(AND(B365="卖出",K365=0),MAX(0,Q364-O365),0),"")</f>
        <v/>
      </c>
      <c r="Q365" s="11">
        <f t="shared" si="109">IF(AA365="正常",IF(I365="已计入",ROUND(Q364+IF(OR(B365="买入",B365="定投",B365="转换转入"),E365,0)-O365-P365,2),Q364),"")</f>
        <v>129570</v>
      </c>
      <c r="R365" s="11" t="str">
        <f t="shared" si="100">IF(I365="已计入",ROUND(K365*C365,2),"")</f>
        <v/>
      </c>
      <c r="S365" s="11" t="str">
        <f t="shared" si="101">IF(I365="已计入",ROUND(R365-Q365,2),"")</f>
        <v/>
      </c>
      <c r="T365" s="12" t="str">
        <f t="shared" si="102">IF(I365="已计入",IF(Q365=0,"",S365/Q365),"")</f>
        <v/>
      </c>
      <c r="U365" s="11">
        <f t="shared" si="110">IF(AA365="正常",U364+IF(AND(I365="已计入",OR(B365="买入",B365="定投",B365="转换转入")),E365,0),"")</f>
        <v>129570</v>
      </c>
      <c r="V365" s="11">
        <f t="shared" si="111">IF(AA365="正常",V364+IF(AND(I365="已计入",OR(B365="卖出",B365="现金分红")),E365,0),"")</f>
        <v>0</v>
      </c>
      <c r="W365" s="11">
        <f t="shared" si="112">IF(AA365="正常",W364+IF(I365="已计入",N365,0),"")</f>
        <v>0</v>
      </c>
      <c r="X365" s="11">
        <f t="shared" si="113">IF(AA365="正常",X364+IF(I365="已计入",P365,0),"")</f>
        <v>0</v>
      </c>
      <c r="Y365" s="11" t="str">
        <f t="shared" si="103">IF(I365="已计入",ROUND(R365+V365-U365,2),"")</f>
        <v/>
      </c>
      <c r="Z365" s="13">
        <f t="shared" si="114">IF(AA365="正常",IF(I365="已计入",A365,Z364),"")</f>
        <v>46239</v>
      </c>
      <c r="AA365" s="10" t="str">
        <f>IF(OR($AA$134="错误",COUNTIF($G$135:G365,"待修正")&gt;0),"错误","正常")</f>
        <v>正常</v>
      </c>
      <c r="AB365" s="14">
        <f t="shared" si="115">IF(AA365="正常",IF(I365="已计入",C365,AB364),"")</f>
        <v>6.347</v>
      </c>
    </row>
    <row r="366" ht="23" customHeight="1">
      <c r="A366" s="36"/>
      <c r="B366" s="37"/>
      <c r="C366" s="38"/>
      <c r="D366" s="39"/>
      <c r="E366" s="44" t="str">
        <f t="shared" si="96">IF(AND(ISNUMBER(C366),ISNUMBER(D366),ISNUMBER(F366)),IF(OR(B366="买入",B366="定投"),ROUND(C366*D366+F366,2),IF(B366="卖出",ROUND(C366*D366-F366,2),IF(B366="红利再投",0,""))),"")</f>
        <v/>
      </c>
      <c r="F366" s="39"/>
      <c r="G366" s="45" t="str">
        <f t="shared" si="97">IF(COUNTA(A366:D366,F366)=0,"",IF(I366="已计入","已录入","待修正"))</f>
        <v/>
      </c>
      <c r="H366" s="46" t="str">
        <f t="shared" si="98">IF(COUNTA(A366:D366,F366)=0,"",IF(B366="红利再投","仅增加份额，不增加现金投入","金额由份额、净值和手续费推算"))</f>
        <v/>
      </c>
      <c r="I366" s="10" t="str">
        <f>IF(COUNTA(A366:D366,F366)=0,"",IF(NOT(ISNUMBER(A366)),"缺少有效净值日期",IF(OR(A366&lt;=0,A366&lt;&gt;INT(A366)),"净值日期无效",IF(OR(B366="转换转入",B366="现金分红"),"该类型需实际金额，五项录入不适用",IF(NOT(OR(OR(B366="买入",B366="定投"),B366="卖出",B366="红利再投")),"请选择交易类型",IF(NOT(ISNUMBER(C366)),"缺少成交净值",IF(C366&lt;=0,"成交净值须大于零",IF(NOT(ISNUMBER(D366)),"缺少确认份额",IF(D366&lt;=0,"确认份额须大于零",IF(NOT(ISNUMBER(F366)),"缺少手续费，无费用请填 0",IF(F366&lt;0,"手续费不能为负",IF(AA365="错误","前行待修正",IF(A366&lt;Z365,"日期需按成交顺序递增",IF(AND(B366="红利再投",F366&lt;&gt;0),"红利再投手续费应填 0",IF(AND(B366="红利再投",K365&lt;=0),"红利再投前须有持仓",IF(AND(B366="卖出",D366&gt;K365+0.000001),"卖出份额超过持仓",IF(AND(B366="卖出",F366&gt;=C366*D366),"赎回费不能达到赎回总额",IF(NOT(ISNUMBER(E366)),"自动金额未生成，请检查五项输入",IF(NOT(OR('持仓总览'!$C$7="利润优先",'持仓总览'!$C$7="本金优先")),"请选择卖出分配模式","已计入")))))))))))))))))))</f>
        <v/>
      </c>
      <c r="J366" s="11">
        <f t="shared" si="99">IF(AA366="正常",IF(I366="已计入",IF(OR(OR(B366="买入",B366="定投",B366="转换转入"),B366="红利再投"),D366,IF(B366="卖出",-D366,0)),0),"")</f>
        <v>0</v>
      </c>
      <c r="K366" s="11">
        <f t="shared" si="104">IF(AA366="正常",ROUND(K365+J366,6),"")</f>
        <v>25721.6</v>
      </c>
      <c r="L366" s="11" t="str">
        <f t="shared" si="105">IF(I366="已计入",ROUND(K365*C366,2),"")</f>
        <v/>
      </c>
      <c r="M366" s="11" t="str">
        <f t="shared" si="106">IF(I366="已计入",IF(B366="卖出",MAX(0,L366-Q365-F366),IF(B366="现金分红",MAX(0,L366+E366-Q365),0)),"")</f>
        <v/>
      </c>
      <c r="N366" s="11" t="str">
        <f>IF(I366="已计入",IF(AND(B366="卖出",'持仓总览'!$C$7="本金优先"),MAX(0,E366-Q365),IF(OR(B366="卖出",B366="现金分红"),MIN(E366,M366),0)),"")</f>
        <v/>
      </c>
      <c r="O366" s="11" t="str">
        <f t="shared" si="107">IF(I366="已计入",IF(OR(B366="卖出",B366="现金分红"),MIN(Q365,MAX(0,E366-N366)),0),"")</f>
        <v/>
      </c>
      <c r="P366" s="11" t="str">
        <f t="shared" si="108">IF(I366="已计入",IF(AND(B366="卖出",K366=0),MAX(0,Q365-O366),0),"")</f>
        <v/>
      </c>
      <c r="Q366" s="11">
        <f t="shared" si="109">IF(AA366="正常",IF(I366="已计入",ROUND(Q365+IF(OR(B366="买入",B366="定投",B366="转换转入"),E366,0)-O366-P366,2),Q365),"")</f>
        <v>129570</v>
      </c>
      <c r="R366" s="11" t="str">
        <f t="shared" si="100">IF(I366="已计入",ROUND(K366*C366,2),"")</f>
        <v/>
      </c>
      <c r="S366" s="11" t="str">
        <f t="shared" si="101">IF(I366="已计入",ROUND(R366-Q366,2),"")</f>
        <v/>
      </c>
      <c r="T366" s="12" t="str">
        <f t="shared" si="102">IF(I366="已计入",IF(Q366=0,"",S366/Q366),"")</f>
        <v/>
      </c>
      <c r="U366" s="11">
        <f t="shared" si="110">IF(AA366="正常",U365+IF(AND(I366="已计入",OR(B366="买入",B366="定投",B366="转换转入")),E366,0),"")</f>
        <v>129570</v>
      </c>
      <c r="V366" s="11">
        <f t="shared" si="111">IF(AA366="正常",V365+IF(AND(I366="已计入",OR(B366="卖出",B366="现金分红")),E366,0),"")</f>
        <v>0</v>
      </c>
      <c r="W366" s="11">
        <f t="shared" si="112">IF(AA366="正常",W365+IF(I366="已计入",N366,0),"")</f>
        <v>0</v>
      </c>
      <c r="X366" s="11">
        <f t="shared" si="113">IF(AA366="正常",X365+IF(I366="已计入",P366,0),"")</f>
        <v>0</v>
      </c>
      <c r="Y366" s="11" t="str">
        <f t="shared" si="103">IF(I366="已计入",ROUND(R366+V366-U366,2),"")</f>
        <v/>
      </c>
      <c r="Z366" s="13">
        <f t="shared" si="114">IF(AA366="正常",IF(I366="已计入",A366,Z365),"")</f>
        <v>46239</v>
      </c>
      <c r="AA366" s="10" t="str">
        <f>IF(OR($AA$134="错误",COUNTIF($G$135:G366,"待修正")&gt;0),"错误","正常")</f>
        <v>正常</v>
      </c>
      <c r="AB366" s="14">
        <f t="shared" si="115">IF(AA366="正常",IF(I366="已计入",C366,AB365),"")</f>
        <v>6.347</v>
      </c>
    </row>
    <row r="367" ht="23" customHeight="1">
      <c r="A367" s="36"/>
      <c r="B367" s="37"/>
      <c r="C367" s="38"/>
      <c r="D367" s="39"/>
      <c r="E367" s="44" t="str">
        <f t="shared" si="96">IF(AND(ISNUMBER(C367),ISNUMBER(D367),ISNUMBER(F367)),IF(OR(B367="买入",B367="定投"),ROUND(C367*D367+F367,2),IF(B367="卖出",ROUND(C367*D367-F367,2),IF(B367="红利再投",0,""))),"")</f>
        <v/>
      </c>
      <c r="F367" s="39"/>
      <c r="G367" s="45" t="str">
        <f t="shared" si="97">IF(COUNTA(A367:D367,F367)=0,"",IF(I367="已计入","已录入","待修正"))</f>
        <v/>
      </c>
      <c r="H367" s="46" t="str">
        <f t="shared" si="98">IF(COUNTA(A367:D367,F367)=0,"",IF(B367="红利再投","仅增加份额，不增加现金投入","金额由份额、净值和手续费推算"))</f>
        <v/>
      </c>
      <c r="I367" s="10" t="str">
        <f>IF(COUNTA(A367:D367,F367)=0,"",IF(NOT(ISNUMBER(A367)),"缺少有效净值日期",IF(OR(A367&lt;=0,A367&lt;&gt;INT(A367)),"净值日期无效",IF(OR(B367="转换转入",B367="现金分红"),"该类型需实际金额，五项录入不适用",IF(NOT(OR(OR(B367="买入",B367="定投"),B367="卖出",B367="红利再投")),"请选择交易类型",IF(NOT(ISNUMBER(C367)),"缺少成交净值",IF(C367&lt;=0,"成交净值须大于零",IF(NOT(ISNUMBER(D367)),"缺少确认份额",IF(D367&lt;=0,"确认份额须大于零",IF(NOT(ISNUMBER(F367)),"缺少手续费，无费用请填 0",IF(F367&lt;0,"手续费不能为负",IF(AA366="错误","前行待修正",IF(A367&lt;Z366,"日期需按成交顺序递增",IF(AND(B367="红利再投",F367&lt;&gt;0),"红利再投手续费应填 0",IF(AND(B367="红利再投",K366&lt;=0),"红利再投前须有持仓",IF(AND(B367="卖出",D367&gt;K366+0.000001),"卖出份额超过持仓",IF(AND(B367="卖出",F367&gt;=C367*D367),"赎回费不能达到赎回总额",IF(NOT(ISNUMBER(E367)),"自动金额未生成，请检查五项输入",IF(NOT(OR('持仓总览'!$C$7="利润优先",'持仓总览'!$C$7="本金优先")),"请选择卖出分配模式","已计入")))))))))))))))))))</f>
        <v/>
      </c>
      <c r="J367" s="11">
        <f t="shared" si="99">IF(AA367="正常",IF(I367="已计入",IF(OR(OR(B367="买入",B367="定投",B367="转换转入"),B367="红利再投"),D367,IF(B367="卖出",-D367,0)),0),"")</f>
        <v>0</v>
      </c>
      <c r="K367" s="11">
        <f t="shared" si="104">IF(AA367="正常",ROUND(K366+J367,6),"")</f>
        <v>25721.6</v>
      </c>
      <c r="L367" s="11" t="str">
        <f t="shared" si="105">IF(I367="已计入",ROUND(K366*C367,2),"")</f>
        <v/>
      </c>
      <c r="M367" s="11" t="str">
        <f t="shared" si="106">IF(I367="已计入",IF(B367="卖出",MAX(0,L367-Q366-F367),IF(B367="现金分红",MAX(0,L367+E367-Q366),0)),"")</f>
        <v/>
      </c>
      <c r="N367" s="11" t="str">
        <f>IF(I367="已计入",IF(AND(B367="卖出",'持仓总览'!$C$7="本金优先"),MAX(0,E367-Q366),IF(OR(B367="卖出",B367="现金分红"),MIN(E367,M367),0)),"")</f>
        <v/>
      </c>
      <c r="O367" s="11" t="str">
        <f t="shared" si="107">IF(I367="已计入",IF(OR(B367="卖出",B367="现金分红"),MIN(Q366,MAX(0,E367-N367)),0),"")</f>
        <v/>
      </c>
      <c r="P367" s="11" t="str">
        <f t="shared" si="108">IF(I367="已计入",IF(AND(B367="卖出",K367=0),MAX(0,Q366-O367),0),"")</f>
        <v/>
      </c>
      <c r="Q367" s="11">
        <f t="shared" si="109">IF(AA367="正常",IF(I367="已计入",ROUND(Q366+IF(OR(B367="买入",B367="定投",B367="转换转入"),E367,0)-O367-P367,2),Q366),"")</f>
        <v>129570</v>
      </c>
      <c r="R367" s="11" t="str">
        <f t="shared" si="100">IF(I367="已计入",ROUND(K367*C367,2),"")</f>
        <v/>
      </c>
      <c r="S367" s="11" t="str">
        <f t="shared" si="101">IF(I367="已计入",ROUND(R367-Q367,2),"")</f>
        <v/>
      </c>
      <c r="T367" s="12" t="str">
        <f t="shared" si="102">IF(I367="已计入",IF(Q367=0,"",S367/Q367),"")</f>
        <v/>
      </c>
      <c r="U367" s="11">
        <f t="shared" si="110">IF(AA367="正常",U366+IF(AND(I367="已计入",OR(B367="买入",B367="定投",B367="转换转入")),E367,0),"")</f>
        <v>129570</v>
      </c>
      <c r="V367" s="11">
        <f t="shared" si="111">IF(AA367="正常",V366+IF(AND(I367="已计入",OR(B367="卖出",B367="现金分红")),E367,0),"")</f>
        <v>0</v>
      </c>
      <c r="W367" s="11">
        <f t="shared" si="112">IF(AA367="正常",W366+IF(I367="已计入",N367,0),"")</f>
        <v>0</v>
      </c>
      <c r="X367" s="11">
        <f t="shared" si="113">IF(AA367="正常",X366+IF(I367="已计入",P367,0),"")</f>
        <v>0</v>
      </c>
      <c r="Y367" s="11" t="str">
        <f t="shared" si="103">IF(I367="已计入",ROUND(R367+V367-U367,2),"")</f>
        <v/>
      </c>
      <c r="Z367" s="13">
        <f t="shared" si="114">IF(AA367="正常",IF(I367="已计入",A367,Z366),"")</f>
        <v>46239</v>
      </c>
      <c r="AA367" s="10" t="str">
        <f>IF(OR($AA$134="错误",COUNTIF($G$135:G367,"待修正")&gt;0),"错误","正常")</f>
        <v>正常</v>
      </c>
      <c r="AB367" s="14">
        <f t="shared" si="115">IF(AA367="正常",IF(I367="已计入",C367,AB366),"")</f>
        <v>6.347</v>
      </c>
    </row>
    <row r="368" ht="23" customHeight="1">
      <c r="A368" s="36"/>
      <c r="B368" s="37"/>
      <c r="C368" s="38"/>
      <c r="D368" s="39"/>
      <c r="E368" s="44" t="str">
        <f t="shared" si="96">IF(AND(ISNUMBER(C368),ISNUMBER(D368),ISNUMBER(F368)),IF(OR(B368="买入",B368="定投"),ROUND(C368*D368+F368,2),IF(B368="卖出",ROUND(C368*D368-F368,2),IF(B368="红利再投",0,""))),"")</f>
        <v/>
      </c>
      <c r="F368" s="39"/>
      <c r="G368" s="45" t="str">
        <f t="shared" si="97">IF(COUNTA(A368:D368,F368)=0,"",IF(I368="已计入","已录入","待修正"))</f>
        <v/>
      </c>
      <c r="H368" s="46" t="str">
        <f t="shared" si="98">IF(COUNTA(A368:D368,F368)=0,"",IF(B368="红利再投","仅增加份额，不增加现金投入","金额由份额、净值和手续费推算"))</f>
        <v/>
      </c>
      <c r="I368" s="10" t="str">
        <f>IF(COUNTA(A368:D368,F368)=0,"",IF(NOT(ISNUMBER(A368)),"缺少有效净值日期",IF(OR(A368&lt;=0,A368&lt;&gt;INT(A368)),"净值日期无效",IF(OR(B368="转换转入",B368="现金分红"),"该类型需实际金额，五项录入不适用",IF(NOT(OR(OR(B368="买入",B368="定投"),B368="卖出",B368="红利再投")),"请选择交易类型",IF(NOT(ISNUMBER(C368)),"缺少成交净值",IF(C368&lt;=0,"成交净值须大于零",IF(NOT(ISNUMBER(D368)),"缺少确认份额",IF(D368&lt;=0,"确认份额须大于零",IF(NOT(ISNUMBER(F368)),"缺少手续费，无费用请填 0",IF(F368&lt;0,"手续费不能为负",IF(AA367="错误","前行待修正",IF(A368&lt;Z367,"日期需按成交顺序递增",IF(AND(B368="红利再投",F368&lt;&gt;0),"红利再投手续费应填 0",IF(AND(B368="红利再投",K367&lt;=0),"红利再投前须有持仓",IF(AND(B368="卖出",D368&gt;K367+0.000001),"卖出份额超过持仓",IF(AND(B368="卖出",F368&gt;=C368*D368),"赎回费不能达到赎回总额",IF(NOT(ISNUMBER(E368)),"自动金额未生成，请检查五项输入",IF(NOT(OR('持仓总览'!$C$7="利润优先",'持仓总览'!$C$7="本金优先")),"请选择卖出分配模式","已计入")))))))))))))))))))</f>
        <v/>
      </c>
      <c r="J368" s="11">
        <f t="shared" si="99">IF(AA368="正常",IF(I368="已计入",IF(OR(OR(B368="买入",B368="定投",B368="转换转入"),B368="红利再投"),D368,IF(B368="卖出",-D368,0)),0),"")</f>
        <v>0</v>
      </c>
      <c r="K368" s="11">
        <f t="shared" si="104">IF(AA368="正常",ROUND(K367+J368,6),"")</f>
        <v>25721.6</v>
      </c>
      <c r="L368" s="11" t="str">
        <f t="shared" si="105">IF(I368="已计入",ROUND(K367*C368,2),"")</f>
        <v/>
      </c>
      <c r="M368" s="11" t="str">
        <f t="shared" si="106">IF(I368="已计入",IF(B368="卖出",MAX(0,L368-Q367-F368),IF(B368="现金分红",MAX(0,L368+E368-Q367),0)),"")</f>
        <v/>
      </c>
      <c r="N368" s="11" t="str">
        <f>IF(I368="已计入",IF(AND(B368="卖出",'持仓总览'!$C$7="本金优先"),MAX(0,E368-Q367),IF(OR(B368="卖出",B368="现金分红"),MIN(E368,M368),0)),"")</f>
        <v/>
      </c>
      <c r="O368" s="11" t="str">
        <f t="shared" si="107">IF(I368="已计入",IF(OR(B368="卖出",B368="现金分红"),MIN(Q367,MAX(0,E368-N368)),0),"")</f>
        <v/>
      </c>
      <c r="P368" s="11" t="str">
        <f t="shared" si="108">IF(I368="已计入",IF(AND(B368="卖出",K368=0),MAX(0,Q367-O368),0),"")</f>
        <v/>
      </c>
      <c r="Q368" s="11">
        <f t="shared" si="109">IF(AA368="正常",IF(I368="已计入",ROUND(Q367+IF(OR(B368="买入",B368="定投",B368="转换转入"),E368,0)-O368-P368,2),Q367),"")</f>
        <v>129570</v>
      </c>
      <c r="R368" s="11" t="str">
        <f t="shared" si="100">IF(I368="已计入",ROUND(K368*C368,2),"")</f>
        <v/>
      </c>
      <c r="S368" s="11" t="str">
        <f t="shared" si="101">IF(I368="已计入",ROUND(R368-Q368,2),"")</f>
        <v/>
      </c>
      <c r="T368" s="12" t="str">
        <f t="shared" si="102">IF(I368="已计入",IF(Q368=0,"",S368/Q368),"")</f>
        <v/>
      </c>
      <c r="U368" s="11">
        <f t="shared" si="110">IF(AA368="正常",U367+IF(AND(I368="已计入",OR(B368="买入",B368="定投",B368="转换转入")),E368,0),"")</f>
        <v>129570</v>
      </c>
      <c r="V368" s="11">
        <f t="shared" si="111">IF(AA368="正常",V367+IF(AND(I368="已计入",OR(B368="卖出",B368="现金分红")),E368,0),"")</f>
        <v>0</v>
      </c>
      <c r="W368" s="11">
        <f t="shared" si="112">IF(AA368="正常",W367+IF(I368="已计入",N368,0),"")</f>
        <v>0</v>
      </c>
      <c r="X368" s="11">
        <f t="shared" si="113">IF(AA368="正常",X367+IF(I368="已计入",P368,0),"")</f>
        <v>0</v>
      </c>
      <c r="Y368" s="11" t="str">
        <f t="shared" si="103">IF(I368="已计入",ROUND(R368+V368-U368,2),"")</f>
        <v/>
      </c>
      <c r="Z368" s="13">
        <f t="shared" si="114">IF(AA368="正常",IF(I368="已计入",A368,Z367),"")</f>
        <v>46239</v>
      </c>
      <c r="AA368" s="10" t="str">
        <f>IF(OR($AA$134="错误",COUNTIF($G$135:G368,"待修正")&gt;0),"错误","正常")</f>
        <v>正常</v>
      </c>
      <c r="AB368" s="14">
        <f t="shared" si="115">IF(AA368="正常",IF(I368="已计入",C368,AB367),"")</f>
        <v>6.347</v>
      </c>
    </row>
    <row r="369" ht="23" customHeight="1">
      <c r="A369" s="36"/>
      <c r="B369" s="37"/>
      <c r="C369" s="38"/>
      <c r="D369" s="39"/>
      <c r="E369" s="44" t="str">
        <f t="shared" si="96">IF(AND(ISNUMBER(C369),ISNUMBER(D369),ISNUMBER(F369)),IF(OR(B369="买入",B369="定投"),ROUND(C369*D369+F369,2),IF(B369="卖出",ROUND(C369*D369-F369,2),IF(B369="红利再投",0,""))),"")</f>
        <v/>
      </c>
      <c r="F369" s="39"/>
      <c r="G369" s="45" t="str">
        <f t="shared" si="97">IF(COUNTA(A369:D369,F369)=0,"",IF(I369="已计入","已录入","待修正"))</f>
        <v/>
      </c>
      <c r="H369" s="46" t="str">
        <f t="shared" si="98">IF(COUNTA(A369:D369,F369)=0,"",IF(B369="红利再投","仅增加份额，不增加现金投入","金额由份额、净值和手续费推算"))</f>
        <v/>
      </c>
      <c r="I369" s="10" t="str">
        <f>IF(COUNTA(A369:D369,F369)=0,"",IF(NOT(ISNUMBER(A369)),"缺少有效净值日期",IF(OR(A369&lt;=0,A369&lt;&gt;INT(A369)),"净值日期无效",IF(OR(B369="转换转入",B369="现金分红"),"该类型需实际金额，五项录入不适用",IF(NOT(OR(OR(B369="买入",B369="定投"),B369="卖出",B369="红利再投")),"请选择交易类型",IF(NOT(ISNUMBER(C369)),"缺少成交净值",IF(C369&lt;=0,"成交净值须大于零",IF(NOT(ISNUMBER(D369)),"缺少确认份额",IF(D369&lt;=0,"确认份额须大于零",IF(NOT(ISNUMBER(F369)),"缺少手续费，无费用请填 0",IF(F369&lt;0,"手续费不能为负",IF(AA368="错误","前行待修正",IF(A369&lt;Z368,"日期需按成交顺序递增",IF(AND(B369="红利再投",F369&lt;&gt;0),"红利再投手续费应填 0",IF(AND(B369="红利再投",K368&lt;=0),"红利再投前须有持仓",IF(AND(B369="卖出",D369&gt;K368+0.000001),"卖出份额超过持仓",IF(AND(B369="卖出",F369&gt;=C369*D369),"赎回费不能达到赎回总额",IF(NOT(ISNUMBER(E369)),"自动金额未生成，请检查五项输入",IF(NOT(OR('持仓总览'!$C$7="利润优先",'持仓总览'!$C$7="本金优先")),"请选择卖出分配模式","已计入")))))))))))))))))))</f>
        <v/>
      </c>
      <c r="J369" s="11">
        <f t="shared" si="99">IF(AA369="正常",IF(I369="已计入",IF(OR(OR(B369="买入",B369="定投",B369="转换转入"),B369="红利再投"),D369,IF(B369="卖出",-D369,0)),0),"")</f>
        <v>0</v>
      </c>
      <c r="K369" s="11">
        <f t="shared" si="104">IF(AA369="正常",ROUND(K368+J369,6),"")</f>
        <v>25721.6</v>
      </c>
      <c r="L369" s="11" t="str">
        <f t="shared" si="105">IF(I369="已计入",ROUND(K368*C369,2),"")</f>
        <v/>
      </c>
      <c r="M369" s="11" t="str">
        <f t="shared" si="106">IF(I369="已计入",IF(B369="卖出",MAX(0,L369-Q368-F369),IF(B369="现金分红",MAX(0,L369+E369-Q368),0)),"")</f>
        <v/>
      </c>
      <c r="N369" s="11" t="str">
        <f>IF(I369="已计入",IF(AND(B369="卖出",'持仓总览'!$C$7="本金优先"),MAX(0,E369-Q368),IF(OR(B369="卖出",B369="现金分红"),MIN(E369,M369),0)),"")</f>
        <v/>
      </c>
      <c r="O369" s="11" t="str">
        <f t="shared" si="107">IF(I369="已计入",IF(OR(B369="卖出",B369="现金分红"),MIN(Q368,MAX(0,E369-N369)),0),"")</f>
        <v/>
      </c>
      <c r="P369" s="11" t="str">
        <f t="shared" si="108">IF(I369="已计入",IF(AND(B369="卖出",K369=0),MAX(0,Q368-O369),0),"")</f>
        <v/>
      </c>
      <c r="Q369" s="11">
        <f t="shared" si="109">IF(AA369="正常",IF(I369="已计入",ROUND(Q368+IF(OR(B369="买入",B369="定投",B369="转换转入"),E369,0)-O369-P369,2),Q368),"")</f>
        <v>129570</v>
      </c>
      <c r="R369" s="11" t="str">
        <f t="shared" si="100">IF(I369="已计入",ROUND(K369*C369,2),"")</f>
        <v/>
      </c>
      <c r="S369" s="11" t="str">
        <f t="shared" si="101">IF(I369="已计入",ROUND(R369-Q369,2),"")</f>
        <v/>
      </c>
      <c r="T369" s="12" t="str">
        <f t="shared" si="102">IF(I369="已计入",IF(Q369=0,"",S369/Q369),"")</f>
        <v/>
      </c>
      <c r="U369" s="11">
        <f t="shared" si="110">IF(AA369="正常",U368+IF(AND(I369="已计入",OR(B369="买入",B369="定投",B369="转换转入")),E369,0),"")</f>
        <v>129570</v>
      </c>
      <c r="V369" s="11">
        <f t="shared" si="111">IF(AA369="正常",V368+IF(AND(I369="已计入",OR(B369="卖出",B369="现金分红")),E369,0),"")</f>
        <v>0</v>
      </c>
      <c r="W369" s="11">
        <f t="shared" si="112">IF(AA369="正常",W368+IF(I369="已计入",N369,0),"")</f>
        <v>0</v>
      </c>
      <c r="X369" s="11">
        <f t="shared" si="113">IF(AA369="正常",X368+IF(I369="已计入",P369,0),"")</f>
        <v>0</v>
      </c>
      <c r="Y369" s="11" t="str">
        <f t="shared" si="103">IF(I369="已计入",ROUND(R369+V369-U369,2),"")</f>
        <v/>
      </c>
      <c r="Z369" s="13">
        <f t="shared" si="114">IF(AA369="正常",IF(I369="已计入",A369,Z368),"")</f>
        <v>46239</v>
      </c>
      <c r="AA369" s="10" t="str">
        <f>IF(OR($AA$134="错误",COUNTIF($G$135:G369,"待修正")&gt;0),"错误","正常")</f>
        <v>正常</v>
      </c>
      <c r="AB369" s="14">
        <f t="shared" si="115">IF(AA369="正常",IF(I369="已计入",C369,AB368),"")</f>
        <v>6.347</v>
      </c>
    </row>
    <row r="370" ht="23" customHeight="1">
      <c r="A370" s="36"/>
      <c r="B370" s="37"/>
      <c r="C370" s="38"/>
      <c r="D370" s="39"/>
      <c r="E370" s="44" t="str">
        <f t="shared" si="96">IF(AND(ISNUMBER(C370),ISNUMBER(D370),ISNUMBER(F370)),IF(OR(B370="买入",B370="定投"),ROUND(C370*D370+F370,2),IF(B370="卖出",ROUND(C370*D370-F370,2),IF(B370="红利再投",0,""))),"")</f>
        <v/>
      </c>
      <c r="F370" s="39"/>
      <c r="G370" s="45" t="str">
        <f t="shared" si="97">IF(COUNTA(A370:D370,F370)=0,"",IF(I370="已计入","已录入","待修正"))</f>
        <v/>
      </c>
      <c r="H370" s="46" t="str">
        <f t="shared" si="98">IF(COUNTA(A370:D370,F370)=0,"",IF(B370="红利再投","仅增加份额，不增加现金投入","金额由份额、净值和手续费推算"))</f>
        <v/>
      </c>
      <c r="I370" s="10" t="str">
        <f>IF(COUNTA(A370:D370,F370)=0,"",IF(NOT(ISNUMBER(A370)),"缺少有效净值日期",IF(OR(A370&lt;=0,A370&lt;&gt;INT(A370)),"净值日期无效",IF(OR(B370="转换转入",B370="现金分红"),"该类型需实际金额，五项录入不适用",IF(NOT(OR(OR(B370="买入",B370="定投"),B370="卖出",B370="红利再投")),"请选择交易类型",IF(NOT(ISNUMBER(C370)),"缺少成交净值",IF(C370&lt;=0,"成交净值须大于零",IF(NOT(ISNUMBER(D370)),"缺少确认份额",IF(D370&lt;=0,"确认份额须大于零",IF(NOT(ISNUMBER(F370)),"缺少手续费，无费用请填 0",IF(F370&lt;0,"手续费不能为负",IF(AA369="错误","前行待修正",IF(A370&lt;Z369,"日期需按成交顺序递增",IF(AND(B370="红利再投",F370&lt;&gt;0),"红利再投手续费应填 0",IF(AND(B370="红利再投",K369&lt;=0),"红利再投前须有持仓",IF(AND(B370="卖出",D370&gt;K369+0.000001),"卖出份额超过持仓",IF(AND(B370="卖出",F370&gt;=C370*D370),"赎回费不能达到赎回总额",IF(NOT(ISNUMBER(E370)),"自动金额未生成，请检查五项输入",IF(NOT(OR('持仓总览'!$C$7="利润优先",'持仓总览'!$C$7="本金优先")),"请选择卖出分配模式","已计入")))))))))))))))))))</f>
        <v/>
      </c>
      <c r="J370" s="11">
        <f t="shared" si="99">IF(AA370="正常",IF(I370="已计入",IF(OR(OR(B370="买入",B370="定投",B370="转换转入"),B370="红利再投"),D370,IF(B370="卖出",-D370,0)),0),"")</f>
        <v>0</v>
      </c>
      <c r="K370" s="11">
        <f t="shared" si="104">IF(AA370="正常",ROUND(K369+J370,6),"")</f>
        <v>25721.6</v>
      </c>
      <c r="L370" s="11" t="str">
        <f t="shared" si="105">IF(I370="已计入",ROUND(K369*C370,2),"")</f>
        <v/>
      </c>
      <c r="M370" s="11" t="str">
        <f t="shared" si="106">IF(I370="已计入",IF(B370="卖出",MAX(0,L370-Q369-F370),IF(B370="现金分红",MAX(0,L370+E370-Q369),0)),"")</f>
        <v/>
      </c>
      <c r="N370" s="11" t="str">
        <f>IF(I370="已计入",IF(AND(B370="卖出",'持仓总览'!$C$7="本金优先"),MAX(0,E370-Q369),IF(OR(B370="卖出",B370="现金分红"),MIN(E370,M370),0)),"")</f>
        <v/>
      </c>
      <c r="O370" s="11" t="str">
        <f t="shared" si="107">IF(I370="已计入",IF(OR(B370="卖出",B370="现金分红"),MIN(Q369,MAX(0,E370-N370)),0),"")</f>
        <v/>
      </c>
      <c r="P370" s="11" t="str">
        <f t="shared" si="108">IF(I370="已计入",IF(AND(B370="卖出",K370=0),MAX(0,Q369-O370),0),"")</f>
        <v/>
      </c>
      <c r="Q370" s="11">
        <f t="shared" si="109">IF(AA370="正常",IF(I370="已计入",ROUND(Q369+IF(OR(B370="买入",B370="定投",B370="转换转入"),E370,0)-O370-P370,2),Q369),"")</f>
        <v>129570</v>
      </c>
      <c r="R370" s="11" t="str">
        <f t="shared" si="100">IF(I370="已计入",ROUND(K370*C370,2),"")</f>
        <v/>
      </c>
      <c r="S370" s="11" t="str">
        <f t="shared" si="101">IF(I370="已计入",ROUND(R370-Q370,2),"")</f>
        <v/>
      </c>
      <c r="T370" s="12" t="str">
        <f t="shared" si="102">IF(I370="已计入",IF(Q370=0,"",S370/Q370),"")</f>
        <v/>
      </c>
      <c r="U370" s="11">
        <f t="shared" si="110">IF(AA370="正常",U369+IF(AND(I370="已计入",OR(B370="买入",B370="定投",B370="转换转入")),E370,0),"")</f>
        <v>129570</v>
      </c>
      <c r="V370" s="11">
        <f t="shared" si="111">IF(AA370="正常",V369+IF(AND(I370="已计入",OR(B370="卖出",B370="现金分红")),E370,0),"")</f>
        <v>0</v>
      </c>
      <c r="W370" s="11">
        <f t="shared" si="112">IF(AA370="正常",W369+IF(I370="已计入",N370,0),"")</f>
        <v>0</v>
      </c>
      <c r="X370" s="11">
        <f t="shared" si="113">IF(AA370="正常",X369+IF(I370="已计入",P370,0),"")</f>
        <v>0</v>
      </c>
      <c r="Y370" s="11" t="str">
        <f t="shared" si="103">IF(I370="已计入",ROUND(R370+V370-U370,2),"")</f>
        <v/>
      </c>
      <c r="Z370" s="13">
        <f t="shared" si="114">IF(AA370="正常",IF(I370="已计入",A370,Z369),"")</f>
        <v>46239</v>
      </c>
      <c r="AA370" s="10" t="str">
        <f>IF(OR($AA$134="错误",COUNTIF($G$135:G370,"待修正")&gt;0),"错误","正常")</f>
        <v>正常</v>
      </c>
      <c r="AB370" s="14">
        <f t="shared" si="115">IF(AA370="正常",IF(I370="已计入",C370,AB369),"")</f>
        <v>6.347</v>
      </c>
    </row>
    <row r="371" ht="23" customHeight="1">
      <c r="A371" s="36"/>
      <c r="B371" s="37"/>
      <c r="C371" s="38"/>
      <c r="D371" s="39"/>
      <c r="E371" s="44" t="str">
        <f t="shared" si="96">IF(AND(ISNUMBER(C371),ISNUMBER(D371),ISNUMBER(F371)),IF(OR(B371="买入",B371="定投"),ROUND(C371*D371+F371,2),IF(B371="卖出",ROUND(C371*D371-F371,2),IF(B371="红利再投",0,""))),"")</f>
        <v/>
      </c>
      <c r="F371" s="39"/>
      <c r="G371" s="45" t="str">
        <f t="shared" si="97">IF(COUNTA(A371:D371,F371)=0,"",IF(I371="已计入","已录入","待修正"))</f>
        <v/>
      </c>
      <c r="H371" s="46" t="str">
        <f t="shared" si="98">IF(COUNTA(A371:D371,F371)=0,"",IF(B371="红利再投","仅增加份额，不增加现金投入","金额由份额、净值和手续费推算"))</f>
        <v/>
      </c>
      <c r="I371" s="10" t="str">
        <f>IF(COUNTA(A371:D371,F371)=0,"",IF(NOT(ISNUMBER(A371)),"缺少有效净值日期",IF(OR(A371&lt;=0,A371&lt;&gt;INT(A371)),"净值日期无效",IF(OR(B371="转换转入",B371="现金分红"),"该类型需实际金额，五项录入不适用",IF(NOT(OR(OR(B371="买入",B371="定投"),B371="卖出",B371="红利再投")),"请选择交易类型",IF(NOT(ISNUMBER(C371)),"缺少成交净值",IF(C371&lt;=0,"成交净值须大于零",IF(NOT(ISNUMBER(D371)),"缺少确认份额",IF(D371&lt;=0,"确认份额须大于零",IF(NOT(ISNUMBER(F371)),"缺少手续费，无费用请填 0",IF(F371&lt;0,"手续费不能为负",IF(AA370="错误","前行待修正",IF(A371&lt;Z370,"日期需按成交顺序递增",IF(AND(B371="红利再投",F371&lt;&gt;0),"红利再投手续费应填 0",IF(AND(B371="红利再投",K370&lt;=0),"红利再投前须有持仓",IF(AND(B371="卖出",D371&gt;K370+0.000001),"卖出份额超过持仓",IF(AND(B371="卖出",F371&gt;=C371*D371),"赎回费不能达到赎回总额",IF(NOT(ISNUMBER(E371)),"自动金额未生成，请检查五项输入",IF(NOT(OR('持仓总览'!$C$7="利润优先",'持仓总览'!$C$7="本金优先")),"请选择卖出分配模式","已计入")))))))))))))))))))</f>
        <v/>
      </c>
      <c r="J371" s="11">
        <f t="shared" si="99">IF(AA371="正常",IF(I371="已计入",IF(OR(OR(B371="买入",B371="定投",B371="转换转入"),B371="红利再投"),D371,IF(B371="卖出",-D371,0)),0),"")</f>
        <v>0</v>
      </c>
      <c r="K371" s="11">
        <f t="shared" si="104">IF(AA371="正常",ROUND(K370+J371,6),"")</f>
        <v>25721.6</v>
      </c>
      <c r="L371" s="11" t="str">
        <f t="shared" si="105">IF(I371="已计入",ROUND(K370*C371,2),"")</f>
        <v/>
      </c>
      <c r="M371" s="11" t="str">
        <f t="shared" si="106">IF(I371="已计入",IF(B371="卖出",MAX(0,L371-Q370-F371),IF(B371="现金分红",MAX(0,L371+E371-Q370),0)),"")</f>
        <v/>
      </c>
      <c r="N371" s="11" t="str">
        <f>IF(I371="已计入",IF(AND(B371="卖出",'持仓总览'!$C$7="本金优先"),MAX(0,E371-Q370),IF(OR(B371="卖出",B371="现金分红"),MIN(E371,M371),0)),"")</f>
        <v/>
      </c>
      <c r="O371" s="11" t="str">
        <f t="shared" si="107">IF(I371="已计入",IF(OR(B371="卖出",B371="现金分红"),MIN(Q370,MAX(0,E371-N371)),0),"")</f>
        <v/>
      </c>
      <c r="P371" s="11" t="str">
        <f t="shared" si="108">IF(I371="已计入",IF(AND(B371="卖出",K371=0),MAX(0,Q370-O371),0),"")</f>
        <v/>
      </c>
      <c r="Q371" s="11">
        <f t="shared" si="109">IF(AA371="正常",IF(I371="已计入",ROUND(Q370+IF(OR(B371="买入",B371="定投",B371="转换转入"),E371,0)-O371-P371,2),Q370),"")</f>
        <v>129570</v>
      </c>
      <c r="R371" s="11" t="str">
        <f t="shared" si="100">IF(I371="已计入",ROUND(K371*C371,2),"")</f>
        <v/>
      </c>
      <c r="S371" s="11" t="str">
        <f t="shared" si="101">IF(I371="已计入",ROUND(R371-Q371,2),"")</f>
        <v/>
      </c>
      <c r="T371" s="12" t="str">
        <f t="shared" si="102">IF(I371="已计入",IF(Q371=0,"",S371/Q371),"")</f>
        <v/>
      </c>
      <c r="U371" s="11">
        <f t="shared" si="110">IF(AA371="正常",U370+IF(AND(I371="已计入",OR(B371="买入",B371="定投",B371="转换转入")),E371,0),"")</f>
        <v>129570</v>
      </c>
      <c r="V371" s="11">
        <f t="shared" si="111">IF(AA371="正常",V370+IF(AND(I371="已计入",OR(B371="卖出",B371="现金分红")),E371,0),"")</f>
        <v>0</v>
      </c>
      <c r="W371" s="11">
        <f t="shared" si="112">IF(AA371="正常",W370+IF(I371="已计入",N371,0),"")</f>
        <v>0</v>
      </c>
      <c r="X371" s="11">
        <f t="shared" si="113">IF(AA371="正常",X370+IF(I371="已计入",P371,0),"")</f>
        <v>0</v>
      </c>
      <c r="Y371" s="11" t="str">
        <f t="shared" si="103">IF(I371="已计入",ROUND(R371+V371-U371,2),"")</f>
        <v/>
      </c>
      <c r="Z371" s="13">
        <f t="shared" si="114">IF(AA371="正常",IF(I371="已计入",A371,Z370),"")</f>
        <v>46239</v>
      </c>
      <c r="AA371" s="10" t="str">
        <f>IF(OR($AA$134="错误",COUNTIF($G$135:G371,"待修正")&gt;0),"错误","正常")</f>
        <v>正常</v>
      </c>
      <c r="AB371" s="14">
        <f t="shared" si="115">IF(AA371="正常",IF(I371="已计入",C371,AB370),"")</f>
        <v>6.347</v>
      </c>
    </row>
    <row r="372" ht="23" customHeight="1">
      <c r="A372" s="36"/>
      <c r="B372" s="37"/>
      <c r="C372" s="38"/>
      <c r="D372" s="39"/>
      <c r="E372" s="44" t="str">
        <f t="shared" si="96">IF(AND(ISNUMBER(C372),ISNUMBER(D372),ISNUMBER(F372)),IF(OR(B372="买入",B372="定投"),ROUND(C372*D372+F372,2),IF(B372="卖出",ROUND(C372*D372-F372,2),IF(B372="红利再投",0,""))),"")</f>
        <v/>
      </c>
      <c r="F372" s="39"/>
      <c r="G372" s="45" t="str">
        <f t="shared" si="97">IF(COUNTA(A372:D372,F372)=0,"",IF(I372="已计入","已录入","待修正"))</f>
        <v/>
      </c>
      <c r="H372" s="46" t="str">
        <f t="shared" si="98">IF(COUNTA(A372:D372,F372)=0,"",IF(B372="红利再投","仅增加份额，不增加现金投入","金额由份额、净值和手续费推算"))</f>
        <v/>
      </c>
      <c r="I372" s="10" t="str">
        <f>IF(COUNTA(A372:D372,F372)=0,"",IF(NOT(ISNUMBER(A372)),"缺少有效净值日期",IF(OR(A372&lt;=0,A372&lt;&gt;INT(A372)),"净值日期无效",IF(OR(B372="转换转入",B372="现金分红"),"该类型需实际金额，五项录入不适用",IF(NOT(OR(OR(B372="买入",B372="定投"),B372="卖出",B372="红利再投")),"请选择交易类型",IF(NOT(ISNUMBER(C372)),"缺少成交净值",IF(C372&lt;=0,"成交净值须大于零",IF(NOT(ISNUMBER(D372)),"缺少确认份额",IF(D372&lt;=0,"确认份额须大于零",IF(NOT(ISNUMBER(F372)),"缺少手续费，无费用请填 0",IF(F372&lt;0,"手续费不能为负",IF(AA371="错误","前行待修正",IF(A372&lt;Z371,"日期需按成交顺序递增",IF(AND(B372="红利再投",F372&lt;&gt;0),"红利再投手续费应填 0",IF(AND(B372="红利再投",K371&lt;=0),"红利再投前须有持仓",IF(AND(B372="卖出",D372&gt;K371+0.000001),"卖出份额超过持仓",IF(AND(B372="卖出",F372&gt;=C372*D372),"赎回费不能达到赎回总额",IF(NOT(ISNUMBER(E372)),"自动金额未生成，请检查五项输入",IF(NOT(OR('持仓总览'!$C$7="利润优先",'持仓总览'!$C$7="本金优先")),"请选择卖出分配模式","已计入")))))))))))))))))))</f>
        <v/>
      </c>
      <c r="J372" s="11">
        <f t="shared" si="99">IF(AA372="正常",IF(I372="已计入",IF(OR(OR(B372="买入",B372="定投",B372="转换转入"),B372="红利再投"),D372,IF(B372="卖出",-D372,0)),0),"")</f>
        <v>0</v>
      </c>
      <c r="K372" s="11">
        <f t="shared" si="104">IF(AA372="正常",ROUND(K371+J372,6),"")</f>
        <v>25721.6</v>
      </c>
      <c r="L372" s="11" t="str">
        <f t="shared" si="105">IF(I372="已计入",ROUND(K371*C372,2),"")</f>
        <v/>
      </c>
      <c r="M372" s="11" t="str">
        <f t="shared" si="106">IF(I372="已计入",IF(B372="卖出",MAX(0,L372-Q371-F372),IF(B372="现金分红",MAX(0,L372+E372-Q371),0)),"")</f>
        <v/>
      </c>
      <c r="N372" s="11" t="str">
        <f>IF(I372="已计入",IF(AND(B372="卖出",'持仓总览'!$C$7="本金优先"),MAX(0,E372-Q371),IF(OR(B372="卖出",B372="现金分红"),MIN(E372,M372),0)),"")</f>
        <v/>
      </c>
      <c r="O372" s="11" t="str">
        <f t="shared" si="107">IF(I372="已计入",IF(OR(B372="卖出",B372="现金分红"),MIN(Q371,MAX(0,E372-N372)),0),"")</f>
        <v/>
      </c>
      <c r="P372" s="11" t="str">
        <f t="shared" si="108">IF(I372="已计入",IF(AND(B372="卖出",K372=0),MAX(0,Q371-O372),0),"")</f>
        <v/>
      </c>
      <c r="Q372" s="11">
        <f t="shared" si="109">IF(AA372="正常",IF(I372="已计入",ROUND(Q371+IF(OR(B372="买入",B372="定投",B372="转换转入"),E372,0)-O372-P372,2),Q371),"")</f>
        <v>129570</v>
      </c>
      <c r="R372" s="11" t="str">
        <f t="shared" si="100">IF(I372="已计入",ROUND(K372*C372,2),"")</f>
        <v/>
      </c>
      <c r="S372" s="11" t="str">
        <f t="shared" si="101">IF(I372="已计入",ROUND(R372-Q372,2),"")</f>
        <v/>
      </c>
      <c r="T372" s="12" t="str">
        <f t="shared" si="102">IF(I372="已计入",IF(Q372=0,"",S372/Q372),"")</f>
        <v/>
      </c>
      <c r="U372" s="11">
        <f t="shared" si="110">IF(AA372="正常",U371+IF(AND(I372="已计入",OR(B372="买入",B372="定投",B372="转换转入")),E372,0),"")</f>
        <v>129570</v>
      </c>
      <c r="V372" s="11">
        <f t="shared" si="111">IF(AA372="正常",V371+IF(AND(I372="已计入",OR(B372="卖出",B372="现金分红")),E372,0),"")</f>
        <v>0</v>
      </c>
      <c r="W372" s="11">
        <f t="shared" si="112">IF(AA372="正常",W371+IF(I372="已计入",N372,0),"")</f>
        <v>0</v>
      </c>
      <c r="X372" s="11">
        <f t="shared" si="113">IF(AA372="正常",X371+IF(I372="已计入",P372,0),"")</f>
        <v>0</v>
      </c>
      <c r="Y372" s="11" t="str">
        <f t="shared" si="103">IF(I372="已计入",ROUND(R372+V372-U372,2),"")</f>
        <v/>
      </c>
      <c r="Z372" s="13">
        <f t="shared" si="114">IF(AA372="正常",IF(I372="已计入",A372,Z371),"")</f>
        <v>46239</v>
      </c>
      <c r="AA372" s="10" t="str">
        <f>IF(OR($AA$134="错误",COUNTIF($G$135:G372,"待修正")&gt;0),"错误","正常")</f>
        <v>正常</v>
      </c>
      <c r="AB372" s="14">
        <f t="shared" si="115">IF(AA372="正常",IF(I372="已计入",C372,AB371),"")</f>
        <v>6.347</v>
      </c>
    </row>
    <row r="373" ht="23" customHeight="1">
      <c r="A373" s="36"/>
      <c r="B373" s="37"/>
      <c r="C373" s="38"/>
      <c r="D373" s="39"/>
      <c r="E373" s="44" t="str">
        <f t="shared" ref="E373:E436" si="116">IF(AND(ISNUMBER(C373),ISNUMBER(D373),ISNUMBER(F373)),IF(OR(B373="买入",B373="定投"),ROUND(C373*D373+F373,2),IF(B373="卖出",ROUND(C373*D373-F373,2),IF(B373="红利再投",0,""))),"")</f>
        <v/>
      </c>
      <c r="F373" s="39"/>
      <c r="G373" s="45" t="str">
        <f t="shared" ref="G373:G436" si="117">IF(COUNTA(A373:D373,F373)=0,"",IF(I373="已计入","已录入","待修正"))</f>
        <v/>
      </c>
      <c r="H373" s="46" t="str">
        <f t="shared" ref="H373:H436" si="118">IF(COUNTA(A373:D373,F373)=0,"",IF(B373="红利再投","仅增加份额，不增加现金投入","金额由份额、净值和手续费推算"))</f>
        <v/>
      </c>
      <c r="I373" s="10" t="str">
        <f>IF(COUNTA(A373:D373,F373)=0,"",IF(NOT(ISNUMBER(A373)),"缺少有效净值日期",IF(OR(A373&lt;=0,A373&lt;&gt;INT(A373)),"净值日期无效",IF(OR(B373="转换转入",B373="现金分红"),"该类型需实际金额，五项录入不适用",IF(NOT(OR(OR(B373="买入",B373="定投"),B373="卖出",B373="红利再投")),"请选择交易类型",IF(NOT(ISNUMBER(C373)),"缺少成交净值",IF(C373&lt;=0,"成交净值须大于零",IF(NOT(ISNUMBER(D373)),"缺少确认份额",IF(D373&lt;=0,"确认份额须大于零",IF(NOT(ISNUMBER(F373)),"缺少手续费，无费用请填 0",IF(F373&lt;0,"手续费不能为负",IF(AA372="错误","前行待修正",IF(A373&lt;Z372,"日期需按成交顺序递增",IF(AND(B373="红利再投",F373&lt;&gt;0),"红利再投手续费应填 0",IF(AND(B373="红利再投",K372&lt;=0),"红利再投前须有持仓",IF(AND(B373="卖出",D373&gt;K372+0.000001),"卖出份额超过持仓",IF(AND(B373="卖出",F373&gt;=C373*D373),"赎回费不能达到赎回总额",IF(NOT(ISNUMBER(E373)),"自动金额未生成，请检查五项输入",IF(NOT(OR('持仓总览'!$C$7="利润优先",'持仓总览'!$C$7="本金优先")),"请选择卖出分配模式","已计入")))))))))))))))))))</f>
        <v/>
      </c>
      <c r="J373" s="11">
        <f t="shared" si="99">IF(AA373="正常",IF(I373="已计入",IF(OR(OR(B373="买入",B373="定投",B373="转换转入"),B373="红利再投"),D373,IF(B373="卖出",-D373,0)),0),"")</f>
        <v>0</v>
      </c>
      <c r="K373" s="11">
        <f t="shared" si="104">IF(AA373="正常",ROUND(K372+J373,6),"")</f>
        <v>25721.6</v>
      </c>
      <c r="L373" s="11" t="str">
        <f t="shared" si="105">IF(I373="已计入",ROUND(K372*C373,2),"")</f>
        <v/>
      </c>
      <c r="M373" s="11" t="str">
        <f t="shared" si="106">IF(I373="已计入",IF(B373="卖出",MAX(0,L373-Q372-F373),IF(B373="现金分红",MAX(0,L373+E373-Q372),0)),"")</f>
        <v/>
      </c>
      <c r="N373" s="11" t="str">
        <f>IF(I373="已计入",IF(AND(B373="卖出",'持仓总览'!$C$7="本金优先"),MAX(0,E373-Q372),IF(OR(B373="卖出",B373="现金分红"),MIN(E373,M373),0)),"")</f>
        <v/>
      </c>
      <c r="O373" s="11" t="str">
        <f t="shared" si="107">IF(I373="已计入",IF(OR(B373="卖出",B373="现金分红"),MIN(Q372,MAX(0,E373-N373)),0),"")</f>
        <v/>
      </c>
      <c r="P373" s="11" t="str">
        <f t="shared" si="108">IF(I373="已计入",IF(AND(B373="卖出",K373=0),MAX(0,Q372-O373),0),"")</f>
        <v/>
      </c>
      <c r="Q373" s="11">
        <f t="shared" si="109">IF(AA373="正常",IF(I373="已计入",ROUND(Q372+IF(OR(B373="买入",B373="定投",B373="转换转入"),E373,0)-O373-P373,2),Q372),"")</f>
        <v>129570</v>
      </c>
      <c r="R373" s="11" t="str">
        <f t="shared" si="100">IF(I373="已计入",ROUND(K373*C373,2),"")</f>
        <v/>
      </c>
      <c r="S373" s="11" t="str">
        <f t="shared" si="101">IF(I373="已计入",ROUND(R373-Q373,2),"")</f>
        <v/>
      </c>
      <c r="T373" s="12" t="str">
        <f t="shared" si="102">IF(I373="已计入",IF(Q373=0,"",S373/Q373),"")</f>
        <v/>
      </c>
      <c r="U373" s="11">
        <f t="shared" si="110">IF(AA373="正常",U372+IF(AND(I373="已计入",OR(B373="买入",B373="定投",B373="转换转入")),E373,0),"")</f>
        <v>129570</v>
      </c>
      <c r="V373" s="11">
        <f t="shared" si="111">IF(AA373="正常",V372+IF(AND(I373="已计入",OR(B373="卖出",B373="现金分红")),E373,0),"")</f>
        <v>0</v>
      </c>
      <c r="W373" s="11">
        <f t="shared" si="112">IF(AA373="正常",W372+IF(I373="已计入",N373,0),"")</f>
        <v>0</v>
      </c>
      <c r="X373" s="11">
        <f t="shared" si="113">IF(AA373="正常",X372+IF(I373="已计入",P373,0),"")</f>
        <v>0</v>
      </c>
      <c r="Y373" s="11" t="str">
        <f t="shared" si="103">IF(I373="已计入",ROUND(R373+V373-U373,2),"")</f>
        <v/>
      </c>
      <c r="Z373" s="13">
        <f t="shared" si="114">IF(AA373="正常",IF(I373="已计入",A373,Z372),"")</f>
        <v>46239</v>
      </c>
      <c r="AA373" s="10" t="str">
        <f>IF(OR($AA$134="错误",COUNTIF($G$135:G373,"待修正")&gt;0),"错误","正常")</f>
        <v>正常</v>
      </c>
      <c r="AB373" s="14">
        <f t="shared" si="115">IF(AA373="正常",IF(I373="已计入",C373,AB372),"")</f>
        <v>6.347</v>
      </c>
    </row>
    <row r="374" ht="23" customHeight="1">
      <c r="A374" s="36"/>
      <c r="B374" s="37"/>
      <c r="C374" s="38"/>
      <c r="D374" s="39"/>
      <c r="E374" s="44" t="str">
        <f t="shared" si="116">IF(AND(ISNUMBER(C374),ISNUMBER(D374),ISNUMBER(F374)),IF(OR(B374="买入",B374="定投"),ROUND(C374*D374+F374,2),IF(B374="卖出",ROUND(C374*D374-F374,2),IF(B374="红利再投",0,""))),"")</f>
        <v/>
      </c>
      <c r="F374" s="39"/>
      <c r="G374" s="45" t="str">
        <f t="shared" si="117">IF(COUNTA(A374:D374,F374)=0,"",IF(I374="已计入","已录入","待修正"))</f>
        <v/>
      </c>
      <c r="H374" s="46" t="str">
        <f t="shared" si="118">IF(COUNTA(A374:D374,F374)=0,"",IF(B374="红利再投","仅增加份额，不增加现金投入","金额由份额、净值和手续费推算"))</f>
        <v/>
      </c>
      <c r="I374" s="10" t="str">
        <f>IF(COUNTA(A374:D374,F374)=0,"",IF(NOT(ISNUMBER(A374)),"缺少有效净值日期",IF(OR(A374&lt;=0,A374&lt;&gt;INT(A374)),"净值日期无效",IF(OR(B374="转换转入",B374="现金分红"),"该类型需实际金额，五项录入不适用",IF(NOT(OR(OR(B374="买入",B374="定投"),B374="卖出",B374="红利再投")),"请选择交易类型",IF(NOT(ISNUMBER(C374)),"缺少成交净值",IF(C374&lt;=0,"成交净值须大于零",IF(NOT(ISNUMBER(D374)),"缺少确认份额",IF(D374&lt;=0,"确认份额须大于零",IF(NOT(ISNUMBER(F374)),"缺少手续费，无费用请填 0",IF(F374&lt;0,"手续费不能为负",IF(AA373="错误","前行待修正",IF(A374&lt;Z373,"日期需按成交顺序递增",IF(AND(B374="红利再投",F374&lt;&gt;0),"红利再投手续费应填 0",IF(AND(B374="红利再投",K373&lt;=0),"红利再投前须有持仓",IF(AND(B374="卖出",D374&gt;K373+0.000001),"卖出份额超过持仓",IF(AND(B374="卖出",F374&gt;=C374*D374),"赎回费不能达到赎回总额",IF(NOT(ISNUMBER(E374)),"自动金额未生成，请检查五项输入",IF(NOT(OR('持仓总览'!$C$7="利润优先",'持仓总览'!$C$7="本金优先")),"请选择卖出分配模式","已计入")))))))))))))))))))</f>
        <v/>
      </c>
      <c r="J374" s="11">
        <f t="shared" si="99">IF(AA374="正常",IF(I374="已计入",IF(OR(OR(B374="买入",B374="定投",B374="转换转入"),B374="红利再投"),D374,IF(B374="卖出",-D374,0)),0),"")</f>
        <v>0</v>
      </c>
      <c r="K374" s="11">
        <f t="shared" si="104">IF(AA374="正常",ROUND(K373+J374,6),"")</f>
        <v>25721.6</v>
      </c>
      <c r="L374" s="11" t="str">
        <f t="shared" si="105">IF(I374="已计入",ROUND(K373*C374,2),"")</f>
        <v/>
      </c>
      <c r="M374" s="11" t="str">
        <f t="shared" si="106">IF(I374="已计入",IF(B374="卖出",MAX(0,L374-Q373-F374),IF(B374="现金分红",MAX(0,L374+E374-Q373),0)),"")</f>
        <v/>
      </c>
      <c r="N374" s="11" t="str">
        <f>IF(I374="已计入",IF(AND(B374="卖出",'持仓总览'!$C$7="本金优先"),MAX(0,E374-Q373),IF(OR(B374="卖出",B374="现金分红"),MIN(E374,M374),0)),"")</f>
        <v/>
      </c>
      <c r="O374" s="11" t="str">
        <f t="shared" si="107">IF(I374="已计入",IF(OR(B374="卖出",B374="现金分红"),MIN(Q373,MAX(0,E374-N374)),0),"")</f>
        <v/>
      </c>
      <c r="P374" s="11" t="str">
        <f t="shared" si="108">IF(I374="已计入",IF(AND(B374="卖出",K374=0),MAX(0,Q373-O374),0),"")</f>
        <v/>
      </c>
      <c r="Q374" s="11">
        <f t="shared" si="109">IF(AA374="正常",IF(I374="已计入",ROUND(Q373+IF(OR(B374="买入",B374="定投",B374="转换转入"),E374,0)-O374-P374,2),Q373),"")</f>
        <v>129570</v>
      </c>
      <c r="R374" s="11" t="str">
        <f t="shared" si="100">IF(I374="已计入",ROUND(K374*C374,2),"")</f>
        <v/>
      </c>
      <c r="S374" s="11" t="str">
        <f t="shared" si="101">IF(I374="已计入",ROUND(R374-Q374,2),"")</f>
        <v/>
      </c>
      <c r="T374" s="12" t="str">
        <f t="shared" si="102">IF(I374="已计入",IF(Q374=0,"",S374/Q374),"")</f>
        <v/>
      </c>
      <c r="U374" s="11">
        <f t="shared" si="110">IF(AA374="正常",U373+IF(AND(I374="已计入",OR(B374="买入",B374="定投",B374="转换转入")),E374,0),"")</f>
        <v>129570</v>
      </c>
      <c r="V374" s="11">
        <f t="shared" si="111">IF(AA374="正常",V373+IF(AND(I374="已计入",OR(B374="卖出",B374="现金分红")),E374,0),"")</f>
        <v>0</v>
      </c>
      <c r="W374" s="11">
        <f t="shared" si="112">IF(AA374="正常",W373+IF(I374="已计入",N374,0),"")</f>
        <v>0</v>
      </c>
      <c r="X374" s="11">
        <f t="shared" si="113">IF(AA374="正常",X373+IF(I374="已计入",P374,0),"")</f>
        <v>0</v>
      </c>
      <c r="Y374" s="11" t="str">
        <f t="shared" si="103">IF(I374="已计入",ROUND(R374+V374-U374,2),"")</f>
        <v/>
      </c>
      <c r="Z374" s="13">
        <f t="shared" si="114">IF(AA374="正常",IF(I374="已计入",A374,Z373),"")</f>
        <v>46239</v>
      </c>
      <c r="AA374" s="10" t="str">
        <f>IF(OR($AA$134="错误",COUNTIF($G$135:G374,"待修正")&gt;0),"错误","正常")</f>
        <v>正常</v>
      </c>
      <c r="AB374" s="14">
        <f t="shared" si="115">IF(AA374="正常",IF(I374="已计入",C374,AB373),"")</f>
        <v>6.347</v>
      </c>
    </row>
    <row r="375" ht="23" customHeight="1">
      <c r="A375" s="36"/>
      <c r="B375" s="37"/>
      <c r="C375" s="38"/>
      <c r="D375" s="39"/>
      <c r="E375" s="44" t="str">
        <f t="shared" si="116">IF(AND(ISNUMBER(C375),ISNUMBER(D375),ISNUMBER(F375)),IF(OR(B375="买入",B375="定投"),ROUND(C375*D375+F375,2),IF(B375="卖出",ROUND(C375*D375-F375,2),IF(B375="红利再投",0,""))),"")</f>
        <v/>
      </c>
      <c r="F375" s="39"/>
      <c r="G375" s="45" t="str">
        <f t="shared" si="117">IF(COUNTA(A375:D375,F375)=0,"",IF(I375="已计入","已录入","待修正"))</f>
        <v/>
      </c>
      <c r="H375" s="46" t="str">
        <f t="shared" si="118">IF(COUNTA(A375:D375,F375)=0,"",IF(B375="红利再投","仅增加份额，不增加现金投入","金额由份额、净值和手续费推算"))</f>
        <v/>
      </c>
      <c r="I375" s="10" t="str">
        <f>IF(COUNTA(A375:D375,F375)=0,"",IF(NOT(ISNUMBER(A375)),"缺少有效净值日期",IF(OR(A375&lt;=0,A375&lt;&gt;INT(A375)),"净值日期无效",IF(OR(B375="转换转入",B375="现金分红"),"该类型需实际金额，五项录入不适用",IF(NOT(OR(OR(B375="买入",B375="定投"),B375="卖出",B375="红利再投")),"请选择交易类型",IF(NOT(ISNUMBER(C375)),"缺少成交净值",IF(C375&lt;=0,"成交净值须大于零",IF(NOT(ISNUMBER(D375)),"缺少确认份额",IF(D375&lt;=0,"确认份额须大于零",IF(NOT(ISNUMBER(F375)),"缺少手续费，无费用请填 0",IF(F375&lt;0,"手续费不能为负",IF(AA374="错误","前行待修正",IF(A375&lt;Z374,"日期需按成交顺序递增",IF(AND(B375="红利再投",F375&lt;&gt;0),"红利再投手续费应填 0",IF(AND(B375="红利再投",K374&lt;=0),"红利再投前须有持仓",IF(AND(B375="卖出",D375&gt;K374+0.000001),"卖出份额超过持仓",IF(AND(B375="卖出",F375&gt;=C375*D375),"赎回费不能达到赎回总额",IF(NOT(ISNUMBER(E375)),"自动金额未生成，请检查五项输入",IF(NOT(OR('持仓总览'!$C$7="利润优先",'持仓总览'!$C$7="本金优先")),"请选择卖出分配模式","已计入")))))))))))))))))))</f>
        <v/>
      </c>
      <c r="J375" s="11">
        <f t="shared" si="99">IF(AA375="正常",IF(I375="已计入",IF(OR(OR(B375="买入",B375="定投",B375="转换转入"),B375="红利再投"),D375,IF(B375="卖出",-D375,0)),0),"")</f>
        <v>0</v>
      </c>
      <c r="K375" s="11">
        <f t="shared" si="104">IF(AA375="正常",ROUND(K374+J375,6),"")</f>
        <v>25721.6</v>
      </c>
      <c r="L375" s="11" t="str">
        <f t="shared" si="105">IF(I375="已计入",ROUND(K374*C375,2),"")</f>
        <v/>
      </c>
      <c r="M375" s="11" t="str">
        <f t="shared" si="106">IF(I375="已计入",IF(B375="卖出",MAX(0,L375-Q374-F375),IF(B375="现金分红",MAX(0,L375+E375-Q374),0)),"")</f>
        <v/>
      </c>
      <c r="N375" s="11" t="str">
        <f>IF(I375="已计入",IF(AND(B375="卖出",'持仓总览'!$C$7="本金优先"),MAX(0,E375-Q374),IF(OR(B375="卖出",B375="现金分红"),MIN(E375,M375),0)),"")</f>
        <v/>
      </c>
      <c r="O375" s="11" t="str">
        <f t="shared" si="107">IF(I375="已计入",IF(OR(B375="卖出",B375="现金分红"),MIN(Q374,MAX(0,E375-N375)),0),"")</f>
        <v/>
      </c>
      <c r="P375" s="11" t="str">
        <f t="shared" si="108">IF(I375="已计入",IF(AND(B375="卖出",K375=0),MAX(0,Q374-O375),0),"")</f>
        <v/>
      </c>
      <c r="Q375" s="11">
        <f t="shared" si="109">IF(AA375="正常",IF(I375="已计入",ROUND(Q374+IF(OR(B375="买入",B375="定投",B375="转换转入"),E375,0)-O375-P375,2),Q374),"")</f>
        <v>129570</v>
      </c>
      <c r="R375" s="11" t="str">
        <f t="shared" si="100">IF(I375="已计入",ROUND(K375*C375,2),"")</f>
        <v/>
      </c>
      <c r="S375" s="11" t="str">
        <f t="shared" si="101">IF(I375="已计入",ROUND(R375-Q375,2),"")</f>
        <v/>
      </c>
      <c r="T375" s="12" t="str">
        <f t="shared" si="102">IF(I375="已计入",IF(Q375=0,"",S375/Q375),"")</f>
        <v/>
      </c>
      <c r="U375" s="11">
        <f t="shared" si="110">IF(AA375="正常",U374+IF(AND(I375="已计入",OR(B375="买入",B375="定投",B375="转换转入")),E375,0),"")</f>
        <v>129570</v>
      </c>
      <c r="V375" s="11">
        <f t="shared" si="111">IF(AA375="正常",V374+IF(AND(I375="已计入",OR(B375="卖出",B375="现金分红")),E375,0),"")</f>
        <v>0</v>
      </c>
      <c r="W375" s="11">
        <f t="shared" si="112">IF(AA375="正常",W374+IF(I375="已计入",N375,0),"")</f>
        <v>0</v>
      </c>
      <c r="X375" s="11">
        <f t="shared" si="113">IF(AA375="正常",X374+IF(I375="已计入",P375,0),"")</f>
        <v>0</v>
      </c>
      <c r="Y375" s="11" t="str">
        <f t="shared" si="103">IF(I375="已计入",ROUND(R375+V375-U375,2),"")</f>
        <v/>
      </c>
      <c r="Z375" s="13">
        <f t="shared" si="114">IF(AA375="正常",IF(I375="已计入",A375,Z374),"")</f>
        <v>46239</v>
      </c>
      <c r="AA375" s="10" t="str">
        <f>IF(OR($AA$134="错误",COUNTIF($G$135:G375,"待修正")&gt;0),"错误","正常")</f>
        <v>正常</v>
      </c>
      <c r="AB375" s="14">
        <f t="shared" si="115">IF(AA375="正常",IF(I375="已计入",C375,AB374),"")</f>
        <v>6.347</v>
      </c>
    </row>
    <row r="376" ht="23" customHeight="1">
      <c r="A376" s="36"/>
      <c r="B376" s="37"/>
      <c r="C376" s="38"/>
      <c r="D376" s="39"/>
      <c r="E376" s="44" t="str">
        <f t="shared" si="116">IF(AND(ISNUMBER(C376),ISNUMBER(D376),ISNUMBER(F376)),IF(OR(B376="买入",B376="定投"),ROUND(C376*D376+F376,2),IF(B376="卖出",ROUND(C376*D376-F376,2),IF(B376="红利再投",0,""))),"")</f>
        <v/>
      </c>
      <c r="F376" s="39"/>
      <c r="G376" s="45" t="str">
        <f t="shared" si="117">IF(COUNTA(A376:D376,F376)=0,"",IF(I376="已计入","已录入","待修正"))</f>
        <v/>
      </c>
      <c r="H376" s="46" t="str">
        <f t="shared" si="118">IF(COUNTA(A376:D376,F376)=0,"",IF(B376="红利再投","仅增加份额，不增加现金投入","金额由份额、净值和手续费推算"))</f>
        <v/>
      </c>
      <c r="I376" s="10" t="str">
        <f>IF(COUNTA(A376:D376,F376)=0,"",IF(NOT(ISNUMBER(A376)),"缺少有效净值日期",IF(OR(A376&lt;=0,A376&lt;&gt;INT(A376)),"净值日期无效",IF(OR(B376="转换转入",B376="现金分红"),"该类型需实际金额，五项录入不适用",IF(NOT(OR(OR(B376="买入",B376="定投"),B376="卖出",B376="红利再投")),"请选择交易类型",IF(NOT(ISNUMBER(C376)),"缺少成交净值",IF(C376&lt;=0,"成交净值须大于零",IF(NOT(ISNUMBER(D376)),"缺少确认份额",IF(D376&lt;=0,"确认份额须大于零",IF(NOT(ISNUMBER(F376)),"缺少手续费，无费用请填 0",IF(F376&lt;0,"手续费不能为负",IF(AA375="错误","前行待修正",IF(A376&lt;Z375,"日期需按成交顺序递增",IF(AND(B376="红利再投",F376&lt;&gt;0),"红利再投手续费应填 0",IF(AND(B376="红利再投",K375&lt;=0),"红利再投前须有持仓",IF(AND(B376="卖出",D376&gt;K375+0.000001),"卖出份额超过持仓",IF(AND(B376="卖出",F376&gt;=C376*D376),"赎回费不能达到赎回总额",IF(NOT(ISNUMBER(E376)),"自动金额未生成，请检查五项输入",IF(NOT(OR('持仓总览'!$C$7="利润优先",'持仓总览'!$C$7="本金优先")),"请选择卖出分配模式","已计入")))))))))))))))))))</f>
        <v/>
      </c>
      <c r="J376" s="11">
        <f t="shared" si="99">IF(AA376="正常",IF(I376="已计入",IF(OR(OR(B376="买入",B376="定投",B376="转换转入"),B376="红利再投"),D376,IF(B376="卖出",-D376,0)),0),"")</f>
        <v>0</v>
      </c>
      <c r="K376" s="11">
        <f t="shared" si="104">IF(AA376="正常",ROUND(K375+J376,6),"")</f>
        <v>25721.6</v>
      </c>
      <c r="L376" s="11" t="str">
        <f t="shared" si="105">IF(I376="已计入",ROUND(K375*C376,2),"")</f>
        <v/>
      </c>
      <c r="M376" s="11" t="str">
        <f t="shared" si="106">IF(I376="已计入",IF(B376="卖出",MAX(0,L376-Q375-F376),IF(B376="现金分红",MAX(0,L376+E376-Q375),0)),"")</f>
        <v/>
      </c>
      <c r="N376" s="11" t="str">
        <f>IF(I376="已计入",IF(AND(B376="卖出",'持仓总览'!$C$7="本金优先"),MAX(0,E376-Q375),IF(OR(B376="卖出",B376="现金分红"),MIN(E376,M376),0)),"")</f>
        <v/>
      </c>
      <c r="O376" s="11" t="str">
        <f t="shared" si="107">IF(I376="已计入",IF(OR(B376="卖出",B376="现金分红"),MIN(Q375,MAX(0,E376-N376)),0),"")</f>
        <v/>
      </c>
      <c r="P376" s="11" t="str">
        <f t="shared" si="108">IF(I376="已计入",IF(AND(B376="卖出",K376=0),MAX(0,Q375-O376),0),"")</f>
        <v/>
      </c>
      <c r="Q376" s="11">
        <f t="shared" si="109">IF(AA376="正常",IF(I376="已计入",ROUND(Q375+IF(OR(B376="买入",B376="定投",B376="转换转入"),E376,0)-O376-P376,2),Q375),"")</f>
        <v>129570</v>
      </c>
      <c r="R376" s="11" t="str">
        <f t="shared" si="100">IF(I376="已计入",ROUND(K376*C376,2),"")</f>
        <v/>
      </c>
      <c r="S376" s="11" t="str">
        <f t="shared" si="101">IF(I376="已计入",ROUND(R376-Q376,2),"")</f>
        <v/>
      </c>
      <c r="T376" s="12" t="str">
        <f t="shared" si="102">IF(I376="已计入",IF(Q376=0,"",S376/Q376),"")</f>
        <v/>
      </c>
      <c r="U376" s="11">
        <f t="shared" si="110">IF(AA376="正常",U375+IF(AND(I376="已计入",OR(B376="买入",B376="定投",B376="转换转入")),E376,0),"")</f>
        <v>129570</v>
      </c>
      <c r="V376" s="11">
        <f t="shared" si="111">IF(AA376="正常",V375+IF(AND(I376="已计入",OR(B376="卖出",B376="现金分红")),E376,0),"")</f>
        <v>0</v>
      </c>
      <c r="W376" s="11">
        <f t="shared" si="112">IF(AA376="正常",W375+IF(I376="已计入",N376,0),"")</f>
        <v>0</v>
      </c>
      <c r="X376" s="11">
        <f t="shared" si="113">IF(AA376="正常",X375+IF(I376="已计入",P376,0),"")</f>
        <v>0</v>
      </c>
      <c r="Y376" s="11" t="str">
        <f t="shared" si="103">IF(I376="已计入",ROUND(R376+V376-U376,2),"")</f>
        <v/>
      </c>
      <c r="Z376" s="13">
        <f t="shared" si="114">IF(AA376="正常",IF(I376="已计入",A376,Z375),"")</f>
        <v>46239</v>
      </c>
      <c r="AA376" s="10" t="str">
        <f>IF(OR($AA$134="错误",COUNTIF($G$135:G376,"待修正")&gt;0),"错误","正常")</f>
        <v>正常</v>
      </c>
      <c r="AB376" s="14">
        <f t="shared" si="115">IF(AA376="正常",IF(I376="已计入",C376,AB375),"")</f>
        <v>6.347</v>
      </c>
    </row>
    <row r="377" ht="23" customHeight="1">
      <c r="A377" s="36"/>
      <c r="B377" s="37"/>
      <c r="C377" s="38"/>
      <c r="D377" s="39"/>
      <c r="E377" s="44" t="str">
        <f t="shared" si="116">IF(AND(ISNUMBER(C377),ISNUMBER(D377),ISNUMBER(F377)),IF(OR(B377="买入",B377="定投"),ROUND(C377*D377+F377,2),IF(B377="卖出",ROUND(C377*D377-F377,2),IF(B377="红利再投",0,""))),"")</f>
        <v/>
      </c>
      <c r="F377" s="39"/>
      <c r="G377" s="45" t="str">
        <f t="shared" si="117">IF(COUNTA(A377:D377,F377)=0,"",IF(I377="已计入","已录入","待修正"))</f>
        <v/>
      </c>
      <c r="H377" s="46" t="str">
        <f t="shared" si="118">IF(COUNTA(A377:D377,F377)=0,"",IF(B377="红利再投","仅增加份额，不增加现金投入","金额由份额、净值和手续费推算"))</f>
        <v/>
      </c>
      <c r="I377" s="10" t="str">
        <f>IF(COUNTA(A377:D377,F377)=0,"",IF(NOT(ISNUMBER(A377)),"缺少有效净值日期",IF(OR(A377&lt;=0,A377&lt;&gt;INT(A377)),"净值日期无效",IF(OR(B377="转换转入",B377="现金分红"),"该类型需实际金额，五项录入不适用",IF(NOT(OR(OR(B377="买入",B377="定投"),B377="卖出",B377="红利再投")),"请选择交易类型",IF(NOT(ISNUMBER(C377)),"缺少成交净值",IF(C377&lt;=0,"成交净值须大于零",IF(NOT(ISNUMBER(D377)),"缺少确认份额",IF(D377&lt;=0,"确认份额须大于零",IF(NOT(ISNUMBER(F377)),"缺少手续费，无费用请填 0",IF(F377&lt;0,"手续费不能为负",IF(AA376="错误","前行待修正",IF(A377&lt;Z376,"日期需按成交顺序递增",IF(AND(B377="红利再投",F377&lt;&gt;0),"红利再投手续费应填 0",IF(AND(B377="红利再投",K376&lt;=0),"红利再投前须有持仓",IF(AND(B377="卖出",D377&gt;K376+0.000001),"卖出份额超过持仓",IF(AND(B377="卖出",F377&gt;=C377*D377),"赎回费不能达到赎回总额",IF(NOT(ISNUMBER(E377)),"自动金额未生成，请检查五项输入",IF(NOT(OR('持仓总览'!$C$7="利润优先",'持仓总览'!$C$7="本金优先")),"请选择卖出分配模式","已计入")))))))))))))))))))</f>
        <v/>
      </c>
      <c r="J377" s="11">
        <f t="shared" si="99">IF(AA377="正常",IF(I377="已计入",IF(OR(OR(B377="买入",B377="定投",B377="转换转入"),B377="红利再投"),D377,IF(B377="卖出",-D377,0)),0),"")</f>
        <v>0</v>
      </c>
      <c r="K377" s="11">
        <f t="shared" si="104">IF(AA377="正常",ROUND(K376+J377,6),"")</f>
        <v>25721.6</v>
      </c>
      <c r="L377" s="11" t="str">
        <f t="shared" si="105">IF(I377="已计入",ROUND(K376*C377,2),"")</f>
        <v/>
      </c>
      <c r="M377" s="11" t="str">
        <f t="shared" si="106">IF(I377="已计入",IF(B377="卖出",MAX(0,L377-Q376-F377),IF(B377="现金分红",MAX(0,L377+E377-Q376),0)),"")</f>
        <v/>
      </c>
      <c r="N377" s="11" t="str">
        <f>IF(I377="已计入",IF(AND(B377="卖出",'持仓总览'!$C$7="本金优先"),MAX(0,E377-Q376),IF(OR(B377="卖出",B377="现金分红"),MIN(E377,M377),0)),"")</f>
        <v/>
      </c>
      <c r="O377" s="11" t="str">
        <f t="shared" si="107">IF(I377="已计入",IF(OR(B377="卖出",B377="现金分红"),MIN(Q376,MAX(0,E377-N377)),0),"")</f>
        <v/>
      </c>
      <c r="P377" s="11" t="str">
        <f t="shared" si="108">IF(I377="已计入",IF(AND(B377="卖出",K377=0),MAX(0,Q376-O377),0),"")</f>
        <v/>
      </c>
      <c r="Q377" s="11">
        <f t="shared" si="109">IF(AA377="正常",IF(I377="已计入",ROUND(Q376+IF(OR(B377="买入",B377="定投",B377="转换转入"),E377,0)-O377-P377,2),Q376),"")</f>
        <v>129570</v>
      </c>
      <c r="R377" s="11" t="str">
        <f t="shared" si="100">IF(I377="已计入",ROUND(K377*C377,2),"")</f>
        <v/>
      </c>
      <c r="S377" s="11" t="str">
        <f t="shared" si="101">IF(I377="已计入",ROUND(R377-Q377,2),"")</f>
        <v/>
      </c>
      <c r="T377" s="12" t="str">
        <f t="shared" si="102">IF(I377="已计入",IF(Q377=0,"",S377/Q377),"")</f>
        <v/>
      </c>
      <c r="U377" s="11">
        <f t="shared" si="110">IF(AA377="正常",U376+IF(AND(I377="已计入",OR(B377="买入",B377="定投",B377="转换转入")),E377,0),"")</f>
        <v>129570</v>
      </c>
      <c r="V377" s="11">
        <f t="shared" si="111">IF(AA377="正常",V376+IF(AND(I377="已计入",OR(B377="卖出",B377="现金分红")),E377,0),"")</f>
        <v>0</v>
      </c>
      <c r="W377" s="11">
        <f t="shared" si="112">IF(AA377="正常",W376+IF(I377="已计入",N377,0),"")</f>
        <v>0</v>
      </c>
      <c r="X377" s="11">
        <f t="shared" si="113">IF(AA377="正常",X376+IF(I377="已计入",P377,0),"")</f>
        <v>0</v>
      </c>
      <c r="Y377" s="11" t="str">
        <f t="shared" si="103">IF(I377="已计入",ROUND(R377+V377-U377,2),"")</f>
        <v/>
      </c>
      <c r="Z377" s="13">
        <f t="shared" si="114">IF(AA377="正常",IF(I377="已计入",A377,Z376),"")</f>
        <v>46239</v>
      </c>
      <c r="AA377" s="10" t="str">
        <f>IF(OR($AA$134="错误",COUNTIF($G$135:G377,"待修正")&gt;0),"错误","正常")</f>
        <v>正常</v>
      </c>
      <c r="AB377" s="14">
        <f t="shared" si="115">IF(AA377="正常",IF(I377="已计入",C377,AB376),"")</f>
        <v>6.347</v>
      </c>
    </row>
    <row r="378" ht="23" customHeight="1">
      <c r="A378" s="36"/>
      <c r="B378" s="37"/>
      <c r="C378" s="38"/>
      <c r="D378" s="39"/>
      <c r="E378" s="44" t="str">
        <f t="shared" si="116">IF(AND(ISNUMBER(C378),ISNUMBER(D378),ISNUMBER(F378)),IF(OR(B378="买入",B378="定投"),ROUND(C378*D378+F378,2),IF(B378="卖出",ROUND(C378*D378-F378,2),IF(B378="红利再投",0,""))),"")</f>
        <v/>
      </c>
      <c r="F378" s="39"/>
      <c r="G378" s="45" t="str">
        <f t="shared" si="117">IF(COUNTA(A378:D378,F378)=0,"",IF(I378="已计入","已录入","待修正"))</f>
        <v/>
      </c>
      <c r="H378" s="46" t="str">
        <f t="shared" si="118">IF(COUNTA(A378:D378,F378)=0,"",IF(B378="红利再投","仅增加份额，不增加现金投入","金额由份额、净值和手续费推算"))</f>
        <v/>
      </c>
      <c r="I378" s="10" t="str">
        <f>IF(COUNTA(A378:D378,F378)=0,"",IF(NOT(ISNUMBER(A378)),"缺少有效净值日期",IF(OR(A378&lt;=0,A378&lt;&gt;INT(A378)),"净值日期无效",IF(OR(B378="转换转入",B378="现金分红"),"该类型需实际金额，五项录入不适用",IF(NOT(OR(OR(B378="买入",B378="定投"),B378="卖出",B378="红利再投")),"请选择交易类型",IF(NOT(ISNUMBER(C378)),"缺少成交净值",IF(C378&lt;=0,"成交净值须大于零",IF(NOT(ISNUMBER(D378)),"缺少确认份额",IF(D378&lt;=0,"确认份额须大于零",IF(NOT(ISNUMBER(F378)),"缺少手续费，无费用请填 0",IF(F378&lt;0,"手续费不能为负",IF(AA377="错误","前行待修正",IF(A378&lt;Z377,"日期需按成交顺序递增",IF(AND(B378="红利再投",F378&lt;&gt;0),"红利再投手续费应填 0",IF(AND(B378="红利再投",K377&lt;=0),"红利再投前须有持仓",IF(AND(B378="卖出",D378&gt;K377+0.000001),"卖出份额超过持仓",IF(AND(B378="卖出",F378&gt;=C378*D378),"赎回费不能达到赎回总额",IF(NOT(ISNUMBER(E378)),"自动金额未生成，请检查五项输入",IF(NOT(OR('持仓总览'!$C$7="利润优先",'持仓总览'!$C$7="本金优先")),"请选择卖出分配模式","已计入")))))))))))))))))))</f>
        <v/>
      </c>
      <c r="J378" s="11">
        <f t="shared" si="99">IF(AA378="正常",IF(I378="已计入",IF(OR(OR(B378="买入",B378="定投",B378="转换转入"),B378="红利再投"),D378,IF(B378="卖出",-D378,0)),0),"")</f>
        <v>0</v>
      </c>
      <c r="K378" s="11">
        <f t="shared" si="104">IF(AA378="正常",ROUND(K377+J378,6),"")</f>
        <v>25721.6</v>
      </c>
      <c r="L378" s="11" t="str">
        <f t="shared" si="105">IF(I378="已计入",ROUND(K377*C378,2),"")</f>
        <v/>
      </c>
      <c r="M378" s="11" t="str">
        <f t="shared" si="106">IF(I378="已计入",IF(B378="卖出",MAX(0,L378-Q377-F378),IF(B378="现金分红",MAX(0,L378+E378-Q377),0)),"")</f>
        <v/>
      </c>
      <c r="N378" s="11" t="str">
        <f>IF(I378="已计入",IF(AND(B378="卖出",'持仓总览'!$C$7="本金优先"),MAX(0,E378-Q377),IF(OR(B378="卖出",B378="现金分红"),MIN(E378,M378),0)),"")</f>
        <v/>
      </c>
      <c r="O378" s="11" t="str">
        <f t="shared" si="107">IF(I378="已计入",IF(OR(B378="卖出",B378="现金分红"),MIN(Q377,MAX(0,E378-N378)),0),"")</f>
        <v/>
      </c>
      <c r="P378" s="11" t="str">
        <f t="shared" si="108">IF(I378="已计入",IF(AND(B378="卖出",K378=0),MAX(0,Q377-O378),0),"")</f>
        <v/>
      </c>
      <c r="Q378" s="11">
        <f t="shared" si="109">IF(AA378="正常",IF(I378="已计入",ROUND(Q377+IF(OR(B378="买入",B378="定投",B378="转换转入"),E378,0)-O378-P378,2),Q377),"")</f>
        <v>129570</v>
      </c>
      <c r="R378" s="11" t="str">
        <f t="shared" si="100">IF(I378="已计入",ROUND(K378*C378,2),"")</f>
        <v/>
      </c>
      <c r="S378" s="11" t="str">
        <f t="shared" si="101">IF(I378="已计入",ROUND(R378-Q378,2),"")</f>
        <v/>
      </c>
      <c r="T378" s="12" t="str">
        <f t="shared" si="102">IF(I378="已计入",IF(Q378=0,"",S378/Q378),"")</f>
        <v/>
      </c>
      <c r="U378" s="11">
        <f t="shared" si="110">IF(AA378="正常",U377+IF(AND(I378="已计入",OR(B378="买入",B378="定投",B378="转换转入")),E378,0),"")</f>
        <v>129570</v>
      </c>
      <c r="V378" s="11">
        <f t="shared" si="111">IF(AA378="正常",V377+IF(AND(I378="已计入",OR(B378="卖出",B378="现金分红")),E378,0),"")</f>
        <v>0</v>
      </c>
      <c r="W378" s="11">
        <f t="shared" si="112">IF(AA378="正常",W377+IF(I378="已计入",N378,0),"")</f>
        <v>0</v>
      </c>
      <c r="X378" s="11">
        <f t="shared" si="113">IF(AA378="正常",X377+IF(I378="已计入",P378,0),"")</f>
        <v>0</v>
      </c>
      <c r="Y378" s="11" t="str">
        <f t="shared" si="103">IF(I378="已计入",ROUND(R378+V378-U378,2),"")</f>
        <v/>
      </c>
      <c r="Z378" s="13">
        <f t="shared" si="114">IF(AA378="正常",IF(I378="已计入",A378,Z377),"")</f>
        <v>46239</v>
      </c>
      <c r="AA378" s="10" t="str">
        <f>IF(OR($AA$134="错误",COUNTIF($G$135:G378,"待修正")&gt;0),"错误","正常")</f>
        <v>正常</v>
      </c>
      <c r="AB378" s="14">
        <f t="shared" si="115">IF(AA378="正常",IF(I378="已计入",C378,AB377),"")</f>
        <v>6.347</v>
      </c>
    </row>
    <row r="379" ht="23" customHeight="1">
      <c r="A379" s="36"/>
      <c r="B379" s="37"/>
      <c r="C379" s="38"/>
      <c r="D379" s="39"/>
      <c r="E379" s="44" t="str">
        <f t="shared" si="116">IF(AND(ISNUMBER(C379),ISNUMBER(D379),ISNUMBER(F379)),IF(OR(B379="买入",B379="定投"),ROUND(C379*D379+F379,2),IF(B379="卖出",ROUND(C379*D379-F379,2),IF(B379="红利再投",0,""))),"")</f>
        <v/>
      </c>
      <c r="F379" s="39"/>
      <c r="G379" s="45" t="str">
        <f t="shared" si="117">IF(COUNTA(A379:D379,F379)=0,"",IF(I379="已计入","已录入","待修正"))</f>
        <v/>
      </c>
      <c r="H379" s="46" t="str">
        <f t="shared" si="118">IF(COUNTA(A379:D379,F379)=0,"",IF(B379="红利再投","仅增加份额，不增加现金投入","金额由份额、净值和手续费推算"))</f>
        <v/>
      </c>
      <c r="I379" s="10" t="str">
        <f>IF(COUNTA(A379:D379,F379)=0,"",IF(NOT(ISNUMBER(A379)),"缺少有效净值日期",IF(OR(A379&lt;=0,A379&lt;&gt;INT(A379)),"净值日期无效",IF(OR(B379="转换转入",B379="现金分红"),"该类型需实际金额，五项录入不适用",IF(NOT(OR(OR(B379="买入",B379="定投"),B379="卖出",B379="红利再投")),"请选择交易类型",IF(NOT(ISNUMBER(C379)),"缺少成交净值",IF(C379&lt;=0,"成交净值须大于零",IF(NOT(ISNUMBER(D379)),"缺少确认份额",IF(D379&lt;=0,"确认份额须大于零",IF(NOT(ISNUMBER(F379)),"缺少手续费，无费用请填 0",IF(F379&lt;0,"手续费不能为负",IF(AA378="错误","前行待修正",IF(A379&lt;Z378,"日期需按成交顺序递增",IF(AND(B379="红利再投",F379&lt;&gt;0),"红利再投手续费应填 0",IF(AND(B379="红利再投",K378&lt;=0),"红利再投前须有持仓",IF(AND(B379="卖出",D379&gt;K378+0.000001),"卖出份额超过持仓",IF(AND(B379="卖出",F379&gt;=C379*D379),"赎回费不能达到赎回总额",IF(NOT(ISNUMBER(E379)),"自动金额未生成，请检查五项输入",IF(NOT(OR('持仓总览'!$C$7="利润优先",'持仓总览'!$C$7="本金优先")),"请选择卖出分配模式","已计入")))))))))))))))))))</f>
        <v/>
      </c>
      <c r="J379" s="11">
        <f t="shared" si="99">IF(AA379="正常",IF(I379="已计入",IF(OR(OR(B379="买入",B379="定投",B379="转换转入"),B379="红利再投"),D379,IF(B379="卖出",-D379,0)),0),"")</f>
        <v>0</v>
      </c>
      <c r="K379" s="11">
        <f t="shared" si="104">IF(AA379="正常",ROUND(K378+J379,6),"")</f>
        <v>25721.6</v>
      </c>
      <c r="L379" s="11" t="str">
        <f t="shared" si="105">IF(I379="已计入",ROUND(K378*C379,2),"")</f>
        <v/>
      </c>
      <c r="M379" s="11" t="str">
        <f t="shared" si="106">IF(I379="已计入",IF(B379="卖出",MAX(0,L379-Q378-F379),IF(B379="现金分红",MAX(0,L379+E379-Q378),0)),"")</f>
        <v/>
      </c>
      <c r="N379" s="11" t="str">
        <f>IF(I379="已计入",IF(AND(B379="卖出",'持仓总览'!$C$7="本金优先"),MAX(0,E379-Q378),IF(OR(B379="卖出",B379="现金分红"),MIN(E379,M379),0)),"")</f>
        <v/>
      </c>
      <c r="O379" s="11" t="str">
        <f t="shared" si="107">IF(I379="已计入",IF(OR(B379="卖出",B379="现金分红"),MIN(Q378,MAX(0,E379-N379)),0),"")</f>
        <v/>
      </c>
      <c r="P379" s="11" t="str">
        <f t="shared" si="108">IF(I379="已计入",IF(AND(B379="卖出",K379=0),MAX(0,Q378-O379),0),"")</f>
        <v/>
      </c>
      <c r="Q379" s="11">
        <f t="shared" si="109">IF(AA379="正常",IF(I379="已计入",ROUND(Q378+IF(OR(B379="买入",B379="定投",B379="转换转入"),E379,0)-O379-P379,2),Q378),"")</f>
        <v>129570</v>
      </c>
      <c r="R379" s="11" t="str">
        <f t="shared" si="100">IF(I379="已计入",ROUND(K379*C379,2),"")</f>
        <v/>
      </c>
      <c r="S379" s="11" t="str">
        <f t="shared" si="101">IF(I379="已计入",ROUND(R379-Q379,2),"")</f>
        <v/>
      </c>
      <c r="T379" s="12" t="str">
        <f t="shared" si="102">IF(I379="已计入",IF(Q379=0,"",S379/Q379),"")</f>
        <v/>
      </c>
      <c r="U379" s="11">
        <f t="shared" si="110">IF(AA379="正常",U378+IF(AND(I379="已计入",OR(B379="买入",B379="定投",B379="转换转入")),E379,0),"")</f>
        <v>129570</v>
      </c>
      <c r="V379" s="11">
        <f t="shared" si="111">IF(AA379="正常",V378+IF(AND(I379="已计入",OR(B379="卖出",B379="现金分红")),E379,0),"")</f>
        <v>0</v>
      </c>
      <c r="W379" s="11">
        <f t="shared" si="112">IF(AA379="正常",W378+IF(I379="已计入",N379,0),"")</f>
        <v>0</v>
      </c>
      <c r="X379" s="11">
        <f t="shared" si="113">IF(AA379="正常",X378+IF(I379="已计入",P379,0),"")</f>
        <v>0</v>
      </c>
      <c r="Y379" s="11" t="str">
        <f t="shared" si="103">IF(I379="已计入",ROUND(R379+V379-U379,2),"")</f>
        <v/>
      </c>
      <c r="Z379" s="13">
        <f t="shared" si="114">IF(AA379="正常",IF(I379="已计入",A379,Z378),"")</f>
        <v>46239</v>
      </c>
      <c r="AA379" s="10" t="str">
        <f>IF(OR($AA$134="错误",COUNTIF($G$135:G379,"待修正")&gt;0),"错误","正常")</f>
        <v>正常</v>
      </c>
      <c r="AB379" s="14">
        <f t="shared" si="115">IF(AA379="正常",IF(I379="已计入",C379,AB378),"")</f>
        <v>6.347</v>
      </c>
    </row>
    <row r="380" ht="23" customHeight="1">
      <c r="A380" s="36"/>
      <c r="B380" s="37"/>
      <c r="C380" s="38"/>
      <c r="D380" s="39"/>
      <c r="E380" s="44" t="str">
        <f t="shared" si="116">IF(AND(ISNUMBER(C380),ISNUMBER(D380),ISNUMBER(F380)),IF(OR(B380="买入",B380="定投"),ROUND(C380*D380+F380,2),IF(B380="卖出",ROUND(C380*D380-F380,2),IF(B380="红利再投",0,""))),"")</f>
        <v/>
      </c>
      <c r="F380" s="39"/>
      <c r="G380" s="45" t="str">
        <f t="shared" si="117">IF(COUNTA(A380:D380,F380)=0,"",IF(I380="已计入","已录入","待修正"))</f>
        <v/>
      </c>
      <c r="H380" s="46" t="str">
        <f t="shared" si="118">IF(COUNTA(A380:D380,F380)=0,"",IF(B380="红利再投","仅增加份额，不增加现金投入","金额由份额、净值和手续费推算"))</f>
        <v/>
      </c>
      <c r="I380" s="10" t="str">
        <f>IF(COUNTA(A380:D380,F380)=0,"",IF(NOT(ISNUMBER(A380)),"缺少有效净值日期",IF(OR(A380&lt;=0,A380&lt;&gt;INT(A380)),"净值日期无效",IF(OR(B380="转换转入",B380="现金分红"),"该类型需实际金额，五项录入不适用",IF(NOT(OR(OR(B380="买入",B380="定投"),B380="卖出",B380="红利再投")),"请选择交易类型",IF(NOT(ISNUMBER(C380)),"缺少成交净值",IF(C380&lt;=0,"成交净值须大于零",IF(NOT(ISNUMBER(D380)),"缺少确认份额",IF(D380&lt;=0,"确认份额须大于零",IF(NOT(ISNUMBER(F380)),"缺少手续费，无费用请填 0",IF(F380&lt;0,"手续费不能为负",IF(AA379="错误","前行待修正",IF(A380&lt;Z379,"日期需按成交顺序递增",IF(AND(B380="红利再投",F380&lt;&gt;0),"红利再投手续费应填 0",IF(AND(B380="红利再投",K379&lt;=0),"红利再投前须有持仓",IF(AND(B380="卖出",D380&gt;K379+0.000001),"卖出份额超过持仓",IF(AND(B380="卖出",F380&gt;=C380*D380),"赎回费不能达到赎回总额",IF(NOT(ISNUMBER(E380)),"自动金额未生成，请检查五项输入",IF(NOT(OR('持仓总览'!$C$7="利润优先",'持仓总览'!$C$7="本金优先")),"请选择卖出分配模式","已计入")))))))))))))))))))</f>
        <v/>
      </c>
      <c r="J380" s="11">
        <f t="shared" si="99">IF(AA380="正常",IF(I380="已计入",IF(OR(OR(B380="买入",B380="定投",B380="转换转入"),B380="红利再投"),D380,IF(B380="卖出",-D380,0)),0),"")</f>
        <v>0</v>
      </c>
      <c r="K380" s="11">
        <f t="shared" si="104">IF(AA380="正常",ROUND(K379+J380,6),"")</f>
        <v>25721.6</v>
      </c>
      <c r="L380" s="11" t="str">
        <f t="shared" si="105">IF(I380="已计入",ROUND(K379*C380,2),"")</f>
        <v/>
      </c>
      <c r="M380" s="11" t="str">
        <f t="shared" si="106">IF(I380="已计入",IF(B380="卖出",MAX(0,L380-Q379-F380),IF(B380="现金分红",MAX(0,L380+E380-Q379),0)),"")</f>
        <v/>
      </c>
      <c r="N380" s="11" t="str">
        <f>IF(I380="已计入",IF(AND(B380="卖出",'持仓总览'!$C$7="本金优先"),MAX(0,E380-Q379),IF(OR(B380="卖出",B380="现金分红"),MIN(E380,M380),0)),"")</f>
        <v/>
      </c>
      <c r="O380" s="11" t="str">
        <f t="shared" si="107">IF(I380="已计入",IF(OR(B380="卖出",B380="现金分红"),MIN(Q379,MAX(0,E380-N380)),0),"")</f>
        <v/>
      </c>
      <c r="P380" s="11" t="str">
        <f t="shared" si="108">IF(I380="已计入",IF(AND(B380="卖出",K380=0),MAX(0,Q379-O380),0),"")</f>
        <v/>
      </c>
      <c r="Q380" s="11">
        <f t="shared" si="109">IF(AA380="正常",IF(I380="已计入",ROUND(Q379+IF(OR(B380="买入",B380="定投",B380="转换转入"),E380,0)-O380-P380,2),Q379),"")</f>
        <v>129570</v>
      </c>
      <c r="R380" s="11" t="str">
        <f t="shared" si="100">IF(I380="已计入",ROUND(K380*C380,2),"")</f>
        <v/>
      </c>
      <c r="S380" s="11" t="str">
        <f t="shared" si="101">IF(I380="已计入",ROUND(R380-Q380,2),"")</f>
        <v/>
      </c>
      <c r="T380" s="12" t="str">
        <f t="shared" si="102">IF(I380="已计入",IF(Q380=0,"",S380/Q380),"")</f>
        <v/>
      </c>
      <c r="U380" s="11">
        <f t="shared" si="110">IF(AA380="正常",U379+IF(AND(I380="已计入",OR(B380="买入",B380="定投",B380="转换转入")),E380,0),"")</f>
        <v>129570</v>
      </c>
      <c r="V380" s="11">
        <f t="shared" si="111">IF(AA380="正常",V379+IF(AND(I380="已计入",OR(B380="卖出",B380="现金分红")),E380,0),"")</f>
        <v>0</v>
      </c>
      <c r="W380" s="11">
        <f t="shared" si="112">IF(AA380="正常",W379+IF(I380="已计入",N380,0),"")</f>
        <v>0</v>
      </c>
      <c r="X380" s="11">
        <f t="shared" si="113">IF(AA380="正常",X379+IF(I380="已计入",P380,0),"")</f>
        <v>0</v>
      </c>
      <c r="Y380" s="11" t="str">
        <f t="shared" si="103">IF(I380="已计入",ROUND(R380+V380-U380,2),"")</f>
        <v/>
      </c>
      <c r="Z380" s="13">
        <f t="shared" si="114">IF(AA380="正常",IF(I380="已计入",A380,Z379),"")</f>
        <v>46239</v>
      </c>
      <c r="AA380" s="10" t="str">
        <f>IF(OR($AA$134="错误",COUNTIF($G$135:G380,"待修正")&gt;0),"错误","正常")</f>
        <v>正常</v>
      </c>
      <c r="AB380" s="14">
        <f t="shared" si="115">IF(AA380="正常",IF(I380="已计入",C380,AB379),"")</f>
        <v>6.347</v>
      </c>
    </row>
    <row r="381" ht="23" customHeight="1">
      <c r="A381" s="36"/>
      <c r="B381" s="37"/>
      <c r="C381" s="38"/>
      <c r="D381" s="39"/>
      <c r="E381" s="44" t="str">
        <f t="shared" si="116">IF(AND(ISNUMBER(C381),ISNUMBER(D381),ISNUMBER(F381)),IF(OR(B381="买入",B381="定投"),ROUND(C381*D381+F381,2),IF(B381="卖出",ROUND(C381*D381-F381,2),IF(B381="红利再投",0,""))),"")</f>
        <v/>
      </c>
      <c r="F381" s="39"/>
      <c r="G381" s="45" t="str">
        <f t="shared" si="117">IF(COUNTA(A381:D381,F381)=0,"",IF(I381="已计入","已录入","待修正"))</f>
        <v/>
      </c>
      <c r="H381" s="46" t="str">
        <f t="shared" si="118">IF(COUNTA(A381:D381,F381)=0,"",IF(B381="红利再投","仅增加份额，不增加现金投入","金额由份额、净值和手续费推算"))</f>
        <v/>
      </c>
      <c r="I381" s="10" t="str">
        <f>IF(COUNTA(A381:D381,F381)=0,"",IF(NOT(ISNUMBER(A381)),"缺少有效净值日期",IF(OR(A381&lt;=0,A381&lt;&gt;INT(A381)),"净值日期无效",IF(OR(B381="转换转入",B381="现金分红"),"该类型需实际金额，五项录入不适用",IF(NOT(OR(OR(B381="买入",B381="定投"),B381="卖出",B381="红利再投")),"请选择交易类型",IF(NOT(ISNUMBER(C381)),"缺少成交净值",IF(C381&lt;=0,"成交净值须大于零",IF(NOT(ISNUMBER(D381)),"缺少确认份额",IF(D381&lt;=0,"确认份额须大于零",IF(NOT(ISNUMBER(F381)),"缺少手续费，无费用请填 0",IF(F381&lt;0,"手续费不能为负",IF(AA380="错误","前行待修正",IF(A381&lt;Z380,"日期需按成交顺序递增",IF(AND(B381="红利再投",F381&lt;&gt;0),"红利再投手续费应填 0",IF(AND(B381="红利再投",K380&lt;=0),"红利再投前须有持仓",IF(AND(B381="卖出",D381&gt;K380+0.000001),"卖出份额超过持仓",IF(AND(B381="卖出",F381&gt;=C381*D381),"赎回费不能达到赎回总额",IF(NOT(ISNUMBER(E381)),"自动金额未生成，请检查五项输入",IF(NOT(OR('持仓总览'!$C$7="利润优先",'持仓总览'!$C$7="本金优先")),"请选择卖出分配模式","已计入")))))))))))))))))))</f>
        <v/>
      </c>
      <c r="J381" s="11">
        <f t="shared" si="99">IF(AA381="正常",IF(I381="已计入",IF(OR(OR(B381="买入",B381="定投",B381="转换转入"),B381="红利再投"),D381,IF(B381="卖出",-D381,0)),0),"")</f>
        <v>0</v>
      </c>
      <c r="K381" s="11">
        <f t="shared" si="104">IF(AA381="正常",ROUND(K380+J381,6),"")</f>
        <v>25721.6</v>
      </c>
      <c r="L381" s="11" t="str">
        <f t="shared" si="105">IF(I381="已计入",ROUND(K380*C381,2),"")</f>
        <v/>
      </c>
      <c r="M381" s="11" t="str">
        <f t="shared" si="106">IF(I381="已计入",IF(B381="卖出",MAX(0,L381-Q380-F381),IF(B381="现金分红",MAX(0,L381+E381-Q380),0)),"")</f>
        <v/>
      </c>
      <c r="N381" s="11" t="str">
        <f>IF(I381="已计入",IF(AND(B381="卖出",'持仓总览'!$C$7="本金优先"),MAX(0,E381-Q380),IF(OR(B381="卖出",B381="现金分红"),MIN(E381,M381),0)),"")</f>
        <v/>
      </c>
      <c r="O381" s="11" t="str">
        <f t="shared" si="107">IF(I381="已计入",IF(OR(B381="卖出",B381="现金分红"),MIN(Q380,MAX(0,E381-N381)),0),"")</f>
        <v/>
      </c>
      <c r="P381" s="11" t="str">
        <f t="shared" si="108">IF(I381="已计入",IF(AND(B381="卖出",K381=0),MAX(0,Q380-O381),0),"")</f>
        <v/>
      </c>
      <c r="Q381" s="11">
        <f t="shared" si="109">IF(AA381="正常",IF(I381="已计入",ROUND(Q380+IF(OR(B381="买入",B381="定投",B381="转换转入"),E381,0)-O381-P381,2),Q380),"")</f>
        <v>129570</v>
      </c>
      <c r="R381" s="11" t="str">
        <f t="shared" si="100">IF(I381="已计入",ROUND(K381*C381,2),"")</f>
        <v/>
      </c>
      <c r="S381" s="11" t="str">
        <f t="shared" si="101">IF(I381="已计入",ROUND(R381-Q381,2),"")</f>
        <v/>
      </c>
      <c r="T381" s="12" t="str">
        <f t="shared" si="102">IF(I381="已计入",IF(Q381=0,"",S381/Q381),"")</f>
        <v/>
      </c>
      <c r="U381" s="11">
        <f t="shared" si="110">IF(AA381="正常",U380+IF(AND(I381="已计入",OR(B381="买入",B381="定投",B381="转换转入")),E381,0),"")</f>
        <v>129570</v>
      </c>
      <c r="V381" s="11">
        <f t="shared" si="111">IF(AA381="正常",V380+IF(AND(I381="已计入",OR(B381="卖出",B381="现金分红")),E381,0),"")</f>
        <v>0</v>
      </c>
      <c r="W381" s="11">
        <f t="shared" si="112">IF(AA381="正常",W380+IF(I381="已计入",N381,0),"")</f>
        <v>0</v>
      </c>
      <c r="X381" s="11">
        <f t="shared" si="113">IF(AA381="正常",X380+IF(I381="已计入",P381,0),"")</f>
        <v>0</v>
      </c>
      <c r="Y381" s="11" t="str">
        <f t="shared" si="103">IF(I381="已计入",ROUND(R381+V381-U381,2),"")</f>
        <v/>
      </c>
      <c r="Z381" s="13">
        <f t="shared" si="114">IF(AA381="正常",IF(I381="已计入",A381,Z380),"")</f>
        <v>46239</v>
      </c>
      <c r="AA381" s="10" t="str">
        <f>IF(OR($AA$134="错误",COUNTIF($G$135:G381,"待修正")&gt;0),"错误","正常")</f>
        <v>正常</v>
      </c>
      <c r="AB381" s="14">
        <f t="shared" si="115">IF(AA381="正常",IF(I381="已计入",C381,AB380),"")</f>
        <v>6.347</v>
      </c>
    </row>
    <row r="382" ht="23" customHeight="1">
      <c r="A382" s="36"/>
      <c r="B382" s="37"/>
      <c r="C382" s="38"/>
      <c r="D382" s="39"/>
      <c r="E382" s="44" t="str">
        <f t="shared" si="116">IF(AND(ISNUMBER(C382),ISNUMBER(D382),ISNUMBER(F382)),IF(OR(B382="买入",B382="定投"),ROUND(C382*D382+F382,2),IF(B382="卖出",ROUND(C382*D382-F382,2),IF(B382="红利再投",0,""))),"")</f>
        <v/>
      </c>
      <c r="F382" s="39"/>
      <c r="G382" s="45" t="str">
        <f t="shared" si="117">IF(COUNTA(A382:D382,F382)=0,"",IF(I382="已计入","已录入","待修正"))</f>
        <v/>
      </c>
      <c r="H382" s="46" t="str">
        <f t="shared" si="118">IF(COUNTA(A382:D382,F382)=0,"",IF(B382="红利再投","仅增加份额，不增加现金投入","金额由份额、净值和手续费推算"))</f>
        <v/>
      </c>
      <c r="I382" s="10" t="str">
        <f>IF(COUNTA(A382:D382,F382)=0,"",IF(NOT(ISNUMBER(A382)),"缺少有效净值日期",IF(OR(A382&lt;=0,A382&lt;&gt;INT(A382)),"净值日期无效",IF(OR(B382="转换转入",B382="现金分红"),"该类型需实际金额，五项录入不适用",IF(NOT(OR(OR(B382="买入",B382="定投"),B382="卖出",B382="红利再投")),"请选择交易类型",IF(NOT(ISNUMBER(C382)),"缺少成交净值",IF(C382&lt;=0,"成交净值须大于零",IF(NOT(ISNUMBER(D382)),"缺少确认份额",IF(D382&lt;=0,"确认份额须大于零",IF(NOT(ISNUMBER(F382)),"缺少手续费，无费用请填 0",IF(F382&lt;0,"手续费不能为负",IF(AA381="错误","前行待修正",IF(A382&lt;Z381,"日期需按成交顺序递增",IF(AND(B382="红利再投",F382&lt;&gt;0),"红利再投手续费应填 0",IF(AND(B382="红利再投",K381&lt;=0),"红利再投前须有持仓",IF(AND(B382="卖出",D382&gt;K381+0.000001),"卖出份额超过持仓",IF(AND(B382="卖出",F382&gt;=C382*D382),"赎回费不能达到赎回总额",IF(NOT(ISNUMBER(E382)),"自动金额未生成，请检查五项输入",IF(NOT(OR('持仓总览'!$C$7="利润优先",'持仓总览'!$C$7="本金优先")),"请选择卖出分配模式","已计入")))))))))))))))))))</f>
        <v/>
      </c>
      <c r="J382" s="11">
        <f t="shared" si="99">IF(AA382="正常",IF(I382="已计入",IF(OR(OR(B382="买入",B382="定投",B382="转换转入"),B382="红利再投"),D382,IF(B382="卖出",-D382,0)),0),"")</f>
        <v>0</v>
      </c>
      <c r="K382" s="11">
        <f t="shared" si="104">IF(AA382="正常",ROUND(K381+J382,6),"")</f>
        <v>25721.6</v>
      </c>
      <c r="L382" s="11" t="str">
        <f t="shared" si="105">IF(I382="已计入",ROUND(K381*C382,2),"")</f>
        <v/>
      </c>
      <c r="M382" s="11" t="str">
        <f t="shared" si="106">IF(I382="已计入",IF(B382="卖出",MAX(0,L382-Q381-F382),IF(B382="现金分红",MAX(0,L382+E382-Q381),0)),"")</f>
        <v/>
      </c>
      <c r="N382" s="11" t="str">
        <f>IF(I382="已计入",IF(AND(B382="卖出",'持仓总览'!$C$7="本金优先"),MAX(0,E382-Q381),IF(OR(B382="卖出",B382="现金分红"),MIN(E382,M382),0)),"")</f>
        <v/>
      </c>
      <c r="O382" s="11" t="str">
        <f t="shared" si="107">IF(I382="已计入",IF(OR(B382="卖出",B382="现金分红"),MIN(Q381,MAX(0,E382-N382)),0),"")</f>
        <v/>
      </c>
      <c r="P382" s="11" t="str">
        <f t="shared" si="108">IF(I382="已计入",IF(AND(B382="卖出",K382=0),MAX(0,Q381-O382),0),"")</f>
        <v/>
      </c>
      <c r="Q382" s="11">
        <f t="shared" si="109">IF(AA382="正常",IF(I382="已计入",ROUND(Q381+IF(OR(B382="买入",B382="定投",B382="转换转入"),E382,0)-O382-P382,2),Q381),"")</f>
        <v>129570</v>
      </c>
      <c r="R382" s="11" t="str">
        <f t="shared" si="100">IF(I382="已计入",ROUND(K382*C382,2),"")</f>
        <v/>
      </c>
      <c r="S382" s="11" t="str">
        <f t="shared" si="101">IF(I382="已计入",ROUND(R382-Q382,2),"")</f>
        <v/>
      </c>
      <c r="T382" s="12" t="str">
        <f t="shared" si="102">IF(I382="已计入",IF(Q382=0,"",S382/Q382),"")</f>
        <v/>
      </c>
      <c r="U382" s="11">
        <f t="shared" si="110">IF(AA382="正常",U381+IF(AND(I382="已计入",OR(B382="买入",B382="定投",B382="转换转入")),E382,0),"")</f>
        <v>129570</v>
      </c>
      <c r="V382" s="11">
        <f t="shared" si="111">IF(AA382="正常",V381+IF(AND(I382="已计入",OR(B382="卖出",B382="现金分红")),E382,0),"")</f>
        <v>0</v>
      </c>
      <c r="W382" s="11">
        <f t="shared" si="112">IF(AA382="正常",W381+IF(I382="已计入",N382,0),"")</f>
        <v>0</v>
      </c>
      <c r="X382" s="11">
        <f t="shared" si="113">IF(AA382="正常",X381+IF(I382="已计入",P382,0),"")</f>
        <v>0</v>
      </c>
      <c r="Y382" s="11" t="str">
        <f t="shared" si="103">IF(I382="已计入",ROUND(R382+V382-U382,2),"")</f>
        <v/>
      </c>
      <c r="Z382" s="13">
        <f t="shared" si="114">IF(AA382="正常",IF(I382="已计入",A382,Z381),"")</f>
        <v>46239</v>
      </c>
      <c r="AA382" s="10" t="str">
        <f>IF(OR($AA$134="错误",COUNTIF($G$135:G382,"待修正")&gt;0),"错误","正常")</f>
        <v>正常</v>
      </c>
      <c r="AB382" s="14">
        <f t="shared" si="115">IF(AA382="正常",IF(I382="已计入",C382,AB381),"")</f>
        <v>6.347</v>
      </c>
    </row>
    <row r="383" ht="23" customHeight="1">
      <c r="A383" s="36"/>
      <c r="B383" s="37"/>
      <c r="C383" s="38"/>
      <c r="D383" s="39"/>
      <c r="E383" s="44" t="str">
        <f t="shared" si="116">IF(AND(ISNUMBER(C383),ISNUMBER(D383),ISNUMBER(F383)),IF(OR(B383="买入",B383="定投"),ROUND(C383*D383+F383,2),IF(B383="卖出",ROUND(C383*D383-F383,2),IF(B383="红利再投",0,""))),"")</f>
        <v/>
      </c>
      <c r="F383" s="39"/>
      <c r="G383" s="45" t="str">
        <f t="shared" si="117">IF(COUNTA(A383:D383,F383)=0,"",IF(I383="已计入","已录入","待修正"))</f>
        <v/>
      </c>
      <c r="H383" s="46" t="str">
        <f t="shared" si="118">IF(COUNTA(A383:D383,F383)=0,"",IF(B383="红利再投","仅增加份额，不增加现金投入","金额由份额、净值和手续费推算"))</f>
        <v/>
      </c>
      <c r="I383" s="10" t="str">
        <f>IF(COUNTA(A383:D383,F383)=0,"",IF(NOT(ISNUMBER(A383)),"缺少有效净值日期",IF(OR(A383&lt;=0,A383&lt;&gt;INT(A383)),"净值日期无效",IF(OR(B383="转换转入",B383="现金分红"),"该类型需实际金额，五项录入不适用",IF(NOT(OR(OR(B383="买入",B383="定投"),B383="卖出",B383="红利再投")),"请选择交易类型",IF(NOT(ISNUMBER(C383)),"缺少成交净值",IF(C383&lt;=0,"成交净值须大于零",IF(NOT(ISNUMBER(D383)),"缺少确认份额",IF(D383&lt;=0,"确认份额须大于零",IF(NOT(ISNUMBER(F383)),"缺少手续费，无费用请填 0",IF(F383&lt;0,"手续费不能为负",IF(AA382="错误","前行待修正",IF(A383&lt;Z382,"日期需按成交顺序递增",IF(AND(B383="红利再投",F383&lt;&gt;0),"红利再投手续费应填 0",IF(AND(B383="红利再投",K382&lt;=0),"红利再投前须有持仓",IF(AND(B383="卖出",D383&gt;K382+0.000001),"卖出份额超过持仓",IF(AND(B383="卖出",F383&gt;=C383*D383),"赎回费不能达到赎回总额",IF(NOT(ISNUMBER(E383)),"自动金额未生成，请检查五项输入",IF(NOT(OR('持仓总览'!$C$7="利润优先",'持仓总览'!$C$7="本金优先")),"请选择卖出分配模式","已计入")))))))))))))))))))</f>
        <v/>
      </c>
      <c r="J383" s="11">
        <f t="shared" si="99">IF(AA383="正常",IF(I383="已计入",IF(OR(OR(B383="买入",B383="定投",B383="转换转入"),B383="红利再投"),D383,IF(B383="卖出",-D383,0)),0),"")</f>
        <v>0</v>
      </c>
      <c r="K383" s="11">
        <f t="shared" si="104">IF(AA383="正常",ROUND(K382+J383,6),"")</f>
        <v>25721.6</v>
      </c>
      <c r="L383" s="11" t="str">
        <f t="shared" si="105">IF(I383="已计入",ROUND(K382*C383,2),"")</f>
        <v/>
      </c>
      <c r="M383" s="11" t="str">
        <f t="shared" si="106">IF(I383="已计入",IF(B383="卖出",MAX(0,L383-Q382-F383),IF(B383="现金分红",MAX(0,L383+E383-Q382),0)),"")</f>
        <v/>
      </c>
      <c r="N383" s="11" t="str">
        <f>IF(I383="已计入",IF(AND(B383="卖出",'持仓总览'!$C$7="本金优先"),MAX(0,E383-Q382),IF(OR(B383="卖出",B383="现金分红"),MIN(E383,M383),0)),"")</f>
        <v/>
      </c>
      <c r="O383" s="11" t="str">
        <f t="shared" si="107">IF(I383="已计入",IF(OR(B383="卖出",B383="现金分红"),MIN(Q382,MAX(0,E383-N383)),0),"")</f>
        <v/>
      </c>
      <c r="P383" s="11" t="str">
        <f t="shared" si="108">IF(I383="已计入",IF(AND(B383="卖出",K383=0),MAX(0,Q382-O383),0),"")</f>
        <v/>
      </c>
      <c r="Q383" s="11">
        <f t="shared" si="109">IF(AA383="正常",IF(I383="已计入",ROUND(Q382+IF(OR(B383="买入",B383="定投",B383="转换转入"),E383,0)-O383-P383,2),Q382),"")</f>
        <v>129570</v>
      </c>
      <c r="R383" s="11" t="str">
        <f t="shared" si="100">IF(I383="已计入",ROUND(K383*C383,2),"")</f>
        <v/>
      </c>
      <c r="S383" s="11" t="str">
        <f t="shared" si="101">IF(I383="已计入",ROUND(R383-Q383,2),"")</f>
        <v/>
      </c>
      <c r="T383" s="12" t="str">
        <f t="shared" si="102">IF(I383="已计入",IF(Q383=0,"",S383/Q383),"")</f>
        <v/>
      </c>
      <c r="U383" s="11">
        <f t="shared" si="110">IF(AA383="正常",U382+IF(AND(I383="已计入",OR(B383="买入",B383="定投",B383="转换转入")),E383,0),"")</f>
        <v>129570</v>
      </c>
      <c r="V383" s="11">
        <f t="shared" si="111">IF(AA383="正常",V382+IF(AND(I383="已计入",OR(B383="卖出",B383="现金分红")),E383,0),"")</f>
        <v>0</v>
      </c>
      <c r="W383" s="11">
        <f t="shared" si="112">IF(AA383="正常",W382+IF(I383="已计入",N383,0),"")</f>
        <v>0</v>
      </c>
      <c r="X383" s="11">
        <f t="shared" si="113">IF(AA383="正常",X382+IF(I383="已计入",P383,0),"")</f>
        <v>0</v>
      </c>
      <c r="Y383" s="11" t="str">
        <f t="shared" si="103">IF(I383="已计入",ROUND(R383+V383-U383,2),"")</f>
        <v/>
      </c>
      <c r="Z383" s="13">
        <f t="shared" si="114">IF(AA383="正常",IF(I383="已计入",A383,Z382),"")</f>
        <v>46239</v>
      </c>
      <c r="AA383" s="10" t="str">
        <f>IF(OR($AA$134="错误",COUNTIF($G$135:G383,"待修正")&gt;0),"错误","正常")</f>
        <v>正常</v>
      </c>
      <c r="AB383" s="14">
        <f t="shared" si="115">IF(AA383="正常",IF(I383="已计入",C383,AB382),"")</f>
        <v>6.347</v>
      </c>
    </row>
    <row r="384" ht="23" customHeight="1">
      <c r="A384" s="36"/>
      <c r="B384" s="37"/>
      <c r="C384" s="38"/>
      <c r="D384" s="39"/>
      <c r="E384" s="44" t="str">
        <f t="shared" si="116">IF(AND(ISNUMBER(C384),ISNUMBER(D384),ISNUMBER(F384)),IF(OR(B384="买入",B384="定投"),ROUND(C384*D384+F384,2),IF(B384="卖出",ROUND(C384*D384-F384,2),IF(B384="红利再投",0,""))),"")</f>
        <v/>
      </c>
      <c r="F384" s="39"/>
      <c r="G384" s="45" t="str">
        <f t="shared" si="117">IF(COUNTA(A384:D384,F384)=0,"",IF(I384="已计入","已录入","待修正"))</f>
        <v/>
      </c>
      <c r="H384" s="46" t="str">
        <f t="shared" si="118">IF(COUNTA(A384:D384,F384)=0,"",IF(B384="红利再投","仅增加份额，不增加现金投入","金额由份额、净值和手续费推算"))</f>
        <v/>
      </c>
      <c r="I384" s="10" t="str">
        <f>IF(COUNTA(A384:D384,F384)=0,"",IF(NOT(ISNUMBER(A384)),"缺少有效净值日期",IF(OR(A384&lt;=0,A384&lt;&gt;INT(A384)),"净值日期无效",IF(OR(B384="转换转入",B384="现金分红"),"该类型需实际金额，五项录入不适用",IF(NOT(OR(OR(B384="买入",B384="定投"),B384="卖出",B384="红利再投")),"请选择交易类型",IF(NOT(ISNUMBER(C384)),"缺少成交净值",IF(C384&lt;=0,"成交净值须大于零",IF(NOT(ISNUMBER(D384)),"缺少确认份额",IF(D384&lt;=0,"确认份额须大于零",IF(NOT(ISNUMBER(F384)),"缺少手续费，无费用请填 0",IF(F384&lt;0,"手续费不能为负",IF(AA383="错误","前行待修正",IF(A384&lt;Z383,"日期需按成交顺序递增",IF(AND(B384="红利再投",F384&lt;&gt;0),"红利再投手续费应填 0",IF(AND(B384="红利再投",K383&lt;=0),"红利再投前须有持仓",IF(AND(B384="卖出",D384&gt;K383+0.000001),"卖出份额超过持仓",IF(AND(B384="卖出",F384&gt;=C384*D384),"赎回费不能达到赎回总额",IF(NOT(ISNUMBER(E384)),"自动金额未生成，请检查五项输入",IF(NOT(OR('持仓总览'!$C$7="利润优先",'持仓总览'!$C$7="本金优先")),"请选择卖出分配模式","已计入")))))))))))))))))))</f>
        <v/>
      </c>
      <c r="J384" s="11">
        <f t="shared" si="99">IF(AA384="正常",IF(I384="已计入",IF(OR(OR(B384="买入",B384="定投",B384="转换转入"),B384="红利再投"),D384,IF(B384="卖出",-D384,0)),0),"")</f>
        <v>0</v>
      </c>
      <c r="K384" s="11">
        <f t="shared" si="104">IF(AA384="正常",ROUND(K383+J384,6),"")</f>
        <v>25721.6</v>
      </c>
      <c r="L384" s="11" t="str">
        <f t="shared" si="105">IF(I384="已计入",ROUND(K383*C384,2),"")</f>
        <v/>
      </c>
      <c r="M384" s="11" t="str">
        <f t="shared" si="106">IF(I384="已计入",IF(B384="卖出",MAX(0,L384-Q383-F384),IF(B384="现金分红",MAX(0,L384+E384-Q383),0)),"")</f>
        <v/>
      </c>
      <c r="N384" s="11" t="str">
        <f>IF(I384="已计入",IF(AND(B384="卖出",'持仓总览'!$C$7="本金优先"),MAX(0,E384-Q383),IF(OR(B384="卖出",B384="现金分红"),MIN(E384,M384),0)),"")</f>
        <v/>
      </c>
      <c r="O384" s="11" t="str">
        <f t="shared" si="107">IF(I384="已计入",IF(OR(B384="卖出",B384="现金分红"),MIN(Q383,MAX(0,E384-N384)),0),"")</f>
        <v/>
      </c>
      <c r="P384" s="11" t="str">
        <f t="shared" si="108">IF(I384="已计入",IF(AND(B384="卖出",K384=0),MAX(0,Q383-O384),0),"")</f>
        <v/>
      </c>
      <c r="Q384" s="11">
        <f t="shared" si="109">IF(AA384="正常",IF(I384="已计入",ROUND(Q383+IF(OR(B384="买入",B384="定投",B384="转换转入"),E384,0)-O384-P384,2),Q383),"")</f>
        <v>129570</v>
      </c>
      <c r="R384" s="11" t="str">
        <f t="shared" si="100">IF(I384="已计入",ROUND(K384*C384,2),"")</f>
        <v/>
      </c>
      <c r="S384" s="11" t="str">
        <f t="shared" si="101">IF(I384="已计入",ROUND(R384-Q384,2),"")</f>
        <v/>
      </c>
      <c r="T384" s="12" t="str">
        <f t="shared" si="102">IF(I384="已计入",IF(Q384=0,"",S384/Q384),"")</f>
        <v/>
      </c>
      <c r="U384" s="11">
        <f t="shared" si="110">IF(AA384="正常",U383+IF(AND(I384="已计入",OR(B384="买入",B384="定投",B384="转换转入")),E384,0),"")</f>
        <v>129570</v>
      </c>
      <c r="V384" s="11">
        <f t="shared" si="111">IF(AA384="正常",V383+IF(AND(I384="已计入",OR(B384="卖出",B384="现金分红")),E384,0),"")</f>
        <v>0</v>
      </c>
      <c r="W384" s="11">
        <f t="shared" si="112">IF(AA384="正常",W383+IF(I384="已计入",N384,0),"")</f>
        <v>0</v>
      </c>
      <c r="X384" s="11">
        <f t="shared" si="113">IF(AA384="正常",X383+IF(I384="已计入",P384,0),"")</f>
        <v>0</v>
      </c>
      <c r="Y384" s="11" t="str">
        <f t="shared" si="103">IF(I384="已计入",ROUND(R384+V384-U384,2),"")</f>
        <v/>
      </c>
      <c r="Z384" s="13">
        <f t="shared" si="114">IF(AA384="正常",IF(I384="已计入",A384,Z383),"")</f>
        <v>46239</v>
      </c>
      <c r="AA384" s="10" t="str">
        <f>IF(OR($AA$134="错误",COUNTIF($G$135:G384,"待修正")&gt;0),"错误","正常")</f>
        <v>正常</v>
      </c>
      <c r="AB384" s="14">
        <f t="shared" si="115">IF(AA384="正常",IF(I384="已计入",C384,AB383),"")</f>
        <v>6.347</v>
      </c>
    </row>
    <row r="385" ht="23" customHeight="1">
      <c r="A385" s="36"/>
      <c r="B385" s="37"/>
      <c r="C385" s="38"/>
      <c r="D385" s="39"/>
      <c r="E385" s="44" t="str">
        <f t="shared" si="116">IF(AND(ISNUMBER(C385),ISNUMBER(D385),ISNUMBER(F385)),IF(OR(B385="买入",B385="定投"),ROUND(C385*D385+F385,2),IF(B385="卖出",ROUND(C385*D385-F385,2),IF(B385="红利再投",0,""))),"")</f>
        <v/>
      </c>
      <c r="F385" s="39"/>
      <c r="G385" s="45" t="str">
        <f t="shared" si="117">IF(COUNTA(A385:D385,F385)=0,"",IF(I385="已计入","已录入","待修正"))</f>
        <v/>
      </c>
      <c r="H385" s="46" t="str">
        <f t="shared" si="118">IF(COUNTA(A385:D385,F385)=0,"",IF(B385="红利再投","仅增加份额，不增加现金投入","金额由份额、净值和手续费推算"))</f>
        <v/>
      </c>
      <c r="I385" s="10" t="str">
        <f>IF(COUNTA(A385:D385,F385)=0,"",IF(NOT(ISNUMBER(A385)),"缺少有效净值日期",IF(OR(A385&lt;=0,A385&lt;&gt;INT(A385)),"净值日期无效",IF(OR(B385="转换转入",B385="现金分红"),"该类型需实际金额，五项录入不适用",IF(NOT(OR(OR(B385="买入",B385="定投"),B385="卖出",B385="红利再投")),"请选择交易类型",IF(NOT(ISNUMBER(C385)),"缺少成交净值",IF(C385&lt;=0,"成交净值须大于零",IF(NOT(ISNUMBER(D385)),"缺少确认份额",IF(D385&lt;=0,"确认份额须大于零",IF(NOT(ISNUMBER(F385)),"缺少手续费，无费用请填 0",IF(F385&lt;0,"手续费不能为负",IF(AA384="错误","前行待修正",IF(A385&lt;Z384,"日期需按成交顺序递增",IF(AND(B385="红利再投",F385&lt;&gt;0),"红利再投手续费应填 0",IF(AND(B385="红利再投",K384&lt;=0),"红利再投前须有持仓",IF(AND(B385="卖出",D385&gt;K384+0.000001),"卖出份额超过持仓",IF(AND(B385="卖出",F385&gt;=C385*D385),"赎回费不能达到赎回总额",IF(NOT(ISNUMBER(E385)),"自动金额未生成，请检查五项输入",IF(NOT(OR('持仓总览'!$C$7="利润优先",'持仓总览'!$C$7="本金优先")),"请选择卖出分配模式","已计入")))))))))))))))))))</f>
        <v/>
      </c>
      <c r="J385" s="11">
        <f t="shared" si="99">IF(AA385="正常",IF(I385="已计入",IF(OR(OR(B385="买入",B385="定投",B385="转换转入"),B385="红利再投"),D385,IF(B385="卖出",-D385,0)),0),"")</f>
        <v>0</v>
      </c>
      <c r="K385" s="11">
        <f t="shared" si="104">IF(AA385="正常",ROUND(K384+J385,6),"")</f>
        <v>25721.6</v>
      </c>
      <c r="L385" s="11" t="str">
        <f t="shared" si="105">IF(I385="已计入",ROUND(K384*C385,2),"")</f>
        <v/>
      </c>
      <c r="M385" s="11" t="str">
        <f t="shared" si="106">IF(I385="已计入",IF(B385="卖出",MAX(0,L385-Q384-F385),IF(B385="现金分红",MAX(0,L385+E385-Q384),0)),"")</f>
        <v/>
      </c>
      <c r="N385" s="11" t="str">
        <f>IF(I385="已计入",IF(AND(B385="卖出",'持仓总览'!$C$7="本金优先"),MAX(0,E385-Q384),IF(OR(B385="卖出",B385="现金分红"),MIN(E385,M385),0)),"")</f>
        <v/>
      </c>
      <c r="O385" s="11" t="str">
        <f t="shared" si="107">IF(I385="已计入",IF(OR(B385="卖出",B385="现金分红"),MIN(Q384,MAX(0,E385-N385)),0),"")</f>
        <v/>
      </c>
      <c r="P385" s="11" t="str">
        <f t="shared" si="108">IF(I385="已计入",IF(AND(B385="卖出",K385=0),MAX(0,Q384-O385),0),"")</f>
        <v/>
      </c>
      <c r="Q385" s="11">
        <f t="shared" si="109">IF(AA385="正常",IF(I385="已计入",ROUND(Q384+IF(OR(B385="买入",B385="定投",B385="转换转入"),E385,0)-O385-P385,2),Q384),"")</f>
        <v>129570</v>
      </c>
      <c r="R385" s="11" t="str">
        <f t="shared" si="100">IF(I385="已计入",ROUND(K385*C385,2),"")</f>
        <v/>
      </c>
      <c r="S385" s="11" t="str">
        <f t="shared" si="101">IF(I385="已计入",ROUND(R385-Q385,2),"")</f>
        <v/>
      </c>
      <c r="T385" s="12" t="str">
        <f t="shared" si="102">IF(I385="已计入",IF(Q385=0,"",S385/Q385),"")</f>
        <v/>
      </c>
      <c r="U385" s="11">
        <f t="shared" si="110">IF(AA385="正常",U384+IF(AND(I385="已计入",OR(B385="买入",B385="定投",B385="转换转入")),E385,0),"")</f>
        <v>129570</v>
      </c>
      <c r="V385" s="11">
        <f t="shared" si="111">IF(AA385="正常",V384+IF(AND(I385="已计入",OR(B385="卖出",B385="现金分红")),E385,0),"")</f>
        <v>0</v>
      </c>
      <c r="W385" s="11">
        <f t="shared" si="112">IF(AA385="正常",W384+IF(I385="已计入",N385,0),"")</f>
        <v>0</v>
      </c>
      <c r="X385" s="11">
        <f t="shared" si="113">IF(AA385="正常",X384+IF(I385="已计入",P385,0),"")</f>
        <v>0</v>
      </c>
      <c r="Y385" s="11" t="str">
        <f t="shared" si="103">IF(I385="已计入",ROUND(R385+V385-U385,2),"")</f>
        <v/>
      </c>
      <c r="Z385" s="13">
        <f t="shared" si="114">IF(AA385="正常",IF(I385="已计入",A385,Z384),"")</f>
        <v>46239</v>
      </c>
      <c r="AA385" s="10" t="str">
        <f>IF(OR($AA$134="错误",COUNTIF($G$135:G385,"待修正")&gt;0),"错误","正常")</f>
        <v>正常</v>
      </c>
      <c r="AB385" s="14">
        <f t="shared" si="115">IF(AA385="正常",IF(I385="已计入",C385,AB384),"")</f>
        <v>6.347</v>
      </c>
    </row>
    <row r="386" ht="23" customHeight="1">
      <c r="A386" s="36"/>
      <c r="B386" s="37"/>
      <c r="C386" s="38"/>
      <c r="D386" s="39"/>
      <c r="E386" s="44" t="str">
        <f t="shared" si="116">IF(AND(ISNUMBER(C386),ISNUMBER(D386),ISNUMBER(F386)),IF(OR(B386="买入",B386="定投"),ROUND(C386*D386+F386,2),IF(B386="卖出",ROUND(C386*D386-F386,2),IF(B386="红利再投",0,""))),"")</f>
        <v/>
      </c>
      <c r="F386" s="39"/>
      <c r="G386" s="45" t="str">
        <f t="shared" si="117">IF(COUNTA(A386:D386,F386)=0,"",IF(I386="已计入","已录入","待修正"))</f>
        <v/>
      </c>
      <c r="H386" s="46" t="str">
        <f t="shared" si="118">IF(COUNTA(A386:D386,F386)=0,"",IF(B386="红利再投","仅增加份额，不增加现金投入","金额由份额、净值和手续费推算"))</f>
        <v/>
      </c>
      <c r="I386" s="10" t="str">
        <f>IF(COUNTA(A386:D386,F386)=0,"",IF(NOT(ISNUMBER(A386)),"缺少有效净值日期",IF(OR(A386&lt;=0,A386&lt;&gt;INT(A386)),"净值日期无效",IF(OR(B386="转换转入",B386="现金分红"),"该类型需实际金额，五项录入不适用",IF(NOT(OR(OR(B386="买入",B386="定投"),B386="卖出",B386="红利再投")),"请选择交易类型",IF(NOT(ISNUMBER(C386)),"缺少成交净值",IF(C386&lt;=0,"成交净值须大于零",IF(NOT(ISNUMBER(D386)),"缺少确认份额",IF(D386&lt;=0,"确认份额须大于零",IF(NOT(ISNUMBER(F386)),"缺少手续费，无费用请填 0",IF(F386&lt;0,"手续费不能为负",IF(AA385="错误","前行待修正",IF(A386&lt;Z385,"日期需按成交顺序递增",IF(AND(B386="红利再投",F386&lt;&gt;0),"红利再投手续费应填 0",IF(AND(B386="红利再投",K385&lt;=0),"红利再投前须有持仓",IF(AND(B386="卖出",D386&gt;K385+0.000001),"卖出份额超过持仓",IF(AND(B386="卖出",F386&gt;=C386*D386),"赎回费不能达到赎回总额",IF(NOT(ISNUMBER(E386)),"自动金额未生成，请检查五项输入",IF(NOT(OR('持仓总览'!$C$7="利润优先",'持仓总览'!$C$7="本金优先")),"请选择卖出分配模式","已计入")))))))))))))))))))</f>
        <v/>
      </c>
      <c r="J386" s="11">
        <f t="shared" si="99">IF(AA386="正常",IF(I386="已计入",IF(OR(OR(B386="买入",B386="定投",B386="转换转入"),B386="红利再投"),D386,IF(B386="卖出",-D386,0)),0),"")</f>
        <v>0</v>
      </c>
      <c r="K386" s="11">
        <f t="shared" si="104">IF(AA386="正常",ROUND(K385+J386,6),"")</f>
        <v>25721.6</v>
      </c>
      <c r="L386" s="11" t="str">
        <f t="shared" si="105">IF(I386="已计入",ROUND(K385*C386,2),"")</f>
        <v/>
      </c>
      <c r="M386" s="11" t="str">
        <f t="shared" si="106">IF(I386="已计入",IF(B386="卖出",MAX(0,L386-Q385-F386),IF(B386="现金分红",MAX(0,L386+E386-Q385),0)),"")</f>
        <v/>
      </c>
      <c r="N386" s="11" t="str">
        <f>IF(I386="已计入",IF(AND(B386="卖出",'持仓总览'!$C$7="本金优先"),MAX(0,E386-Q385),IF(OR(B386="卖出",B386="现金分红"),MIN(E386,M386),0)),"")</f>
        <v/>
      </c>
      <c r="O386" s="11" t="str">
        <f t="shared" si="107">IF(I386="已计入",IF(OR(B386="卖出",B386="现金分红"),MIN(Q385,MAX(0,E386-N386)),0),"")</f>
        <v/>
      </c>
      <c r="P386" s="11" t="str">
        <f t="shared" si="108">IF(I386="已计入",IF(AND(B386="卖出",K386=0),MAX(0,Q385-O386),0),"")</f>
        <v/>
      </c>
      <c r="Q386" s="11">
        <f t="shared" si="109">IF(AA386="正常",IF(I386="已计入",ROUND(Q385+IF(OR(B386="买入",B386="定投",B386="转换转入"),E386,0)-O386-P386,2),Q385),"")</f>
        <v>129570</v>
      </c>
      <c r="R386" s="11" t="str">
        <f t="shared" si="100">IF(I386="已计入",ROUND(K386*C386,2),"")</f>
        <v/>
      </c>
      <c r="S386" s="11" t="str">
        <f t="shared" si="101">IF(I386="已计入",ROUND(R386-Q386,2),"")</f>
        <v/>
      </c>
      <c r="T386" s="12" t="str">
        <f t="shared" si="102">IF(I386="已计入",IF(Q386=0,"",S386/Q386),"")</f>
        <v/>
      </c>
      <c r="U386" s="11">
        <f t="shared" si="110">IF(AA386="正常",U385+IF(AND(I386="已计入",OR(B386="买入",B386="定投",B386="转换转入")),E386,0),"")</f>
        <v>129570</v>
      </c>
      <c r="V386" s="11">
        <f t="shared" si="111">IF(AA386="正常",V385+IF(AND(I386="已计入",OR(B386="卖出",B386="现金分红")),E386,0),"")</f>
        <v>0</v>
      </c>
      <c r="W386" s="11">
        <f t="shared" si="112">IF(AA386="正常",W385+IF(I386="已计入",N386,0),"")</f>
        <v>0</v>
      </c>
      <c r="X386" s="11">
        <f t="shared" si="113">IF(AA386="正常",X385+IF(I386="已计入",P386,0),"")</f>
        <v>0</v>
      </c>
      <c r="Y386" s="11" t="str">
        <f t="shared" si="103">IF(I386="已计入",ROUND(R386+V386-U386,2),"")</f>
        <v/>
      </c>
      <c r="Z386" s="13">
        <f t="shared" si="114">IF(AA386="正常",IF(I386="已计入",A386,Z385),"")</f>
        <v>46239</v>
      </c>
      <c r="AA386" s="10" t="str">
        <f>IF(OR($AA$134="错误",COUNTIF($G$135:G386,"待修正")&gt;0),"错误","正常")</f>
        <v>正常</v>
      </c>
      <c r="AB386" s="14">
        <f t="shared" si="115">IF(AA386="正常",IF(I386="已计入",C386,AB385),"")</f>
        <v>6.347</v>
      </c>
    </row>
    <row r="387" ht="23" customHeight="1">
      <c r="A387" s="36"/>
      <c r="B387" s="37"/>
      <c r="C387" s="38"/>
      <c r="D387" s="39"/>
      <c r="E387" s="44" t="str">
        <f t="shared" si="116">IF(AND(ISNUMBER(C387),ISNUMBER(D387),ISNUMBER(F387)),IF(OR(B387="买入",B387="定投"),ROUND(C387*D387+F387,2),IF(B387="卖出",ROUND(C387*D387-F387,2),IF(B387="红利再投",0,""))),"")</f>
        <v/>
      </c>
      <c r="F387" s="39"/>
      <c r="G387" s="45" t="str">
        <f t="shared" si="117">IF(COUNTA(A387:D387,F387)=0,"",IF(I387="已计入","已录入","待修正"))</f>
        <v/>
      </c>
      <c r="H387" s="46" t="str">
        <f t="shared" si="118">IF(COUNTA(A387:D387,F387)=0,"",IF(B387="红利再投","仅增加份额，不增加现金投入","金额由份额、净值和手续费推算"))</f>
        <v/>
      </c>
      <c r="I387" s="10" t="str">
        <f>IF(COUNTA(A387:D387,F387)=0,"",IF(NOT(ISNUMBER(A387)),"缺少有效净值日期",IF(OR(A387&lt;=0,A387&lt;&gt;INT(A387)),"净值日期无效",IF(OR(B387="转换转入",B387="现金分红"),"该类型需实际金额，五项录入不适用",IF(NOT(OR(OR(B387="买入",B387="定投"),B387="卖出",B387="红利再投")),"请选择交易类型",IF(NOT(ISNUMBER(C387)),"缺少成交净值",IF(C387&lt;=0,"成交净值须大于零",IF(NOT(ISNUMBER(D387)),"缺少确认份额",IF(D387&lt;=0,"确认份额须大于零",IF(NOT(ISNUMBER(F387)),"缺少手续费，无费用请填 0",IF(F387&lt;0,"手续费不能为负",IF(AA386="错误","前行待修正",IF(A387&lt;Z386,"日期需按成交顺序递增",IF(AND(B387="红利再投",F387&lt;&gt;0),"红利再投手续费应填 0",IF(AND(B387="红利再投",K386&lt;=0),"红利再投前须有持仓",IF(AND(B387="卖出",D387&gt;K386+0.000001),"卖出份额超过持仓",IF(AND(B387="卖出",F387&gt;=C387*D387),"赎回费不能达到赎回总额",IF(NOT(ISNUMBER(E387)),"自动金额未生成，请检查五项输入",IF(NOT(OR('持仓总览'!$C$7="利润优先",'持仓总览'!$C$7="本金优先")),"请选择卖出分配模式","已计入")))))))))))))))))))</f>
        <v/>
      </c>
      <c r="J387" s="11">
        <f t="shared" si="99">IF(AA387="正常",IF(I387="已计入",IF(OR(OR(B387="买入",B387="定投",B387="转换转入"),B387="红利再投"),D387,IF(B387="卖出",-D387,0)),0),"")</f>
        <v>0</v>
      </c>
      <c r="K387" s="11">
        <f t="shared" si="104">IF(AA387="正常",ROUND(K386+J387,6),"")</f>
        <v>25721.6</v>
      </c>
      <c r="L387" s="11" t="str">
        <f t="shared" si="105">IF(I387="已计入",ROUND(K386*C387,2),"")</f>
        <v/>
      </c>
      <c r="M387" s="11" t="str">
        <f t="shared" si="106">IF(I387="已计入",IF(B387="卖出",MAX(0,L387-Q386-F387),IF(B387="现金分红",MAX(0,L387+E387-Q386),0)),"")</f>
        <v/>
      </c>
      <c r="N387" s="11" t="str">
        <f>IF(I387="已计入",IF(AND(B387="卖出",'持仓总览'!$C$7="本金优先"),MAX(0,E387-Q386),IF(OR(B387="卖出",B387="现金分红"),MIN(E387,M387),0)),"")</f>
        <v/>
      </c>
      <c r="O387" s="11" t="str">
        <f t="shared" si="107">IF(I387="已计入",IF(OR(B387="卖出",B387="现金分红"),MIN(Q386,MAX(0,E387-N387)),0),"")</f>
        <v/>
      </c>
      <c r="P387" s="11" t="str">
        <f t="shared" si="108">IF(I387="已计入",IF(AND(B387="卖出",K387=0),MAX(0,Q386-O387),0),"")</f>
        <v/>
      </c>
      <c r="Q387" s="11">
        <f t="shared" si="109">IF(AA387="正常",IF(I387="已计入",ROUND(Q386+IF(OR(B387="买入",B387="定投",B387="转换转入"),E387,0)-O387-P387,2),Q386),"")</f>
        <v>129570</v>
      </c>
      <c r="R387" s="11" t="str">
        <f t="shared" si="100">IF(I387="已计入",ROUND(K387*C387,2),"")</f>
        <v/>
      </c>
      <c r="S387" s="11" t="str">
        <f t="shared" si="101">IF(I387="已计入",ROUND(R387-Q387,2),"")</f>
        <v/>
      </c>
      <c r="T387" s="12" t="str">
        <f t="shared" si="102">IF(I387="已计入",IF(Q387=0,"",S387/Q387),"")</f>
        <v/>
      </c>
      <c r="U387" s="11">
        <f t="shared" si="110">IF(AA387="正常",U386+IF(AND(I387="已计入",OR(B387="买入",B387="定投",B387="转换转入")),E387,0),"")</f>
        <v>129570</v>
      </c>
      <c r="V387" s="11">
        <f t="shared" si="111">IF(AA387="正常",V386+IF(AND(I387="已计入",OR(B387="卖出",B387="现金分红")),E387,0),"")</f>
        <v>0</v>
      </c>
      <c r="W387" s="11">
        <f t="shared" si="112">IF(AA387="正常",W386+IF(I387="已计入",N387,0),"")</f>
        <v>0</v>
      </c>
      <c r="X387" s="11">
        <f t="shared" si="113">IF(AA387="正常",X386+IF(I387="已计入",P387,0),"")</f>
        <v>0</v>
      </c>
      <c r="Y387" s="11" t="str">
        <f t="shared" si="103">IF(I387="已计入",ROUND(R387+V387-U387,2),"")</f>
        <v/>
      </c>
      <c r="Z387" s="13">
        <f t="shared" si="114">IF(AA387="正常",IF(I387="已计入",A387,Z386),"")</f>
        <v>46239</v>
      </c>
      <c r="AA387" s="10" t="str">
        <f>IF(OR($AA$134="错误",COUNTIF($G$135:G387,"待修正")&gt;0),"错误","正常")</f>
        <v>正常</v>
      </c>
      <c r="AB387" s="14">
        <f t="shared" si="115">IF(AA387="正常",IF(I387="已计入",C387,AB386),"")</f>
        <v>6.347</v>
      </c>
    </row>
    <row r="388" ht="23" customHeight="1">
      <c r="A388" s="36"/>
      <c r="B388" s="37"/>
      <c r="C388" s="38"/>
      <c r="D388" s="39"/>
      <c r="E388" s="44" t="str">
        <f t="shared" si="116">IF(AND(ISNUMBER(C388),ISNUMBER(D388),ISNUMBER(F388)),IF(OR(B388="买入",B388="定投"),ROUND(C388*D388+F388,2),IF(B388="卖出",ROUND(C388*D388-F388,2),IF(B388="红利再投",0,""))),"")</f>
        <v/>
      </c>
      <c r="F388" s="39"/>
      <c r="G388" s="45" t="str">
        <f t="shared" si="117">IF(COUNTA(A388:D388,F388)=0,"",IF(I388="已计入","已录入","待修正"))</f>
        <v/>
      </c>
      <c r="H388" s="46" t="str">
        <f t="shared" si="118">IF(COUNTA(A388:D388,F388)=0,"",IF(B388="红利再投","仅增加份额，不增加现金投入","金额由份额、净值和手续费推算"))</f>
        <v/>
      </c>
      <c r="I388" s="10" t="str">
        <f>IF(COUNTA(A388:D388,F388)=0,"",IF(NOT(ISNUMBER(A388)),"缺少有效净值日期",IF(OR(A388&lt;=0,A388&lt;&gt;INT(A388)),"净值日期无效",IF(OR(B388="转换转入",B388="现金分红"),"该类型需实际金额，五项录入不适用",IF(NOT(OR(OR(B388="买入",B388="定投"),B388="卖出",B388="红利再投")),"请选择交易类型",IF(NOT(ISNUMBER(C388)),"缺少成交净值",IF(C388&lt;=0,"成交净值须大于零",IF(NOT(ISNUMBER(D388)),"缺少确认份额",IF(D388&lt;=0,"确认份额须大于零",IF(NOT(ISNUMBER(F388)),"缺少手续费，无费用请填 0",IF(F388&lt;0,"手续费不能为负",IF(AA387="错误","前行待修正",IF(A388&lt;Z387,"日期需按成交顺序递增",IF(AND(B388="红利再投",F388&lt;&gt;0),"红利再投手续费应填 0",IF(AND(B388="红利再投",K387&lt;=0),"红利再投前须有持仓",IF(AND(B388="卖出",D388&gt;K387+0.000001),"卖出份额超过持仓",IF(AND(B388="卖出",F388&gt;=C388*D388),"赎回费不能达到赎回总额",IF(NOT(ISNUMBER(E388)),"自动金额未生成，请检查五项输入",IF(NOT(OR('持仓总览'!$C$7="利润优先",'持仓总览'!$C$7="本金优先")),"请选择卖出分配模式","已计入")))))))))))))))))))</f>
        <v/>
      </c>
      <c r="J388" s="11">
        <f t="shared" si="99">IF(AA388="正常",IF(I388="已计入",IF(OR(OR(B388="买入",B388="定投",B388="转换转入"),B388="红利再投"),D388,IF(B388="卖出",-D388,0)),0),"")</f>
        <v>0</v>
      </c>
      <c r="K388" s="11">
        <f t="shared" si="104">IF(AA388="正常",ROUND(K387+J388,6),"")</f>
        <v>25721.6</v>
      </c>
      <c r="L388" s="11" t="str">
        <f t="shared" si="105">IF(I388="已计入",ROUND(K387*C388,2),"")</f>
        <v/>
      </c>
      <c r="M388" s="11" t="str">
        <f t="shared" si="106">IF(I388="已计入",IF(B388="卖出",MAX(0,L388-Q387-F388),IF(B388="现金分红",MAX(0,L388+E388-Q387),0)),"")</f>
        <v/>
      </c>
      <c r="N388" s="11" t="str">
        <f>IF(I388="已计入",IF(AND(B388="卖出",'持仓总览'!$C$7="本金优先"),MAX(0,E388-Q387),IF(OR(B388="卖出",B388="现金分红"),MIN(E388,M388),0)),"")</f>
        <v/>
      </c>
      <c r="O388" s="11" t="str">
        <f t="shared" si="107">IF(I388="已计入",IF(OR(B388="卖出",B388="现金分红"),MIN(Q387,MAX(0,E388-N388)),0),"")</f>
        <v/>
      </c>
      <c r="P388" s="11" t="str">
        <f t="shared" si="108">IF(I388="已计入",IF(AND(B388="卖出",K388=0),MAX(0,Q387-O388),0),"")</f>
        <v/>
      </c>
      <c r="Q388" s="11">
        <f t="shared" si="109">IF(AA388="正常",IF(I388="已计入",ROUND(Q387+IF(OR(B388="买入",B388="定投",B388="转换转入"),E388,0)-O388-P388,2),Q387),"")</f>
        <v>129570</v>
      </c>
      <c r="R388" s="11" t="str">
        <f t="shared" si="100">IF(I388="已计入",ROUND(K388*C388,2),"")</f>
        <v/>
      </c>
      <c r="S388" s="11" t="str">
        <f t="shared" si="101">IF(I388="已计入",ROUND(R388-Q388,2),"")</f>
        <v/>
      </c>
      <c r="T388" s="12" t="str">
        <f t="shared" si="102">IF(I388="已计入",IF(Q388=0,"",S388/Q388),"")</f>
        <v/>
      </c>
      <c r="U388" s="11">
        <f t="shared" si="110">IF(AA388="正常",U387+IF(AND(I388="已计入",OR(B388="买入",B388="定投",B388="转换转入")),E388,0),"")</f>
        <v>129570</v>
      </c>
      <c r="V388" s="11">
        <f t="shared" si="111">IF(AA388="正常",V387+IF(AND(I388="已计入",OR(B388="卖出",B388="现金分红")),E388,0),"")</f>
        <v>0</v>
      </c>
      <c r="W388" s="11">
        <f t="shared" si="112">IF(AA388="正常",W387+IF(I388="已计入",N388,0),"")</f>
        <v>0</v>
      </c>
      <c r="X388" s="11">
        <f t="shared" si="113">IF(AA388="正常",X387+IF(I388="已计入",P388,0),"")</f>
        <v>0</v>
      </c>
      <c r="Y388" s="11" t="str">
        <f t="shared" si="103">IF(I388="已计入",ROUND(R388+V388-U388,2),"")</f>
        <v/>
      </c>
      <c r="Z388" s="13">
        <f t="shared" si="114">IF(AA388="正常",IF(I388="已计入",A388,Z387),"")</f>
        <v>46239</v>
      </c>
      <c r="AA388" s="10" t="str">
        <f>IF(OR($AA$134="错误",COUNTIF($G$135:G388,"待修正")&gt;0),"错误","正常")</f>
        <v>正常</v>
      </c>
      <c r="AB388" s="14">
        <f t="shared" si="115">IF(AA388="正常",IF(I388="已计入",C388,AB387),"")</f>
        <v>6.347</v>
      </c>
    </row>
    <row r="389" ht="23" customHeight="1">
      <c r="A389" s="36"/>
      <c r="B389" s="37"/>
      <c r="C389" s="38"/>
      <c r="D389" s="39"/>
      <c r="E389" s="44" t="str">
        <f t="shared" si="116">IF(AND(ISNUMBER(C389),ISNUMBER(D389),ISNUMBER(F389)),IF(OR(B389="买入",B389="定投"),ROUND(C389*D389+F389,2),IF(B389="卖出",ROUND(C389*D389-F389,2),IF(B389="红利再投",0,""))),"")</f>
        <v/>
      </c>
      <c r="F389" s="39"/>
      <c r="G389" s="45" t="str">
        <f t="shared" si="117">IF(COUNTA(A389:D389,F389)=0,"",IF(I389="已计入","已录入","待修正"))</f>
        <v/>
      </c>
      <c r="H389" s="46" t="str">
        <f t="shared" si="118">IF(COUNTA(A389:D389,F389)=0,"",IF(B389="红利再投","仅增加份额，不增加现金投入","金额由份额、净值和手续费推算"))</f>
        <v/>
      </c>
      <c r="I389" s="10" t="str">
        <f>IF(COUNTA(A389:D389,F389)=0,"",IF(NOT(ISNUMBER(A389)),"缺少有效净值日期",IF(OR(A389&lt;=0,A389&lt;&gt;INT(A389)),"净值日期无效",IF(OR(B389="转换转入",B389="现金分红"),"该类型需实际金额，五项录入不适用",IF(NOT(OR(OR(B389="买入",B389="定投"),B389="卖出",B389="红利再投")),"请选择交易类型",IF(NOT(ISNUMBER(C389)),"缺少成交净值",IF(C389&lt;=0,"成交净值须大于零",IF(NOT(ISNUMBER(D389)),"缺少确认份额",IF(D389&lt;=0,"确认份额须大于零",IF(NOT(ISNUMBER(F389)),"缺少手续费，无费用请填 0",IF(F389&lt;0,"手续费不能为负",IF(AA388="错误","前行待修正",IF(A389&lt;Z388,"日期需按成交顺序递增",IF(AND(B389="红利再投",F389&lt;&gt;0),"红利再投手续费应填 0",IF(AND(B389="红利再投",K388&lt;=0),"红利再投前须有持仓",IF(AND(B389="卖出",D389&gt;K388+0.000001),"卖出份额超过持仓",IF(AND(B389="卖出",F389&gt;=C389*D389),"赎回费不能达到赎回总额",IF(NOT(ISNUMBER(E389)),"自动金额未生成，请检查五项输入",IF(NOT(OR('持仓总览'!$C$7="利润优先",'持仓总览'!$C$7="本金优先")),"请选择卖出分配模式","已计入")))))))))))))))))))</f>
        <v/>
      </c>
      <c r="J389" s="11">
        <f t="shared" si="99">IF(AA389="正常",IF(I389="已计入",IF(OR(OR(B389="买入",B389="定投",B389="转换转入"),B389="红利再投"),D389,IF(B389="卖出",-D389,0)),0),"")</f>
        <v>0</v>
      </c>
      <c r="K389" s="11">
        <f t="shared" si="104">IF(AA389="正常",ROUND(K388+J389,6),"")</f>
        <v>25721.6</v>
      </c>
      <c r="L389" s="11" t="str">
        <f t="shared" si="105">IF(I389="已计入",ROUND(K388*C389,2),"")</f>
        <v/>
      </c>
      <c r="M389" s="11" t="str">
        <f t="shared" si="106">IF(I389="已计入",IF(B389="卖出",MAX(0,L389-Q388-F389),IF(B389="现金分红",MAX(0,L389+E389-Q388),0)),"")</f>
        <v/>
      </c>
      <c r="N389" s="11" t="str">
        <f>IF(I389="已计入",IF(AND(B389="卖出",'持仓总览'!$C$7="本金优先"),MAX(0,E389-Q388),IF(OR(B389="卖出",B389="现金分红"),MIN(E389,M389),0)),"")</f>
        <v/>
      </c>
      <c r="O389" s="11" t="str">
        <f t="shared" si="107">IF(I389="已计入",IF(OR(B389="卖出",B389="现金分红"),MIN(Q388,MAX(0,E389-N389)),0),"")</f>
        <v/>
      </c>
      <c r="P389" s="11" t="str">
        <f t="shared" si="108">IF(I389="已计入",IF(AND(B389="卖出",K389=0),MAX(0,Q388-O389),0),"")</f>
        <v/>
      </c>
      <c r="Q389" s="11">
        <f t="shared" si="109">IF(AA389="正常",IF(I389="已计入",ROUND(Q388+IF(OR(B389="买入",B389="定投",B389="转换转入"),E389,0)-O389-P389,2),Q388),"")</f>
        <v>129570</v>
      </c>
      <c r="R389" s="11" t="str">
        <f t="shared" si="100">IF(I389="已计入",ROUND(K389*C389,2),"")</f>
        <v/>
      </c>
      <c r="S389" s="11" t="str">
        <f t="shared" si="101">IF(I389="已计入",ROUND(R389-Q389,2),"")</f>
        <v/>
      </c>
      <c r="T389" s="12" t="str">
        <f t="shared" si="102">IF(I389="已计入",IF(Q389=0,"",S389/Q389),"")</f>
        <v/>
      </c>
      <c r="U389" s="11">
        <f t="shared" si="110">IF(AA389="正常",U388+IF(AND(I389="已计入",OR(B389="买入",B389="定投",B389="转换转入")),E389,0),"")</f>
        <v>129570</v>
      </c>
      <c r="V389" s="11">
        <f t="shared" si="111">IF(AA389="正常",V388+IF(AND(I389="已计入",OR(B389="卖出",B389="现金分红")),E389,0),"")</f>
        <v>0</v>
      </c>
      <c r="W389" s="11">
        <f t="shared" si="112">IF(AA389="正常",W388+IF(I389="已计入",N389,0),"")</f>
        <v>0</v>
      </c>
      <c r="X389" s="11">
        <f t="shared" si="113">IF(AA389="正常",X388+IF(I389="已计入",P389,0),"")</f>
        <v>0</v>
      </c>
      <c r="Y389" s="11" t="str">
        <f t="shared" si="103">IF(I389="已计入",ROUND(R389+V389-U389,2),"")</f>
        <v/>
      </c>
      <c r="Z389" s="13">
        <f t="shared" si="114">IF(AA389="正常",IF(I389="已计入",A389,Z388),"")</f>
        <v>46239</v>
      </c>
      <c r="AA389" s="10" t="str">
        <f>IF(OR($AA$134="错误",COUNTIF($G$135:G389,"待修正")&gt;0),"错误","正常")</f>
        <v>正常</v>
      </c>
      <c r="AB389" s="14">
        <f t="shared" si="115">IF(AA389="正常",IF(I389="已计入",C389,AB388),"")</f>
        <v>6.347</v>
      </c>
    </row>
    <row r="390" ht="23" customHeight="1">
      <c r="A390" s="36"/>
      <c r="B390" s="37"/>
      <c r="C390" s="38"/>
      <c r="D390" s="39"/>
      <c r="E390" s="44" t="str">
        <f t="shared" si="116">IF(AND(ISNUMBER(C390),ISNUMBER(D390),ISNUMBER(F390)),IF(OR(B390="买入",B390="定投"),ROUND(C390*D390+F390,2),IF(B390="卖出",ROUND(C390*D390-F390,2),IF(B390="红利再投",0,""))),"")</f>
        <v/>
      </c>
      <c r="F390" s="39"/>
      <c r="G390" s="45" t="str">
        <f t="shared" si="117">IF(COUNTA(A390:D390,F390)=0,"",IF(I390="已计入","已录入","待修正"))</f>
        <v/>
      </c>
      <c r="H390" s="46" t="str">
        <f t="shared" si="118">IF(COUNTA(A390:D390,F390)=0,"",IF(B390="红利再投","仅增加份额，不增加现金投入","金额由份额、净值和手续费推算"))</f>
        <v/>
      </c>
      <c r="I390" s="10" t="str">
        <f>IF(COUNTA(A390:D390,F390)=0,"",IF(NOT(ISNUMBER(A390)),"缺少有效净值日期",IF(OR(A390&lt;=0,A390&lt;&gt;INT(A390)),"净值日期无效",IF(OR(B390="转换转入",B390="现金分红"),"该类型需实际金额，五项录入不适用",IF(NOT(OR(OR(B390="买入",B390="定投"),B390="卖出",B390="红利再投")),"请选择交易类型",IF(NOT(ISNUMBER(C390)),"缺少成交净值",IF(C390&lt;=0,"成交净值须大于零",IF(NOT(ISNUMBER(D390)),"缺少确认份额",IF(D390&lt;=0,"确认份额须大于零",IF(NOT(ISNUMBER(F390)),"缺少手续费，无费用请填 0",IF(F390&lt;0,"手续费不能为负",IF(AA389="错误","前行待修正",IF(A390&lt;Z389,"日期需按成交顺序递增",IF(AND(B390="红利再投",F390&lt;&gt;0),"红利再投手续费应填 0",IF(AND(B390="红利再投",K389&lt;=0),"红利再投前须有持仓",IF(AND(B390="卖出",D390&gt;K389+0.000001),"卖出份额超过持仓",IF(AND(B390="卖出",F390&gt;=C390*D390),"赎回费不能达到赎回总额",IF(NOT(ISNUMBER(E390)),"自动金额未生成，请检查五项输入",IF(NOT(OR('持仓总览'!$C$7="利润优先",'持仓总览'!$C$7="本金优先")),"请选择卖出分配模式","已计入")))))))))))))))))))</f>
        <v/>
      </c>
      <c r="J390" s="11">
        <f t="shared" si="99">IF(AA390="正常",IF(I390="已计入",IF(OR(OR(B390="买入",B390="定投",B390="转换转入"),B390="红利再投"),D390,IF(B390="卖出",-D390,0)),0),"")</f>
        <v>0</v>
      </c>
      <c r="K390" s="11">
        <f t="shared" si="104">IF(AA390="正常",ROUND(K389+J390,6),"")</f>
        <v>25721.6</v>
      </c>
      <c r="L390" s="11" t="str">
        <f t="shared" si="105">IF(I390="已计入",ROUND(K389*C390,2),"")</f>
        <v/>
      </c>
      <c r="M390" s="11" t="str">
        <f t="shared" si="106">IF(I390="已计入",IF(B390="卖出",MAX(0,L390-Q389-F390),IF(B390="现金分红",MAX(0,L390+E390-Q389),0)),"")</f>
        <v/>
      </c>
      <c r="N390" s="11" t="str">
        <f>IF(I390="已计入",IF(AND(B390="卖出",'持仓总览'!$C$7="本金优先"),MAX(0,E390-Q389),IF(OR(B390="卖出",B390="现金分红"),MIN(E390,M390),0)),"")</f>
        <v/>
      </c>
      <c r="O390" s="11" t="str">
        <f t="shared" si="107">IF(I390="已计入",IF(OR(B390="卖出",B390="现金分红"),MIN(Q389,MAX(0,E390-N390)),0),"")</f>
        <v/>
      </c>
      <c r="P390" s="11" t="str">
        <f t="shared" si="108">IF(I390="已计入",IF(AND(B390="卖出",K390=0),MAX(0,Q389-O390),0),"")</f>
        <v/>
      </c>
      <c r="Q390" s="11">
        <f t="shared" si="109">IF(AA390="正常",IF(I390="已计入",ROUND(Q389+IF(OR(B390="买入",B390="定投",B390="转换转入"),E390,0)-O390-P390,2),Q389),"")</f>
        <v>129570</v>
      </c>
      <c r="R390" s="11" t="str">
        <f t="shared" si="100">IF(I390="已计入",ROUND(K390*C390,2),"")</f>
        <v/>
      </c>
      <c r="S390" s="11" t="str">
        <f t="shared" si="101">IF(I390="已计入",ROUND(R390-Q390,2),"")</f>
        <v/>
      </c>
      <c r="T390" s="12" t="str">
        <f t="shared" si="102">IF(I390="已计入",IF(Q390=0,"",S390/Q390),"")</f>
        <v/>
      </c>
      <c r="U390" s="11">
        <f t="shared" si="110">IF(AA390="正常",U389+IF(AND(I390="已计入",OR(B390="买入",B390="定投",B390="转换转入")),E390,0),"")</f>
        <v>129570</v>
      </c>
      <c r="V390" s="11">
        <f t="shared" si="111">IF(AA390="正常",V389+IF(AND(I390="已计入",OR(B390="卖出",B390="现金分红")),E390,0),"")</f>
        <v>0</v>
      </c>
      <c r="W390" s="11">
        <f t="shared" si="112">IF(AA390="正常",W389+IF(I390="已计入",N390,0),"")</f>
        <v>0</v>
      </c>
      <c r="X390" s="11">
        <f t="shared" si="113">IF(AA390="正常",X389+IF(I390="已计入",P390,0),"")</f>
        <v>0</v>
      </c>
      <c r="Y390" s="11" t="str">
        <f t="shared" si="103">IF(I390="已计入",ROUND(R390+V390-U390,2),"")</f>
        <v/>
      </c>
      <c r="Z390" s="13">
        <f t="shared" si="114">IF(AA390="正常",IF(I390="已计入",A390,Z389),"")</f>
        <v>46239</v>
      </c>
      <c r="AA390" s="10" t="str">
        <f>IF(OR($AA$134="错误",COUNTIF($G$135:G390,"待修正")&gt;0),"错误","正常")</f>
        <v>正常</v>
      </c>
      <c r="AB390" s="14">
        <f t="shared" si="115">IF(AA390="正常",IF(I390="已计入",C390,AB389),"")</f>
        <v>6.347</v>
      </c>
    </row>
    <row r="391" ht="23" customHeight="1">
      <c r="A391" s="36"/>
      <c r="B391" s="37"/>
      <c r="C391" s="38"/>
      <c r="D391" s="39"/>
      <c r="E391" s="44" t="str">
        <f t="shared" si="116">IF(AND(ISNUMBER(C391),ISNUMBER(D391),ISNUMBER(F391)),IF(OR(B391="买入",B391="定投"),ROUND(C391*D391+F391,2),IF(B391="卖出",ROUND(C391*D391-F391,2),IF(B391="红利再投",0,""))),"")</f>
        <v/>
      </c>
      <c r="F391" s="39"/>
      <c r="G391" s="45" t="str">
        <f t="shared" si="117">IF(COUNTA(A391:D391,F391)=0,"",IF(I391="已计入","已录入","待修正"))</f>
        <v/>
      </c>
      <c r="H391" s="46" t="str">
        <f t="shared" si="118">IF(COUNTA(A391:D391,F391)=0,"",IF(B391="红利再投","仅增加份额，不增加现金投入","金额由份额、净值和手续费推算"))</f>
        <v/>
      </c>
      <c r="I391" s="10" t="str">
        <f>IF(COUNTA(A391:D391,F391)=0,"",IF(NOT(ISNUMBER(A391)),"缺少有效净值日期",IF(OR(A391&lt;=0,A391&lt;&gt;INT(A391)),"净值日期无效",IF(OR(B391="转换转入",B391="现金分红"),"该类型需实际金额，五项录入不适用",IF(NOT(OR(OR(B391="买入",B391="定投"),B391="卖出",B391="红利再投")),"请选择交易类型",IF(NOT(ISNUMBER(C391)),"缺少成交净值",IF(C391&lt;=0,"成交净值须大于零",IF(NOT(ISNUMBER(D391)),"缺少确认份额",IF(D391&lt;=0,"确认份额须大于零",IF(NOT(ISNUMBER(F391)),"缺少手续费，无费用请填 0",IF(F391&lt;0,"手续费不能为负",IF(AA390="错误","前行待修正",IF(A391&lt;Z390,"日期需按成交顺序递增",IF(AND(B391="红利再投",F391&lt;&gt;0),"红利再投手续费应填 0",IF(AND(B391="红利再投",K390&lt;=0),"红利再投前须有持仓",IF(AND(B391="卖出",D391&gt;K390+0.000001),"卖出份额超过持仓",IF(AND(B391="卖出",F391&gt;=C391*D391),"赎回费不能达到赎回总额",IF(NOT(ISNUMBER(E391)),"自动金额未生成，请检查五项输入",IF(NOT(OR('持仓总览'!$C$7="利润优先",'持仓总览'!$C$7="本金优先")),"请选择卖出分配模式","已计入")))))))))))))))))))</f>
        <v/>
      </c>
      <c r="J391" s="11">
        <f t="shared" ref="J391:J454" si="119">IF(AA391="正常",IF(I391="已计入",IF(OR(OR(B391="买入",B391="定投",B391="转换转入"),B391="红利再投"),D391,IF(B391="卖出",-D391,0)),0),"")</f>
        <v>0</v>
      </c>
      <c r="K391" s="11">
        <f t="shared" si="104">IF(AA391="正常",ROUND(K390+J391,6),"")</f>
        <v>25721.6</v>
      </c>
      <c r="L391" s="11" t="str">
        <f t="shared" si="105">IF(I391="已计入",ROUND(K390*C391,2),"")</f>
        <v/>
      </c>
      <c r="M391" s="11" t="str">
        <f t="shared" si="106">IF(I391="已计入",IF(B391="卖出",MAX(0,L391-Q390-F391),IF(B391="现金分红",MAX(0,L391+E391-Q390),0)),"")</f>
        <v/>
      </c>
      <c r="N391" s="11" t="str">
        <f>IF(I391="已计入",IF(AND(B391="卖出",'持仓总览'!$C$7="本金优先"),MAX(0,E391-Q390),IF(OR(B391="卖出",B391="现金分红"),MIN(E391,M391),0)),"")</f>
        <v/>
      </c>
      <c r="O391" s="11" t="str">
        <f t="shared" si="107">IF(I391="已计入",IF(OR(B391="卖出",B391="现金分红"),MIN(Q390,MAX(0,E391-N391)),0),"")</f>
        <v/>
      </c>
      <c r="P391" s="11" t="str">
        <f t="shared" si="108">IF(I391="已计入",IF(AND(B391="卖出",K391=0),MAX(0,Q390-O391),0),"")</f>
        <v/>
      </c>
      <c r="Q391" s="11">
        <f t="shared" si="109">IF(AA391="正常",IF(I391="已计入",ROUND(Q390+IF(OR(B391="买入",B391="定投",B391="转换转入"),E391,0)-O391-P391,2),Q390),"")</f>
        <v>129570</v>
      </c>
      <c r="R391" s="11" t="str">
        <f t="shared" ref="R391:R454" si="120">IF(I391="已计入",ROUND(K391*C391,2),"")</f>
        <v/>
      </c>
      <c r="S391" s="11" t="str">
        <f t="shared" ref="S391:S454" si="121">IF(I391="已计入",ROUND(R391-Q391,2),"")</f>
        <v/>
      </c>
      <c r="T391" s="12" t="str">
        <f t="shared" ref="T391:T454" si="122">IF(I391="已计入",IF(Q391=0,"",S391/Q391),"")</f>
        <v/>
      </c>
      <c r="U391" s="11">
        <f t="shared" si="110">IF(AA391="正常",U390+IF(AND(I391="已计入",OR(B391="买入",B391="定投",B391="转换转入")),E391,0),"")</f>
        <v>129570</v>
      </c>
      <c r="V391" s="11">
        <f t="shared" si="111">IF(AA391="正常",V390+IF(AND(I391="已计入",OR(B391="卖出",B391="现金分红")),E391,0),"")</f>
        <v>0</v>
      </c>
      <c r="W391" s="11">
        <f t="shared" si="112">IF(AA391="正常",W390+IF(I391="已计入",N391,0),"")</f>
        <v>0</v>
      </c>
      <c r="X391" s="11">
        <f t="shared" si="113">IF(AA391="正常",X390+IF(I391="已计入",P391,0),"")</f>
        <v>0</v>
      </c>
      <c r="Y391" s="11" t="str">
        <f t="shared" ref="Y391:Y454" si="123">IF(I391="已计入",ROUND(R391+V391-U391,2),"")</f>
        <v/>
      </c>
      <c r="Z391" s="13">
        <f t="shared" si="114">IF(AA391="正常",IF(I391="已计入",A391,Z390),"")</f>
        <v>46239</v>
      </c>
      <c r="AA391" s="10" t="str">
        <f>IF(OR($AA$134="错误",COUNTIF($G$135:G391,"待修正")&gt;0),"错误","正常")</f>
        <v>正常</v>
      </c>
      <c r="AB391" s="14">
        <f t="shared" si="115">IF(AA391="正常",IF(I391="已计入",C391,AB390),"")</f>
        <v>6.347</v>
      </c>
    </row>
    <row r="392" ht="23" customHeight="1">
      <c r="A392" s="36"/>
      <c r="B392" s="37"/>
      <c r="C392" s="38"/>
      <c r="D392" s="39"/>
      <c r="E392" s="44" t="str">
        <f t="shared" si="116">IF(AND(ISNUMBER(C392),ISNUMBER(D392),ISNUMBER(F392)),IF(OR(B392="买入",B392="定投"),ROUND(C392*D392+F392,2),IF(B392="卖出",ROUND(C392*D392-F392,2),IF(B392="红利再投",0,""))),"")</f>
        <v/>
      </c>
      <c r="F392" s="39"/>
      <c r="G392" s="45" t="str">
        <f t="shared" si="117">IF(COUNTA(A392:D392,F392)=0,"",IF(I392="已计入","已录入","待修正"))</f>
        <v/>
      </c>
      <c r="H392" s="46" t="str">
        <f t="shared" si="118">IF(COUNTA(A392:D392,F392)=0,"",IF(B392="红利再投","仅增加份额，不增加现金投入","金额由份额、净值和手续费推算"))</f>
        <v/>
      </c>
      <c r="I392" s="10" t="str">
        <f>IF(COUNTA(A392:D392,F392)=0,"",IF(NOT(ISNUMBER(A392)),"缺少有效净值日期",IF(OR(A392&lt;=0,A392&lt;&gt;INT(A392)),"净值日期无效",IF(OR(B392="转换转入",B392="现金分红"),"该类型需实际金额，五项录入不适用",IF(NOT(OR(OR(B392="买入",B392="定投"),B392="卖出",B392="红利再投")),"请选择交易类型",IF(NOT(ISNUMBER(C392)),"缺少成交净值",IF(C392&lt;=0,"成交净值须大于零",IF(NOT(ISNUMBER(D392)),"缺少确认份额",IF(D392&lt;=0,"确认份额须大于零",IF(NOT(ISNUMBER(F392)),"缺少手续费，无费用请填 0",IF(F392&lt;0,"手续费不能为负",IF(AA391="错误","前行待修正",IF(A392&lt;Z391,"日期需按成交顺序递增",IF(AND(B392="红利再投",F392&lt;&gt;0),"红利再投手续费应填 0",IF(AND(B392="红利再投",K391&lt;=0),"红利再投前须有持仓",IF(AND(B392="卖出",D392&gt;K391+0.000001),"卖出份额超过持仓",IF(AND(B392="卖出",F392&gt;=C392*D392),"赎回费不能达到赎回总额",IF(NOT(ISNUMBER(E392)),"自动金额未生成，请检查五项输入",IF(NOT(OR('持仓总览'!$C$7="利润优先",'持仓总览'!$C$7="本金优先")),"请选择卖出分配模式","已计入")))))))))))))))))))</f>
        <v/>
      </c>
      <c r="J392" s="11">
        <f t="shared" si="119">IF(AA392="正常",IF(I392="已计入",IF(OR(OR(B392="买入",B392="定投",B392="转换转入"),B392="红利再投"),D392,IF(B392="卖出",-D392,0)),0),"")</f>
        <v>0</v>
      </c>
      <c r="K392" s="11">
        <f t="shared" ref="K392:K455" si="124">IF(AA392="正常",ROUND(K391+J392,6),"")</f>
        <v>25721.6</v>
      </c>
      <c r="L392" s="11" t="str">
        <f t="shared" ref="L392:L455" si="125">IF(I392="已计入",ROUND(K391*C392,2),"")</f>
        <v/>
      </c>
      <c r="M392" s="11" t="str">
        <f t="shared" ref="M392:M455" si="126">IF(I392="已计入",IF(B392="卖出",MAX(0,L392-Q391-F392),IF(B392="现金分红",MAX(0,L392+E392-Q391),0)),"")</f>
        <v/>
      </c>
      <c r="N392" s="11" t="str">
        <f>IF(I392="已计入",IF(AND(B392="卖出",'持仓总览'!$C$7="本金优先"),MAX(0,E392-Q391),IF(OR(B392="卖出",B392="现金分红"),MIN(E392,M392),0)),"")</f>
        <v/>
      </c>
      <c r="O392" s="11" t="str">
        <f t="shared" ref="O392:O455" si="127">IF(I392="已计入",IF(OR(B392="卖出",B392="现金分红"),MIN(Q391,MAX(0,E392-N392)),0),"")</f>
        <v/>
      </c>
      <c r="P392" s="11" t="str">
        <f t="shared" ref="P392:P455" si="128">IF(I392="已计入",IF(AND(B392="卖出",K392=0),MAX(0,Q391-O392),0),"")</f>
        <v/>
      </c>
      <c r="Q392" s="11">
        <f t="shared" ref="Q392:Q455" si="129">IF(AA392="正常",IF(I392="已计入",ROUND(Q391+IF(OR(B392="买入",B392="定投",B392="转换转入"),E392,0)-O392-P392,2),Q391),"")</f>
        <v>129570</v>
      </c>
      <c r="R392" s="11" t="str">
        <f t="shared" si="120">IF(I392="已计入",ROUND(K392*C392,2),"")</f>
        <v/>
      </c>
      <c r="S392" s="11" t="str">
        <f t="shared" si="121">IF(I392="已计入",ROUND(R392-Q392,2),"")</f>
        <v/>
      </c>
      <c r="T392" s="12" t="str">
        <f t="shared" si="122">IF(I392="已计入",IF(Q392=0,"",S392/Q392),"")</f>
        <v/>
      </c>
      <c r="U392" s="11">
        <f t="shared" ref="U392:U455" si="130">IF(AA392="正常",U391+IF(AND(I392="已计入",OR(B392="买入",B392="定投",B392="转换转入")),E392,0),"")</f>
        <v>129570</v>
      </c>
      <c r="V392" s="11">
        <f t="shared" ref="V392:V455" si="131">IF(AA392="正常",V391+IF(AND(I392="已计入",OR(B392="卖出",B392="现金分红")),E392,0),"")</f>
        <v>0</v>
      </c>
      <c r="W392" s="11">
        <f t="shared" ref="W392:W455" si="132">IF(AA392="正常",W391+IF(I392="已计入",N392,0),"")</f>
        <v>0</v>
      </c>
      <c r="X392" s="11">
        <f t="shared" ref="X392:X455" si="133">IF(AA392="正常",X391+IF(I392="已计入",P392,0),"")</f>
        <v>0</v>
      </c>
      <c r="Y392" s="11" t="str">
        <f t="shared" si="123">IF(I392="已计入",ROUND(R392+V392-U392,2),"")</f>
        <v/>
      </c>
      <c r="Z392" s="13">
        <f t="shared" ref="Z392:Z455" si="134">IF(AA392="正常",IF(I392="已计入",A392,Z391),"")</f>
        <v>46239</v>
      </c>
      <c r="AA392" s="10" t="str">
        <f>IF(OR($AA$134="错误",COUNTIF($G$135:G392,"待修正")&gt;0),"错误","正常")</f>
        <v>正常</v>
      </c>
      <c r="AB392" s="14">
        <f t="shared" ref="AB392:AB455" si="135">IF(AA392="正常",IF(I392="已计入",C392,AB391),"")</f>
        <v>6.347</v>
      </c>
    </row>
    <row r="393" ht="23" customHeight="1">
      <c r="A393" s="36"/>
      <c r="B393" s="37"/>
      <c r="C393" s="38"/>
      <c r="D393" s="39"/>
      <c r="E393" s="44" t="str">
        <f t="shared" si="116">IF(AND(ISNUMBER(C393),ISNUMBER(D393),ISNUMBER(F393)),IF(OR(B393="买入",B393="定投"),ROUND(C393*D393+F393,2),IF(B393="卖出",ROUND(C393*D393-F393,2),IF(B393="红利再投",0,""))),"")</f>
        <v/>
      </c>
      <c r="F393" s="39"/>
      <c r="G393" s="45" t="str">
        <f t="shared" si="117">IF(COUNTA(A393:D393,F393)=0,"",IF(I393="已计入","已录入","待修正"))</f>
        <v/>
      </c>
      <c r="H393" s="46" t="str">
        <f t="shared" si="118">IF(COUNTA(A393:D393,F393)=0,"",IF(B393="红利再投","仅增加份额，不增加现金投入","金额由份额、净值和手续费推算"))</f>
        <v/>
      </c>
      <c r="I393" s="10" t="str">
        <f>IF(COUNTA(A393:D393,F393)=0,"",IF(NOT(ISNUMBER(A393)),"缺少有效净值日期",IF(OR(A393&lt;=0,A393&lt;&gt;INT(A393)),"净值日期无效",IF(OR(B393="转换转入",B393="现金分红"),"该类型需实际金额，五项录入不适用",IF(NOT(OR(OR(B393="买入",B393="定投"),B393="卖出",B393="红利再投")),"请选择交易类型",IF(NOT(ISNUMBER(C393)),"缺少成交净值",IF(C393&lt;=0,"成交净值须大于零",IF(NOT(ISNUMBER(D393)),"缺少确认份额",IF(D393&lt;=0,"确认份额须大于零",IF(NOT(ISNUMBER(F393)),"缺少手续费，无费用请填 0",IF(F393&lt;0,"手续费不能为负",IF(AA392="错误","前行待修正",IF(A393&lt;Z392,"日期需按成交顺序递增",IF(AND(B393="红利再投",F393&lt;&gt;0),"红利再投手续费应填 0",IF(AND(B393="红利再投",K392&lt;=0),"红利再投前须有持仓",IF(AND(B393="卖出",D393&gt;K392+0.000001),"卖出份额超过持仓",IF(AND(B393="卖出",F393&gt;=C393*D393),"赎回费不能达到赎回总额",IF(NOT(ISNUMBER(E393)),"自动金额未生成，请检查五项输入",IF(NOT(OR('持仓总览'!$C$7="利润优先",'持仓总览'!$C$7="本金优先")),"请选择卖出分配模式","已计入")))))))))))))))))))</f>
        <v/>
      </c>
      <c r="J393" s="11">
        <f t="shared" si="119">IF(AA393="正常",IF(I393="已计入",IF(OR(OR(B393="买入",B393="定投",B393="转换转入"),B393="红利再投"),D393,IF(B393="卖出",-D393,0)),0),"")</f>
        <v>0</v>
      </c>
      <c r="K393" s="11">
        <f t="shared" si="124">IF(AA393="正常",ROUND(K392+J393,6),"")</f>
        <v>25721.6</v>
      </c>
      <c r="L393" s="11" t="str">
        <f t="shared" si="125">IF(I393="已计入",ROUND(K392*C393,2),"")</f>
        <v/>
      </c>
      <c r="M393" s="11" t="str">
        <f t="shared" si="126">IF(I393="已计入",IF(B393="卖出",MAX(0,L393-Q392-F393),IF(B393="现金分红",MAX(0,L393+E393-Q392),0)),"")</f>
        <v/>
      </c>
      <c r="N393" s="11" t="str">
        <f>IF(I393="已计入",IF(AND(B393="卖出",'持仓总览'!$C$7="本金优先"),MAX(0,E393-Q392),IF(OR(B393="卖出",B393="现金分红"),MIN(E393,M393),0)),"")</f>
        <v/>
      </c>
      <c r="O393" s="11" t="str">
        <f t="shared" si="127">IF(I393="已计入",IF(OR(B393="卖出",B393="现金分红"),MIN(Q392,MAX(0,E393-N393)),0),"")</f>
        <v/>
      </c>
      <c r="P393" s="11" t="str">
        <f t="shared" si="128">IF(I393="已计入",IF(AND(B393="卖出",K393=0),MAX(0,Q392-O393),0),"")</f>
        <v/>
      </c>
      <c r="Q393" s="11">
        <f t="shared" si="129">IF(AA393="正常",IF(I393="已计入",ROUND(Q392+IF(OR(B393="买入",B393="定投",B393="转换转入"),E393,0)-O393-P393,2),Q392),"")</f>
        <v>129570</v>
      </c>
      <c r="R393" s="11" t="str">
        <f t="shared" si="120">IF(I393="已计入",ROUND(K393*C393,2),"")</f>
        <v/>
      </c>
      <c r="S393" s="11" t="str">
        <f t="shared" si="121">IF(I393="已计入",ROUND(R393-Q393,2),"")</f>
        <v/>
      </c>
      <c r="T393" s="12" t="str">
        <f t="shared" si="122">IF(I393="已计入",IF(Q393=0,"",S393/Q393),"")</f>
        <v/>
      </c>
      <c r="U393" s="11">
        <f t="shared" si="130">IF(AA393="正常",U392+IF(AND(I393="已计入",OR(B393="买入",B393="定投",B393="转换转入")),E393,0),"")</f>
        <v>129570</v>
      </c>
      <c r="V393" s="11">
        <f t="shared" si="131">IF(AA393="正常",V392+IF(AND(I393="已计入",OR(B393="卖出",B393="现金分红")),E393,0),"")</f>
        <v>0</v>
      </c>
      <c r="W393" s="11">
        <f t="shared" si="132">IF(AA393="正常",W392+IF(I393="已计入",N393,0),"")</f>
        <v>0</v>
      </c>
      <c r="X393" s="11">
        <f t="shared" si="133">IF(AA393="正常",X392+IF(I393="已计入",P393,0),"")</f>
        <v>0</v>
      </c>
      <c r="Y393" s="11" t="str">
        <f t="shared" si="123">IF(I393="已计入",ROUND(R393+V393-U393,2),"")</f>
        <v/>
      </c>
      <c r="Z393" s="13">
        <f t="shared" si="134">IF(AA393="正常",IF(I393="已计入",A393,Z392),"")</f>
        <v>46239</v>
      </c>
      <c r="AA393" s="10" t="str">
        <f>IF(OR($AA$134="错误",COUNTIF($G$135:G393,"待修正")&gt;0),"错误","正常")</f>
        <v>正常</v>
      </c>
      <c r="AB393" s="14">
        <f t="shared" si="135">IF(AA393="正常",IF(I393="已计入",C393,AB392),"")</f>
        <v>6.347</v>
      </c>
    </row>
    <row r="394" ht="23" customHeight="1">
      <c r="A394" s="36"/>
      <c r="B394" s="37"/>
      <c r="C394" s="38"/>
      <c r="D394" s="39"/>
      <c r="E394" s="44" t="str">
        <f t="shared" si="116">IF(AND(ISNUMBER(C394),ISNUMBER(D394),ISNUMBER(F394)),IF(OR(B394="买入",B394="定投"),ROUND(C394*D394+F394,2),IF(B394="卖出",ROUND(C394*D394-F394,2),IF(B394="红利再投",0,""))),"")</f>
        <v/>
      </c>
      <c r="F394" s="39"/>
      <c r="G394" s="45" t="str">
        <f t="shared" si="117">IF(COUNTA(A394:D394,F394)=0,"",IF(I394="已计入","已录入","待修正"))</f>
        <v/>
      </c>
      <c r="H394" s="46" t="str">
        <f t="shared" si="118">IF(COUNTA(A394:D394,F394)=0,"",IF(B394="红利再投","仅增加份额，不增加现金投入","金额由份额、净值和手续费推算"))</f>
        <v/>
      </c>
      <c r="I394" s="10" t="str">
        <f>IF(COUNTA(A394:D394,F394)=0,"",IF(NOT(ISNUMBER(A394)),"缺少有效净值日期",IF(OR(A394&lt;=0,A394&lt;&gt;INT(A394)),"净值日期无效",IF(OR(B394="转换转入",B394="现金分红"),"该类型需实际金额，五项录入不适用",IF(NOT(OR(OR(B394="买入",B394="定投"),B394="卖出",B394="红利再投")),"请选择交易类型",IF(NOT(ISNUMBER(C394)),"缺少成交净值",IF(C394&lt;=0,"成交净值须大于零",IF(NOT(ISNUMBER(D394)),"缺少确认份额",IF(D394&lt;=0,"确认份额须大于零",IF(NOT(ISNUMBER(F394)),"缺少手续费，无费用请填 0",IF(F394&lt;0,"手续费不能为负",IF(AA393="错误","前行待修正",IF(A394&lt;Z393,"日期需按成交顺序递增",IF(AND(B394="红利再投",F394&lt;&gt;0),"红利再投手续费应填 0",IF(AND(B394="红利再投",K393&lt;=0),"红利再投前须有持仓",IF(AND(B394="卖出",D394&gt;K393+0.000001),"卖出份额超过持仓",IF(AND(B394="卖出",F394&gt;=C394*D394),"赎回费不能达到赎回总额",IF(NOT(ISNUMBER(E394)),"自动金额未生成，请检查五项输入",IF(NOT(OR('持仓总览'!$C$7="利润优先",'持仓总览'!$C$7="本金优先")),"请选择卖出分配模式","已计入")))))))))))))))))))</f>
        <v/>
      </c>
      <c r="J394" s="11">
        <f t="shared" si="119">IF(AA394="正常",IF(I394="已计入",IF(OR(OR(B394="买入",B394="定投",B394="转换转入"),B394="红利再投"),D394,IF(B394="卖出",-D394,0)),0),"")</f>
        <v>0</v>
      </c>
      <c r="K394" s="11">
        <f t="shared" si="124">IF(AA394="正常",ROUND(K393+J394,6),"")</f>
        <v>25721.6</v>
      </c>
      <c r="L394" s="11" t="str">
        <f t="shared" si="125">IF(I394="已计入",ROUND(K393*C394,2),"")</f>
        <v/>
      </c>
      <c r="M394" s="11" t="str">
        <f t="shared" si="126">IF(I394="已计入",IF(B394="卖出",MAX(0,L394-Q393-F394),IF(B394="现金分红",MAX(0,L394+E394-Q393),0)),"")</f>
        <v/>
      </c>
      <c r="N394" s="11" t="str">
        <f>IF(I394="已计入",IF(AND(B394="卖出",'持仓总览'!$C$7="本金优先"),MAX(0,E394-Q393),IF(OR(B394="卖出",B394="现金分红"),MIN(E394,M394),0)),"")</f>
        <v/>
      </c>
      <c r="O394" s="11" t="str">
        <f t="shared" si="127">IF(I394="已计入",IF(OR(B394="卖出",B394="现金分红"),MIN(Q393,MAX(0,E394-N394)),0),"")</f>
        <v/>
      </c>
      <c r="P394" s="11" t="str">
        <f t="shared" si="128">IF(I394="已计入",IF(AND(B394="卖出",K394=0),MAX(0,Q393-O394),0),"")</f>
        <v/>
      </c>
      <c r="Q394" s="11">
        <f t="shared" si="129">IF(AA394="正常",IF(I394="已计入",ROUND(Q393+IF(OR(B394="买入",B394="定投",B394="转换转入"),E394,0)-O394-P394,2),Q393),"")</f>
        <v>129570</v>
      </c>
      <c r="R394" s="11" t="str">
        <f t="shared" si="120">IF(I394="已计入",ROUND(K394*C394,2),"")</f>
        <v/>
      </c>
      <c r="S394" s="11" t="str">
        <f t="shared" si="121">IF(I394="已计入",ROUND(R394-Q394,2),"")</f>
        <v/>
      </c>
      <c r="T394" s="12" t="str">
        <f t="shared" si="122">IF(I394="已计入",IF(Q394=0,"",S394/Q394),"")</f>
        <v/>
      </c>
      <c r="U394" s="11">
        <f t="shared" si="130">IF(AA394="正常",U393+IF(AND(I394="已计入",OR(B394="买入",B394="定投",B394="转换转入")),E394,0),"")</f>
        <v>129570</v>
      </c>
      <c r="V394" s="11">
        <f t="shared" si="131">IF(AA394="正常",V393+IF(AND(I394="已计入",OR(B394="卖出",B394="现金分红")),E394,0),"")</f>
        <v>0</v>
      </c>
      <c r="W394" s="11">
        <f t="shared" si="132">IF(AA394="正常",W393+IF(I394="已计入",N394,0),"")</f>
        <v>0</v>
      </c>
      <c r="X394" s="11">
        <f t="shared" si="133">IF(AA394="正常",X393+IF(I394="已计入",P394,0),"")</f>
        <v>0</v>
      </c>
      <c r="Y394" s="11" t="str">
        <f t="shared" si="123">IF(I394="已计入",ROUND(R394+V394-U394,2),"")</f>
        <v/>
      </c>
      <c r="Z394" s="13">
        <f t="shared" si="134">IF(AA394="正常",IF(I394="已计入",A394,Z393),"")</f>
        <v>46239</v>
      </c>
      <c r="AA394" s="10" t="str">
        <f>IF(OR($AA$134="错误",COUNTIF($G$135:G394,"待修正")&gt;0),"错误","正常")</f>
        <v>正常</v>
      </c>
      <c r="AB394" s="14">
        <f t="shared" si="135">IF(AA394="正常",IF(I394="已计入",C394,AB393),"")</f>
        <v>6.347</v>
      </c>
    </row>
    <row r="395" ht="23" customHeight="1">
      <c r="A395" s="36"/>
      <c r="B395" s="37"/>
      <c r="C395" s="38"/>
      <c r="D395" s="39"/>
      <c r="E395" s="44" t="str">
        <f t="shared" si="116">IF(AND(ISNUMBER(C395),ISNUMBER(D395),ISNUMBER(F395)),IF(OR(B395="买入",B395="定投"),ROUND(C395*D395+F395,2),IF(B395="卖出",ROUND(C395*D395-F395,2),IF(B395="红利再投",0,""))),"")</f>
        <v/>
      </c>
      <c r="F395" s="39"/>
      <c r="G395" s="45" t="str">
        <f t="shared" si="117">IF(COUNTA(A395:D395,F395)=0,"",IF(I395="已计入","已录入","待修正"))</f>
        <v/>
      </c>
      <c r="H395" s="46" t="str">
        <f t="shared" si="118">IF(COUNTA(A395:D395,F395)=0,"",IF(B395="红利再投","仅增加份额，不增加现金投入","金额由份额、净值和手续费推算"))</f>
        <v/>
      </c>
      <c r="I395" s="10" t="str">
        <f>IF(COUNTA(A395:D395,F395)=0,"",IF(NOT(ISNUMBER(A395)),"缺少有效净值日期",IF(OR(A395&lt;=0,A395&lt;&gt;INT(A395)),"净值日期无效",IF(OR(B395="转换转入",B395="现金分红"),"该类型需实际金额，五项录入不适用",IF(NOT(OR(OR(B395="买入",B395="定投"),B395="卖出",B395="红利再投")),"请选择交易类型",IF(NOT(ISNUMBER(C395)),"缺少成交净值",IF(C395&lt;=0,"成交净值须大于零",IF(NOT(ISNUMBER(D395)),"缺少确认份额",IF(D395&lt;=0,"确认份额须大于零",IF(NOT(ISNUMBER(F395)),"缺少手续费，无费用请填 0",IF(F395&lt;0,"手续费不能为负",IF(AA394="错误","前行待修正",IF(A395&lt;Z394,"日期需按成交顺序递增",IF(AND(B395="红利再投",F395&lt;&gt;0),"红利再投手续费应填 0",IF(AND(B395="红利再投",K394&lt;=0),"红利再投前须有��仓",IF(AND(B395="卖出",D395&gt;K394+0.000001),"卖出份额超过持仓",IF(AND(B395="卖出",F395&gt;=C395*D395),"赎回费不能达到赎回总额",IF(NOT(ISNUMBER(E395)),"自动金额未生成，请检查五项输入",IF(NOT(OR('持仓总览'!$C$7="利润优先",'持仓总览'!$C$7="本金优先")),"请选择卖出分配模式","已计入")))))))))))))))))))</f>
        <v/>
      </c>
      <c r="J395" s="11">
        <f t="shared" si="119">IF(AA395="正常",IF(I395="已计入",IF(OR(OR(B395="买入",B395="定投",B395="转换转入"),B395="红利再投"),D395,IF(B395="卖出",-D395,0)),0),"")</f>
        <v>0</v>
      </c>
      <c r="K395" s="11">
        <f t="shared" si="124">IF(AA395="正常",ROUND(K394+J395,6),"")</f>
        <v>25721.6</v>
      </c>
      <c r="L395" s="11" t="str">
        <f t="shared" si="125">IF(I395="已计入",ROUND(K394*C395,2),"")</f>
        <v/>
      </c>
      <c r="M395" s="11" t="str">
        <f t="shared" si="126">IF(I395="已计入",IF(B395="卖出",MAX(0,L395-Q394-F395),IF(B395="现金分红",MAX(0,L395+E395-Q394),0)),"")</f>
        <v/>
      </c>
      <c r="N395" s="11" t="str">
        <f>IF(I395="已计入",IF(AND(B395="卖出",'持仓总览'!$C$7="本金优先"),MAX(0,E395-Q394),IF(OR(B395="卖出",B395="现金分红"),MIN(E395,M395),0)),"")</f>
        <v/>
      </c>
      <c r="O395" s="11" t="str">
        <f t="shared" si="127">IF(I395="已计入",IF(OR(B395="卖出",B395="现金分红"),MIN(Q394,MAX(0,E395-N395)),0),"")</f>
        <v/>
      </c>
      <c r="P395" s="11" t="str">
        <f t="shared" si="128">IF(I395="已计入",IF(AND(B395="卖出",K395=0),MAX(0,Q394-O395),0),"")</f>
        <v/>
      </c>
      <c r="Q395" s="11">
        <f t="shared" si="129">IF(AA395="正常",IF(I395="已计入",ROUND(Q394+IF(OR(B395="买入",B395="定投",B395="转换转入"),E395,0)-O395-P395,2),Q394),"")</f>
        <v>129570</v>
      </c>
      <c r="R395" s="11" t="str">
        <f t="shared" si="120">IF(I395="已计入",ROUND(K395*C395,2),"")</f>
        <v/>
      </c>
      <c r="S395" s="11" t="str">
        <f t="shared" si="121">IF(I395="已计入",ROUND(R395-Q395,2),"")</f>
        <v/>
      </c>
      <c r="T395" s="12" t="str">
        <f t="shared" si="122">IF(I395="已计入",IF(Q395=0,"",S395/Q395),"")</f>
        <v/>
      </c>
      <c r="U395" s="11">
        <f t="shared" si="130">IF(AA395="正常",U394+IF(AND(I395="已计入",OR(B395="买入",B395="定投",B395="转换转入")),E395,0),"")</f>
        <v>129570</v>
      </c>
      <c r="V395" s="11">
        <f t="shared" si="131">IF(AA395="正常",V394+IF(AND(I395="已计入",OR(B395="卖出",B395="现金分红")),E395,0),"")</f>
        <v>0</v>
      </c>
      <c r="W395" s="11">
        <f t="shared" si="132">IF(AA395="正常",W394+IF(I395="已计入",N395,0),"")</f>
        <v>0</v>
      </c>
      <c r="X395" s="11">
        <f t="shared" si="133">IF(AA395="正常",X394+IF(I395="已计入",P395,0),"")</f>
        <v>0</v>
      </c>
      <c r="Y395" s="11" t="str">
        <f t="shared" si="123">IF(I395="已计入",ROUND(R395+V395-U395,2),"")</f>
        <v/>
      </c>
      <c r="Z395" s="13">
        <f t="shared" si="134">IF(AA395="正常",IF(I395="已计入",A395,Z394),"")</f>
        <v>46239</v>
      </c>
      <c r="AA395" s="10" t="str">
        <f>IF(OR($AA$134="错误",COUNTIF($G$135:G395,"待修正")&gt;0),"错误","正常")</f>
        <v>正常</v>
      </c>
      <c r="AB395" s="14">
        <f t="shared" si="135">IF(AA395="正常",IF(I395="已计入",C395,AB394),"")</f>
        <v>6.347</v>
      </c>
    </row>
    <row r="396" ht="23" customHeight="1">
      <c r="A396" s="36"/>
      <c r="B396" s="37"/>
      <c r="C396" s="38"/>
      <c r="D396" s="39"/>
      <c r="E396" s="44" t="str">
        <f t="shared" si="116">IF(AND(ISNUMBER(C396),ISNUMBER(D396),ISNUMBER(F396)),IF(OR(B396="买入",B396="定投"),ROUND(C396*D396+F396,2),IF(B396="卖出",ROUND(C396*D396-F396,2),IF(B396="红利再投",0,""))),"")</f>
        <v/>
      </c>
      <c r="F396" s="39"/>
      <c r="G396" s="45" t="str">
        <f t="shared" si="117">IF(COUNTA(A396:D396,F396)=0,"",IF(I396="已计入","已录入","待修正"))</f>
        <v/>
      </c>
      <c r="H396" s="46" t="str">
        <f t="shared" si="118">IF(COUNTA(A396:D396,F396)=0,"",IF(B396="红利再投","仅增加份额，不增加现金投入","金额由份额、净值和手续费推算"))</f>
        <v/>
      </c>
      <c r="I396" s="10" t="str">
        <f>IF(COUNTA(A396:D396,F396)=0,"",IF(NOT(ISNUMBER(A396)),"缺少有效净值日期",IF(OR(A396&lt;=0,A396&lt;&gt;INT(A396)),"净值日期无效",IF(OR(B396="转换转入",B396="现金分红"),"该类型需实际金额，五项录入不适用",IF(NOT(OR(OR(B396="买入",B396="定投"),B396="卖出",B396="红利再投")),"请选择交易类型",IF(NOT(ISNUMBER(C396)),"缺少成交净值",IF(C396&lt;=0,"成交净值须大于零",IF(NOT(ISNUMBER(D396)),"缺少确认份额",IF(D396&lt;=0,"确认份额须大于零",IF(NOT(ISNUMBER(F396)),"缺少手续费，无费用请填 0",IF(F396&lt;0,"手续费不能为负",IF(AA395="错误","前行待修正",IF(A396&lt;Z395,"日期需按成交顺序递增",IF(AND(B396="红利再投",F396&lt;&gt;0),"红利再投手续费应填 0",IF(AND(B396="红利再投",K395&lt;=0),"红利再投前须有持仓",IF(AND(B396="卖出",D396&gt;K395+0.000001),"卖出份额超过持仓",IF(AND(B396="卖出",F396&gt;=C396*D396),"赎回费不能达到赎回总额",IF(NOT(ISNUMBER(E396)),"自动金额未生成，请检查五项输入",IF(NOT(OR('持仓总览'!$C$7="利润优先",'持仓总览'!$C$7="本金优先")),"请选择卖出分配模式","已计入")))))))))))))))))))</f>
        <v/>
      </c>
      <c r="J396" s="11">
        <f t="shared" si="119">IF(AA396="正常",IF(I396="已计入",IF(OR(OR(B396="买入",B396="定投",B396="转换转入"),B396="红利再投"),D396,IF(B396="卖出",-D396,0)),0),"")</f>
        <v>0</v>
      </c>
      <c r="K396" s="11">
        <f t="shared" si="124">IF(AA396="正常",ROUND(K395+J396,6),"")</f>
        <v>25721.6</v>
      </c>
      <c r="L396" s="11" t="str">
        <f t="shared" si="125">IF(I396="已计入",ROUND(K395*C396,2),"")</f>
        <v/>
      </c>
      <c r="M396" s="11" t="str">
        <f t="shared" si="126">IF(I396="已计入",IF(B396="卖出",MAX(0,L396-Q395-F396),IF(B396="现金分红",MAX(0,L396+E396-Q395),0)),"")</f>
        <v/>
      </c>
      <c r="N396" s="11" t="str">
        <f>IF(I396="已计入",IF(AND(B396="卖出",'持仓总览'!$C$7="本金优先"),MAX(0,E396-Q395),IF(OR(B396="卖出",B396="现金分红"),MIN(E396,M396),0)),"")</f>
        <v/>
      </c>
      <c r="O396" s="11" t="str">
        <f t="shared" si="127">IF(I396="已计入",IF(OR(B396="卖出",B396="现金分红"),MIN(Q395,MAX(0,E396-N396)),0),"")</f>
        <v/>
      </c>
      <c r="P396" s="11" t="str">
        <f t="shared" si="128">IF(I396="已计入",IF(AND(B396="卖出",K396=0),MAX(0,Q395-O396),0),"")</f>
        <v/>
      </c>
      <c r="Q396" s="11">
        <f t="shared" si="129">IF(AA396="正常",IF(I396="已计入",ROUND(Q395+IF(OR(B396="买入",B396="定投",B396="转换转入"),E396,0)-O396-P396,2),Q395),"")</f>
        <v>129570</v>
      </c>
      <c r="R396" s="11" t="str">
        <f t="shared" si="120">IF(I396="已计入",ROUND(K396*C396,2),"")</f>
        <v/>
      </c>
      <c r="S396" s="11" t="str">
        <f t="shared" si="121">IF(I396="已计入",ROUND(R396-Q396,2),"")</f>
        <v/>
      </c>
      <c r="T396" s="12" t="str">
        <f t="shared" si="122">IF(I396="已计入",IF(Q396=0,"",S396/Q396),"")</f>
        <v/>
      </c>
      <c r="U396" s="11">
        <f t="shared" si="130">IF(AA396="正常",U395+IF(AND(I396="已计入",OR(B396="买入",B396="定投",B396="转换转入")),E396,0),"")</f>
        <v>129570</v>
      </c>
      <c r="V396" s="11">
        <f t="shared" si="131">IF(AA396="正常",V395+IF(AND(I396="已计入",OR(B396="卖出",B396="现金分红")),E396,0),"")</f>
        <v>0</v>
      </c>
      <c r="W396" s="11">
        <f t="shared" si="132">IF(AA396="正常",W395+IF(I396="已计入",N396,0),"")</f>
        <v>0</v>
      </c>
      <c r="X396" s="11">
        <f t="shared" si="133">IF(AA396="正常",X395+IF(I396="已计入",P396,0),"")</f>
        <v>0</v>
      </c>
      <c r="Y396" s="11" t="str">
        <f t="shared" si="123">IF(I396="已计入",ROUND(R396+V396-U396,2),"")</f>
        <v/>
      </c>
      <c r="Z396" s="13">
        <f t="shared" si="134">IF(AA396="正常",IF(I396="已计入",A396,Z395),"")</f>
        <v>46239</v>
      </c>
      <c r="AA396" s="10" t="str">
        <f>IF(OR($AA$134="错误",COUNTIF($G$135:G396,"待修正")&gt;0),"错误","正常")</f>
        <v>正常</v>
      </c>
      <c r="AB396" s="14">
        <f t="shared" si="135">IF(AA396="正常",IF(I396="已计入",C396,AB395),"")</f>
        <v>6.347</v>
      </c>
    </row>
    <row r="397" ht="23" customHeight="1">
      <c r="A397" s="36"/>
      <c r="B397" s="37"/>
      <c r="C397" s="38"/>
      <c r="D397" s="39"/>
      <c r="E397" s="44" t="str">
        <f t="shared" si="116">IF(AND(ISNUMBER(C397),ISNUMBER(D397),ISNUMBER(F397)),IF(OR(B397="买入",B397="定投"),ROUND(C397*D397+F397,2),IF(B397="卖出",ROUND(C397*D397-F397,2),IF(B397="红利再投",0,""))),"")</f>
        <v/>
      </c>
      <c r="F397" s="39"/>
      <c r="G397" s="45" t="str">
        <f t="shared" si="117">IF(COUNTA(A397:D397,F397)=0,"",IF(I397="已计入","已录入","待修正"))</f>
        <v/>
      </c>
      <c r="H397" s="46" t="str">
        <f t="shared" si="118">IF(COUNTA(A397:D397,F397)=0,"",IF(B397="红利再投","仅增加份额，不增加现金投入","金额由份额、净值和手续费推算"))</f>
        <v/>
      </c>
      <c r="I397" s="10" t="str">
        <f>IF(COUNTA(A397:D397,F397)=0,"",IF(NOT(ISNUMBER(A397)),"缺少有效净值日期",IF(OR(A397&lt;=0,A397&lt;&gt;INT(A397)),"净值日期无效",IF(OR(B397="转换转入",B397="现金分红"),"该类型需实际金额，五项录入不适用",IF(NOT(OR(OR(B397="买入",B397="定投"),B397="卖出",B397="红利再投")),"请选择交易类型",IF(NOT(ISNUMBER(C397)),"缺少成交净值",IF(C397&lt;=0,"成交净值须大于零",IF(NOT(ISNUMBER(D397)),"缺少确认份额",IF(D397&lt;=0,"确认份额须大于零",IF(NOT(ISNUMBER(F397)),"缺少手续费，无费用请填 0",IF(F397&lt;0,"手续费不能为负",IF(AA396="错误","前行待修正",IF(A397&lt;Z396,"日期需按成交顺序递增",IF(AND(B397="红利再投",F397&lt;&gt;0),"红利再投手续费应填 0",IF(AND(B397="红利再投",K396&lt;=0),"红利再投前须有持仓",IF(AND(B397="卖出",D397&gt;K396+0.000001),"卖出份额超过持仓",IF(AND(B397="卖出",F397&gt;=C397*D397),"赎回费不能达到赎回总额",IF(NOT(ISNUMBER(E397)),"自动金额未生成，请检查五项输入",IF(NOT(OR('持仓总览'!$C$7="利润优先",'持仓总览'!$C$7="本金优先")),"请选择卖出分配模式","已计入")))))))))))))))))))</f>
        <v/>
      </c>
      <c r="J397" s="11">
        <f t="shared" si="119">IF(AA397="正常",IF(I397="已计入",IF(OR(OR(B397="买入",B397="定投",B397="转换转入"),B397="红利再投"),D397,IF(B397="卖出",-D397,0)),0),"")</f>
        <v>0</v>
      </c>
      <c r="K397" s="11">
        <f t="shared" si="124">IF(AA397="正常",ROUND(K396+J397,6),"")</f>
        <v>25721.6</v>
      </c>
      <c r="L397" s="11" t="str">
        <f t="shared" si="125">IF(I397="已计入",ROUND(K396*C397,2),"")</f>
        <v/>
      </c>
      <c r="M397" s="11" t="str">
        <f t="shared" si="126">IF(I397="已计入",IF(B397="卖出",MAX(0,L397-Q396-F397),IF(B397="现金分红",MAX(0,L397+E397-Q396),0)),"")</f>
        <v/>
      </c>
      <c r="N397" s="11" t="str">
        <f>IF(I397="已计入",IF(AND(B397="卖出",'持仓总览'!$C$7="本金优先"),MAX(0,E397-Q396),IF(OR(B397="卖出",B397="现金分红"),MIN(E397,M397),0)),"")</f>
        <v/>
      </c>
      <c r="O397" s="11" t="str">
        <f t="shared" si="127">IF(I397="已计入",IF(OR(B397="卖出",B397="现金分红"),MIN(Q396,MAX(0,E397-N397)),0),"")</f>
        <v/>
      </c>
      <c r="P397" s="11" t="str">
        <f t="shared" si="128">IF(I397="已计入",IF(AND(B397="卖出",K397=0),MAX(0,Q396-O397),0),"")</f>
        <v/>
      </c>
      <c r="Q397" s="11">
        <f t="shared" si="129">IF(AA397="正常",IF(I397="已计入",ROUND(Q396+IF(OR(B397="买入",B397="定投",B397="转换转入"),E397,0)-O397-P397,2),Q396),"")</f>
        <v>129570</v>
      </c>
      <c r="R397" s="11" t="str">
        <f t="shared" si="120">IF(I397="已计入",ROUND(K397*C397,2),"")</f>
        <v/>
      </c>
      <c r="S397" s="11" t="str">
        <f t="shared" si="121">IF(I397="已计入",ROUND(R397-Q397,2),"")</f>
        <v/>
      </c>
      <c r="T397" s="12" t="str">
        <f t="shared" si="122">IF(I397="已计入",IF(Q397=0,"",S397/Q397),"")</f>
        <v/>
      </c>
      <c r="U397" s="11">
        <f t="shared" si="130">IF(AA397="正常",U396+IF(AND(I397="已计入",OR(B397="买入",B397="定投",B397="转换转入")),E397,0),"")</f>
        <v>129570</v>
      </c>
      <c r="V397" s="11">
        <f t="shared" si="131">IF(AA397="正常",V396+IF(AND(I397="已计入",OR(B397="卖出",B397="现金分红")),E397,0),"")</f>
        <v>0</v>
      </c>
      <c r="W397" s="11">
        <f t="shared" si="132">IF(AA397="正常",W396+IF(I397="已计入",N397,0),"")</f>
        <v>0</v>
      </c>
      <c r="X397" s="11">
        <f t="shared" si="133">IF(AA397="正常",X396+IF(I397="已计入",P397,0),"")</f>
        <v>0</v>
      </c>
      <c r="Y397" s="11" t="str">
        <f t="shared" si="123">IF(I397="已计入",ROUND(R397+V397-U397,2),"")</f>
        <v/>
      </c>
      <c r="Z397" s="13">
        <f t="shared" si="134">IF(AA397="正常",IF(I397="已计入",A397,Z396),"")</f>
        <v>46239</v>
      </c>
      <c r="AA397" s="10" t="str">
        <f>IF(OR($AA$134="错误",COUNTIF($G$135:G397,"待修正")&gt;0),"错误","正常")</f>
        <v>正常</v>
      </c>
      <c r="AB397" s="14">
        <f t="shared" si="135">IF(AA397="正常",IF(I397="已计入",C397,AB396),"")</f>
        <v>6.347</v>
      </c>
    </row>
    <row r="398" ht="23" customHeight="1">
      <c r="A398" s="36"/>
      <c r="B398" s="37"/>
      <c r="C398" s="38"/>
      <c r="D398" s="39"/>
      <c r="E398" s="44" t="str">
        <f t="shared" si="116">IF(AND(ISNUMBER(C398),ISNUMBER(D398),ISNUMBER(F398)),IF(OR(B398="买入",B398="定投"),ROUND(C398*D398+F398,2),IF(B398="卖出",ROUND(C398*D398-F398,2),IF(B398="红利再投",0,""))),"")</f>
        <v/>
      </c>
      <c r="F398" s="39"/>
      <c r="G398" s="45" t="str">
        <f t="shared" si="117">IF(COUNTA(A398:D398,F398)=0,"",IF(I398="已计入","已录入","待修正"))</f>
        <v/>
      </c>
      <c r="H398" s="46" t="str">
        <f t="shared" si="118">IF(COUNTA(A398:D398,F398)=0,"",IF(B398="红利再投","仅增加份额，不增加现金投入","金额由份额、净值和手续费推算"))</f>
        <v/>
      </c>
      <c r="I398" s="10" t="str">
        <f>IF(COUNTA(A398:D398,F398)=0,"",IF(NOT(ISNUMBER(A398)),"缺少有效净值日期",IF(OR(A398&lt;=0,A398&lt;&gt;INT(A398)),"净值日期无效",IF(OR(B398="转换转入",B398="现金分红"),"该类型需实际金额，五项录入不适用",IF(NOT(OR(OR(B398="买入",B398="定投"),B398="卖出",B398="红利再投")),"请选择交易类型",IF(NOT(ISNUMBER(C398)),"缺少成交净值",IF(C398&lt;=0,"成交净值须大于零",IF(NOT(ISNUMBER(D398)),"缺少确认份额",IF(D398&lt;=0,"确认份额须大于零",IF(NOT(ISNUMBER(F398)),"缺少手续费，无费用请填 0",IF(F398&lt;0,"手续费不能为负",IF(AA397="错误","前行待修正",IF(A398&lt;Z397,"日期需按成交顺序递增",IF(AND(B398="红利再投",F398&lt;&gt;0),"红利再投手续费应填 0",IF(AND(B398="红利再投",K397&lt;=0),"红利再投前须有持仓",IF(AND(B398="卖出",D398&gt;K397+0.000001),"卖出份额超过持仓",IF(AND(B398="卖出",F398&gt;=C398*D398),"赎回费不能达到赎回总额",IF(NOT(ISNUMBER(E398)),"自动金额未生成，请检查五项输入",IF(NOT(OR('持仓总览'!$C$7="利润优先",'持仓总览'!$C$7="本金优先")),"请选择卖出分配模式","已计入")))))))))))))))))))</f>
        <v/>
      </c>
      <c r="J398" s="11">
        <f t="shared" si="119">IF(AA398="正常",IF(I398="已计入",IF(OR(OR(B398="买入",B398="定投",B398="转换转入"),B398="红利再投"),D398,IF(B398="卖出",-D398,0)),0),"")</f>
        <v>0</v>
      </c>
      <c r="K398" s="11">
        <f t="shared" si="124">IF(AA398="正常",ROUND(K397+J398,6),"")</f>
        <v>25721.6</v>
      </c>
      <c r="L398" s="11" t="str">
        <f t="shared" si="125">IF(I398="已计入",ROUND(K397*C398,2),"")</f>
        <v/>
      </c>
      <c r="M398" s="11" t="str">
        <f t="shared" si="126">IF(I398="已计入",IF(B398="卖出",MAX(0,L398-Q397-F398),IF(B398="现金分红",MAX(0,L398+E398-Q397),0)),"")</f>
        <v/>
      </c>
      <c r="N398" s="11" t="str">
        <f>IF(I398="已计入",IF(AND(B398="卖出",'持仓总览'!$C$7="本金优先"),MAX(0,E398-Q397),IF(OR(B398="卖出",B398="现金分红"),MIN(E398,M398),0)),"")</f>
        <v/>
      </c>
      <c r="O398" s="11" t="str">
        <f t="shared" si="127">IF(I398="已计入",IF(OR(B398="卖出",B398="现金分红"),MIN(Q397,MAX(0,E398-N398)),0),"")</f>
        <v/>
      </c>
      <c r="P398" s="11" t="str">
        <f t="shared" si="128">IF(I398="已计入",IF(AND(B398="卖出",K398=0),MAX(0,Q397-O398),0),"")</f>
        <v/>
      </c>
      <c r="Q398" s="11">
        <f t="shared" si="129">IF(AA398="正常",IF(I398="已计入",ROUND(Q397+IF(OR(B398="买入",B398="定投",B398="转换转入"),E398,0)-O398-P398,2),Q397),"")</f>
        <v>129570</v>
      </c>
      <c r="R398" s="11" t="str">
        <f t="shared" si="120">IF(I398="已计入",ROUND(K398*C398,2),"")</f>
        <v/>
      </c>
      <c r="S398" s="11" t="str">
        <f t="shared" si="121">IF(I398="已计入",ROUND(R398-Q398,2),"")</f>
        <v/>
      </c>
      <c r="T398" s="12" t="str">
        <f t="shared" si="122">IF(I398="已计入",IF(Q398=0,"",S398/Q398),"")</f>
        <v/>
      </c>
      <c r="U398" s="11">
        <f t="shared" si="130">IF(AA398="正常",U397+IF(AND(I398="已计入",OR(B398="买入",B398="定投",B398="转换转入")),E398,0),"")</f>
        <v>129570</v>
      </c>
      <c r="V398" s="11">
        <f t="shared" si="131">IF(AA398="正常",V397+IF(AND(I398="已计入",OR(B398="卖出",B398="现金分红")),E398,0),"")</f>
        <v>0</v>
      </c>
      <c r="W398" s="11">
        <f t="shared" si="132">IF(AA398="正常",W397+IF(I398="已计入",N398,0),"")</f>
        <v>0</v>
      </c>
      <c r="X398" s="11">
        <f t="shared" si="133">IF(AA398="正常",X397+IF(I398="已计入",P398,0),"")</f>
        <v>0</v>
      </c>
      <c r="Y398" s="11" t="str">
        <f t="shared" si="123">IF(I398="已计入",ROUND(R398+V398-U398,2),"")</f>
        <v/>
      </c>
      <c r="Z398" s="13">
        <f t="shared" si="134">IF(AA398="正常",IF(I398="已计入",A398,Z397),"")</f>
        <v>46239</v>
      </c>
      <c r="AA398" s="10" t="str">
        <f>IF(OR($AA$134="错误",COUNTIF($G$135:G398,"待修正")&gt;0),"错误","正常")</f>
        <v>正常</v>
      </c>
      <c r="AB398" s="14">
        <f t="shared" si="135">IF(AA398="正常",IF(I398="已计入",C398,AB397),"")</f>
        <v>6.347</v>
      </c>
    </row>
    <row r="399" ht="23" customHeight="1">
      <c r="A399" s="36"/>
      <c r="B399" s="37"/>
      <c r="C399" s="38"/>
      <c r="D399" s="39"/>
      <c r="E399" s="44" t="str">
        <f t="shared" si="116">IF(AND(ISNUMBER(C399),ISNUMBER(D399),ISNUMBER(F399)),IF(OR(B399="买入",B399="定投"),ROUND(C399*D399+F399,2),IF(B399="卖出",ROUND(C399*D399-F399,2),IF(B399="红利再投",0,""))),"")</f>
        <v/>
      </c>
      <c r="F399" s="39"/>
      <c r="G399" s="45" t="str">
        <f t="shared" si="117">IF(COUNTA(A399:D399,F399)=0,"",IF(I399="已计入","已录入","待修正"))</f>
        <v/>
      </c>
      <c r="H399" s="46" t="str">
        <f t="shared" si="118">IF(COUNTA(A399:D399,F399)=0,"",IF(B399="红利再投","仅增加份额，不增加现金投入","金额由份额、净值和手续费推算"))</f>
        <v/>
      </c>
      <c r="I399" s="10" t="str">
        <f>IF(COUNTA(A399:D399,F399)=0,"",IF(NOT(ISNUMBER(A399)),"缺少有效净值日期",IF(OR(A399&lt;=0,A399&lt;&gt;INT(A399)),"净值日期无效",IF(OR(B399="转换转入",B399="现金分红"),"该类型需实际金额，五项录入不适用",IF(NOT(OR(OR(B399="买入",B399="定投"),B399="卖出",B399="红利再投")),"请选择交易类型",IF(NOT(ISNUMBER(C399)),"缺少成交净值",IF(C399&lt;=0,"成交净值须大于零",IF(NOT(ISNUMBER(D399)),"缺少确认份额",IF(D399&lt;=0,"确认份额须大于零",IF(NOT(ISNUMBER(F399)),"缺少手续费，无费用请填 0",IF(F399&lt;0,"手续费不能为负",IF(AA398="错误","前行待修正",IF(A399&lt;Z398,"日期需按成交顺序递增",IF(AND(B399="红利再投",F399&lt;&gt;0),"红利再投手续费应填 0",IF(AND(B399="红利再投",K398&lt;=0),"红利再投前须有持仓",IF(AND(B399="卖出",D399&gt;K398+0.000001),"卖出份额超过持仓",IF(AND(B399="卖出",F399&gt;=C399*D399),"赎回费不能达到赎回总额",IF(NOT(ISNUMBER(E399)),"自动金额未生成，请检查五项输入",IF(NOT(OR('持仓总览'!$C$7="利润优先",'持仓总览'!$C$7="本金优先")),"请选择卖出分配模式","已计入")))))))))))))))))))</f>
        <v/>
      </c>
      <c r="J399" s="11">
        <f t="shared" si="119">IF(AA399="正常",IF(I399="已计入",IF(OR(OR(B399="买入",B399="定投",B399="转换转入"),B399="红利再投"),D399,IF(B399="卖出",-D399,0)),0),"")</f>
        <v>0</v>
      </c>
      <c r="K399" s="11">
        <f t="shared" si="124">IF(AA399="正常",ROUND(K398+J399,6),"")</f>
        <v>25721.6</v>
      </c>
      <c r="L399" s="11" t="str">
        <f t="shared" si="125">IF(I399="已计入",ROUND(K398*C399,2),"")</f>
        <v/>
      </c>
      <c r="M399" s="11" t="str">
        <f t="shared" si="126">IF(I399="已计入",IF(B399="卖出",MAX(0,L399-Q398-F399),IF(B399="现金分红",MAX(0,L399+E399-Q398),0)),"")</f>
        <v/>
      </c>
      <c r="N399" s="11" t="str">
        <f>IF(I399="已计入",IF(AND(B399="卖出",'持仓总览'!$C$7="本金优先"),MAX(0,E399-Q398),IF(OR(B399="卖出",B399="现金分红"),MIN(E399,M399),0)),"")</f>
        <v/>
      </c>
      <c r="O399" s="11" t="str">
        <f t="shared" si="127">IF(I399="已计入",IF(OR(B399="卖出",B399="现金分红"),MIN(Q398,MAX(0,E399-N399)),0),"")</f>
        <v/>
      </c>
      <c r="P399" s="11" t="str">
        <f t="shared" si="128">IF(I399="已计入",IF(AND(B399="卖出",K399=0),MAX(0,Q398-O399),0),"")</f>
        <v/>
      </c>
      <c r="Q399" s="11">
        <f t="shared" si="129">IF(AA399="正常",IF(I399="已计入",ROUND(Q398+IF(OR(B399="买入",B399="定投",B399="转换转入"),E399,0)-O399-P399,2),Q398),"")</f>
        <v>129570</v>
      </c>
      <c r="R399" s="11" t="str">
        <f t="shared" si="120">IF(I399="已计入",ROUND(K399*C399,2),"")</f>
        <v/>
      </c>
      <c r="S399" s="11" t="str">
        <f t="shared" si="121">IF(I399="已计入",ROUND(R399-Q399,2),"")</f>
        <v/>
      </c>
      <c r="T399" s="12" t="str">
        <f t="shared" si="122">IF(I399="已计入",IF(Q399=0,"",S399/Q399),"")</f>
        <v/>
      </c>
      <c r="U399" s="11">
        <f t="shared" si="130">IF(AA399="正常",U398+IF(AND(I399="已计入",OR(B399="买入",B399="定投",B399="转换转入")),E399,0),"")</f>
        <v>129570</v>
      </c>
      <c r="V399" s="11">
        <f t="shared" si="131">IF(AA399="正常",V398+IF(AND(I399="已计入",OR(B399="卖出",B399="现金分红")),E399,0),"")</f>
        <v>0</v>
      </c>
      <c r="W399" s="11">
        <f t="shared" si="132">IF(AA399="正常",W398+IF(I399="已计入",N399,0),"")</f>
        <v>0</v>
      </c>
      <c r="X399" s="11">
        <f t="shared" si="133">IF(AA399="正常",X398+IF(I399="已计入",P399,0),"")</f>
        <v>0</v>
      </c>
      <c r="Y399" s="11" t="str">
        <f t="shared" si="123">IF(I399="已计入",ROUND(R399+V399-U399,2),"")</f>
        <v/>
      </c>
      <c r="Z399" s="13">
        <f t="shared" si="134">IF(AA399="正常",IF(I399="已计入",A399,Z398),"")</f>
        <v>46239</v>
      </c>
      <c r="AA399" s="10" t="str">
        <f>IF(OR($AA$134="错误",COUNTIF($G$135:G399,"待修正")&gt;0),"错误","正常")</f>
        <v>正常</v>
      </c>
      <c r="AB399" s="14">
        <f t="shared" si="135">IF(AA399="正常",IF(I399="已计入",C399,AB398),"")</f>
        <v>6.347</v>
      </c>
    </row>
    <row r="400" ht="23" customHeight="1">
      <c r="A400" s="36"/>
      <c r="B400" s="37"/>
      <c r="C400" s="38"/>
      <c r="D400" s="39"/>
      <c r="E400" s="44" t="str">
        <f t="shared" si="116">IF(AND(ISNUMBER(C400),ISNUMBER(D400),ISNUMBER(F400)),IF(OR(B400="买入",B400="定投"),ROUND(C400*D400+F400,2),IF(B400="卖出",ROUND(C400*D400-F400,2),IF(B400="红利再投",0,""))),"")</f>
        <v/>
      </c>
      <c r="F400" s="39"/>
      <c r="G400" s="45" t="str">
        <f t="shared" si="117">IF(COUNTA(A400:D400,F400)=0,"",IF(I400="已计入","已录入","待修正"))</f>
        <v/>
      </c>
      <c r="H400" s="46" t="str">
        <f t="shared" si="118">IF(COUNTA(A400:D400,F400)=0,"",IF(B400="红利再投","仅增加份额，不增加现金投入","金额由份额、净值和手续费推算"))</f>
        <v/>
      </c>
      <c r="I400" s="10" t="str">
        <f>IF(COUNTA(A400:D400,F400)=0,"",IF(NOT(ISNUMBER(A400)),"缺少有效净值日期",IF(OR(A400&lt;=0,A400&lt;&gt;INT(A400)),"净值日期无效",IF(OR(B400="转换转入",B400="现金分红"),"该类型需实际金额，五项录入不适用",IF(NOT(OR(OR(B400="买入",B400="定投"),B400="卖出",B400="红利再投")),"请选择交易类型",IF(NOT(ISNUMBER(C400)),"缺少成交净值",IF(C400&lt;=0,"成交净值须大于零",IF(NOT(ISNUMBER(D400)),"缺少确认份额",IF(D400&lt;=0,"确认份额须大于零",IF(NOT(ISNUMBER(F400)),"缺少手续费，无费用请填 0",IF(F400&lt;0,"手续费不能为负",IF(AA399="错误","前行待修正",IF(A400&lt;Z399,"日期需按成交顺序递增",IF(AND(B400="红利再投",F400&lt;&gt;0),"红利再投手续费应填 0",IF(AND(B400="红利再投",K399&lt;=0),"红利再投前须有持仓",IF(AND(B400="卖出",D400&gt;K399+0.000001),"卖出份额超过持仓",IF(AND(B400="卖出",F400&gt;=C400*D400),"赎回费不能达到赎回总额",IF(NOT(ISNUMBER(E400)),"自动金额未生成，请检查五项输入",IF(NOT(OR('持仓总览'!$C$7="利润优先",'持仓总览'!$C$7="本金优先")),"请选择卖出分配模式","已计入")))))))))))))))))))</f>
        <v/>
      </c>
      <c r="J400" s="11">
        <f t="shared" si="119">IF(AA400="正常",IF(I400="已计入",IF(OR(OR(B400="买入",B400="定投",B400="转换转入"),B400="红利再投"),D400,IF(B400="卖出",-D400,0)),0),"")</f>
        <v>0</v>
      </c>
      <c r="K400" s="11">
        <f t="shared" si="124">IF(AA400="正常",ROUND(K399+J400,6),"")</f>
        <v>25721.6</v>
      </c>
      <c r="L400" s="11" t="str">
        <f t="shared" si="125">IF(I400="已计入",ROUND(K399*C400,2),"")</f>
        <v/>
      </c>
      <c r="M400" s="11" t="str">
        <f t="shared" si="126">IF(I400="已计入",IF(B400="卖出",MAX(0,L400-Q399-F400),IF(B400="现金分红",MAX(0,L400+E400-Q399),0)),"")</f>
        <v/>
      </c>
      <c r="N400" s="11" t="str">
        <f>IF(I400="已计入",IF(AND(B400="卖出",'持仓总览'!$C$7="本金优先"),MAX(0,E400-Q399),IF(OR(B400="卖出",B400="现金分红"),MIN(E400,M400),0)),"")</f>
        <v/>
      </c>
      <c r="O400" s="11" t="str">
        <f t="shared" si="127">IF(I400="已计入",IF(OR(B400="卖出",B400="现金分红"),MIN(Q399,MAX(0,E400-N400)),0),"")</f>
        <v/>
      </c>
      <c r="P400" s="11" t="str">
        <f t="shared" si="128">IF(I400="已计入",IF(AND(B400="卖出",K400=0),MAX(0,Q399-O400),0),"")</f>
        <v/>
      </c>
      <c r="Q400" s="11">
        <f t="shared" si="129">IF(AA400="正常",IF(I400="已计入",ROUND(Q399+IF(OR(B400="买入",B400="定投",B400="转换转入"),E400,0)-O400-P400,2),Q399),"")</f>
        <v>129570</v>
      </c>
      <c r="R400" s="11" t="str">
        <f t="shared" si="120">IF(I400="已计入",ROUND(K400*C400,2),"")</f>
        <v/>
      </c>
      <c r="S400" s="11" t="str">
        <f t="shared" si="121">IF(I400="已计入",ROUND(R400-Q400,2),"")</f>
        <v/>
      </c>
      <c r="T400" s="12" t="str">
        <f t="shared" si="122">IF(I400="已计入",IF(Q400=0,"",S400/Q400),"")</f>
        <v/>
      </c>
      <c r="U400" s="11">
        <f t="shared" si="130">IF(AA400="正常",U399+IF(AND(I400="已计入",OR(B400="买入",B400="定投",B400="转换转入")),E400,0),"")</f>
        <v>129570</v>
      </c>
      <c r="V400" s="11">
        <f t="shared" si="131">IF(AA400="正常",V399+IF(AND(I400="已计入",OR(B400="卖出",B400="现金分红")),E400,0),"")</f>
        <v>0</v>
      </c>
      <c r="W400" s="11">
        <f t="shared" si="132">IF(AA400="正常",W399+IF(I400="已计入",N400,0),"")</f>
        <v>0</v>
      </c>
      <c r="X400" s="11">
        <f t="shared" si="133">IF(AA400="正常",X399+IF(I400="已计入",P400,0),"")</f>
        <v>0</v>
      </c>
      <c r="Y400" s="11" t="str">
        <f t="shared" si="123">IF(I400="已计入",ROUND(R400+V400-U400,2),"")</f>
        <v/>
      </c>
      <c r="Z400" s="13">
        <f t="shared" si="134">IF(AA400="正常",IF(I400="已计入",A400,Z399),"")</f>
        <v>46239</v>
      </c>
      <c r="AA400" s="10" t="str">
        <f>IF(OR($AA$134="错误",COUNTIF($G$135:G400,"待修正")&gt;0),"错误","正常")</f>
        <v>正常</v>
      </c>
      <c r="AB400" s="14">
        <f t="shared" si="135">IF(AA400="正常",IF(I400="已计入",C400,AB399),"")</f>
        <v>6.347</v>
      </c>
    </row>
    <row r="401" ht="23" customHeight="1">
      <c r="A401" s="36"/>
      <c r="B401" s="37"/>
      <c r="C401" s="38"/>
      <c r="D401" s="39"/>
      <c r="E401" s="44" t="str">
        <f t="shared" si="116">IF(AND(ISNUMBER(C401),ISNUMBER(D401),ISNUMBER(F401)),IF(OR(B401="买入",B401="定投"),ROUND(C401*D401+F401,2),IF(B401="卖出",ROUND(C401*D401-F401,2),IF(B401="红利再投",0,""))),"")</f>
        <v/>
      </c>
      <c r="F401" s="39"/>
      <c r="G401" s="45" t="str">
        <f t="shared" si="117">IF(COUNTA(A401:D401,F401)=0,"",IF(I401="已计入","已录入","待修正"))</f>
        <v/>
      </c>
      <c r="H401" s="46" t="str">
        <f t="shared" si="118">IF(COUNTA(A401:D401,F401)=0,"",IF(B401="红利再投","仅增加份额，不增加现金投入","金额由份额、净值和手续费推算"))</f>
        <v/>
      </c>
      <c r="I401" s="10" t="str">
        <f>IF(COUNTA(A401:D401,F401)=0,"",IF(NOT(ISNUMBER(A401)),"缺少有效净值日期",IF(OR(A401&lt;=0,A401&lt;&gt;INT(A401)),"净值日期无效",IF(OR(B401="转换转入",B401="现金分红"),"该类型需实际金额，五项录入不适用",IF(NOT(OR(OR(B401="买入",B401="定投"),B401="卖出",B401="红利再投")),"请选择交易类型",IF(NOT(ISNUMBER(C401)),"缺少成交净值",IF(C401&lt;=0,"成交净值须大于零",IF(NOT(ISNUMBER(D401)),"缺少确认份额",IF(D401&lt;=0,"确认份额须大于零",IF(NOT(ISNUMBER(F401)),"缺少手续费，无费用请填 0",IF(F401&lt;0,"手续费不能为负",IF(AA400="错误","前行待修正",IF(A401&lt;Z400,"日期需按成交顺序递增",IF(AND(B401="红利再投",F401&lt;&gt;0),"红利再投手续费应填 0",IF(AND(B401="红利再投",K400&lt;=0),"红利再投前须有持仓",IF(AND(B401="卖出",D401&gt;K400+0.000001),"卖出份额超过持仓",IF(AND(B401="卖出",F401&gt;=C401*D401),"赎回费不能达到赎回总额",IF(NOT(ISNUMBER(E401)),"自动金额未生成，请检查五项输入",IF(NOT(OR('持仓总览'!$C$7="利润优先",'持仓总览'!$C$7="本金优先")),"请选择卖出分配模式","已计入")))))))))))))))))))</f>
        <v/>
      </c>
      <c r="J401" s="11">
        <f t="shared" si="119">IF(AA401="正常",IF(I401="已计入",IF(OR(OR(B401="买入",B401="定投",B401="转换转入"),B401="红利再投"),D401,IF(B401="卖出",-D401,0)),0),"")</f>
        <v>0</v>
      </c>
      <c r="K401" s="11">
        <f t="shared" si="124">IF(AA401="正常",ROUND(K400+J401,6),"")</f>
        <v>25721.6</v>
      </c>
      <c r="L401" s="11" t="str">
        <f t="shared" si="125">IF(I401="已计入",ROUND(K400*C401,2),"")</f>
        <v/>
      </c>
      <c r="M401" s="11" t="str">
        <f t="shared" si="126">IF(I401="已计入",IF(B401="卖出",MAX(0,L401-Q400-F401),IF(B401="现金分红",MAX(0,L401+E401-Q400),0)),"")</f>
        <v/>
      </c>
      <c r="N401" s="11" t="str">
        <f>IF(I401="已计入",IF(AND(B401="卖出",'持仓总览'!$C$7="本金优先"),MAX(0,E401-Q400),IF(OR(B401="卖出",B401="现金分红"),MIN(E401,M401),0)),"")</f>
        <v/>
      </c>
      <c r="O401" s="11" t="str">
        <f t="shared" si="127">IF(I401="已计入",IF(OR(B401="卖出",B401="现金分红"),MIN(Q400,MAX(0,E401-N401)),0),"")</f>
        <v/>
      </c>
      <c r="P401" s="11" t="str">
        <f t="shared" si="128">IF(I401="已计入",IF(AND(B401="卖出",K401=0),MAX(0,Q400-O401),0),"")</f>
        <v/>
      </c>
      <c r="Q401" s="11">
        <f t="shared" si="129">IF(AA401="正常",IF(I401="已计入",ROUND(Q400+IF(OR(B401="买入",B401="定投",B401="转换转入"),E401,0)-O401-P401,2),Q400),"")</f>
        <v>129570</v>
      </c>
      <c r="R401" s="11" t="str">
        <f t="shared" si="120">IF(I401="已计入",ROUND(K401*C401,2),"")</f>
        <v/>
      </c>
      <c r="S401" s="11" t="str">
        <f t="shared" si="121">IF(I401="已计入",ROUND(R401-Q401,2),"")</f>
        <v/>
      </c>
      <c r="T401" s="12" t="str">
        <f t="shared" si="122">IF(I401="已计入",IF(Q401=0,"",S401/Q401),"")</f>
        <v/>
      </c>
      <c r="U401" s="11">
        <f t="shared" si="130">IF(AA401="正常",U400+IF(AND(I401="已计入",OR(B401="买入",B401="定投",B401="转换转入")),E401,0),"")</f>
        <v>129570</v>
      </c>
      <c r="V401" s="11">
        <f t="shared" si="131">IF(AA401="正常",V400+IF(AND(I401="已计入",OR(B401="卖出",B401="现金分红")),E401,0),"")</f>
        <v>0</v>
      </c>
      <c r="W401" s="11">
        <f t="shared" si="132">IF(AA401="正常",W400+IF(I401="已计入",N401,0),"")</f>
        <v>0</v>
      </c>
      <c r="X401" s="11">
        <f t="shared" si="133">IF(AA401="正常",X400+IF(I401="已计入",P401,0),"")</f>
        <v>0</v>
      </c>
      <c r="Y401" s="11" t="str">
        <f t="shared" si="123">IF(I401="已计入",ROUND(R401+V401-U401,2),"")</f>
        <v/>
      </c>
      <c r="Z401" s="13">
        <f t="shared" si="134">IF(AA401="正常",IF(I401="已计入",A401,Z400),"")</f>
        <v>46239</v>
      </c>
      <c r="AA401" s="10" t="str">
        <f>IF(OR($AA$134="错误",COUNTIF($G$135:G401,"待修正")&gt;0),"错误","正常")</f>
        <v>正常</v>
      </c>
      <c r="AB401" s="14">
        <f t="shared" si="135">IF(AA401="正常",IF(I401="已计入",C401,AB400),"")</f>
        <v>6.347</v>
      </c>
    </row>
    <row r="402" ht="23" customHeight="1">
      <c r="A402" s="36"/>
      <c r="B402" s="37"/>
      <c r="C402" s="38"/>
      <c r="D402" s="39"/>
      <c r="E402" s="44" t="str">
        <f t="shared" si="116">IF(AND(ISNUMBER(C402),ISNUMBER(D402),ISNUMBER(F402)),IF(OR(B402="买入",B402="定投"),ROUND(C402*D402+F402,2),IF(B402="卖出",ROUND(C402*D402-F402,2),IF(B402="红利再投",0,""))),"")</f>
        <v/>
      </c>
      <c r="F402" s="39"/>
      <c r="G402" s="45" t="str">
        <f t="shared" si="117">IF(COUNTA(A402:D402,F402)=0,"",IF(I402="已计入","已录入","待修正"))</f>
        <v/>
      </c>
      <c r="H402" s="46" t="str">
        <f t="shared" si="118">IF(COUNTA(A402:D402,F402)=0,"",IF(B402="红利再投","仅增加份额，不增加现金投入","金额由份额、净值和手续费推算"))</f>
        <v/>
      </c>
      <c r="I402" s="10" t="str">
        <f>IF(COUNTA(A402:D402,F402)=0,"",IF(NOT(ISNUMBER(A402)),"缺少有效净值日期",IF(OR(A402&lt;=0,A402&lt;&gt;INT(A402)),"净值日期无效",IF(OR(B402="转换转入",B402="现金分红"),"该类型需实际金额，五项录入不适用",IF(NOT(OR(OR(B402="买入",B402="定投"),B402="卖出",B402="红利再投")),"请选择交易类型",IF(NOT(ISNUMBER(C402)),"缺少成交净值",IF(C402&lt;=0,"成交净值须大于零",IF(NOT(ISNUMBER(D402)),"缺少确认份额",IF(D402&lt;=0,"确认份额须大于零",IF(NOT(ISNUMBER(F402)),"缺少手续费，无费用请填 0",IF(F402&lt;0,"手续费不能为负",IF(AA401="错误","前行待修正",IF(A402&lt;Z401,"日期需按成交顺序递增",IF(AND(B402="红利再投",F402&lt;&gt;0),"红利再投手续费应填 0",IF(AND(B402="红利再投",K401&lt;=0),"红利再投前须有持仓",IF(AND(B402="卖出",D402&gt;K401+0.000001),"卖出份额超过持仓",IF(AND(B402="卖出",F402&gt;=C402*D402),"赎回费不能达到赎回总额",IF(NOT(ISNUMBER(E402)),"自动金额未生成，请检查五项输入",IF(NOT(OR('持仓总览'!$C$7="利润优先",'持仓总览'!$C$7="本金优先")),"请选择卖出分配模式","已计入")))))))))))))))))))</f>
        <v/>
      </c>
      <c r="J402" s="11">
        <f t="shared" si="119">IF(AA402="正常",IF(I402="已计入",IF(OR(OR(B402="买入",B402="定投",B402="转换转入"),B402="红利再投"),D402,IF(B402="卖出",-D402,0)),0),"")</f>
        <v>0</v>
      </c>
      <c r="K402" s="11">
        <f t="shared" si="124">IF(AA402="正常",ROUND(K401+J402,6),"")</f>
        <v>25721.6</v>
      </c>
      <c r="L402" s="11" t="str">
        <f t="shared" si="125">IF(I402="已计入",ROUND(K401*C402,2),"")</f>
        <v/>
      </c>
      <c r="M402" s="11" t="str">
        <f t="shared" si="126">IF(I402="已计入",IF(B402="卖出",MAX(0,L402-Q401-F402),IF(B402="现金分红",MAX(0,L402+E402-Q401),0)),"")</f>
        <v/>
      </c>
      <c r="N402" s="11" t="str">
        <f>IF(I402="已计入",IF(AND(B402="卖出",'持仓总览'!$C$7="本金优先"),MAX(0,E402-Q401),IF(OR(B402="卖出",B402="现金分红"),MIN(E402,M402),0)),"")</f>
        <v/>
      </c>
      <c r="O402" s="11" t="str">
        <f t="shared" si="127">IF(I402="已计入",IF(OR(B402="卖出",B402="现金分红"),MIN(Q401,MAX(0,E402-N402)),0),"")</f>
        <v/>
      </c>
      <c r="P402" s="11" t="str">
        <f t="shared" si="128">IF(I402="已计入",IF(AND(B402="卖出",K402=0),MAX(0,Q401-O402),0),"")</f>
        <v/>
      </c>
      <c r="Q402" s="11">
        <f t="shared" si="129">IF(AA402="正常",IF(I402="已计入",ROUND(Q401+IF(OR(B402="买入",B402="定投",B402="转换转入"),E402,0)-O402-P402,2),Q401),"")</f>
        <v>129570</v>
      </c>
      <c r="R402" s="11" t="str">
        <f t="shared" si="120">IF(I402="已计入",ROUND(K402*C402,2),"")</f>
        <v/>
      </c>
      <c r="S402" s="11" t="str">
        <f t="shared" si="121">IF(I402="已计入",ROUND(R402-Q402,2),"")</f>
        <v/>
      </c>
      <c r="T402" s="12" t="str">
        <f t="shared" si="122">IF(I402="已计入",IF(Q402=0,"",S402/Q402),"")</f>
        <v/>
      </c>
      <c r="U402" s="11">
        <f t="shared" si="130">IF(AA402="正常",U401+IF(AND(I402="已计入",OR(B402="买入",B402="定投",B402="转换转入")),E402,0),"")</f>
        <v>129570</v>
      </c>
      <c r="V402" s="11">
        <f t="shared" si="131">IF(AA402="正常",V401+IF(AND(I402="已计入",OR(B402="卖出",B402="现金分红")),E402,0),"")</f>
        <v>0</v>
      </c>
      <c r="W402" s="11">
        <f t="shared" si="132">IF(AA402="正常",W401+IF(I402="已计入",N402,0),"")</f>
        <v>0</v>
      </c>
      <c r="X402" s="11">
        <f t="shared" si="133">IF(AA402="正常",X401+IF(I402="已计入",P402,0),"")</f>
        <v>0</v>
      </c>
      <c r="Y402" s="11" t="str">
        <f t="shared" si="123">IF(I402="已计入",ROUND(R402+V402-U402,2),"")</f>
        <v/>
      </c>
      <c r="Z402" s="13">
        <f t="shared" si="134">IF(AA402="正常",IF(I402="已计入",A402,Z401),"")</f>
        <v>46239</v>
      </c>
      <c r="AA402" s="10" t="str">
        <f>IF(OR($AA$134="错误",COUNTIF($G$135:G402,"待修正")&gt;0),"错误","正常")</f>
        <v>正常</v>
      </c>
      <c r="AB402" s="14">
        <f t="shared" si="135">IF(AA402="正常",IF(I402="已计入",C402,AB401),"")</f>
        <v>6.347</v>
      </c>
    </row>
    <row r="403" ht="23" customHeight="1">
      <c r="A403" s="36"/>
      <c r="B403" s="37"/>
      <c r="C403" s="38"/>
      <c r="D403" s="39"/>
      <c r="E403" s="44" t="str">
        <f t="shared" si="116">IF(AND(ISNUMBER(C403),ISNUMBER(D403),ISNUMBER(F403)),IF(OR(B403="买入",B403="定投"),ROUND(C403*D403+F403,2),IF(B403="卖出",ROUND(C403*D403-F403,2),IF(B403="红利再投",0,""))),"")</f>
        <v/>
      </c>
      <c r="F403" s="39"/>
      <c r="G403" s="45" t="str">
        <f t="shared" si="117">IF(COUNTA(A403:D403,F403)=0,"",IF(I403="已计入","已录入","待修正"))</f>
        <v/>
      </c>
      <c r="H403" s="46" t="str">
        <f t="shared" si="118">IF(COUNTA(A403:D403,F403)=0,"",IF(B403="红利再投","仅增加份额，不增加现金投入","金额由份额、净值和手续费推算"))</f>
        <v/>
      </c>
      <c r="I403" s="10" t="str">
        <f>IF(COUNTA(A403:D403,F403)=0,"",IF(NOT(ISNUMBER(A403)),"缺少有效净值日期",IF(OR(A403&lt;=0,A403&lt;&gt;INT(A403)),"净值日期无效",IF(OR(B403="转换转入",B403="现金分红"),"该类型需实际金额，五项录入不适用",IF(NOT(OR(OR(B403="买入",B403="定投"),B403="卖出",B403="红利再投")),"请选择交易类型",IF(NOT(ISNUMBER(C403)),"缺少成交净值",IF(C403&lt;=0,"成交净值须大于零",IF(NOT(ISNUMBER(D403)),"缺少确认份额",IF(D403&lt;=0,"确认份额须大于零",IF(NOT(ISNUMBER(F403)),"缺少手续费，无费用请填 0",IF(F403&lt;0,"手续费不能为负",IF(AA402="错误","前行待修正",IF(A403&lt;Z402,"日期需按成交顺序递增",IF(AND(B403="红利再投",F403&lt;&gt;0),"红利再投手续费应填 0",IF(AND(B403="红利再投",K402&lt;=0),"红利再投前须有持仓",IF(AND(B403="卖出",D403&gt;K402+0.000001),"卖出份额超过持仓",IF(AND(B403="卖出",F403&gt;=C403*D403),"赎回费不能达到赎回总额",IF(NOT(ISNUMBER(E403)),"自动金额未生成，请检查五项输入",IF(NOT(OR('持仓总览'!$C$7="利润优先",'持仓总览'!$C$7="本金优先")),"请选择卖出分配模式","已计入")))))))))))))))))))</f>
        <v/>
      </c>
      <c r="J403" s="11">
        <f t="shared" si="119">IF(AA403="正常",IF(I403="已计入",IF(OR(OR(B403="买入",B403="定投",B403="转换转入"),B403="红利再投"),D403,IF(B403="卖出",-D403,0)),0),"")</f>
        <v>0</v>
      </c>
      <c r="K403" s="11">
        <f t="shared" si="124">IF(AA403="正常",ROUND(K402+J403,6),"")</f>
        <v>25721.6</v>
      </c>
      <c r="L403" s="11" t="str">
        <f t="shared" si="125">IF(I403="已计入",ROUND(K402*C403,2),"")</f>
        <v/>
      </c>
      <c r="M403" s="11" t="str">
        <f t="shared" si="126">IF(I403="已计入",IF(B403="卖出",MAX(0,L403-Q402-F403),IF(B403="现金分红",MAX(0,L403+E403-Q402),0)),"")</f>
        <v/>
      </c>
      <c r="N403" s="11" t="str">
        <f>IF(I403="已计入",IF(AND(B403="卖出",'持仓总览'!$C$7="本金优先"),MAX(0,E403-Q402),IF(OR(B403="卖出",B403="现金分红"),MIN(E403,M403),0)),"")</f>
        <v/>
      </c>
      <c r="O403" s="11" t="str">
        <f t="shared" si="127">IF(I403="已计入",IF(OR(B403="卖出",B403="现金分红"),MIN(Q402,MAX(0,E403-N403)),0),"")</f>
        <v/>
      </c>
      <c r="P403" s="11" t="str">
        <f t="shared" si="128">IF(I403="已计入",IF(AND(B403="卖出",K403=0),MAX(0,Q402-O403),0),"")</f>
        <v/>
      </c>
      <c r="Q403" s="11">
        <f t="shared" si="129">IF(AA403="正常",IF(I403="已计入",ROUND(Q402+IF(OR(B403="买入",B403="定投",B403="转换转入"),E403,0)-O403-P403,2),Q402),"")</f>
        <v>129570</v>
      </c>
      <c r="R403" s="11" t="str">
        <f t="shared" si="120">IF(I403="已计入",ROUND(K403*C403,2),"")</f>
        <v/>
      </c>
      <c r="S403" s="11" t="str">
        <f t="shared" si="121">IF(I403="已计入",ROUND(R403-Q403,2),"")</f>
        <v/>
      </c>
      <c r="T403" s="12" t="str">
        <f t="shared" si="122">IF(I403="已计入",IF(Q403=0,"",S403/Q403),"")</f>
        <v/>
      </c>
      <c r="U403" s="11">
        <f t="shared" si="130">IF(AA403="正常",U402+IF(AND(I403="已计入",OR(B403="买入",B403="定投",B403="转换转入")),E403,0),"")</f>
        <v>129570</v>
      </c>
      <c r="V403" s="11">
        <f t="shared" si="131">IF(AA403="正常",V402+IF(AND(I403="已计入",OR(B403="卖出",B403="现金分红")),E403,0),"")</f>
        <v>0</v>
      </c>
      <c r="W403" s="11">
        <f t="shared" si="132">IF(AA403="正常",W402+IF(I403="已计入",N403,0),"")</f>
        <v>0</v>
      </c>
      <c r="X403" s="11">
        <f t="shared" si="133">IF(AA403="正常",X402+IF(I403="已计入",P403,0),"")</f>
        <v>0</v>
      </c>
      <c r="Y403" s="11" t="str">
        <f t="shared" si="123">IF(I403="已计入",ROUND(R403+V403-U403,2),"")</f>
        <v/>
      </c>
      <c r="Z403" s="13">
        <f t="shared" si="134">IF(AA403="正常",IF(I403="已计入",A403,Z402),"")</f>
        <v>46239</v>
      </c>
      <c r="AA403" s="10" t="str">
        <f>IF(OR($AA$134="错误",COUNTIF($G$135:G403,"待修正")&gt;0),"错误","正常")</f>
        <v>正常</v>
      </c>
      <c r="AB403" s="14">
        <f t="shared" si="135">IF(AA403="正常",IF(I403="已计入",C403,AB402),"")</f>
        <v>6.347</v>
      </c>
    </row>
    <row r="404" ht="23" customHeight="1">
      <c r="A404" s="36"/>
      <c r="B404" s="37"/>
      <c r="C404" s="38"/>
      <c r="D404" s="39"/>
      <c r="E404" s="44" t="str">
        <f t="shared" si="116">IF(AND(ISNUMBER(C404),ISNUMBER(D404),ISNUMBER(F404)),IF(OR(B404="买入",B404="定投"),ROUND(C404*D404+F404,2),IF(B404="卖出",ROUND(C404*D404-F404,2),IF(B404="红利再投",0,""))),"")</f>
        <v/>
      </c>
      <c r="F404" s="39"/>
      <c r="G404" s="45" t="str">
        <f t="shared" si="117">IF(COUNTA(A404:D404,F404)=0,"",IF(I404="已计入","已录入","待修正"))</f>
        <v/>
      </c>
      <c r="H404" s="46" t="str">
        <f t="shared" si="118">IF(COUNTA(A404:D404,F404)=0,"",IF(B404="红利再投","仅增加份额，不增加现金投入","金额由份额、净值和手续费推算"))</f>
        <v/>
      </c>
      <c r="I404" s="10" t="str">
        <f>IF(COUNTA(A404:D404,F404)=0,"",IF(NOT(ISNUMBER(A404)),"缺少有效净值日期",IF(OR(A404&lt;=0,A404&lt;&gt;INT(A404)),"净值日期无效",IF(OR(B404="转换转入",B404="现金分红"),"该类型需实际金额，五项录入不适用",IF(NOT(OR(OR(B404="买入",B404="定投"),B404="卖出",B404="红利再投")),"请选择交易类型",IF(NOT(ISNUMBER(C404)),"缺少成交净值",IF(C404&lt;=0,"成交净值须大于零",IF(NOT(ISNUMBER(D404)),"缺少确认份额",IF(D404&lt;=0,"确认份额须大于零",IF(NOT(ISNUMBER(F404)),"缺少手续费，无费用请填 0",IF(F404&lt;0,"手续费不能为负",IF(AA403="错误","前行待修正",IF(A404&lt;Z403,"日期需按成交顺序递增",IF(AND(B404="红利再投",F404&lt;&gt;0),"红利再投手续费应填 0",IF(AND(B404="红利再投",K403&lt;=0),"红利再投前须有持仓",IF(AND(B404="卖出",D404&gt;K403+0.000001),"卖出份额超过持仓",IF(AND(B404="卖出",F404&gt;=C404*D404),"赎回费不能达到赎回总额",IF(NOT(ISNUMBER(E404)),"自动金额未生成，请检查五项输入",IF(NOT(OR('持仓总览'!$C$7="利润优先",'持仓总览'!$C$7="本金优先")),"请选择卖出分配模式","已计入")))))))))))))))))))</f>
        <v/>
      </c>
      <c r="J404" s="11">
        <f t="shared" si="119">IF(AA404="正常",IF(I404="已计入",IF(OR(OR(B404="买入",B404="定投",B404="转换转入"),B404="红利再投"),D404,IF(B404="卖出",-D404,0)),0),"")</f>
        <v>0</v>
      </c>
      <c r="K404" s="11">
        <f t="shared" si="124">IF(AA404="正常",ROUND(K403+J404,6),"")</f>
        <v>25721.6</v>
      </c>
      <c r="L404" s="11" t="str">
        <f t="shared" si="125">IF(I404="已计入",ROUND(K403*C404,2),"")</f>
        <v/>
      </c>
      <c r="M404" s="11" t="str">
        <f t="shared" si="126">IF(I404="已计入",IF(B404="卖出",MAX(0,L404-Q403-F404),IF(B404="现金分红",MAX(0,L404+E404-Q403),0)),"")</f>
        <v/>
      </c>
      <c r="N404" s="11" t="str">
        <f>IF(I404="已计入",IF(AND(B404="卖出",'持仓总览'!$C$7="本金优先"),MAX(0,E404-Q403),IF(OR(B404="卖出",B404="现金分红"),MIN(E404,M404),0)),"")</f>
        <v/>
      </c>
      <c r="O404" s="11" t="str">
        <f t="shared" si="127">IF(I404="已计入",IF(OR(B404="卖出",B404="现金分红"),MIN(Q403,MAX(0,E404-N404)),0),"")</f>
        <v/>
      </c>
      <c r="P404" s="11" t="str">
        <f t="shared" si="128">IF(I404="已计入",IF(AND(B404="卖出",K404=0),MAX(0,Q403-O404),0),"")</f>
        <v/>
      </c>
      <c r="Q404" s="11">
        <f t="shared" si="129">IF(AA404="正常",IF(I404="已计入",ROUND(Q403+IF(OR(B404="买入",B404="定投",B404="转换转入"),E404,0)-O404-P404,2),Q403),"")</f>
        <v>129570</v>
      </c>
      <c r="R404" s="11" t="str">
        <f t="shared" si="120">IF(I404="已计入",ROUND(K404*C404,2),"")</f>
        <v/>
      </c>
      <c r="S404" s="11" t="str">
        <f t="shared" si="121">IF(I404="已计入",ROUND(R404-Q404,2),"")</f>
        <v/>
      </c>
      <c r="T404" s="12" t="str">
        <f t="shared" si="122">IF(I404="已计入",IF(Q404=0,"",S404/Q404),"")</f>
        <v/>
      </c>
      <c r="U404" s="11">
        <f t="shared" si="130">IF(AA404="正常",U403+IF(AND(I404="已计入",OR(B404="买入",B404="定投",B404="转换转入")),E404,0),"")</f>
        <v>129570</v>
      </c>
      <c r="V404" s="11">
        <f t="shared" si="131">IF(AA404="正常",V403+IF(AND(I404="已计入",OR(B404="卖出",B404="现金分红")),E404,0),"")</f>
        <v>0</v>
      </c>
      <c r="W404" s="11">
        <f t="shared" si="132">IF(AA404="正常",W403+IF(I404="已计入",N404,0),"")</f>
        <v>0</v>
      </c>
      <c r="X404" s="11">
        <f t="shared" si="133">IF(AA404="正常",X403+IF(I404="已计入",P404,0),"")</f>
        <v>0</v>
      </c>
      <c r="Y404" s="11" t="str">
        <f t="shared" si="123">IF(I404="已计入",ROUND(R404+V404-U404,2),"")</f>
        <v/>
      </c>
      <c r="Z404" s="13">
        <f t="shared" si="134">IF(AA404="正常",IF(I404="已计入",A404,Z403),"")</f>
        <v>46239</v>
      </c>
      <c r="AA404" s="10" t="str">
        <f>IF(OR($AA$134="错误",COUNTIF($G$135:G404,"待修正")&gt;0),"错误","正常")</f>
        <v>正常</v>
      </c>
      <c r="AB404" s="14">
        <f t="shared" si="135">IF(AA404="正常",IF(I404="已计入",C404,AB403),"")</f>
        <v>6.347</v>
      </c>
    </row>
    <row r="405" ht="23" customHeight="1">
      <c r="A405" s="36"/>
      <c r="B405" s="37"/>
      <c r="C405" s="38"/>
      <c r="D405" s="39"/>
      <c r="E405" s="44" t="str">
        <f t="shared" si="116">IF(AND(ISNUMBER(C405),ISNUMBER(D405),ISNUMBER(F405)),IF(OR(B405="买入",B405="定投"),ROUND(C405*D405+F405,2),IF(B405="卖出",ROUND(C405*D405-F405,2),IF(B405="红利再投",0,""))),"")</f>
        <v/>
      </c>
      <c r="F405" s="39"/>
      <c r="G405" s="45" t="str">
        <f t="shared" si="117">IF(COUNTA(A405:D405,F405)=0,"",IF(I405="已计入","已录入","待修正"))</f>
        <v/>
      </c>
      <c r="H405" s="46" t="str">
        <f t="shared" si="118">IF(COUNTA(A405:D405,F405)=0,"",IF(B405="红利再投","仅增加份额，不增加现金投入","金额由份额、净值和手续费推算"))</f>
        <v/>
      </c>
      <c r="I405" s="10" t="str">
        <f>IF(COUNTA(A405:D405,F405)=0,"",IF(NOT(ISNUMBER(A405)),"缺少有效净值日期",IF(OR(A405&lt;=0,A405&lt;&gt;INT(A405)),"净值日期无效",IF(OR(B405="转换转入",B405="现金分红"),"该类型需实际金额，五项录入不适用",IF(NOT(OR(OR(B405="买入",B405="定投"),B405="卖出",B405="红利再投")),"请选择交易类型",IF(NOT(ISNUMBER(C405)),"缺少成交净值",IF(C405&lt;=0,"成交净值须大于零",IF(NOT(ISNUMBER(D405)),"缺少确认份额",IF(D405&lt;=0,"确认份额须大于零",IF(NOT(ISNUMBER(F405)),"缺少手续费，无费用请填 0",IF(F405&lt;0,"手续费不能为负",IF(AA404="错误","前行待修正",IF(A405&lt;Z404,"日期需按成交顺序递增",IF(AND(B405="红利再投",F405&lt;&gt;0),"红利再投手续费应填 0",IF(AND(B405="红利再投",K404&lt;=0),"红利再投前须有持仓",IF(AND(B405="卖出",D405&gt;K404+0.000001),"卖出份额超过持仓",IF(AND(B405="卖出",F405&gt;=C405*D405),"赎回费不能达到赎回总额",IF(NOT(ISNUMBER(E405)),"自动金额未生成，请检查五项输入",IF(NOT(OR('持仓总览'!$C$7="利润优先",'持仓总览'!$C$7="本金优先")),"请选择卖出分配模式","已计入")))))))))))))))))))</f>
        <v/>
      </c>
      <c r="J405" s="11">
        <f t="shared" si="119">IF(AA405="正常",IF(I405="已计入",IF(OR(OR(B405="买入",B405="定投",B405="转换转入"),B405="红利再投"),D405,IF(B405="卖出",-D405,0)),0),"")</f>
        <v>0</v>
      </c>
      <c r="K405" s="11">
        <f t="shared" si="124">IF(AA405="正常",ROUND(K404+J405,6),"")</f>
        <v>25721.6</v>
      </c>
      <c r="L405" s="11" t="str">
        <f t="shared" si="125">IF(I405="已计入",ROUND(K404*C405,2),"")</f>
        <v/>
      </c>
      <c r="M405" s="11" t="str">
        <f t="shared" si="126">IF(I405="已计入",IF(B405="卖出",MAX(0,L405-Q404-F405),IF(B405="现金分红",MAX(0,L405+E405-Q404),0)),"")</f>
        <v/>
      </c>
      <c r="N405" s="11" t="str">
        <f>IF(I405="已计入",IF(AND(B405="卖出",'持仓总览'!$C$7="本金优先"),MAX(0,E405-Q404),IF(OR(B405="卖出",B405="现金分红"),MIN(E405,M405),0)),"")</f>
        <v/>
      </c>
      <c r="O405" s="11" t="str">
        <f t="shared" si="127">IF(I405="已计入",IF(OR(B405="卖出",B405="现金分红"),MIN(Q404,MAX(0,E405-N405)),0),"")</f>
        <v/>
      </c>
      <c r="P405" s="11" t="str">
        <f t="shared" si="128">IF(I405="已计入",IF(AND(B405="卖出",K405=0),MAX(0,Q404-O405),0),"")</f>
        <v/>
      </c>
      <c r="Q405" s="11">
        <f t="shared" si="129">IF(AA405="正常",IF(I405="已计入",ROUND(Q404+IF(OR(B405="买入",B405="定投",B405="转换转入"),E405,0)-O405-P405,2),Q404),"")</f>
        <v>129570</v>
      </c>
      <c r="R405" s="11" t="str">
        <f t="shared" si="120">IF(I405="已计入",ROUND(K405*C405,2),"")</f>
        <v/>
      </c>
      <c r="S405" s="11" t="str">
        <f t="shared" si="121">IF(I405="已计入",ROUND(R405-Q405,2),"")</f>
        <v/>
      </c>
      <c r="T405" s="12" t="str">
        <f t="shared" si="122">IF(I405="已计入",IF(Q405=0,"",S405/Q405),"")</f>
        <v/>
      </c>
      <c r="U405" s="11">
        <f t="shared" si="130">IF(AA405="正常",U404+IF(AND(I405="已计入",OR(B405="买入",B405="定投",B405="转换转入")),E405,0),"")</f>
        <v>129570</v>
      </c>
      <c r="V405" s="11">
        <f t="shared" si="131">IF(AA405="正常",V404+IF(AND(I405="已计入",OR(B405="卖出",B405="现金分红")),E405,0),"")</f>
        <v>0</v>
      </c>
      <c r="W405" s="11">
        <f t="shared" si="132">IF(AA405="正常",W404+IF(I405="已计入",N405,0),"")</f>
        <v>0</v>
      </c>
      <c r="X405" s="11">
        <f t="shared" si="133">IF(AA405="正常",X404+IF(I405="已计入",P405,0),"")</f>
        <v>0</v>
      </c>
      <c r="Y405" s="11" t="str">
        <f t="shared" si="123">IF(I405="已计入",ROUND(R405+V405-U405,2),"")</f>
        <v/>
      </c>
      <c r="Z405" s="13">
        <f t="shared" si="134">IF(AA405="正常",IF(I405="已计入",A405,Z404),"")</f>
        <v>46239</v>
      </c>
      <c r="AA405" s="10" t="str">
        <f>IF(OR($AA$134="错误",COUNTIF($G$135:G405,"待修正")&gt;0),"错误","正常")</f>
        <v>正常</v>
      </c>
      <c r="AB405" s="14">
        <f t="shared" si="135">IF(AA405="正常",IF(I405="已计入",C405,AB404),"")</f>
        <v>6.347</v>
      </c>
    </row>
    <row r="406" ht="23" customHeight="1">
      <c r="A406" s="36"/>
      <c r="B406" s="37"/>
      <c r="C406" s="38"/>
      <c r="D406" s="39"/>
      <c r="E406" s="44" t="str">
        <f t="shared" si="116">IF(AND(ISNUMBER(C406),ISNUMBER(D406),ISNUMBER(F406)),IF(OR(B406="买入",B406="定投"),ROUND(C406*D406+F406,2),IF(B406="卖出",ROUND(C406*D406-F406,2),IF(B406="红利再投",0,""))),"")</f>
        <v/>
      </c>
      <c r="F406" s="39"/>
      <c r="G406" s="45" t="str">
        <f t="shared" si="117">IF(COUNTA(A406:D406,F406)=0,"",IF(I406="已计入","已录入","待修正"))</f>
        <v/>
      </c>
      <c r="H406" s="46" t="str">
        <f t="shared" si="118">IF(COUNTA(A406:D406,F406)=0,"",IF(B406="红利再投","仅增加份额，不增加现金投入","金额由份额、净值和手续费推算"))</f>
        <v/>
      </c>
      <c r="I406" s="10" t="str">
        <f>IF(COUNTA(A406:D406,F406)=0,"",IF(NOT(ISNUMBER(A406)),"缺少有效净值日期",IF(OR(A406&lt;=0,A406&lt;&gt;INT(A406)),"净值日期无效",IF(OR(B406="转换转入",B406="现金分红"),"该类型需实际金额，五项录入不适用",IF(NOT(OR(OR(B406="买入",B406="定投"),B406="卖出",B406="红利再投")),"请选择交易类型",IF(NOT(ISNUMBER(C406)),"缺少成交净值",IF(C406&lt;=0,"成交净值须大于零",IF(NOT(ISNUMBER(D406)),"缺少确认份额",IF(D406&lt;=0,"确认份额须大于零",IF(NOT(ISNUMBER(F406)),"缺少手续费，无费用请填 0",IF(F406&lt;0,"手续费不能为负",IF(AA405="错误","前行待修正",IF(A406&lt;Z405,"日期需按成交顺序递增",IF(AND(B406="红利再投",F406&lt;&gt;0),"红利再投手续费应填 0",IF(AND(B406="红利再投",K405&lt;=0),"红利再投前须有持仓",IF(AND(B406="卖出",D406&gt;K405+0.000001),"卖出份额超过持仓",IF(AND(B406="卖出",F406&gt;=C406*D406),"赎回费不能达到赎回总额",IF(NOT(ISNUMBER(E406)),"自动金额未生成，请检查五项输入",IF(NOT(OR('持仓总览'!$C$7="利润优先",'持仓总览'!$C$7="本金优先")),"请选择卖出分配模式","已计入")))))))))))))))))))</f>
        <v/>
      </c>
      <c r="J406" s="11">
        <f t="shared" si="119">IF(AA406="正常",IF(I406="已计入",IF(OR(OR(B406="买入",B406="定投",B406="转换转入"),B406="红利再投"),D406,IF(B406="卖出",-D406,0)),0),"")</f>
        <v>0</v>
      </c>
      <c r="K406" s="11">
        <f t="shared" si="124">IF(AA406="正常",ROUND(K405+J406,6),"")</f>
        <v>25721.6</v>
      </c>
      <c r="L406" s="11" t="str">
        <f t="shared" si="125">IF(I406="已计入",ROUND(K405*C406,2),"")</f>
        <v/>
      </c>
      <c r="M406" s="11" t="str">
        <f t="shared" si="126">IF(I406="已计入",IF(B406="卖出",MAX(0,L406-Q405-F406),IF(B406="现金分红",MAX(0,L406+E406-Q405),0)),"")</f>
        <v/>
      </c>
      <c r="N406" s="11" t="str">
        <f>IF(I406="已计入",IF(AND(B406="卖出",'持仓总览'!$C$7="本金优先"),MAX(0,E406-Q405),IF(OR(B406="卖出",B406="现金分红"),MIN(E406,M406),0)),"")</f>
        <v/>
      </c>
      <c r="O406" s="11" t="str">
        <f t="shared" si="127">IF(I406="已计入",IF(OR(B406="卖出",B406="现金分红"),MIN(Q405,MAX(0,E406-N406)),0),"")</f>
        <v/>
      </c>
      <c r="P406" s="11" t="str">
        <f t="shared" si="128">IF(I406="已计入",IF(AND(B406="卖出",K406=0),MAX(0,Q405-O406),0),"")</f>
        <v/>
      </c>
      <c r="Q406" s="11">
        <f t="shared" si="129">IF(AA406="正常",IF(I406="已计入",ROUND(Q405+IF(OR(B406="买入",B406="定投",B406="转换转入"),E406,0)-O406-P406,2),Q405),"")</f>
        <v>129570</v>
      </c>
      <c r="R406" s="11" t="str">
        <f t="shared" si="120">IF(I406="已计入",ROUND(K406*C406,2),"")</f>
        <v/>
      </c>
      <c r="S406" s="11" t="str">
        <f t="shared" si="121">IF(I406="已计入",ROUND(R406-Q406,2),"")</f>
        <v/>
      </c>
      <c r="T406" s="12" t="str">
        <f t="shared" si="122">IF(I406="已计入",IF(Q406=0,"",S406/Q406),"")</f>
        <v/>
      </c>
      <c r="U406" s="11">
        <f t="shared" si="130">IF(AA406="正常",U405+IF(AND(I406="已计入",OR(B406="买入",B406="定投",B406="转换转入")),E406,0),"")</f>
        <v>129570</v>
      </c>
      <c r="V406" s="11">
        <f t="shared" si="131">IF(AA406="正常",V405+IF(AND(I406="已计入",OR(B406="卖出",B406="现金分红")),E406,0),"")</f>
        <v>0</v>
      </c>
      <c r="W406" s="11">
        <f t="shared" si="132">IF(AA406="正常",W405+IF(I406="已计入",N406,0),"")</f>
        <v>0</v>
      </c>
      <c r="X406" s="11">
        <f t="shared" si="133">IF(AA406="正常",X405+IF(I406="已计入",P406,0),"")</f>
        <v>0</v>
      </c>
      <c r="Y406" s="11" t="str">
        <f t="shared" si="123">IF(I406="已计入",ROUND(R406+V406-U406,2),"")</f>
        <v/>
      </c>
      <c r="Z406" s="13">
        <f t="shared" si="134">IF(AA406="正常",IF(I406="已计入",A406,Z405),"")</f>
        <v>46239</v>
      </c>
      <c r="AA406" s="10" t="str">
        <f>IF(OR($AA$134="错误",COUNTIF($G$135:G406,"待修正")&gt;0),"错误","正常")</f>
        <v>正常</v>
      </c>
      <c r="AB406" s="14">
        <f t="shared" si="135">IF(AA406="正常",IF(I406="已计入",C406,AB405),"")</f>
        <v>6.347</v>
      </c>
    </row>
    <row r="407" ht="23" customHeight="1">
      <c r="A407" s="36"/>
      <c r="B407" s="37"/>
      <c r="C407" s="38"/>
      <c r="D407" s="39"/>
      <c r="E407" s="44" t="str">
        <f t="shared" si="116">IF(AND(ISNUMBER(C407),ISNUMBER(D407),ISNUMBER(F407)),IF(OR(B407="买入",B407="定投"),ROUND(C407*D407+F407,2),IF(B407="卖出",ROUND(C407*D407-F407,2),IF(B407="红利再投",0,""))),"")</f>
        <v/>
      </c>
      <c r="F407" s="39"/>
      <c r="G407" s="45" t="str">
        <f t="shared" si="117">IF(COUNTA(A407:D407,F407)=0,"",IF(I407="已计入","已录入","待修正"))</f>
        <v/>
      </c>
      <c r="H407" s="46" t="str">
        <f t="shared" si="118">IF(COUNTA(A407:D407,F407)=0,"",IF(B407="红利再投","仅增加份额，不增加现金投入","金额由份额、净值和手续费推算"))</f>
        <v/>
      </c>
      <c r="I407" s="10" t="str">
        <f>IF(COUNTA(A407:D407,F407)=0,"",IF(NOT(ISNUMBER(A407)),"缺少有效净值日期",IF(OR(A407&lt;=0,A407&lt;&gt;INT(A407)),"净值日期无效",IF(OR(B407="转换转入",B407="现金分红"),"该类型需实际金额，五项录入不适用",IF(NOT(OR(OR(B407="买入",B407="定投"),B407="卖出",B407="红利再投")),"请选择交易类型",IF(NOT(ISNUMBER(C407)),"缺少成交净值",IF(C407&lt;=0,"成交净值须大于零",IF(NOT(ISNUMBER(D407)),"缺少确认份额",IF(D407&lt;=0,"确认份额须大于零",IF(NOT(ISNUMBER(F407)),"缺少手续费，无费用请填 0",IF(F407&lt;0,"手续费不能为负",IF(AA406="错误","前行待修正",IF(A407&lt;Z406,"日期需按成交顺序递增",IF(AND(B407="红利再投",F407&lt;&gt;0),"红利再投手续费应填 0",IF(AND(B407="红利再投",K406&lt;=0),"红利再投前须有持仓",IF(AND(B407="卖出",D407&gt;K406+0.000001),"卖出份额超过持仓",IF(AND(B407="卖出",F407&gt;=C407*D407),"赎回费不能达到赎回总额",IF(NOT(ISNUMBER(E407)),"自动金额未生成，请检查五项输入",IF(NOT(OR('持仓总览'!$C$7="利润优先",'持仓总览'!$C$7="本金优先")),"请选择卖出分配模式","已计入")))))))))))))))))))</f>
        <v/>
      </c>
      <c r="J407" s="11">
        <f t="shared" si="119">IF(AA407="正常",IF(I407="已计入",IF(OR(OR(B407="买入",B407="定投",B407="转换转入"),B407="红利再投"),D407,IF(B407="卖出",-D407,0)),0),"")</f>
        <v>0</v>
      </c>
      <c r="K407" s="11">
        <f t="shared" si="124">IF(AA407="正常",ROUND(K406+J407,6),"")</f>
        <v>25721.6</v>
      </c>
      <c r="L407" s="11" t="str">
        <f t="shared" si="125">IF(I407="已计入",ROUND(K406*C407,2),"")</f>
        <v/>
      </c>
      <c r="M407" s="11" t="str">
        <f t="shared" si="126">IF(I407="已计入",IF(B407="卖出",MAX(0,L407-Q406-F407),IF(B407="现金分红",MAX(0,L407+E407-Q406),0)),"")</f>
        <v/>
      </c>
      <c r="N407" s="11" t="str">
        <f>IF(I407="已计入",IF(AND(B407="卖出",'持仓总览'!$C$7="本金优先"),MAX(0,E407-Q406),IF(OR(B407="卖出",B407="现金分红"),MIN(E407,M407),0)),"")</f>
        <v/>
      </c>
      <c r="O407" s="11" t="str">
        <f t="shared" si="127">IF(I407="已计入",IF(OR(B407="卖出",B407="现金分红"),MIN(Q406,MAX(0,E407-N407)),0),"")</f>
        <v/>
      </c>
      <c r="P407" s="11" t="str">
        <f t="shared" si="128">IF(I407="已计入",IF(AND(B407="卖出",K407=0),MAX(0,Q406-O407),0),"")</f>
        <v/>
      </c>
      <c r="Q407" s="11">
        <f t="shared" si="129">IF(AA407="正常",IF(I407="已计入",ROUND(Q406+IF(OR(B407="买入",B407="定投",B407="转换转入"),E407,0)-O407-P407,2),Q406),"")</f>
        <v>129570</v>
      </c>
      <c r="R407" s="11" t="str">
        <f t="shared" si="120">IF(I407="已计入",ROUND(K407*C407,2),"")</f>
        <v/>
      </c>
      <c r="S407" s="11" t="str">
        <f t="shared" si="121">IF(I407="已计入",ROUND(R407-Q407,2),"")</f>
        <v/>
      </c>
      <c r="T407" s="12" t="str">
        <f t="shared" si="122">IF(I407="已计入",IF(Q407=0,"",S407/Q407),"")</f>
        <v/>
      </c>
      <c r="U407" s="11">
        <f t="shared" si="130">IF(AA407="正常",U406+IF(AND(I407="已计入",OR(B407="买入",B407="定投",B407="转换转入")),E407,0),"")</f>
        <v>129570</v>
      </c>
      <c r="V407" s="11">
        <f t="shared" si="131">IF(AA407="正常",V406+IF(AND(I407="已计入",OR(B407="卖出",B407="现金分红")),E407,0),"")</f>
        <v>0</v>
      </c>
      <c r="W407" s="11">
        <f t="shared" si="132">IF(AA407="正常",W406+IF(I407="已计入",N407,0),"")</f>
        <v>0</v>
      </c>
      <c r="X407" s="11">
        <f t="shared" si="133">IF(AA407="正常",X406+IF(I407="已计入",P407,0),"")</f>
        <v>0</v>
      </c>
      <c r="Y407" s="11" t="str">
        <f t="shared" si="123">IF(I407="已计入",ROUND(R407+V407-U407,2),"")</f>
        <v/>
      </c>
      <c r="Z407" s="13">
        <f t="shared" si="134">IF(AA407="正常",IF(I407="已计入",A407,Z406),"")</f>
        <v>46239</v>
      </c>
      <c r="AA407" s="10" t="str">
        <f>IF(OR($AA$134="错误",COUNTIF($G$135:G407,"待修正")&gt;0),"错误","正常")</f>
        <v>正常</v>
      </c>
      <c r="AB407" s="14">
        <f t="shared" si="135">IF(AA407="正常",IF(I407="已计入",C407,AB406),"")</f>
        <v>6.347</v>
      </c>
    </row>
    <row r="408" ht="23" customHeight="1">
      <c r="A408" s="36"/>
      <c r="B408" s="37"/>
      <c r="C408" s="38"/>
      <c r="D408" s="39"/>
      <c r="E408" s="44" t="str">
        <f t="shared" si="116">IF(AND(ISNUMBER(C408),ISNUMBER(D408),ISNUMBER(F408)),IF(OR(B408="买入",B408="定投"),ROUND(C408*D408+F408,2),IF(B408="卖出",ROUND(C408*D408-F408,2),IF(B408="红利再投",0,""))),"")</f>
        <v/>
      </c>
      <c r="F408" s="39"/>
      <c r="G408" s="45" t="str">
        <f t="shared" si="117">IF(COUNTA(A408:D408,F408)=0,"",IF(I408="已计入","已录入","待修正"))</f>
        <v/>
      </c>
      <c r="H408" s="46" t="str">
        <f t="shared" si="118">IF(COUNTA(A408:D408,F408)=0,"",IF(B408="红利再投","仅增加份额，不增加现金投入","金额由份额、净值和手续费推算"))</f>
        <v/>
      </c>
      <c r="I408" s="10" t="str">
        <f>IF(COUNTA(A408:D408,F408)=0,"",IF(NOT(ISNUMBER(A408)),"缺少有效净值日期",IF(OR(A408&lt;=0,A408&lt;&gt;INT(A408)),"净值日期无效",IF(OR(B408="转换转入",B408="现金分红"),"该类型需实际金额，五项录入不适用",IF(NOT(OR(OR(B408="买入",B408="定投"),B408="卖出",B408="红利再投")),"请选择交易类型",IF(NOT(ISNUMBER(C408)),"缺少成交净值",IF(C408&lt;=0,"成交净值须大于零",IF(NOT(ISNUMBER(D408)),"缺少确认份额",IF(D408&lt;=0,"确认份额须大于零",IF(NOT(ISNUMBER(F408)),"缺少手续费，无费用请填 0",IF(F408&lt;0,"手续费不能为负",IF(AA407="错误","前行待修正",IF(A408&lt;Z407,"日期需按成交顺序递增",IF(AND(B408="红利再投",F408&lt;&gt;0),"红利再投手续费应填 0",IF(AND(B408="红利再投",K407&lt;=0),"红利再投前须有持仓",IF(AND(B408="卖出",D408&gt;K407+0.000001),"卖出份额超过持仓",IF(AND(B408="卖出",F408&gt;=C408*D408),"赎回费不能达到赎回总额",IF(NOT(ISNUMBER(E408)),"自动金额未生成，请检查五项输入",IF(NOT(OR('持仓总览'!$C$7="利润优先",'持仓总览'!$C$7="本金优先")),"请选择卖出分配模式","已计入")))))))))))))))))))</f>
        <v/>
      </c>
      <c r="J408" s="11">
        <f t="shared" si="119">IF(AA408="正常",IF(I408="已计入",IF(OR(OR(B408="买入",B408="定投",B408="转换转入"),B408="红利再投"),D408,IF(B408="卖出",-D408,0)),0),"")</f>
        <v>0</v>
      </c>
      <c r="K408" s="11">
        <f t="shared" si="124">IF(AA408="正常",ROUND(K407+J408,6),"")</f>
        <v>25721.6</v>
      </c>
      <c r="L408" s="11" t="str">
        <f t="shared" si="125">IF(I408="已计入",ROUND(K407*C408,2),"")</f>
        <v/>
      </c>
      <c r="M408" s="11" t="str">
        <f t="shared" si="126">IF(I408="已计入",IF(B408="卖出",MAX(0,L408-Q407-F408),IF(B408="现金分红",MAX(0,L408+E408-Q407),0)),"")</f>
        <v/>
      </c>
      <c r="N408" s="11" t="str">
        <f>IF(I408="已计入",IF(AND(B408="卖出",'持仓总览'!$C$7="本金优先"),MAX(0,E408-Q407),IF(OR(B408="卖出",B408="现金分红"),MIN(E408,M408),0)),"")</f>
        <v/>
      </c>
      <c r="O408" s="11" t="str">
        <f t="shared" si="127">IF(I408="已计入",IF(OR(B408="卖出",B408="现金分红"),MIN(Q407,MAX(0,E408-N408)),0),"")</f>
        <v/>
      </c>
      <c r="P408" s="11" t="str">
        <f t="shared" si="128">IF(I408="已计入",IF(AND(B408="卖出",K408=0),MAX(0,Q407-O408),0),"")</f>
        <v/>
      </c>
      <c r="Q408" s="11">
        <f t="shared" si="129">IF(AA408="正常",IF(I408="已计入",ROUND(Q407+IF(OR(B408="买入",B408="定投",B408="转换转入"),E408,0)-O408-P408,2),Q407),"")</f>
        <v>129570</v>
      </c>
      <c r="R408" s="11" t="str">
        <f t="shared" si="120">IF(I408="已计入",ROUND(K408*C408,2),"")</f>
        <v/>
      </c>
      <c r="S408" s="11" t="str">
        <f t="shared" si="121">IF(I408="已计入",ROUND(R408-Q408,2),"")</f>
        <v/>
      </c>
      <c r="T408" s="12" t="str">
        <f t="shared" si="122">IF(I408="已计入",IF(Q408=0,"",S408/Q408),"")</f>
        <v/>
      </c>
      <c r="U408" s="11">
        <f t="shared" si="130">IF(AA408="正常",U407+IF(AND(I408="已计入",OR(B408="买入",B408="定投",B408="转换转入")),E408,0),"")</f>
        <v>129570</v>
      </c>
      <c r="V408" s="11">
        <f t="shared" si="131">IF(AA408="正常",V407+IF(AND(I408="已计入",OR(B408="卖出",B408="现金分红")),E408,0),"")</f>
        <v>0</v>
      </c>
      <c r="W408" s="11">
        <f t="shared" si="132">IF(AA408="正常",W407+IF(I408="已计入",N408,0),"")</f>
        <v>0</v>
      </c>
      <c r="X408" s="11">
        <f t="shared" si="133">IF(AA408="正常",X407+IF(I408="已计入",P408,0),"")</f>
        <v>0</v>
      </c>
      <c r="Y408" s="11" t="str">
        <f t="shared" si="123">IF(I408="已计入",ROUND(R408+V408-U408,2),"")</f>
        <v/>
      </c>
      <c r="Z408" s="13">
        <f t="shared" si="134">IF(AA408="正常",IF(I408="已计入",A408,Z407),"")</f>
        <v>46239</v>
      </c>
      <c r="AA408" s="10" t="str">
        <f>IF(OR($AA$134="错误",COUNTIF($G$135:G408,"待修正")&gt;0),"错误","正常")</f>
        <v>正常</v>
      </c>
      <c r="AB408" s="14">
        <f t="shared" si="135">IF(AA408="正常",IF(I408="已计入",C408,AB407),"")</f>
        <v>6.347</v>
      </c>
    </row>
    <row r="409" ht="23" customHeight="1">
      <c r="A409" s="36"/>
      <c r="B409" s="37"/>
      <c r="C409" s="38"/>
      <c r="D409" s="39"/>
      <c r="E409" s="44" t="str">
        <f t="shared" si="116">IF(AND(ISNUMBER(C409),ISNUMBER(D409),ISNUMBER(F409)),IF(OR(B409="买入",B409="定投"),ROUND(C409*D409+F409,2),IF(B409="卖出",ROUND(C409*D409-F409,2),IF(B409="红利再投",0,""))),"")</f>
        <v/>
      </c>
      <c r="F409" s="39"/>
      <c r="G409" s="45" t="str">
        <f t="shared" si="117">IF(COUNTA(A409:D409,F409)=0,"",IF(I409="已计入","已录入","待修正"))</f>
        <v/>
      </c>
      <c r="H409" s="46" t="str">
        <f t="shared" si="118">IF(COUNTA(A409:D409,F409)=0,"",IF(B409="红利再投","仅增加份额，不增加现金投入","金额由份额、净值和手续费推算"))</f>
        <v/>
      </c>
      <c r="I409" s="10" t="str">
        <f>IF(COUNTA(A409:D409,F409)=0,"",IF(NOT(ISNUMBER(A409)),"缺少有效净值日期",IF(OR(A409&lt;=0,A409&lt;&gt;INT(A409)),"净值日期无效",IF(OR(B409="转换转入",B409="现金分红"),"该类型需实际金额，五项录入不适用",IF(NOT(OR(OR(B409="买入",B409="定投"),B409="卖出",B409="红利再投")),"请选择交易类型",IF(NOT(ISNUMBER(C409)),"缺少成交净值",IF(C409&lt;=0,"成交净值须大于零",IF(NOT(ISNUMBER(D409)),"缺少确认份额",IF(D409&lt;=0,"确认份额须大于零",IF(NOT(ISNUMBER(F409)),"缺少手续费，无费用请填 0",IF(F409&lt;0,"手续费不能为负",IF(AA408="错误","前行待修正",IF(A409&lt;Z408,"日期需按成交顺序递增",IF(AND(B409="红利再投",F409&lt;&gt;0),"红利再投手续费应填 0",IF(AND(B409="红利再投",K408&lt;=0),"红利再投前须有持仓",IF(AND(B409="卖出",D409&gt;K408+0.000001),"卖出份额超过持仓",IF(AND(B409="卖出",F409&gt;=C409*D409),"赎回费不能达到赎回总额",IF(NOT(ISNUMBER(E409)),"自动金额未生成，请检查五项输入",IF(NOT(OR('持仓总览'!$C$7="利润优先",'持仓总览'!$C$7="本金优先")),"请选择卖出分配模式","已计入")))))))))))))))))))</f>
        <v/>
      </c>
      <c r="J409" s="11">
        <f t="shared" si="119">IF(AA409="正常",IF(I409="已计入",IF(OR(OR(B409="买入",B409="定投",B409="转换转入"),B409="红利再投"),D409,IF(B409="卖出",-D409,0)),0),"")</f>
        <v>0</v>
      </c>
      <c r="K409" s="11">
        <f t="shared" si="124">IF(AA409="正常",ROUND(K408+J409,6),"")</f>
        <v>25721.6</v>
      </c>
      <c r="L409" s="11" t="str">
        <f t="shared" si="125">IF(I409="已计入",ROUND(K408*C409,2),"")</f>
        <v/>
      </c>
      <c r="M409" s="11" t="str">
        <f t="shared" si="126">IF(I409="已计入",IF(B409="卖出",MAX(0,L409-Q408-F409),IF(B409="现金分红",MAX(0,L409+E409-Q408),0)),"")</f>
        <v/>
      </c>
      <c r="N409" s="11" t="str">
        <f>IF(I409="已计入",IF(AND(B409="卖出",'持仓总览'!$C$7="本金优先"),MAX(0,E409-Q408),IF(OR(B409="卖出",B409="现金分红"),MIN(E409,M409),0)),"")</f>
        <v/>
      </c>
      <c r="O409" s="11" t="str">
        <f t="shared" si="127">IF(I409="已计入",IF(OR(B409="卖出",B409="现金分红"),MIN(Q408,MAX(0,E409-N409)),0),"")</f>
        <v/>
      </c>
      <c r="P409" s="11" t="str">
        <f t="shared" si="128">IF(I409="已计入",IF(AND(B409="卖出",K409=0),MAX(0,Q408-O409),0),"")</f>
        <v/>
      </c>
      <c r="Q409" s="11">
        <f t="shared" si="129">IF(AA409="正常",IF(I409="已计入",ROUND(Q408+IF(OR(B409="买入",B409="定投",B409="转换转入"),E409,0)-O409-P409,2),Q408),"")</f>
        <v>129570</v>
      </c>
      <c r="R409" s="11" t="str">
        <f t="shared" si="120">IF(I409="已计入",ROUND(K409*C409,2),"")</f>
        <v/>
      </c>
      <c r="S409" s="11" t="str">
        <f t="shared" si="121">IF(I409="已计入",ROUND(R409-Q409,2),"")</f>
        <v/>
      </c>
      <c r="T409" s="12" t="str">
        <f t="shared" si="122">IF(I409="已计入",IF(Q409=0,"",S409/Q409),"")</f>
        <v/>
      </c>
      <c r="U409" s="11">
        <f t="shared" si="130">IF(AA409="正常",U408+IF(AND(I409="已计入",OR(B409="买入",B409="定投",B409="转换转入")),E409,0),"")</f>
        <v>129570</v>
      </c>
      <c r="V409" s="11">
        <f t="shared" si="131">IF(AA409="正常",V408+IF(AND(I409="已计入",OR(B409="卖出",B409="现金分红")),E409,0),"")</f>
        <v>0</v>
      </c>
      <c r="W409" s="11">
        <f t="shared" si="132">IF(AA409="正常",W408+IF(I409="已计入",N409,0),"")</f>
        <v>0</v>
      </c>
      <c r="X409" s="11">
        <f t="shared" si="133">IF(AA409="正常",X408+IF(I409="已计入",P409,0),"")</f>
        <v>0</v>
      </c>
      <c r="Y409" s="11" t="str">
        <f t="shared" si="123">IF(I409="已计入",ROUND(R409+V409-U409,2),"")</f>
        <v/>
      </c>
      <c r="Z409" s="13">
        <f t="shared" si="134">IF(AA409="正常",IF(I409="已计入",A409,Z408),"")</f>
        <v>46239</v>
      </c>
      <c r="AA409" s="10" t="str">
        <f>IF(OR($AA$134="错误",COUNTIF($G$135:G409,"待修正")&gt;0),"错误","正常")</f>
        <v>正常</v>
      </c>
      <c r="AB409" s="14">
        <f t="shared" si="135">IF(AA409="正常",IF(I409="已计入",C409,AB408),"")</f>
        <v>6.347</v>
      </c>
    </row>
    <row r="410" ht="23" customHeight="1">
      <c r="A410" s="36"/>
      <c r="B410" s="37"/>
      <c r="C410" s="38"/>
      <c r="D410" s="39"/>
      <c r="E410" s="44" t="str">
        <f t="shared" si="116">IF(AND(ISNUMBER(C410),ISNUMBER(D410),ISNUMBER(F410)),IF(OR(B410="买入",B410="定投"),ROUND(C410*D410+F410,2),IF(B410="卖出",ROUND(C410*D410-F410,2),IF(B410="红利再投",0,""))),"")</f>
        <v/>
      </c>
      <c r="F410" s="39"/>
      <c r="G410" s="45" t="str">
        <f t="shared" si="117">IF(COUNTA(A410:D410,F410)=0,"",IF(I410="已计入","已录入","待修正"))</f>
        <v/>
      </c>
      <c r="H410" s="46" t="str">
        <f t="shared" si="118">IF(COUNTA(A410:D410,F410)=0,"",IF(B410="红利再投","仅增加份额，不增加现金投入","金额由份额、净值和手续费推算"))</f>
        <v/>
      </c>
      <c r="I410" s="10" t="str">
        <f>IF(COUNTA(A410:D410,F410)=0,"",IF(NOT(ISNUMBER(A410)),"缺少有效净值日期",IF(OR(A410&lt;=0,A410&lt;&gt;INT(A410)),"净值日期无效",IF(OR(B410="转换转入",B410="现金分红"),"该类型需实际金额，五项录入不适用",IF(NOT(OR(OR(B410="买入",B410="定投"),B410="卖出",B410="红利再投")),"请选择交易类型",IF(NOT(ISNUMBER(C410)),"缺少成交净值",IF(C410&lt;=0,"成交净值须大于零",IF(NOT(ISNUMBER(D410)),"缺少确认份额",IF(D410&lt;=0,"确认份额须大于零",IF(NOT(ISNUMBER(F410)),"缺少手续费，无费用请填 0",IF(F410&lt;0,"手续费不能为负",IF(AA409="错误","前行待修正",IF(A410&lt;Z409,"日期需按成交顺序递增",IF(AND(B410="红利再投",F410&lt;&gt;0),"红利再投手续费应填 0",IF(AND(B410="红利再投",K409&lt;=0),"红利再投前须有持仓",IF(AND(B410="卖出",D410&gt;K409+0.000001),"卖出份额超过持仓",IF(AND(B410="卖出",F410&gt;=C410*D410),"赎回费不能达到赎回总额",IF(NOT(ISNUMBER(E410)),"自动金额未生成，请检查五项输入",IF(NOT(OR('持仓总览'!$C$7="利润优先",'持仓总览'!$C$7="本金优先")),"请选择卖出分配模式","已计入")))))))))))))))))))</f>
        <v/>
      </c>
      <c r="J410" s="11">
        <f t="shared" si="119">IF(AA410="正常",IF(I410="已计入",IF(OR(OR(B410="买入",B410="定投",B410="转换转入"),B410="红利再投"),D410,IF(B410="卖出",-D410,0)),0),"")</f>
        <v>0</v>
      </c>
      <c r="K410" s="11">
        <f t="shared" si="124">IF(AA410="正常",ROUND(K409+J410,6),"")</f>
        <v>25721.6</v>
      </c>
      <c r="L410" s="11" t="str">
        <f t="shared" si="125">IF(I410="已计入",ROUND(K409*C410,2),"")</f>
        <v/>
      </c>
      <c r="M410" s="11" t="str">
        <f t="shared" si="126">IF(I410="已计入",IF(B410="卖出",MAX(0,L410-Q409-F410),IF(B410="现金分红",MAX(0,L410+E410-Q409),0)),"")</f>
        <v/>
      </c>
      <c r="N410" s="11" t="str">
        <f>IF(I410="已计入",IF(AND(B410="卖出",'持仓总览'!$C$7="本金优先"),MAX(0,E410-Q409),IF(OR(B410="卖出",B410="现金分红"),MIN(E410,M410),0)),"")</f>
        <v/>
      </c>
      <c r="O410" s="11" t="str">
        <f t="shared" si="127">IF(I410="已计入",IF(OR(B410="卖出",B410="现金分红"),MIN(Q409,MAX(0,E410-N410)),0),"")</f>
        <v/>
      </c>
      <c r="P410" s="11" t="str">
        <f t="shared" si="128">IF(I410="已计入",IF(AND(B410="卖出",K410=0),MAX(0,Q409-O410),0),"")</f>
        <v/>
      </c>
      <c r="Q410" s="11">
        <f t="shared" si="129">IF(AA410="正常",IF(I410="已计入",ROUND(Q409+IF(OR(B410="买入",B410="定投",B410="转换转入"),E410,0)-O410-P410,2),Q409),"")</f>
        <v>129570</v>
      </c>
      <c r="R410" s="11" t="str">
        <f t="shared" si="120">IF(I410="已计入",ROUND(K410*C410,2),"")</f>
        <v/>
      </c>
      <c r="S410" s="11" t="str">
        <f t="shared" si="121">IF(I410="已计入",ROUND(R410-Q410,2),"")</f>
        <v/>
      </c>
      <c r="T410" s="12" t="str">
        <f t="shared" si="122">IF(I410="已计入",IF(Q410=0,"",S410/Q410),"")</f>
        <v/>
      </c>
      <c r="U410" s="11">
        <f t="shared" si="130">IF(AA410="正常",U409+IF(AND(I410="已计入",OR(B410="买入",B410="定投",B410="转换转入")),E410,0),"")</f>
        <v>129570</v>
      </c>
      <c r="V410" s="11">
        <f t="shared" si="131">IF(AA410="正常",V409+IF(AND(I410="已计入",OR(B410="卖出",B410="现金分红")),E410,0),"")</f>
        <v>0</v>
      </c>
      <c r="W410" s="11">
        <f t="shared" si="132">IF(AA410="正常",W409+IF(I410="已计入",N410,0),"")</f>
        <v>0</v>
      </c>
      <c r="X410" s="11">
        <f t="shared" si="133">IF(AA410="正常",X409+IF(I410="已计入",P410,0),"")</f>
        <v>0</v>
      </c>
      <c r="Y410" s="11" t="str">
        <f t="shared" si="123">IF(I410="已计入",ROUND(R410+V410-U410,2),"")</f>
        <v/>
      </c>
      <c r="Z410" s="13">
        <f t="shared" si="134">IF(AA410="正常",IF(I410="已计入",A410,Z409),"")</f>
        <v>46239</v>
      </c>
      <c r="AA410" s="10" t="str">
        <f>IF(OR($AA$134="错误",COUNTIF($G$135:G410,"待修正")&gt;0),"错误","正常")</f>
        <v>正常</v>
      </c>
      <c r="AB410" s="14">
        <f t="shared" si="135">IF(AA410="正常",IF(I410="已计入",C410,AB409),"")</f>
        <v>6.347</v>
      </c>
    </row>
    <row r="411" ht="23" customHeight="1">
      <c r="A411" s="36"/>
      <c r="B411" s="37"/>
      <c r="C411" s="38"/>
      <c r="D411" s="39"/>
      <c r="E411" s="44" t="str">
        <f t="shared" si="116">IF(AND(ISNUMBER(C411),ISNUMBER(D411),ISNUMBER(F411)),IF(OR(B411="买入",B411="定投"),ROUND(C411*D411+F411,2),IF(B411="卖出",ROUND(C411*D411-F411,2),IF(B411="红利再投",0,""))),"")</f>
        <v/>
      </c>
      <c r="F411" s="39"/>
      <c r="G411" s="45" t="str">
        <f t="shared" si="117">IF(COUNTA(A411:D411,F411)=0,"",IF(I411="已计入","已录入","待修正"))</f>
        <v/>
      </c>
      <c r="H411" s="46" t="str">
        <f t="shared" si="118">IF(COUNTA(A411:D411,F411)=0,"",IF(B411="红利再投","仅增加份额，不增加现金投入","金额由份额、净值和手续费推算"))</f>
        <v/>
      </c>
      <c r="I411" s="10" t="str">
        <f>IF(COUNTA(A411:D411,F411)=0,"",IF(NOT(ISNUMBER(A411)),"缺少有效净值日期",IF(OR(A411&lt;=0,A411&lt;&gt;INT(A411)),"净值日期无效",IF(OR(B411="转换转入",B411="现金分红"),"该类型需实际金额，五项录入不适用",IF(NOT(OR(OR(B411="买入",B411="定投"),B411="卖出",B411="红利再投")),"请选择交易类型",IF(NOT(ISNUMBER(C411)),"缺少成交净值",IF(C411&lt;=0,"成交净值须大于零",IF(NOT(ISNUMBER(D411)),"缺少确认份额",IF(D411&lt;=0,"确认份额须大于零",IF(NOT(ISNUMBER(F411)),"缺少手续费，无费用请填 0",IF(F411&lt;0,"手续费不能为负",IF(AA410="错误","前行待修正",IF(A411&lt;Z410,"日期需按成交顺序递增",IF(AND(B411="红利再投",F411&lt;&gt;0),"红利再投手续费应填 0",IF(AND(B411="红利再投",K410&lt;=0),"红利再投前须有持仓",IF(AND(B411="卖出",D411&gt;K410+0.000001),"卖出份额超过持仓",IF(AND(B411="卖出",F411&gt;=C411*D411),"赎回费不能达到赎回总额",IF(NOT(ISNUMBER(E411)),"自动金额未生成，请检查五项输入",IF(NOT(OR('持仓总览'!$C$7="利润优先",'持仓总览'!$C$7="本金优先")),"请选择卖出分配模式","已计入")))))))))))))))))))</f>
        <v/>
      </c>
      <c r="J411" s="11">
        <f t="shared" si="119">IF(AA411="正常",IF(I411="已计入",IF(OR(OR(B411="买入",B411="定投",B411="转换转入"),B411="红利再投"),D411,IF(B411="卖出",-D411,0)),0),"")</f>
        <v>0</v>
      </c>
      <c r="K411" s="11">
        <f t="shared" si="124">IF(AA411="正常",ROUND(K410+J411,6),"")</f>
        <v>25721.6</v>
      </c>
      <c r="L411" s="11" t="str">
        <f t="shared" si="125">IF(I411="已计入",ROUND(K410*C411,2),"")</f>
        <v/>
      </c>
      <c r="M411" s="11" t="str">
        <f t="shared" si="126">IF(I411="已计入",IF(B411="卖出",MAX(0,L411-Q410-F411),IF(B411="现金分红",MAX(0,L411+E411-Q410),0)),"")</f>
        <v/>
      </c>
      <c r="N411" s="11" t="str">
        <f>IF(I411="已计入",IF(AND(B411="卖出",'持仓总览'!$C$7="本金优先"),MAX(0,E411-Q410),IF(OR(B411="卖出",B411="现金分红"),MIN(E411,M411),0)),"")</f>
        <v/>
      </c>
      <c r="O411" s="11" t="str">
        <f t="shared" si="127">IF(I411="已计入",IF(OR(B411="卖出",B411="现金分红"),MIN(Q410,MAX(0,E411-N411)),0),"")</f>
        <v/>
      </c>
      <c r="P411" s="11" t="str">
        <f t="shared" si="128">IF(I411="已计入",IF(AND(B411="卖出",K411=0),MAX(0,Q410-O411),0),"")</f>
        <v/>
      </c>
      <c r="Q411" s="11">
        <f t="shared" si="129">IF(AA411="正常",IF(I411="已计入",ROUND(Q410+IF(OR(B411="买入",B411="定投",B411="转换转入"),E411,0)-O411-P411,2),Q410),"")</f>
        <v>129570</v>
      </c>
      <c r="R411" s="11" t="str">
        <f t="shared" si="120">IF(I411="已计入",ROUND(K411*C411,2),"")</f>
        <v/>
      </c>
      <c r="S411" s="11" t="str">
        <f t="shared" si="121">IF(I411="已计入",ROUND(R411-Q411,2),"")</f>
        <v/>
      </c>
      <c r="T411" s="12" t="str">
        <f t="shared" si="122">IF(I411="已计入",IF(Q411=0,"",S411/Q411),"")</f>
        <v/>
      </c>
      <c r="U411" s="11">
        <f t="shared" si="130">IF(AA411="正常",U410+IF(AND(I411="已计入",OR(B411="买入",B411="定投",B411="转换转入")),E411,0),"")</f>
        <v>129570</v>
      </c>
      <c r="V411" s="11">
        <f t="shared" si="131">IF(AA411="正常",V410+IF(AND(I411="已计入",OR(B411="卖出",B411="现金分红")),E411,0),"")</f>
        <v>0</v>
      </c>
      <c r="W411" s="11">
        <f t="shared" si="132">IF(AA411="正常",W410+IF(I411="已计入",N411,0),"")</f>
        <v>0</v>
      </c>
      <c r="X411" s="11">
        <f t="shared" si="133">IF(AA411="正常",X410+IF(I411="已计入",P411,0),"")</f>
        <v>0</v>
      </c>
      <c r="Y411" s="11" t="str">
        <f t="shared" si="123">IF(I411="已计入",ROUND(R411+V411-U411,2),"")</f>
        <v/>
      </c>
      <c r="Z411" s="13">
        <f t="shared" si="134">IF(AA411="正常",IF(I411="已计入",A411,Z410),"")</f>
        <v>46239</v>
      </c>
      <c r="AA411" s="10" t="str">
        <f>IF(OR($AA$134="错误",COUNTIF($G$135:G411,"待修正")&gt;0),"错误","正常")</f>
        <v>正常</v>
      </c>
      <c r="AB411" s="14">
        <f t="shared" si="135">IF(AA411="正常",IF(I411="已计入",C411,AB410),"")</f>
        <v>6.347</v>
      </c>
    </row>
    <row r="412" ht="23" customHeight="1">
      <c r="A412" s="36"/>
      <c r="B412" s="37"/>
      <c r="C412" s="38"/>
      <c r="D412" s="39"/>
      <c r="E412" s="44" t="str">
        <f t="shared" si="116">IF(AND(ISNUMBER(C412),ISNUMBER(D412),ISNUMBER(F412)),IF(OR(B412="买入",B412="定投"),ROUND(C412*D412+F412,2),IF(B412="卖出",ROUND(C412*D412-F412,2),IF(B412="红利再投",0,""))),"")</f>
        <v/>
      </c>
      <c r="F412" s="39"/>
      <c r="G412" s="45" t="str">
        <f t="shared" si="117">IF(COUNTA(A412:D412,F412)=0,"",IF(I412="已计入","已录入","待修正"))</f>
        <v/>
      </c>
      <c r="H412" s="46" t="str">
        <f t="shared" si="118">IF(COUNTA(A412:D412,F412)=0,"",IF(B412="红利再投","仅增加份额，不增加现金投入","金额由份额、净值和手续费推算"))</f>
        <v/>
      </c>
      <c r="I412" s="10" t="str">
        <f>IF(COUNTA(A412:D412,F412)=0,"",IF(NOT(ISNUMBER(A412)),"缺少有效净值日期",IF(OR(A412&lt;=0,A412&lt;&gt;INT(A412)),"净值日期无效",IF(OR(B412="转换转入",B412="现金分红"),"该类型需实际金额，五项录入不适用",IF(NOT(OR(OR(B412="买入",B412="定投"),B412="卖出",B412="红利再投")),"请选择交易类型",IF(NOT(ISNUMBER(C412)),"缺少成交净值",IF(C412&lt;=0,"成交净值须大于零",IF(NOT(ISNUMBER(D412)),"缺少确认份额",IF(D412&lt;=0,"确认份额须大于零",IF(NOT(ISNUMBER(F412)),"缺少手续费，无费用请填 0",IF(F412&lt;0,"手续费不能为负",IF(AA411="错误","前行待修正",IF(A412&lt;Z411,"日期需按成交顺序递增",IF(AND(B412="红利再投",F412&lt;&gt;0),"红利再投手续费应填 0",IF(AND(B412="红利再投",K411&lt;=0),"红利再投前须有持仓",IF(AND(B412="卖出",D412&gt;K411+0.000001),"卖出份额超过持仓",IF(AND(B412="卖出",F412&gt;=C412*D412),"赎回费不能达到赎回总额",IF(NOT(ISNUMBER(E412)),"自动金额未生成，请检查五项输入",IF(NOT(OR('持仓总览'!$C$7="利润优先",'持仓总览'!$C$7="本金优先")),"请选择卖出分配模式","已计入")))))))))))))))))))</f>
        <v/>
      </c>
      <c r="J412" s="11">
        <f t="shared" si="119">IF(AA412="正常",IF(I412="已计入",IF(OR(OR(B412="买入",B412="定投",B412="转换转入"),B412="红利再投"),D412,IF(B412="卖出",-D412,0)),0),"")</f>
        <v>0</v>
      </c>
      <c r="K412" s="11">
        <f t="shared" si="124">IF(AA412="正常",ROUND(K411+J412,6),"")</f>
        <v>25721.6</v>
      </c>
      <c r="L412" s="11" t="str">
        <f t="shared" si="125">IF(I412="已计入",ROUND(K411*C412,2),"")</f>
        <v/>
      </c>
      <c r="M412" s="11" t="str">
        <f t="shared" si="126">IF(I412="已计入",IF(B412="卖出",MAX(0,L412-Q411-F412),IF(B412="现金分红",MAX(0,L412+E412-Q411),0)),"")</f>
        <v/>
      </c>
      <c r="N412" s="11" t="str">
        <f>IF(I412="已计入",IF(AND(B412="卖出",'持仓总览'!$C$7="本金优先"),MAX(0,E412-Q411),IF(OR(B412="卖出",B412="现金分红"),MIN(E412,M412),0)),"")</f>
        <v/>
      </c>
      <c r="O412" s="11" t="str">
        <f t="shared" si="127">IF(I412="已计入",IF(OR(B412="卖出",B412="现金分红"),MIN(Q411,MAX(0,E412-N412)),0),"")</f>
        <v/>
      </c>
      <c r="P412" s="11" t="str">
        <f t="shared" si="128">IF(I412="已计入",IF(AND(B412="卖出",K412=0),MAX(0,Q411-O412),0),"")</f>
        <v/>
      </c>
      <c r="Q412" s="11">
        <f t="shared" si="129">IF(AA412="正常",IF(I412="已计入",ROUND(Q411+IF(OR(B412="买入",B412="定投",B412="转换转入"),E412,0)-O412-P412,2),Q411),"")</f>
        <v>129570</v>
      </c>
      <c r="R412" s="11" t="str">
        <f t="shared" si="120">IF(I412="已计入",ROUND(K412*C412,2),"")</f>
        <v/>
      </c>
      <c r="S412" s="11" t="str">
        <f t="shared" si="121">IF(I412="已计入",ROUND(R412-Q412,2),"")</f>
        <v/>
      </c>
      <c r="T412" s="12" t="str">
        <f t="shared" si="122">IF(I412="已计入",IF(Q412=0,"",S412/Q412),"")</f>
        <v/>
      </c>
      <c r="U412" s="11">
        <f t="shared" si="130">IF(AA412="正常",U411+IF(AND(I412="已计入",OR(B412="买入",B412="定投",B412="转换转入")),E412,0),"")</f>
        <v>129570</v>
      </c>
      <c r="V412" s="11">
        <f t="shared" si="131">IF(AA412="正常",V411+IF(AND(I412="已计入",OR(B412="卖出",B412="现金分红")),E412,0),"")</f>
        <v>0</v>
      </c>
      <c r="W412" s="11">
        <f t="shared" si="132">IF(AA412="正常",W411+IF(I412="已计入",N412,0),"")</f>
        <v>0</v>
      </c>
      <c r="X412" s="11">
        <f t="shared" si="133">IF(AA412="正常",X411+IF(I412="已计入",P412,0),"")</f>
        <v>0</v>
      </c>
      <c r="Y412" s="11" t="str">
        <f t="shared" si="123">IF(I412="已计入",ROUND(R412+V412-U412,2),"")</f>
        <v/>
      </c>
      <c r="Z412" s="13">
        <f t="shared" si="134">IF(AA412="正常",IF(I412="已计入",A412,Z411),"")</f>
        <v>46239</v>
      </c>
      <c r="AA412" s="10" t="str">
        <f>IF(OR($AA$134="错误",COUNTIF($G$135:G412,"待修正")&gt;0),"错误","正常")</f>
        <v>正常</v>
      </c>
      <c r="AB412" s="14">
        <f t="shared" si="135">IF(AA412="正常",IF(I412="已计入",C412,AB411),"")</f>
        <v>6.347</v>
      </c>
    </row>
    <row r="413" ht="23" customHeight="1">
      <c r="A413" s="36"/>
      <c r="B413" s="37"/>
      <c r="C413" s="38"/>
      <c r="D413" s="39"/>
      <c r="E413" s="44" t="str">
        <f t="shared" si="116">IF(AND(ISNUMBER(C413),ISNUMBER(D413),ISNUMBER(F413)),IF(OR(B413="买入",B413="定投"),ROUND(C413*D413+F413,2),IF(B413="卖出",ROUND(C413*D413-F413,2),IF(B413="红利再投",0,""))),"")</f>
        <v/>
      </c>
      <c r="F413" s="39"/>
      <c r="G413" s="45" t="str">
        <f t="shared" si="117">IF(COUNTA(A413:D413,F413)=0,"",IF(I413="已计入","已录入","待修正"))</f>
        <v/>
      </c>
      <c r="H413" s="46" t="str">
        <f t="shared" si="118">IF(COUNTA(A413:D413,F413)=0,"",IF(B413="红利再投","仅增加份额，不增加现金投入","金额由份额、净值和手续费推算"))</f>
        <v/>
      </c>
      <c r="I413" s="10" t="str">
        <f>IF(COUNTA(A413:D413,F413)=0,"",IF(NOT(ISNUMBER(A413)),"缺少有效净值日期",IF(OR(A413&lt;=0,A413&lt;&gt;INT(A413)),"净值日期无效",IF(OR(B413="转换转入",B413="现金分红"),"该类型需实际金额，五项录入不适用",IF(NOT(OR(OR(B413="买入",B413="定投"),B413="卖出",B413="红利再投")),"请选择交易类型",IF(NOT(ISNUMBER(C413)),"缺少成交净值",IF(C413&lt;=0,"成交净值须大于零",IF(NOT(ISNUMBER(D413)),"缺少确认份额",IF(D413&lt;=0,"确认份额须大于零",IF(NOT(ISNUMBER(F413)),"缺少手续费，无费用请填 0",IF(F413&lt;0,"手续费不能为负",IF(AA412="错误","前行待修正",IF(A413&lt;Z412,"日期需按成交顺序递增",IF(AND(B413="红利再投",F413&lt;&gt;0),"红利再投手续费应填 0",IF(AND(B413="红利再投",K412&lt;=0),"红利再投前须有持仓",IF(AND(B413="卖出",D413&gt;K412+0.000001),"卖出份额超过持仓",IF(AND(B413="卖出",F413&gt;=C413*D413),"赎回费不能达到赎回总额",IF(NOT(ISNUMBER(E413)),"自动金额未生成，请检查五项输入",IF(NOT(OR('持仓总览'!$C$7="利润优先",'持仓总览'!$C$7="本金优先")),"请选择卖出分配模式","已计入")))))))))))))))))))</f>
        <v/>
      </c>
      <c r="J413" s="11">
        <f t="shared" si="119">IF(AA413="正常",IF(I413="已计入",IF(OR(OR(B413="买入",B413="定投",B413="转换转入"),B413="红利再投"),D413,IF(B413="卖出",-D413,0)),0),"")</f>
        <v>0</v>
      </c>
      <c r="K413" s="11">
        <f t="shared" si="124">IF(AA413="正常",ROUND(K412+J413,6),"")</f>
        <v>25721.6</v>
      </c>
      <c r="L413" s="11" t="str">
        <f t="shared" si="125">IF(I413="已计入",ROUND(K412*C413,2),"")</f>
        <v/>
      </c>
      <c r="M413" s="11" t="str">
        <f t="shared" si="126">IF(I413="已计入",IF(B413="卖出",MAX(0,L413-Q412-F413),IF(B413="现金分红",MAX(0,L413+E413-Q412),0)),"")</f>
        <v/>
      </c>
      <c r="N413" s="11" t="str">
        <f>IF(I413="已计入",IF(AND(B413="卖出",'持仓总览'!$C$7="本金优先"),MAX(0,E413-Q412),IF(OR(B413="卖出",B413="现金分红"),MIN(E413,M413),0)),"")</f>
        <v/>
      </c>
      <c r="O413" s="11" t="str">
        <f t="shared" si="127">IF(I413="已计入",IF(OR(B413="卖出",B413="现金分红"),MIN(Q412,MAX(0,E413-N413)),0),"")</f>
        <v/>
      </c>
      <c r="P413" s="11" t="str">
        <f t="shared" si="128">IF(I413="已计入",IF(AND(B413="卖出",K413=0),MAX(0,Q412-O413),0),"")</f>
        <v/>
      </c>
      <c r="Q413" s="11">
        <f t="shared" si="129">IF(AA413="正常",IF(I413="已计入",ROUND(Q412+IF(OR(B413="买入",B413="定投",B413="转换转入"),E413,0)-O413-P413,2),Q412),"")</f>
        <v>129570</v>
      </c>
      <c r="R413" s="11" t="str">
        <f t="shared" si="120">IF(I413="已计入",ROUND(K413*C413,2),"")</f>
        <v/>
      </c>
      <c r="S413" s="11" t="str">
        <f t="shared" si="121">IF(I413="已计入",ROUND(R413-Q413,2),"")</f>
        <v/>
      </c>
      <c r="T413" s="12" t="str">
        <f t="shared" si="122">IF(I413="已计入",IF(Q413=0,"",S413/Q413),"")</f>
        <v/>
      </c>
      <c r="U413" s="11">
        <f t="shared" si="130">IF(AA413="正常",U412+IF(AND(I413="已计入",OR(B413="买入",B413="定投",B413="转换转入")),E413,0),"")</f>
        <v>129570</v>
      </c>
      <c r="V413" s="11">
        <f t="shared" si="131">IF(AA413="正常",V412+IF(AND(I413="已计入",OR(B413="卖出",B413="现金分红")),E413,0),"")</f>
        <v>0</v>
      </c>
      <c r="W413" s="11">
        <f t="shared" si="132">IF(AA413="正常",W412+IF(I413="已计入",N413,0),"")</f>
        <v>0</v>
      </c>
      <c r="X413" s="11">
        <f t="shared" si="133">IF(AA413="正常",X412+IF(I413="已计入",P413,0),"")</f>
        <v>0</v>
      </c>
      <c r="Y413" s="11" t="str">
        <f t="shared" si="123">IF(I413="已计入",ROUND(R413+V413-U413,2),"")</f>
        <v/>
      </c>
      <c r="Z413" s="13">
        <f t="shared" si="134">IF(AA413="正常",IF(I413="已计入",A413,Z412),"")</f>
        <v>46239</v>
      </c>
      <c r="AA413" s="10" t="str">
        <f>IF(OR($AA$134="错误",COUNTIF($G$135:G413,"待修正")&gt;0),"错误","正常")</f>
        <v>正常</v>
      </c>
      <c r="AB413" s="14">
        <f t="shared" si="135">IF(AA413="正常",IF(I413="已计入",C413,AB412),"")</f>
        <v>6.347</v>
      </c>
    </row>
    <row r="414" ht="23" customHeight="1">
      <c r="A414" s="36"/>
      <c r="B414" s="37"/>
      <c r="C414" s="38"/>
      <c r="D414" s="39"/>
      <c r="E414" s="44" t="str">
        <f t="shared" si="116">IF(AND(ISNUMBER(C414),ISNUMBER(D414),ISNUMBER(F414)),IF(OR(B414="买入",B414="定投"),ROUND(C414*D414+F414,2),IF(B414="卖出",ROUND(C414*D414-F414,2),IF(B414="红利再投",0,""))),"")</f>
        <v/>
      </c>
      <c r="F414" s="39"/>
      <c r="G414" s="45" t="str">
        <f t="shared" si="117">IF(COUNTA(A414:D414,F414)=0,"",IF(I414="已计入","已录入","待修正"))</f>
        <v/>
      </c>
      <c r="H414" s="46" t="str">
        <f t="shared" si="118">IF(COUNTA(A414:D414,F414)=0,"",IF(B414="红利再投","仅增加份额，不增加现金投入","金额由份额、净值和手续费推算"))</f>
        <v/>
      </c>
      <c r="I414" s="10" t="str">
        <f>IF(COUNTA(A414:D414,F414)=0,"",IF(NOT(ISNUMBER(A414)),"缺少有效净值日期",IF(OR(A414&lt;=0,A414&lt;&gt;INT(A414)),"净值日期无效",IF(OR(B414="转换转入",B414="现金分红"),"该类型需实际金额，五项录入不适用",IF(NOT(OR(OR(B414="买入",B414="定投"),B414="卖出",B414="红利再投")),"请选择交易类型",IF(NOT(ISNUMBER(C414)),"缺少成交净值",IF(C414&lt;=0,"成交净值须大于零",IF(NOT(ISNUMBER(D414)),"缺少确认份额",IF(D414&lt;=0,"确认份额须大于零",IF(NOT(ISNUMBER(F414)),"缺少手续费，无费用请填 0",IF(F414&lt;0,"手续费不能为负",IF(AA413="错误","前行待修正",IF(A414&lt;Z413,"日期需按成交顺序递增",IF(AND(B414="红利再投",F414&lt;&gt;0),"红利再投手续费应填 0",IF(AND(B414="红利再投",K413&lt;=0),"红利再投前须有持仓",IF(AND(B414="卖出",D414&gt;K413+0.000001),"卖出份额超过持仓",IF(AND(B414="卖出",F414&gt;=C414*D414),"赎回费不能达到赎回总额",IF(NOT(ISNUMBER(E414)),"自动金额未生成，请检查五项输入",IF(NOT(OR('持仓总览'!$C$7="利润优先",'持仓总览'!$C$7="本金优先")),"请选择卖出分配模式","已计入")))))))))))))))))))</f>
        <v/>
      </c>
      <c r="J414" s="11">
        <f t="shared" si="119">IF(AA414="正常",IF(I414="已计入",IF(OR(OR(B414="买入",B414="定投",B414="转换转入"),B414="红利再投"),D414,IF(B414="卖出",-D414,0)),0),"")</f>
        <v>0</v>
      </c>
      <c r="K414" s="11">
        <f t="shared" si="124">IF(AA414="正常",ROUND(K413+J414,6),"")</f>
        <v>25721.6</v>
      </c>
      <c r="L414" s="11" t="str">
        <f t="shared" si="125">IF(I414="已计入",ROUND(K413*C414,2),"")</f>
        <v/>
      </c>
      <c r="M414" s="11" t="str">
        <f t="shared" si="126">IF(I414="已计入",IF(B414="卖出",MAX(0,L414-Q413-F414),IF(B414="现金分红",MAX(0,L414+E414-Q413),0)),"")</f>
        <v/>
      </c>
      <c r="N414" s="11" t="str">
        <f>IF(I414="已计入",IF(AND(B414="卖出",'持仓总览'!$C$7="本金优先"),MAX(0,E414-Q413),IF(OR(B414="卖出",B414="现金分红"),MIN(E414,M414),0)),"")</f>
        <v/>
      </c>
      <c r="O414" s="11" t="str">
        <f t="shared" si="127">IF(I414="已计入",IF(OR(B414="卖出",B414="现金分红"),MIN(Q413,MAX(0,E414-N414)),0),"")</f>
        <v/>
      </c>
      <c r="P414" s="11" t="str">
        <f t="shared" si="128">IF(I414="已计入",IF(AND(B414="卖出",K414=0),MAX(0,Q413-O414),0),"")</f>
        <v/>
      </c>
      <c r="Q414" s="11">
        <f t="shared" si="129">IF(AA414="正常",IF(I414="已计入",ROUND(Q413+IF(OR(B414="买入",B414="定投",B414="转换转入"),E414,0)-O414-P414,2),Q413),"")</f>
        <v>129570</v>
      </c>
      <c r="R414" s="11" t="str">
        <f t="shared" si="120">IF(I414="已计入",ROUND(K414*C414,2),"")</f>
        <v/>
      </c>
      <c r="S414" s="11" t="str">
        <f t="shared" si="121">IF(I414="已计入",ROUND(R414-Q414,2),"")</f>
        <v/>
      </c>
      <c r="T414" s="12" t="str">
        <f t="shared" si="122">IF(I414="已计入",IF(Q414=0,"",S414/Q414),"")</f>
        <v/>
      </c>
      <c r="U414" s="11">
        <f t="shared" si="130">IF(AA414="正常",U413+IF(AND(I414="已计入",OR(B414="买入",B414="定投",B414="转换转入")),E414,0),"")</f>
        <v>129570</v>
      </c>
      <c r="V414" s="11">
        <f t="shared" si="131">IF(AA414="正常",V413+IF(AND(I414="已计入",OR(B414="卖出",B414="现金分红")),E414,0),"")</f>
        <v>0</v>
      </c>
      <c r="W414" s="11">
        <f t="shared" si="132">IF(AA414="正常",W413+IF(I414="已计入",N414,0),"")</f>
        <v>0</v>
      </c>
      <c r="X414" s="11">
        <f t="shared" si="133">IF(AA414="正常",X413+IF(I414="已计入",P414,0),"")</f>
        <v>0</v>
      </c>
      <c r="Y414" s="11" t="str">
        <f t="shared" si="123">IF(I414="已计入",ROUND(R414+V414-U414,2),"")</f>
        <v/>
      </c>
      <c r="Z414" s="13">
        <f t="shared" si="134">IF(AA414="正常",IF(I414="已计入",A414,Z413),"")</f>
        <v>46239</v>
      </c>
      <c r="AA414" s="10" t="str">
        <f>IF(OR($AA$134="错误",COUNTIF($G$135:G414,"待修正")&gt;0),"错误","正常")</f>
        <v>正常</v>
      </c>
      <c r="AB414" s="14">
        <f t="shared" si="135">IF(AA414="正常",IF(I414="已计入",C414,AB413),"")</f>
        <v>6.347</v>
      </c>
    </row>
    <row r="415" ht="23" customHeight="1">
      <c r="A415" s="36"/>
      <c r="B415" s="37"/>
      <c r="C415" s="38"/>
      <c r="D415" s="39"/>
      <c r="E415" s="44" t="str">
        <f t="shared" si="116">IF(AND(ISNUMBER(C415),ISNUMBER(D415),ISNUMBER(F415)),IF(OR(B415="买入",B415="定投"),ROUND(C415*D415+F415,2),IF(B415="卖出",ROUND(C415*D415-F415,2),IF(B415="红利再投",0,""))),"")</f>
        <v/>
      </c>
      <c r="F415" s="39"/>
      <c r="G415" s="45" t="str">
        <f t="shared" si="117">IF(COUNTA(A415:D415,F415)=0,"",IF(I415="已计入","已录入","待修正"))</f>
        <v/>
      </c>
      <c r="H415" s="46" t="str">
        <f t="shared" si="118">IF(COUNTA(A415:D415,F415)=0,"",IF(B415="红利再投","仅增加份额，不增加现金投入","金额由份额、净值和手续费推算"))</f>
        <v/>
      </c>
      <c r="I415" s="10" t="str">
        <f>IF(COUNTA(A415:D415,F415)=0,"",IF(NOT(ISNUMBER(A415)),"缺少有效净值日期",IF(OR(A415&lt;=0,A415&lt;&gt;INT(A415)),"净值日期无效",IF(OR(B415="转换转入",B415="现金分红"),"该类型需实际金额，五项录入不适用",IF(NOT(OR(OR(B415="买入",B415="定投"),B415="卖出",B415="红利再投")),"请选择交易类型",IF(NOT(ISNUMBER(C415)),"缺少成交净值",IF(C415&lt;=0,"成交净值须大于零",IF(NOT(ISNUMBER(D415)),"缺少确认份额",IF(D415&lt;=0,"确认份额须大于零",IF(NOT(ISNUMBER(F415)),"缺少手续费，无费用请填 0",IF(F415&lt;0,"手续费不能为负",IF(AA414="错误","前行待修正",IF(A415&lt;Z414,"日期需按成交顺序递增",IF(AND(B415="红利再投",F415&lt;&gt;0),"红利再投手续费应填 0",IF(AND(B415="红利再投",K414&lt;=0),"红利再投前须有持仓",IF(AND(B415="卖出",D415&gt;K414+0.000001),"卖出份额超过持仓",IF(AND(B415="卖出",F415&gt;=C415*D415),"赎回费不能达到赎回总额",IF(NOT(ISNUMBER(E415)),"自动金额未生成，请检查五项输入",IF(NOT(OR('持仓总览'!$C$7="利润优先",'持仓总览'!$C$7="本金优先")),"请选择卖出分配模式","已计入")))))))))))))))))))</f>
        <v/>
      </c>
      <c r="J415" s="11">
        <f t="shared" si="119">IF(AA415="正常",IF(I415="已计入",IF(OR(OR(B415="买入",B415="定投",B415="转换转入"),B415="红利再投"),D415,IF(B415="卖出",-D415,0)),0),"")</f>
        <v>0</v>
      </c>
      <c r="K415" s="11">
        <f t="shared" si="124">IF(AA415="正常",ROUND(K414+J415,6),"")</f>
        <v>25721.6</v>
      </c>
      <c r="L415" s="11" t="str">
        <f t="shared" si="125">IF(I415="已计入",ROUND(K414*C415,2),"")</f>
        <v/>
      </c>
      <c r="M415" s="11" t="str">
        <f t="shared" si="126">IF(I415="已计入",IF(B415="卖出",MAX(0,L415-Q414-F415),IF(B415="现金分红",MAX(0,L415+E415-Q414),0)),"")</f>
        <v/>
      </c>
      <c r="N415" s="11" t="str">
        <f>IF(I415="已计入",IF(AND(B415="卖出",'持仓总览'!$C$7="本金优先"),MAX(0,E415-Q414),IF(OR(B415="卖出",B415="现金分红"),MIN(E415,M415),0)),"")</f>
        <v/>
      </c>
      <c r="O415" s="11" t="str">
        <f t="shared" si="127">IF(I415="已计入",IF(OR(B415="卖出",B415="现金分红"),MIN(Q414,MAX(0,E415-N415)),0),"")</f>
        <v/>
      </c>
      <c r="P415" s="11" t="str">
        <f t="shared" si="128">IF(I415="已计入",IF(AND(B415="卖出",K415=0),MAX(0,Q414-O415),0),"")</f>
        <v/>
      </c>
      <c r="Q415" s="11">
        <f t="shared" si="129">IF(AA415="正常",IF(I415="已计入",ROUND(Q414+IF(OR(B415="买入",B415="定投",B415="转换转入"),E415,0)-O415-P415,2),Q414),"")</f>
        <v>129570</v>
      </c>
      <c r="R415" s="11" t="str">
        <f t="shared" si="120">IF(I415="已计入",ROUND(K415*C415,2),"")</f>
        <v/>
      </c>
      <c r="S415" s="11" t="str">
        <f t="shared" si="121">IF(I415="已计入",ROUND(R415-Q415,2),"")</f>
        <v/>
      </c>
      <c r="T415" s="12" t="str">
        <f t="shared" si="122">IF(I415="已计入",IF(Q415=0,"",S415/Q415),"")</f>
        <v/>
      </c>
      <c r="U415" s="11">
        <f t="shared" si="130">IF(AA415="正常",U414+IF(AND(I415="已计入",OR(B415="买入",B415="定投",B415="转换转入")),E415,0),"")</f>
        <v>129570</v>
      </c>
      <c r="V415" s="11">
        <f t="shared" si="131">IF(AA415="正常",V414+IF(AND(I415="已计入",OR(B415="卖出",B415="现金分红")),E415,0),"")</f>
        <v>0</v>
      </c>
      <c r="W415" s="11">
        <f t="shared" si="132">IF(AA415="正常",W414+IF(I415="已计入",N415,0),"")</f>
        <v>0</v>
      </c>
      <c r="X415" s="11">
        <f t="shared" si="133">IF(AA415="正常",X414+IF(I415="已计入",P415,0),"")</f>
        <v>0</v>
      </c>
      <c r="Y415" s="11" t="str">
        <f t="shared" si="123">IF(I415="已计入",ROUND(R415+V415-U415,2),"")</f>
        <v/>
      </c>
      <c r="Z415" s="13">
        <f t="shared" si="134">IF(AA415="正常",IF(I415="已计入",A415,Z414),"")</f>
        <v>46239</v>
      </c>
      <c r="AA415" s="10" t="str">
        <f>IF(OR($AA$134="错误",COUNTIF($G$135:G415,"待修正")&gt;0),"错误","正常")</f>
        <v>正常</v>
      </c>
      <c r="AB415" s="14">
        <f t="shared" si="135">IF(AA415="正常",IF(I415="已计入",C415,AB414),"")</f>
        <v>6.347</v>
      </c>
    </row>
    <row r="416" ht="23" customHeight="1">
      <c r="A416" s="36"/>
      <c r="B416" s="37"/>
      <c r="C416" s="38"/>
      <c r="D416" s="39"/>
      <c r="E416" s="44" t="str">
        <f t="shared" si="116">IF(AND(ISNUMBER(C416),ISNUMBER(D416),ISNUMBER(F416)),IF(OR(B416="买入",B416="定投"),ROUND(C416*D416+F416,2),IF(B416="卖出",ROUND(C416*D416-F416,2),IF(B416="红利再投",0,""))),"")</f>
        <v/>
      </c>
      <c r="F416" s="39"/>
      <c r="G416" s="45" t="str">
        <f t="shared" si="117">IF(COUNTA(A416:D416,F416)=0,"",IF(I416="已计入","已录入","待修正"))</f>
        <v/>
      </c>
      <c r="H416" s="46" t="str">
        <f t="shared" si="118">IF(COUNTA(A416:D416,F416)=0,"",IF(B416="红利再投","仅增加份额，不增加现金投入","金额由份额、净值和手续费推算"))</f>
        <v/>
      </c>
      <c r="I416" s="10" t="str">
        <f>IF(COUNTA(A416:D416,F416)=0,"",IF(NOT(ISNUMBER(A416)),"缺少有效净值日期",IF(OR(A416&lt;=0,A416&lt;&gt;INT(A416)),"净值日期无效",IF(OR(B416="转换转入",B416="现金分红"),"该类型需实际金额，五项录入不适用",IF(NOT(OR(OR(B416="买入",B416="定投"),B416="卖出",B416="红利再投")),"请选择交易类型",IF(NOT(ISNUMBER(C416)),"缺少成交净值",IF(C416&lt;=0,"成交净值须大于零",IF(NOT(ISNUMBER(D416)),"缺少确认份额",IF(D416&lt;=0,"确认份额须大于零",IF(NOT(ISNUMBER(F416)),"缺少手续费，无费用请填 0",IF(F416&lt;0,"手续费不能为负",IF(AA415="错误","前行待修正",IF(A416&lt;Z415,"日期需按成交顺序递增",IF(AND(B416="红利再投",F416&lt;&gt;0),"红利再投手续费应填 0",IF(AND(B416="红利再投",K415&lt;=0),"红利再投前须有持仓",IF(AND(B416="卖出",D416&gt;K415+0.000001),"卖出份额超过持仓",IF(AND(B416="卖出",F416&gt;=C416*D416),"赎回费不能达到赎回总额",IF(NOT(ISNUMBER(E416)),"自动金额未生成，请检查五项输入",IF(NOT(OR('持仓总览'!$C$7="利润优先",'持仓总览'!$C$7="本金优先")),"请选择卖出分配模式","已计入")))))))))))))))))))</f>
        <v/>
      </c>
      <c r="J416" s="11">
        <f t="shared" si="119">IF(AA416="正常",IF(I416="已计入",IF(OR(OR(B416="买入",B416="定投",B416="转换转入"),B416="红利再投"),D416,IF(B416="卖出",-D416,0)),0),"")</f>
        <v>0</v>
      </c>
      <c r="K416" s="11">
        <f t="shared" si="124">IF(AA416="正常",ROUND(K415+J416,6),"")</f>
        <v>25721.6</v>
      </c>
      <c r="L416" s="11" t="str">
        <f t="shared" si="125">IF(I416="已计入",ROUND(K415*C416,2),"")</f>
        <v/>
      </c>
      <c r="M416" s="11" t="str">
        <f t="shared" si="126">IF(I416="已计入",IF(B416="卖出",MAX(0,L416-Q415-F416),IF(B416="现金分红",MAX(0,L416+E416-Q415),0)),"")</f>
        <v/>
      </c>
      <c r="N416" s="11" t="str">
        <f>IF(I416="已计入",IF(AND(B416="卖出",'持仓总览'!$C$7="本金优先"),MAX(0,E416-Q415),IF(OR(B416="卖出",B416="现金分红"),MIN(E416,M416),0)),"")</f>
        <v/>
      </c>
      <c r="O416" s="11" t="str">
        <f t="shared" si="127">IF(I416="已计入",IF(OR(B416="卖出",B416="现金分红"),MIN(Q415,MAX(0,E416-N416)),0),"")</f>
        <v/>
      </c>
      <c r="P416" s="11" t="str">
        <f t="shared" si="128">IF(I416="已计入",IF(AND(B416="卖出",K416=0),MAX(0,Q415-O416),0),"")</f>
        <v/>
      </c>
      <c r="Q416" s="11">
        <f t="shared" si="129">IF(AA416="正常",IF(I416="已计入",ROUND(Q415+IF(OR(B416="买入",B416="定投",B416="转换转入"),E416,0)-O416-P416,2),Q415),"")</f>
        <v>129570</v>
      </c>
      <c r="R416" s="11" t="str">
        <f t="shared" si="120">IF(I416="已计入",ROUND(K416*C416,2),"")</f>
        <v/>
      </c>
      <c r="S416" s="11" t="str">
        <f t="shared" si="121">IF(I416="已计入",ROUND(R416-Q416,2),"")</f>
        <v/>
      </c>
      <c r="T416" s="12" t="str">
        <f t="shared" si="122">IF(I416="已计入",IF(Q416=0,"",S416/Q416),"")</f>
        <v/>
      </c>
      <c r="U416" s="11">
        <f t="shared" si="130">IF(AA416="正常",U415+IF(AND(I416="已计入",OR(B416="买入",B416="定投",B416="转换转入")),E416,0),"")</f>
        <v>129570</v>
      </c>
      <c r="V416" s="11">
        <f t="shared" si="131">IF(AA416="正常",V415+IF(AND(I416="已计入",OR(B416="卖出",B416="现金分红")),E416,0),"")</f>
        <v>0</v>
      </c>
      <c r="W416" s="11">
        <f t="shared" si="132">IF(AA416="正常",W415+IF(I416="已计入",N416,0),"")</f>
        <v>0</v>
      </c>
      <c r="X416" s="11">
        <f t="shared" si="133">IF(AA416="正常",X415+IF(I416="已计入",P416,0),"")</f>
        <v>0</v>
      </c>
      <c r="Y416" s="11" t="str">
        <f t="shared" si="123">IF(I416="已计入",ROUND(R416+V416-U416,2),"")</f>
        <v/>
      </c>
      <c r="Z416" s="13">
        <f t="shared" si="134">IF(AA416="正常",IF(I416="已计入",A416,Z415),"")</f>
        <v>46239</v>
      </c>
      <c r="AA416" s="10" t="str">
        <f>IF(OR($AA$134="错误",COUNTIF($G$135:G416,"待修正")&gt;0),"错误","正常")</f>
        <v>正常</v>
      </c>
      <c r="AB416" s="14">
        <f t="shared" si="135">IF(AA416="正常",IF(I416="已计入",C416,AB415),"")</f>
        <v>6.347</v>
      </c>
    </row>
    <row r="417" ht="23" customHeight="1">
      <c r="A417" s="36"/>
      <c r="B417" s="37"/>
      <c r="C417" s="38"/>
      <c r="D417" s="39"/>
      <c r="E417" s="44" t="str">
        <f t="shared" si="116">IF(AND(ISNUMBER(C417),ISNUMBER(D417),ISNUMBER(F417)),IF(OR(B417="买入",B417="定投"),ROUND(C417*D417+F417,2),IF(B417="卖出",ROUND(C417*D417-F417,2),IF(B417="红利再投",0,""))),"")</f>
        <v/>
      </c>
      <c r="F417" s="39"/>
      <c r="G417" s="45" t="str">
        <f t="shared" si="117">IF(COUNTA(A417:D417,F417)=0,"",IF(I417="已计入","已录入","待修正"))</f>
        <v/>
      </c>
      <c r="H417" s="46" t="str">
        <f t="shared" si="118">IF(COUNTA(A417:D417,F417)=0,"",IF(B417="红利再投","仅增加份额，不增加现金投入","金额由份额、净值和手续费推算"))</f>
        <v/>
      </c>
      <c r="I417" s="10" t="str">
        <f>IF(COUNTA(A417:D417,F417)=0,"",IF(NOT(ISNUMBER(A417)),"缺少有效净值日期",IF(OR(A417&lt;=0,A417&lt;&gt;INT(A417)),"净值日期无效",IF(OR(B417="转换转入",B417="现金分红"),"该类型需实际金额，五项录入不适用",IF(NOT(OR(OR(B417="买入",B417="定投"),B417="卖出",B417="红利再投")),"请选择交易类型",IF(NOT(ISNUMBER(C417)),"缺少成交净值",IF(C417&lt;=0,"成交净值须大于零",IF(NOT(ISNUMBER(D417)),"缺少确认份额",IF(D417&lt;=0,"确认份额须大于零",IF(NOT(ISNUMBER(F417)),"缺少手续费，无费用请填 0",IF(F417&lt;0,"手续费不能为负",IF(AA416="错误","前行待修正",IF(A417&lt;Z416,"日期需按成交顺序递增",IF(AND(B417="红利再投",F417&lt;&gt;0),"红利再投手续费应填 0",IF(AND(B417="红利再投",K416&lt;=0),"红利再投前须有持仓",IF(AND(B417="卖出",D417&gt;K416+0.000001),"卖出份额超过持仓",IF(AND(B417="卖出",F417&gt;=C417*D417),"赎回费不能达到赎回总额",IF(NOT(ISNUMBER(E417)),"自动金额未生成，请检查五项输入",IF(NOT(OR('持仓总览'!$C$7="利润优先",'持仓总览'!$C$7="本金优先")),"请选择卖出分配模式","已计入")))))))))))))))))))</f>
        <v/>
      </c>
      <c r="J417" s="11">
        <f t="shared" si="119">IF(AA417="正常",IF(I417="已计入",IF(OR(OR(B417="买入",B417="定投",B417="转换转入"),B417="红利再投"),D417,IF(B417="卖出",-D417,0)),0),"")</f>
        <v>0</v>
      </c>
      <c r="K417" s="11">
        <f t="shared" si="124">IF(AA417="正常",ROUND(K416+J417,6),"")</f>
        <v>25721.6</v>
      </c>
      <c r="L417" s="11" t="str">
        <f t="shared" si="125">IF(I417="已计入",ROUND(K416*C417,2),"")</f>
        <v/>
      </c>
      <c r="M417" s="11" t="str">
        <f t="shared" si="126">IF(I417="已计入",IF(B417="卖出",MAX(0,L417-Q416-F417),IF(B417="现金分红",MAX(0,L417+E417-Q416),0)),"")</f>
        <v/>
      </c>
      <c r="N417" s="11" t="str">
        <f>IF(I417="已计入",IF(AND(B417="卖出",'持仓总览'!$C$7="本金优先"),MAX(0,E417-Q416),IF(OR(B417="卖出",B417="现金分红"),MIN(E417,M417),0)),"")</f>
        <v/>
      </c>
      <c r="O417" s="11" t="str">
        <f t="shared" si="127">IF(I417="已计入",IF(OR(B417="卖出",B417="现金分红"),MIN(Q416,MAX(0,E417-N417)),0),"")</f>
        <v/>
      </c>
      <c r="P417" s="11" t="str">
        <f t="shared" si="128">IF(I417="已计入",IF(AND(B417="卖出",K417=0),MAX(0,Q416-O417),0),"")</f>
        <v/>
      </c>
      <c r="Q417" s="11">
        <f t="shared" si="129">IF(AA417="正常",IF(I417="已计入",ROUND(Q416+IF(OR(B417="买入",B417="定投",B417="转换转入"),E417,0)-O417-P417,2),Q416),"")</f>
        <v>129570</v>
      </c>
      <c r="R417" s="11" t="str">
        <f t="shared" si="120">IF(I417="已计入",ROUND(K417*C417,2),"")</f>
        <v/>
      </c>
      <c r="S417" s="11" t="str">
        <f t="shared" si="121">IF(I417="已计入",ROUND(R417-Q417,2),"")</f>
        <v/>
      </c>
      <c r="T417" s="12" t="str">
        <f t="shared" si="122">IF(I417="已计入",IF(Q417=0,"",S417/Q417),"")</f>
        <v/>
      </c>
      <c r="U417" s="11">
        <f t="shared" si="130">IF(AA417="正常",U416+IF(AND(I417="已计入",OR(B417="买入",B417="定投",B417="转换转入")),E417,0),"")</f>
        <v>129570</v>
      </c>
      <c r="V417" s="11">
        <f t="shared" si="131">IF(AA417="正常",V416+IF(AND(I417="已计入",OR(B417="卖出",B417="现金分红")),E417,0),"")</f>
        <v>0</v>
      </c>
      <c r="W417" s="11">
        <f t="shared" si="132">IF(AA417="正常",W416+IF(I417="已计入",N417,0),"")</f>
        <v>0</v>
      </c>
      <c r="X417" s="11">
        <f t="shared" si="133">IF(AA417="正常",X416+IF(I417="已计入",P417,0),"")</f>
        <v>0</v>
      </c>
      <c r="Y417" s="11" t="str">
        <f t="shared" si="123">IF(I417="已计入",ROUND(R417+V417-U417,2),"")</f>
        <v/>
      </c>
      <c r="Z417" s="13">
        <f t="shared" si="134">IF(AA417="正常",IF(I417="已计入",A417,Z416),"")</f>
        <v>46239</v>
      </c>
      <c r="AA417" s="10" t="str">
        <f>IF(OR($AA$134="错误",COUNTIF($G$135:G417,"待修正")&gt;0),"错误","正常")</f>
        <v>正常</v>
      </c>
      <c r="AB417" s="14">
        <f t="shared" si="135">IF(AA417="正常",IF(I417="已计入",C417,AB416),"")</f>
        <v>6.347</v>
      </c>
    </row>
    <row r="418" ht="23" customHeight="1">
      <c r="A418" s="36"/>
      <c r="B418" s="37"/>
      <c r="C418" s="38"/>
      <c r="D418" s="39"/>
      <c r="E418" s="44" t="str">
        <f t="shared" si="116">IF(AND(ISNUMBER(C418),ISNUMBER(D418),ISNUMBER(F418)),IF(OR(B418="买入",B418="定投"),ROUND(C418*D418+F418,2),IF(B418="卖出",ROUND(C418*D418-F418,2),IF(B418="红利再投",0,""))),"")</f>
        <v/>
      </c>
      <c r="F418" s="39"/>
      <c r="G418" s="45" t="str">
        <f t="shared" si="117">IF(COUNTA(A418:D418,F418)=0,"",IF(I418="已计入","已录入","待修正"))</f>
        <v/>
      </c>
      <c r="H418" s="46" t="str">
        <f t="shared" si="118">IF(COUNTA(A418:D418,F418)=0,"",IF(B418="红利再投","仅增加份额，不增加现金投入","金额由份额、净值和手续费推算"))</f>
        <v/>
      </c>
      <c r="I418" s="10" t="str">
        <f>IF(COUNTA(A418:D418,F418)=0,"",IF(NOT(ISNUMBER(A418)),"缺少有效净值日期",IF(OR(A418&lt;=0,A418&lt;&gt;INT(A418)),"净值日期无效",IF(OR(B418="转换转入",B418="现金分红"),"该类型需实际金额，五项录入不适用",IF(NOT(OR(OR(B418="买入",B418="定投"),B418="卖出",B418="红利再投")),"请选择交易类型",IF(NOT(ISNUMBER(C418)),"缺少成交净值",IF(C418&lt;=0,"成交净值须大于零",IF(NOT(ISNUMBER(D418)),"缺少确认份额",IF(D418&lt;=0,"确认份额须大于零",IF(NOT(ISNUMBER(F418)),"缺少手续费，无费用请填 0",IF(F418&lt;0,"手续费不能为负",IF(AA417="错误","前行待修正",IF(A418&lt;Z417,"日期需按成交顺序递增",IF(AND(B418="红利再投",F418&lt;&gt;0),"红利再投手续费应填 0",IF(AND(B418="红利再投",K417&lt;=0),"红利再投前须有持仓",IF(AND(B418="卖出",D418&gt;K417+0.000001),"卖出份额超过持仓",IF(AND(B418="卖出",F418&gt;=C418*D418),"赎回费不能达到赎回总额",IF(NOT(ISNUMBER(E418)),"自动金额未生成，请检查五项输入",IF(NOT(OR('持仓总览'!$C$7="利润优先",'持仓总览'!$C$7="本金优先")),"请选择卖出分配模式","已计入")))))))))))))))))))</f>
        <v/>
      </c>
      <c r="J418" s="11">
        <f t="shared" si="119">IF(AA418="正常",IF(I418="已计入",IF(OR(OR(B418="买入",B418="定投",B418="转换转入"),B418="红利再投"),D418,IF(B418="卖出",-D418,0)),0),"")</f>
        <v>0</v>
      </c>
      <c r="K418" s="11">
        <f t="shared" si="124">IF(AA418="正常",ROUND(K417+J418,6),"")</f>
        <v>25721.6</v>
      </c>
      <c r="L418" s="11" t="str">
        <f t="shared" si="125">IF(I418="已计入",ROUND(K417*C418,2),"")</f>
        <v/>
      </c>
      <c r="M418" s="11" t="str">
        <f t="shared" si="126">IF(I418="已计入",IF(B418="卖出",MAX(0,L418-Q417-F418),IF(B418="现金分红",MAX(0,L418+E418-Q417),0)),"")</f>
        <v/>
      </c>
      <c r="N418" s="11" t="str">
        <f>IF(I418="已计入",IF(AND(B418="卖出",'持仓总览'!$C$7="本金优先"),MAX(0,E418-Q417),IF(OR(B418="卖出",B418="现金分红"),MIN(E418,M418),0)),"")</f>
        <v/>
      </c>
      <c r="O418" s="11" t="str">
        <f t="shared" si="127">IF(I418="已计入",IF(OR(B418="卖出",B418="现金分红"),MIN(Q417,MAX(0,E418-N418)),0),"")</f>
        <v/>
      </c>
      <c r="P418" s="11" t="str">
        <f t="shared" si="128">IF(I418="已计入",IF(AND(B418="卖出",K418=0),MAX(0,Q417-O418),0),"")</f>
        <v/>
      </c>
      <c r="Q418" s="11">
        <f t="shared" si="129">IF(AA418="正常",IF(I418="已计入",ROUND(Q417+IF(OR(B418="买入",B418="定投",B418="转换转入"),E418,0)-O418-P418,2),Q417),"")</f>
        <v>129570</v>
      </c>
      <c r="R418" s="11" t="str">
        <f t="shared" si="120">IF(I418="已计入",ROUND(K418*C418,2),"")</f>
        <v/>
      </c>
      <c r="S418" s="11" t="str">
        <f t="shared" si="121">IF(I418="已计入",ROUND(R418-Q418,2),"")</f>
        <v/>
      </c>
      <c r="T418" s="12" t="str">
        <f t="shared" si="122">IF(I418="已计入",IF(Q418=0,"",S418/Q418),"")</f>
        <v/>
      </c>
      <c r="U418" s="11">
        <f t="shared" si="130">IF(AA418="正常",U417+IF(AND(I418="已计入",OR(B418="买入",B418="定投",B418="转换转入")),E418,0),"")</f>
        <v>129570</v>
      </c>
      <c r="V418" s="11">
        <f t="shared" si="131">IF(AA418="正常",V417+IF(AND(I418="已计入",OR(B418="卖出",B418="现金分红")),E418,0),"")</f>
        <v>0</v>
      </c>
      <c r="W418" s="11">
        <f t="shared" si="132">IF(AA418="正常",W417+IF(I418="已计入",N418,0),"")</f>
        <v>0</v>
      </c>
      <c r="X418" s="11">
        <f t="shared" si="133">IF(AA418="正常",X417+IF(I418="已计入",P418,0),"")</f>
        <v>0</v>
      </c>
      <c r="Y418" s="11" t="str">
        <f t="shared" si="123">IF(I418="已计入",ROUND(R418+V418-U418,2),"")</f>
        <v/>
      </c>
      <c r="Z418" s="13">
        <f t="shared" si="134">IF(AA418="正常",IF(I418="已计入",A418,Z417),"")</f>
        <v>46239</v>
      </c>
      <c r="AA418" s="10" t="str">
        <f>IF(OR($AA$134="错误",COUNTIF($G$135:G418,"待修正")&gt;0),"错误","正常")</f>
        <v>正常</v>
      </c>
      <c r="AB418" s="14">
        <f t="shared" si="135">IF(AA418="正常",IF(I418="已计入",C418,AB417),"")</f>
        <v>6.347</v>
      </c>
    </row>
    <row r="419" ht="23" customHeight="1">
      <c r="A419" s="36"/>
      <c r="B419" s="37"/>
      <c r="C419" s="38"/>
      <c r="D419" s="39"/>
      <c r="E419" s="44" t="str">
        <f t="shared" si="116">IF(AND(ISNUMBER(C419),ISNUMBER(D419),ISNUMBER(F419)),IF(OR(B419="买入",B419="定投"),ROUND(C419*D419+F419,2),IF(B419="卖出",ROUND(C419*D419-F419,2),IF(B419="红利再投",0,""))),"")</f>
        <v/>
      </c>
      <c r="F419" s="39"/>
      <c r="G419" s="45" t="str">
        <f t="shared" si="117">IF(COUNTA(A419:D419,F419)=0,"",IF(I419="已计入","已录入","待修正"))</f>
        <v/>
      </c>
      <c r="H419" s="46" t="str">
        <f t="shared" si="118">IF(COUNTA(A419:D419,F419)=0,"",IF(B419="红利再投","仅增加份额，不增加现金投入","金额由份额、净值和手续费推算"))</f>
        <v/>
      </c>
      <c r="I419" s="10" t="str">
        <f>IF(COUNTA(A419:D419,F419)=0,"",IF(NOT(ISNUMBER(A419)),"缺少有效净值日期",IF(OR(A419&lt;=0,A419&lt;&gt;INT(A419)),"净值日期无效",IF(OR(B419="转换转入",B419="现金分红"),"该类型需实际金额，五项录入不适用",IF(NOT(OR(OR(B419="买入",B419="定投"),B419="卖出",B419="红利再投")),"请选择交易类型",IF(NOT(ISNUMBER(C419)),"缺少成交净值",IF(C419&lt;=0,"成交净值须大于零",IF(NOT(ISNUMBER(D419)),"缺少确认份额",IF(D419&lt;=0,"确认份额须大于零",IF(NOT(ISNUMBER(F419)),"缺少手续费，无费用请填 0",IF(F419&lt;0,"手续费不能为负",IF(AA418="错误","前行待修正",IF(A419&lt;Z418,"日期需按成交顺序递增",IF(AND(B419="红利再投",F419&lt;&gt;0),"红利再投手续费应填 0",IF(AND(B419="红利再投",K418&lt;=0),"红利再投前须有持仓",IF(AND(B419="卖出",D419&gt;K418+0.000001),"卖出份额超过持仓",IF(AND(B419="卖出",F419&gt;=C419*D419),"赎回费不能达到赎回总额",IF(NOT(ISNUMBER(E419)),"自动金额未生成，请检查五项输入",IF(NOT(OR('持仓总览'!$C$7="利润优先",'持仓总览'!$C$7="本金优先")),"请选择卖出分配模式","已计入")))))))))))))))))))</f>
        <v/>
      </c>
      <c r="J419" s="11">
        <f t="shared" si="119">IF(AA419="正常",IF(I419="已计入",IF(OR(OR(B419="买入",B419="定投",B419="转换转入"),B419="红利再投"),D419,IF(B419="卖出",-D419,0)),0),"")</f>
        <v>0</v>
      </c>
      <c r="K419" s="11">
        <f t="shared" si="124">IF(AA419="正常",ROUND(K418+J419,6),"")</f>
        <v>25721.6</v>
      </c>
      <c r="L419" s="11" t="str">
        <f t="shared" si="125">IF(I419="已计入",ROUND(K418*C419,2),"")</f>
        <v/>
      </c>
      <c r="M419" s="11" t="str">
        <f t="shared" si="126">IF(I419="已计入",IF(B419="卖出",MAX(0,L419-Q418-F419),IF(B419="现金分红",MAX(0,L419+E419-Q418),0)),"")</f>
        <v/>
      </c>
      <c r="N419" s="11" t="str">
        <f>IF(I419="已计入",IF(AND(B419="卖出",'持仓总览'!$C$7="本金优先"),MAX(0,E419-Q418),IF(OR(B419="卖出",B419="现金分红"),MIN(E419,M419),0)),"")</f>
        <v/>
      </c>
      <c r="O419" s="11" t="str">
        <f t="shared" si="127">IF(I419="已计入",IF(OR(B419="卖出",B419="现金分红"),MIN(Q418,MAX(0,E419-N419)),0),"")</f>
        <v/>
      </c>
      <c r="P419" s="11" t="str">
        <f t="shared" si="128">IF(I419="已计入",IF(AND(B419="卖出",K419=0),MAX(0,Q418-O419),0),"")</f>
        <v/>
      </c>
      <c r="Q419" s="11">
        <f t="shared" si="129">IF(AA419="正常",IF(I419="已计入",ROUND(Q418+IF(OR(B419="买入",B419="定投",B419="转换转入"),E419,0)-O419-P419,2),Q418),"")</f>
        <v>129570</v>
      </c>
      <c r="R419" s="11" t="str">
        <f t="shared" si="120">IF(I419="已计入",ROUND(K419*C419,2),"")</f>
        <v/>
      </c>
      <c r="S419" s="11" t="str">
        <f t="shared" si="121">IF(I419="已计入",ROUND(R419-Q419,2),"")</f>
        <v/>
      </c>
      <c r="T419" s="12" t="str">
        <f t="shared" si="122">IF(I419="已计入",IF(Q419=0,"",S419/Q419),"")</f>
        <v/>
      </c>
      <c r="U419" s="11">
        <f t="shared" si="130">IF(AA419="正常",U418+IF(AND(I419="已计入",OR(B419="买入",B419="定投",B419="转换转入")),E419,0),"")</f>
        <v>129570</v>
      </c>
      <c r="V419" s="11">
        <f t="shared" si="131">IF(AA419="正常",V418+IF(AND(I419="已计入",OR(B419="卖出",B419="现金分红")),E419,0),"")</f>
        <v>0</v>
      </c>
      <c r="W419" s="11">
        <f t="shared" si="132">IF(AA419="正常",W418+IF(I419="已计入",N419,0),"")</f>
        <v>0</v>
      </c>
      <c r="X419" s="11">
        <f t="shared" si="133">IF(AA419="正常",X418+IF(I419="已计入",P419,0),"")</f>
        <v>0</v>
      </c>
      <c r="Y419" s="11" t="str">
        <f t="shared" si="123">IF(I419="已计入",ROUND(R419+V419-U419,2),"")</f>
        <v/>
      </c>
      <c r="Z419" s="13">
        <f t="shared" si="134">IF(AA419="正常",IF(I419="已计入",A419,Z418),"")</f>
        <v>46239</v>
      </c>
      <c r="AA419" s="10" t="str">
        <f>IF(OR($AA$134="错误",COUNTIF($G$135:G419,"待修正")&gt;0),"错误","正常")</f>
        <v>正常</v>
      </c>
      <c r="AB419" s="14">
        <f t="shared" si="135">IF(AA419="正常",IF(I419="已计入",C419,AB418),"")</f>
        <v>6.347</v>
      </c>
    </row>
    <row r="420" ht="23" customHeight="1">
      <c r="A420" s="36"/>
      <c r="B420" s="37"/>
      <c r="C420" s="38"/>
      <c r="D420" s="39"/>
      <c r="E420" s="44" t="str">
        <f t="shared" si="116">IF(AND(ISNUMBER(C420),ISNUMBER(D420),ISNUMBER(F420)),IF(OR(B420="买入",B420="定投"),ROUND(C420*D420+F420,2),IF(B420="卖出",ROUND(C420*D420-F420,2),IF(B420="红利再投",0,""))),"")</f>
        <v/>
      </c>
      <c r="F420" s="39"/>
      <c r="G420" s="45" t="str">
        <f t="shared" si="117">IF(COUNTA(A420:D420,F420)=0,"",IF(I420="已计入","已录入","待修正"))</f>
        <v/>
      </c>
      <c r="H420" s="46" t="str">
        <f t="shared" si="118">IF(COUNTA(A420:D420,F420)=0,"",IF(B420="红利再投","仅增加份额，不增加现金投入","金额由份额、净值和手续费推算"))</f>
        <v/>
      </c>
      <c r="I420" s="10" t="str">
        <f>IF(COUNTA(A420:D420,F420)=0,"",IF(NOT(ISNUMBER(A420)),"缺少有效净值日期",IF(OR(A420&lt;=0,A420&lt;&gt;INT(A420)),"净值日期无效",IF(OR(B420="转换转入",B420="现金分红"),"该类型需实际金额，五项录入不适用",IF(NOT(OR(OR(B420="买入",B420="定投"),B420="卖出",B420="红利再投")),"请选择交易类型",IF(NOT(ISNUMBER(C420)),"缺少成交净值",IF(C420&lt;=0,"成交净值须大于零",IF(NOT(ISNUMBER(D420)),"缺少确认份额",IF(D420&lt;=0,"确认份额须大于零",IF(NOT(ISNUMBER(F420)),"缺少手续费，无费用请填 0",IF(F420&lt;0,"手续费不能为负",IF(AA419="错误","前行待修正",IF(A420&lt;Z419,"日期需按成交顺序递增",IF(AND(B420="红利再投",F420&lt;&gt;0),"红利再投手续费应填 0",IF(AND(B420="红利再投",K419&lt;=0),"红利再投前须有持仓",IF(AND(B420="卖出",D420&gt;K419+0.000001),"卖出份额超过持仓",IF(AND(B420="卖出",F420&gt;=C420*D420),"赎回费不能达到赎回总额",IF(NOT(ISNUMBER(E420)),"自动金额未生成，请检查五项输入",IF(NOT(OR('持仓总览'!$C$7="利润优先",'持仓总览'!$C$7="本金优先")),"请选择卖出分配模式","已计入")))))))))))))))))))</f>
        <v/>
      </c>
      <c r="J420" s="11">
        <f t="shared" si="119">IF(AA420="正常",IF(I420="已计入",IF(OR(OR(B420="买入",B420="定投",B420="转换转入"),B420="红利再投"),D420,IF(B420="卖出",-D420,0)),0),"")</f>
        <v>0</v>
      </c>
      <c r="K420" s="11">
        <f t="shared" si="124">IF(AA420="正常",ROUND(K419+J420,6),"")</f>
        <v>25721.6</v>
      </c>
      <c r="L420" s="11" t="str">
        <f t="shared" si="125">IF(I420="已计入",ROUND(K419*C420,2),"")</f>
        <v/>
      </c>
      <c r="M420" s="11" t="str">
        <f t="shared" si="126">IF(I420="已计入",IF(B420="卖出",MAX(0,L420-Q419-F420),IF(B420="现金分红",MAX(0,L420+E420-Q419),0)),"")</f>
        <v/>
      </c>
      <c r="N420" s="11" t="str">
        <f>IF(I420="已计入",IF(AND(B420="卖出",'持仓总览'!$C$7="本金优先"),MAX(0,E420-Q419),IF(OR(B420="卖出",B420="现金分红"),MIN(E420,M420),0)),"")</f>
        <v/>
      </c>
      <c r="O420" s="11" t="str">
        <f t="shared" si="127">IF(I420="已计入",IF(OR(B420="卖出",B420="现金分红"),MIN(Q419,MAX(0,E420-N420)),0),"")</f>
        <v/>
      </c>
      <c r="P420" s="11" t="str">
        <f t="shared" si="128">IF(I420="已计入",IF(AND(B420="卖出",K420=0),MAX(0,Q419-O420),0),"")</f>
        <v/>
      </c>
      <c r="Q420" s="11">
        <f t="shared" si="129">IF(AA420="正常",IF(I420="已计入",ROUND(Q419+IF(OR(B420="买入",B420="定投",B420="转换转入"),E420,0)-O420-P420,2),Q419),"")</f>
        <v>129570</v>
      </c>
      <c r="R420" s="11" t="str">
        <f t="shared" si="120">IF(I420="已计入",ROUND(K420*C420,2),"")</f>
        <v/>
      </c>
      <c r="S420" s="11" t="str">
        <f t="shared" si="121">IF(I420="已计入",ROUND(R420-Q420,2),"")</f>
        <v/>
      </c>
      <c r="T420" s="12" t="str">
        <f t="shared" si="122">IF(I420="已计入",IF(Q420=0,"",S420/Q420),"")</f>
        <v/>
      </c>
      <c r="U420" s="11">
        <f t="shared" si="130">IF(AA420="正常",U419+IF(AND(I420="已计入",OR(B420="买入",B420="定投",B420="转换转入")),E420,0),"")</f>
        <v>129570</v>
      </c>
      <c r="V420" s="11">
        <f t="shared" si="131">IF(AA420="正常",V419+IF(AND(I420="已计入",OR(B420="卖出",B420="现金分红")),E420,0),"")</f>
        <v>0</v>
      </c>
      <c r="W420" s="11">
        <f t="shared" si="132">IF(AA420="正常",W419+IF(I420="已计入",N420,0),"")</f>
        <v>0</v>
      </c>
      <c r="X420" s="11">
        <f t="shared" si="133">IF(AA420="正常",X419+IF(I420="已计入",P420,0),"")</f>
        <v>0</v>
      </c>
      <c r="Y420" s="11" t="str">
        <f t="shared" si="123">IF(I420="已计入",ROUND(R420+V420-U420,2),"")</f>
        <v/>
      </c>
      <c r="Z420" s="13">
        <f t="shared" si="134">IF(AA420="正常",IF(I420="已计入",A420,Z419),"")</f>
        <v>46239</v>
      </c>
      <c r="AA420" s="10" t="str">
        <f>IF(OR($AA$134="错误",COUNTIF($G$135:G420,"待修正")&gt;0),"错误","正常")</f>
        <v>正常</v>
      </c>
      <c r="AB420" s="14">
        <f t="shared" si="135">IF(AA420="正常",IF(I420="已计入",C420,AB419),"")</f>
        <v>6.347</v>
      </c>
    </row>
    <row r="421" ht="23" customHeight="1">
      <c r="A421" s="36"/>
      <c r="B421" s="37"/>
      <c r="C421" s="38"/>
      <c r="D421" s="39"/>
      <c r="E421" s="44" t="str">
        <f t="shared" si="116">IF(AND(ISNUMBER(C421),ISNUMBER(D421),ISNUMBER(F421)),IF(OR(B421="买入",B421="定投"),ROUND(C421*D421+F421,2),IF(B421="卖出",ROUND(C421*D421-F421,2),IF(B421="红利再投",0,""))),"")</f>
        <v/>
      </c>
      <c r="F421" s="39"/>
      <c r="G421" s="45" t="str">
        <f t="shared" si="117">IF(COUNTA(A421:D421,F421)=0,"",IF(I421="已计入","已录入","待修正"))</f>
        <v/>
      </c>
      <c r="H421" s="46" t="str">
        <f t="shared" si="118">IF(COUNTA(A421:D421,F421)=0,"",IF(B421="红利再投","仅增加份额，不增加现金投入","金额由份额、净值和手续费推算"))</f>
        <v/>
      </c>
      <c r="I421" s="10" t="str">
        <f>IF(COUNTA(A421:D421,F421)=0,"",IF(NOT(ISNUMBER(A421)),"缺少有效净值日期",IF(OR(A421&lt;=0,A421&lt;&gt;INT(A421)),"净值日期无效",IF(OR(B421="转换转入",B421="现金分红"),"该类型需实际金额，五项录入不适用",IF(NOT(OR(OR(B421="买入",B421="定投"),B421="卖出",B421="红利再投")),"请选择交易类型",IF(NOT(ISNUMBER(C421)),"缺少成交净值",IF(C421&lt;=0,"成交净值须大于零",IF(NOT(ISNUMBER(D421)),"缺少确认份额",IF(D421&lt;=0,"确认份额须大于零",IF(NOT(ISNUMBER(F421)),"缺少手续费，无费用请填 0",IF(F421&lt;0,"手续费不能为负",IF(AA420="错误","前行待修正",IF(A421&lt;Z420,"日期需按成交顺序递增",IF(AND(B421="红利再投",F421&lt;&gt;0),"红利再投手续费应填 0",IF(AND(B421="红利再投",K420&lt;=0),"红利再投前须有持仓",IF(AND(B421="卖出",D421&gt;K420+0.000001),"卖出份额超过持仓",IF(AND(B421="卖出",F421&gt;=C421*D421),"赎回费不能达到赎回总额",IF(NOT(ISNUMBER(E421)),"自动金额未生成，请检查五项输入",IF(NOT(OR('持仓总览'!$C$7="利润优先",'持仓总览'!$C$7="本金优先")),"请选择卖出分配模式","已计入")))))))))))))))))))</f>
        <v/>
      </c>
      <c r="J421" s="11">
        <f t="shared" si="119">IF(AA421="正常",IF(I421="已计入",IF(OR(OR(B421="买入",B421="定投",B421="转换转入"),B421="红利再投"),D421,IF(B421="卖出",-D421,0)),0),"")</f>
        <v>0</v>
      </c>
      <c r="K421" s="11">
        <f t="shared" si="124">IF(AA421="正常",ROUND(K420+J421,6),"")</f>
        <v>25721.6</v>
      </c>
      <c r="L421" s="11" t="str">
        <f t="shared" si="125">IF(I421="已计入",ROUND(K420*C421,2),"")</f>
        <v/>
      </c>
      <c r="M421" s="11" t="str">
        <f t="shared" si="126">IF(I421="已计入",IF(B421="卖出",MAX(0,L421-Q420-F421),IF(B421="现金分红",MAX(0,L421+E421-Q420),0)),"")</f>
        <v/>
      </c>
      <c r="N421" s="11" t="str">
        <f>IF(I421="已计入",IF(AND(B421="卖出",'持仓总览'!$C$7="本金优先"),MAX(0,E421-Q420),IF(OR(B421="卖出",B421="现金分红"),MIN(E421,M421),0)),"")</f>
        <v/>
      </c>
      <c r="O421" s="11" t="str">
        <f t="shared" si="127">IF(I421="已计入",IF(OR(B421="卖出",B421="现金分红"),MIN(Q420,MAX(0,E421-N421)),0),"")</f>
        <v/>
      </c>
      <c r="P421" s="11" t="str">
        <f t="shared" si="128">IF(I421="已计入",IF(AND(B421="卖出",K421=0),MAX(0,Q420-O421),0),"")</f>
        <v/>
      </c>
      <c r="Q421" s="11">
        <f t="shared" si="129">IF(AA421="正常",IF(I421="已计入",ROUND(Q420+IF(OR(B421="买入",B421="定投",B421="转换转入"),E421,0)-O421-P421,2),Q420),"")</f>
        <v>129570</v>
      </c>
      <c r="R421" s="11" t="str">
        <f t="shared" si="120">IF(I421="已计入",ROUND(K421*C421,2),"")</f>
        <v/>
      </c>
      <c r="S421" s="11" t="str">
        <f t="shared" si="121">IF(I421="已计入",ROUND(R421-Q421,2),"")</f>
        <v/>
      </c>
      <c r="T421" s="12" t="str">
        <f t="shared" si="122">IF(I421="已计入",IF(Q421=0,"",S421/Q421),"")</f>
        <v/>
      </c>
      <c r="U421" s="11">
        <f t="shared" si="130">IF(AA421="正常",U420+IF(AND(I421="已计入",OR(B421="买入",B421="定投",B421="转换转入")),E421,0),"")</f>
        <v>129570</v>
      </c>
      <c r="V421" s="11">
        <f t="shared" si="131">IF(AA421="正常",V420+IF(AND(I421="已计入",OR(B421="卖出",B421="现金分红")),E421,0),"")</f>
        <v>0</v>
      </c>
      <c r="W421" s="11">
        <f t="shared" si="132">IF(AA421="正常",W420+IF(I421="已计入",N421,0),"")</f>
        <v>0</v>
      </c>
      <c r="X421" s="11">
        <f t="shared" si="133">IF(AA421="正常",X420+IF(I421="已计入",P421,0),"")</f>
        <v>0</v>
      </c>
      <c r="Y421" s="11" t="str">
        <f t="shared" si="123">IF(I421="已计入",ROUND(R421+V421-U421,2),"")</f>
        <v/>
      </c>
      <c r="Z421" s="13">
        <f t="shared" si="134">IF(AA421="正常",IF(I421="已计入",A421,Z420),"")</f>
        <v>46239</v>
      </c>
      <c r="AA421" s="10" t="str">
        <f>IF(OR($AA$134="错误",COUNTIF($G$135:G421,"待修正")&gt;0),"错误","正常")</f>
        <v>正常</v>
      </c>
      <c r="AB421" s="14">
        <f t="shared" si="135">IF(AA421="正常",IF(I421="已计入",C421,AB420),"")</f>
        <v>6.347</v>
      </c>
    </row>
    <row r="422" ht="23" customHeight="1">
      <c r="A422" s="36"/>
      <c r="B422" s="37"/>
      <c r="C422" s="38"/>
      <c r="D422" s="39"/>
      <c r="E422" s="44" t="str">
        <f t="shared" si="116">IF(AND(ISNUMBER(C422),ISNUMBER(D422),ISNUMBER(F422)),IF(OR(B422="买入",B422="定投"),ROUND(C422*D422+F422,2),IF(B422="卖出",ROUND(C422*D422-F422,2),IF(B422="红利再投",0,""))),"")</f>
        <v/>
      </c>
      <c r="F422" s="39"/>
      <c r="G422" s="45" t="str">
        <f t="shared" si="117">IF(COUNTA(A422:D422,F422)=0,"",IF(I422="已计入","已录入","待修正"))</f>
        <v/>
      </c>
      <c r="H422" s="46" t="str">
        <f t="shared" si="118">IF(COUNTA(A422:D422,F422)=0,"",IF(B422="红利再投","仅增加份额，不增加现金投入","金额由份额、净值和手续费推算"))</f>
        <v/>
      </c>
      <c r="I422" s="10" t="str">
        <f>IF(COUNTA(A422:D422,F422)=0,"",IF(NOT(ISNUMBER(A422)),"缺少有效净值日期",IF(OR(A422&lt;=0,A422&lt;&gt;INT(A422)),"净值日期无效",IF(OR(B422="转换转入",B422="现金分红"),"该类型需实际金额，五项录入不适用",IF(NOT(OR(OR(B422="买入",B422="定投"),B422="卖出",B422="红利再投")),"请选择交易类型",IF(NOT(ISNUMBER(C422)),"缺少成交净值",IF(C422&lt;=0,"成交净值须大于零",IF(NOT(ISNUMBER(D422)),"缺少确认份额",IF(D422&lt;=0,"确认份额须大于零",IF(NOT(ISNUMBER(F422)),"缺少手续费，无费用请填 0",IF(F422&lt;0,"手续费不能为负",IF(AA421="错误","前行待修正",IF(A422&lt;Z421,"日期需按成交顺序递增",IF(AND(B422="红利再投",F422&lt;&gt;0),"红利再投手续费应填 0",IF(AND(B422="红利再投",K421&lt;=0),"红利再投前须有持仓",IF(AND(B422="卖出",D422&gt;K421+0.000001),"卖出份额超过持仓",IF(AND(B422="卖出",F422&gt;=C422*D422),"赎回费不能达到赎回总额",IF(NOT(ISNUMBER(E422)),"自动金额未生成，请检查五项输入",IF(NOT(OR('持仓总览'!$C$7="利润优先",'持仓总览'!$C$7="本金优先")),"请选择卖出分配模式","已计入")))))))))))))))))))</f>
        <v/>
      </c>
      <c r="J422" s="11">
        <f t="shared" si="119">IF(AA422="正常",IF(I422="已计入",IF(OR(OR(B422="买入",B422="定投",B422="转换转入"),B422="红利再投"),D422,IF(B422="卖出",-D422,0)),0),"")</f>
        <v>0</v>
      </c>
      <c r="K422" s="11">
        <f t="shared" si="124">IF(AA422="正常",ROUND(K421+J422,6),"")</f>
        <v>25721.6</v>
      </c>
      <c r="L422" s="11" t="str">
        <f t="shared" si="125">IF(I422="已计入",ROUND(K421*C422,2),"")</f>
        <v/>
      </c>
      <c r="M422" s="11" t="str">
        <f t="shared" si="126">IF(I422="已计入",IF(B422="卖出",MAX(0,L422-Q421-F422),IF(B422="现金分红",MAX(0,L422+E422-Q421),0)),"")</f>
        <v/>
      </c>
      <c r="N422" s="11" t="str">
        <f>IF(I422="已计入",IF(AND(B422="卖出",'持仓总览'!$C$7="本金优先"),MAX(0,E422-Q421),IF(OR(B422="卖出",B422="现金分红"),MIN(E422,M422),0)),"")</f>
        <v/>
      </c>
      <c r="O422" s="11" t="str">
        <f t="shared" si="127">IF(I422="已计入",IF(OR(B422="卖出",B422="现金分红"),MIN(Q421,MAX(0,E422-N422)),0),"")</f>
        <v/>
      </c>
      <c r="P422" s="11" t="str">
        <f t="shared" si="128">IF(I422="已计入",IF(AND(B422="卖出",K422=0),MAX(0,Q421-O422),0),"")</f>
        <v/>
      </c>
      <c r="Q422" s="11">
        <f t="shared" si="129">IF(AA422="正常",IF(I422="已计入",ROUND(Q421+IF(OR(B422="买入",B422="定投",B422="转换转入"),E422,0)-O422-P422,2),Q421),"")</f>
        <v>129570</v>
      </c>
      <c r="R422" s="11" t="str">
        <f t="shared" si="120">IF(I422="已计入",ROUND(K422*C422,2),"")</f>
        <v/>
      </c>
      <c r="S422" s="11" t="str">
        <f t="shared" si="121">IF(I422="已计入",ROUND(R422-Q422,2),"")</f>
        <v/>
      </c>
      <c r="T422" s="12" t="str">
        <f t="shared" si="122">IF(I422="已计入",IF(Q422=0,"",S422/Q422),"")</f>
        <v/>
      </c>
      <c r="U422" s="11">
        <f t="shared" si="130">IF(AA422="正常",U421+IF(AND(I422="已计入",OR(B422="买入",B422="定投",B422="转换转入")),E422,0),"")</f>
        <v>129570</v>
      </c>
      <c r="V422" s="11">
        <f t="shared" si="131">IF(AA422="正常",V421+IF(AND(I422="已计入",OR(B422="卖出",B422="现金分红")),E422,0),"")</f>
        <v>0</v>
      </c>
      <c r="W422" s="11">
        <f t="shared" si="132">IF(AA422="正常",W421+IF(I422="已计入",N422,0),"")</f>
        <v>0</v>
      </c>
      <c r="X422" s="11">
        <f t="shared" si="133">IF(AA422="正常",X421+IF(I422="已计入",P422,0),"")</f>
        <v>0</v>
      </c>
      <c r="Y422" s="11" t="str">
        <f t="shared" si="123">IF(I422="已计入",ROUND(R422+V422-U422,2),"")</f>
        <v/>
      </c>
      <c r="Z422" s="13">
        <f t="shared" si="134">IF(AA422="正常",IF(I422="已计入",A422,Z421),"")</f>
        <v>46239</v>
      </c>
      <c r="AA422" s="10" t="str">
        <f>IF(OR($AA$134="错误",COUNTIF($G$135:G422,"待修正")&gt;0),"错误","正常")</f>
        <v>正常</v>
      </c>
      <c r="AB422" s="14">
        <f t="shared" si="135">IF(AA422="正常",IF(I422="已计入",C422,AB421),"")</f>
        <v>6.347</v>
      </c>
    </row>
    <row r="423" ht="23" customHeight="1">
      <c r="A423" s="36"/>
      <c r="B423" s="37"/>
      <c r="C423" s="38"/>
      <c r="D423" s="39"/>
      <c r="E423" s="44" t="str">
        <f t="shared" si="116">IF(AND(ISNUMBER(C423),ISNUMBER(D423),ISNUMBER(F423)),IF(OR(B423="买入",B423="定投"),ROUND(C423*D423+F423,2),IF(B423="卖出",ROUND(C423*D423-F423,2),IF(B423="红利再投",0,""))),"")</f>
        <v/>
      </c>
      <c r="F423" s="39"/>
      <c r="G423" s="45" t="str">
        <f t="shared" si="117">IF(COUNTA(A423:D423,F423)=0,"",IF(I423="已计入","已录入","待修正"))</f>
        <v/>
      </c>
      <c r="H423" s="46" t="str">
        <f t="shared" si="118">IF(COUNTA(A423:D423,F423)=0,"",IF(B423="红利再投","仅增加份额，不增加现金投入","金额由份额、净值和手续费推算"))</f>
        <v/>
      </c>
      <c r="I423" s="10" t="str">
        <f>IF(COUNTA(A423:D423,F423)=0,"",IF(NOT(ISNUMBER(A423)),"缺少有效净值日期",IF(OR(A423&lt;=0,A423&lt;&gt;INT(A423)),"净值日期无效",IF(OR(B423="转换转入",B423="现金分红"),"该类型需实际金额，五项录入不适用",IF(NOT(OR(OR(B423="买入",B423="定投"),B423="卖出",B423="红利再投")),"请选择交易类型",IF(NOT(ISNUMBER(C423)),"缺少成交净值",IF(C423&lt;=0,"成交净值须大于零",IF(NOT(ISNUMBER(D423)),"缺少确认份额",IF(D423&lt;=0,"确认份额须大于零",IF(NOT(ISNUMBER(F423)),"缺少手续费，无费用请填 0",IF(F423&lt;0,"手续费不能为负",IF(AA422="错误","前行待修正",IF(A423&lt;Z422,"日期需按成交顺序递增",IF(AND(B423="红利再投",F423&lt;&gt;0),"红利再投手续费应填 0",IF(AND(B423="红利再投",K422&lt;=0),"红利再投前须有持仓",IF(AND(B423="卖出",D423&gt;K422+0.000001),"卖出份额超过持仓",IF(AND(B423="卖出",F423&gt;=C423*D423),"赎回费不能达到赎回总额",IF(NOT(ISNUMBER(E423)),"自动金额未生成，请检查五项输入",IF(NOT(OR('持仓总览'!$C$7="利润优先",'持仓总览'!$C$7="本金优先")),"请选择卖出分配模式","已计入")))))))))))))))))))</f>
        <v/>
      </c>
      <c r="J423" s="11">
        <f t="shared" si="119">IF(AA423="正常",IF(I423="已计入",IF(OR(OR(B423="买入",B423="定投",B423="转换转入"),B423="红利再投"),D423,IF(B423="卖出",-D423,0)),0),"")</f>
        <v>0</v>
      </c>
      <c r="K423" s="11">
        <f t="shared" si="124">IF(AA423="正常",ROUND(K422+J423,6),"")</f>
        <v>25721.6</v>
      </c>
      <c r="L423" s="11" t="str">
        <f t="shared" si="125">IF(I423="已计入",ROUND(K422*C423,2),"")</f>
        <v/>
      </c>
      <c r="M423" s="11" t="str">
        <f t="shared" si="126">IF(I423="已计入",IF(B423="卖出",MAX(0,L423-Q422-F423),IF(B423="现金分红",MAX(0,L423+E423-Q422),0)),"")</f>
        <v/>
      </c>
      <c r="N423" s="11" t="str">
        <f>IF(I423="已计入",IF(AND(B423="卖出",'持仓总览'!$C$7="本金优先"),MAX(0,E423-Q422),IF(OR(B423="卖出",B423="现金分红"),MIN(E423,M423),0)),"")</f>
        <v/>
      </c>
      <c r="O423" s="11" t="str">
        <f t="shared" si="127">IF(I423="已计入",IF(OR(B423="卖出",B423="现金分红"),MIN(Q422,MAX(0,E423-N423)),0),"")</f>
        <v/>
      </c>
      <c r="P423" s="11" t="str">
        <f t="shared" si="128">IF(I423="已计入",IF(AND(B423="卖出",K423=0),MAX(0,Q422-O423),0),"")</f>
        <v/>
      </c>
      <c r="Q423" s="11">
        <f t="shared" si="129">IF(AA423="正常",IF(I423="已计入",ROUND(Q422+IF(OR(B423="买入",B423="定投",B423="转换转入"),E423,0)-O423-P423,2),Q422),"")</f>
        <v>129570</v>
      </c>
      <c r="R423" s="11" t="str">
        <f t="shared" si="120">IF(I423="已计入",ROUND(K423*C423,2),"")</f>
        <v/>
      </c>
      <c r="S423" s="11" t="str">
        <f t="shared" si="121">IF(I423="已计入",ROUND(R423-Q423,2),"")</f>
        <v/>
      </c>
      <c r="T423" s="12" t="str">
        <f t="shared" si="122">IF(I423="已计入",IF(Q423=0,"",S423/Q423),"")</f>
        <v/>
      </c>
      <c r="U423" s="11">
        <f t="shared" si="130">IF(AA423="正常",U422+IF(AND(I423="已计入",OR(B423="买入",B423="定投",B423="转换转入")),E423,0),"")</f>
        <v>129570</v>
      </c>
      <c r="V423" s="11">
        <f t="shared" si="131">IF(AA423="正常",V422+IF(AND(I423="已计入",OR(B423="卖出",B423="现金分红")),E423,0),"")</f>
        <v>0</v>
      </c>
      <c r="W423" s="11">
        <f t="shared" si="132">IF(AA423="正常",W422+IF(I423="已计入",N423,0),"")</f>
        <v>0</v>
      </c>
      <c r="X423" s="11">
        <f t="shared" si="133">IF(AA423="正常",X422+IF(I423="已计入",P423,0),"")</f>
        <v>0</v>
      </c>
      <c r="Y423" s="11" t="str">
        <f t="shared" si="123">IF(I423="已计入",ROUND(R423+V423-U423,2),"")</f>
        <v/>
      </c>
      <c r="Z423" s="13">
        <f t="shared" si="134">IF(AA423="正常",IF(I423="已计入",A423,Z422),"")</f>
        <v>46239</v>
      </c>
      <c r="AA423" s="10" t="str">
        <f>IF(OR($AA$134="错误",COUNTIF($G$135:G423,"待修正")&gt;0),"错误","正常")</f>
        <v>正常</v>
      </c>
      <c r="AB423" s="14">
        <f t="shared" si="135">IF(AA423="正常",IF(I423="已计入",C423,AB422),"")</f>
        <v>6.347</v>
      </c>
    </row>
    <row r="424" ht="23" customHeight="1">
      <c r="A424" s="36"/>
      <c r="B424" s="37"/>
      <c r="C424" s="38"/>
      <c r="D424" s="39"/>
      <c r="E424" s="44" t="str">
        <f t="shared" si="116">IF(AND(ISNUMBER(C424),ISNUMBER(D424),ISNUMBER(F424)),IF(OR(B424="买入",B424="定投"),ROUND(C424*D424+F424,2),IF(B424="卖出",ROUND(C424*D424-F424,2),IF(B424="红利再投",0,""))),"")</f>
        <v/>
      </c>
      <c r="F424" s="39"/>
      <c r="G424" s="45" t="str">
        <f t="shared" si="117">IF(COUNTA(A424:D424,F424)=0,"",IF(I424="已计入","已录入","待修正"))</f>
        <v/>
      </c>
      <c r="H424" s="46" t="str">
        <f t="shared" si="118">IF(COUNTA(A424:D424,F424)=0,"",IF(B424="红利再投","仅增加份额，不增加现金投入","金额由份额、净值和手续费推算"))</f>
        <v/>
      </c>
      <c r="I424" s="10" t="str">
        <f>IF(COUNTA(A424:D424,F424)=0,"",IF(NOT(ISNUMBER(A424)),"缺少有效净值日期",IF(OR(A424&lt;=0,A424&lt;&gt;INT(A424)),"净值日期无效",IF(OR(B424="转换转入",B424="现金分红"),"该类型需实际金额，五项录入不适用",IF(NOT(OR(OR(B424="买入",B424="定投"),B424="卖出",B424="红利再投")),"请选择交易类型",IF(NOT(ISNUMBER(C424)),"缺少成交净值",IF(C424&lt;=0,"成交净值须大于零",IF(NOT(ISNUMBER(D424)),"缺少确认份额",IF(D424&lt;=0,"确认份额须大于零",IF(NOT(ISNUMBER(F424)),"缺少手续费，无费用请填 0",IF(F424&lt;0,"手续费不能为负",IF(AA423="错误","前行待修正",IF(A424&lt;Z423,"日期需按成交顺序递增",IF(AND(B424="红利再投",F424&lt;&gt;0),"红利再投手续费应填 0",IF(AND(B424="红利再投",K423&lt;=0),"红利再投前须有持仓",IF(AND(B424="卖出",D424&gt;K423+0.000001),"卖出份额超过持仓",IF(AND(B424="卖出",F424&gt;=C424*D424),"赎回费不能达到赎回总额",IF(NOT(ISNUMBER(E424)),"自动金额未生成，请检查五项输入",IF(NOT(OR('持仓总览'!$C$7="利润优先",'持仓总览'!$C$7="本金优先")),"请选择卖出分配模式","已计入")))))))))))))))))))</f>
        <v/>
      </c>
      <c r="J424" s="11">
        <f t="shared" si="119">IF(AA424="正常",IF(I424="已计入",IF(OR(OR(B424="买入",B424="定投",B424="转换转入"),B424="红利再投"),D424,IF(B424="卖出",-D424,0)),0),"")</f>
        <v>0</v>
      </c>
      <c r="K424" s="11">
        <f t="shared" si="124">IF(AA424="正常",ROUND(K423+J424,6),"")</f>
        <v>25721.6</v>
      </c>
      <c r="L424" s="11" t="str">
        <f t="shared" si="125">IF(I424="已计入",ROUND(K423*C424,2),"")</f>
        <v/>
      </c>
      <c r="M424" s="11" t="str">
        <f t="shared" si="126">IF(I424="已计入",IF(B424="卖出",MAX(0,L424-Q423-F424),IF(B424="现金分红",MAX(0,L424+E424-Q423),0)),"")</f>
        <v/>
      </c>
      <c r="N424" s="11" t="str">
        <f>IF(I424="已计入",IF(AND(B424="卖出",'持仓总览'!$C$7="本金优先"),MAX(0,E424-Q423),IF(OR(B424="卖出",B424="现金分红"),MIN(E424,M424),0)),"")</f>
        <v/>
      </c>
      <c r="O424" s="11" t="str">
        <f t="shared" si="127">IF(I424="已计入",IF(OR(B424="卖出",B424="现金分红"),MIN(Q423,MAX(0,E424-N424)),0),"")</f>
        <v/>
      </c>
      <c r="P424" s="11" t="str">
        <f t="shared" si="128">IF(I424="已计入",IF(AND(B424="卖出",K424=0),MAX(0,Q423-O424),0),"")</f>
        <v/>
      </c>
      <c r="Q424" s="11">
        <f t="shared" si="129">IF(AA424="正常",IF(I424="已计入",ROUND(Q423+IF(OR(B424="买入",B424="定投",B424="转换转入"),E424,0)-O424-P424,2),Q423),"")</f>
        <v>129570</v>
      </c>
      <c r="R424" s="11" t="str">
        <f t="shared" si="120">IF(I424="已计入",ROUND(K424*C424,2),"")</f>
        <v/>
      </c>
      <c r="S424" s="11" t="str">
        <f t="shared" si="121">IF(I424="已计入",ROUND(R424-Q424,2),"")</f>
        <v/>
      </c>
      <c r="T424" s="12" t="str">
        <f t="shared" si="122">IF(I424="已计入",IF(Q424=0,"",S424/Q424),"")</f>
        <v/>
      </c>
      <c r="U424" s="11">
        <f t="shared" si="130">IF(AA424="正常",U423+IF(AND(I424="已计入",OR(B424="买入",B424="定投",B424="转换转入")),E424,0),"")</f>
        <v>129570</v>
      </c>
      <c r="V424" s="11">
        <f t="shared" si="131">IF(AA424="正常",V423+IF(AND(I424="已计入",OR(B424="卖出",B424="现金分红")),E424,0),"")</f>
        <v>0</v>
      </c>
      <c r="W424" s="11">
        <f t="shared" si="132">IF(AA424="正常",W423+IF(I424="已计入",N424,0),"")</f>
        <v>0</v>
      </c>
      <c r="X424" s="11">
        <f t="shared" si="133">IF(AA424="正常",X423+IF(I424="已计入",P424,0),"")</f>
        <v>0</v>
      </c>
      <c r="Y424" s="11" t="str">
        <f t="shared" si="123">IF(I424="已计入",ROUND(R424+V424-U424,2),"")</f>
        <v/>
      </c>
      <c r="Z424" s="13">
        <f t="shared" si="134">IF(AA424="正常",IF(I424="已计入",A424,Z423),"")</f>
        <v>46239</v>
      </c>
      <c r="AA424" s="10" t="str">
        <f>IF(OR($AA$134="错误",COUNTIF($G$135:G424,"待修正")&gt;0),"错误","正常")</f>
        <v>正常</v>
      </c>
      <c r="AB424" s="14">
        <f t="shared" si="135">IF(AA424="正常",IF(I424="已计入",C424,AB423),"")</f>
        <v>6.347</v>
      </c>
    </row>
    <row r="425" ht="23" customHeight="1">
      <c r="A425" s="36"/>
      <c r="B425" s="37"/>
      <c r="C425" s="38"/>
      <c r="D425" s="39"/>
      <c r="E425" s="44" t="str">
        <f t="shared" si="116">IF(AND(ISNUMBER(C425),ISNUMBER(D425),ISNUMBER(F425)),IF(OR(B425="买入",B425="定投"),ROUND(C425*D425+F425,2),IF(B425="卖出",ROUND(C425*D425-F425,2),IF(B425="红利再投",0,""))),"")</f>
        <v/>
      </c>
      <c r="F425" s="39"/>
      <c r="G425" s="45" t="str">
        <f t="shared" si="117">IF(COUNTA(A425:D425,F425)=0,"",IF(I425="已计入","已录入","待修正"))</f>
        <v/>
      </c>
      <c r="H425" s="46" t="str">
        <f t="shared" si="118">IF(COUNTA(A425:D425,F425)=0,"",IF(B425="红利再投","仅增加份额，不增加现金投入","金额由份额、净值和手续费推算"))</f>
        <v/>
      </c>
      <c r="I425" s="10" t="str">
        <f>IF(COUNTA(A425:D425,F425)=0,"",IF(NOT(ISNUMBER(A425)),"缺少有效净值日期",IF(OR(A425&lt;=0,A425&lt;&gt;INT(A425)),"净值日期无效",IF(OR(B425="转换转入",B425="现金分红"),"该类型需实际金额，五项录入不适用",IF(NOT(OR(OR(B425="买入",B425="定投"),B425="卖出",B425="红利再投")),"请选择交易类型",IF(NOT(ISNUMBER(C425)),"缺少成交净值",IF(C425&lt;=0,"成交净值须大于零",IF(NOT(ISNUMBER(D425)),"缺少确认份额",IF(D425&lt;=0,"确认份额须大于零",IF(NOT(ISNUMBER(F425)),"缺少手续费，无费用请填 0",IF(F425&lt;0,"手续费不能为负",IF(AA424="错误","前行待修正",IF(A425&lt;Z424,"日期需按成交顺序递增",IF(AND(B425="红利再投",F425&lt;&gt;0),"红利再投手续费应填 0",IF(AND(B425="红利再投",K424&lt;=0),"红利再投前须有持仓",IF(AND(B425="卖出",D425&gt;K424+0.000001),"卖出份额超过持仓",IF(AND(B425="卖出",F425&gt;=C425*D425),"赎回费不能达到赎回总额",IF(NOT(ISNUMBER(E425)),"自动金额未生成，请检查五项输入",IF(NOT(OR('持仓总览'!$C$7="利润优先",'持仓总览'!$C$7="本金优先")),"请选择卖出分配模式","已计入")))))))))))))))))))</f>
        <v/>
      </c>
      <c r="J425" s="11">
        <f t="shared" si="119">IF(AA425="正常",IF(I425="已计入",IF(OR(OR(B425="买入",B425="定投",B425="转换转入"),B425="红利再投"),D425,IF(B425="卖出",-D425,0)),0),"")</f>
        <v>0</v>
      </c>
      <c r="K425" s="11">
        <f t="shared" si="124">IF(AA425="正常",ROUND(K424+J425,6),"")</f>
        <v>25721.6</v>
      </c>
      <c r="L425" s="11" t="str">
        <f t="shared" si="125">IF(I425="已计入",ROUND(K424*C425,2),"")</f>
        <v/>
      </c>
      <c r="M425" s="11" t="str">
        <f t="shared" si="126">IF(I425="已计入",IF(B425="卖出",MAX(0,L425-Q424-F425),IF(B425="现金分红",MAX(0,L425+E425-Q424),0)),"")</f>
        <v/>
      </c>
      <c r="N425" s="11" t="str">
        <f>IF(I425="已计入",IF(AND(B425="卖出",'持仓总览'!$C$7="本金优先"),MAX(0,E425-Q424),IF(OR(B425="卖出",B425="现金分红"),MIN(E425,M425),0)),"")</f>
        <v/>
      </c>
      <c r="O425" s="11" t="str">
        <f t="shared" si="127">IF(I425="已计入",IF(OR(B425="卖出",B425="现金分红"),MIN(Q424,MAX(0,E425-N425)),0),"")</f>
        <v/>
      </c>
      <c r="P425" s="11" t="str">
        <f t="shared" si="128">IF(I425="已计入",IF(AND(B425="卖出",K425=0),MAX(0,Q424-O425),0),"")</f>
        <v/>
      </c>
      <c r="Q425" s="11">
        <f t="shared" si="129">IF(AA425="正常",IF(I425="已计入",ROUND(Q424+IF(OR(B425="买入",B425="定投",B425="转换转入"),E425,0)-O425-P425,2),Q424),"")</f>
        <v>129570</v>
      </c>
      <c r="R425" s="11" t="str">
        <f t="shared" si="120">IF(I425="已计入",ROUND(K425*C425,2),"")</f>
        <v/>
      </c>
      <c r="S425" s="11" t="str">
        <f t="shared" si="121">IF(I425="已计入",ROUND(R425-Q425,2),"")</f>
        <v/>
      </c>
      <c r="T425" s="12" t="str">
        <f t="shared" si="122">IF(I425="已计入",IF(Q425=0,"",S425/Q425),"")</f>
        <v/>
      </c>
      <c r="U425" s="11">
        <f t="shared" si="130">IF(AA425="正常",U424+IF(AND(I425="已计入",OR(B425="买入",B425="定投",B425="转换转入")),E425,0),"")</f>
        <v>129570</v>
      </c>
      <c r="V425" s="11">
        <f t="shared" si="131">IF(AA425="正常",V424+IF(AND(I425="已计入",OR(B425="卖出",B425="现金分红")),E425,0),"")</f>
        <v>0</v>
      </c>
      <c r="W425" s="11">
        <f t="shared" si="132">IF(AA425="正常",W424+IF(I425="已计入",N425,0),"")</f>
        <v>0</v>
      </c>
      <c r="X425" s="11">
        <f t="shared" si="133">IF(AA425="正常",X424+IF(I425="已计入",P425,0),"")</f>
        <v>0</v>
      </c>
      <c r="Y425" s="11" t="str">
        <f t="shared" si="123">IF(I425="已计入",ROUND(R425+V425-U425,2),"")</f>
        <v/>
      </c>
      <c r="Z425" s="13">
        <f t="shared" si="134">IF(AA425="正常",IF(I425="已计入",A425,Z424),"")</f>
        <v>46239</v>
      </c>
      <c r="AA425" s="10" t="str">
        <f>IF(OR($AA$134="错误",COUNTIF($G$135:G425,"待修正")&gt;0),"错误","正常")</f>
        <v>正常</v>
      </c>
      <c r="AB425" s="14">
        <f t="shared" si="135">IF(AA425="正常",IF(I425="已计入",C425,AB424),"")</f>
        <v>6.347</v>
      </c>
    </row>
    <row r="426" ht="23" customHeight="1">
      <c r="A426" s="36"/>
      <c r="B426" s="37"/>
      <c r="C426" s="38"/>
      <c r="D426" s="39"/>
      <c r="E426" s="44" t="str">
        <f t="shared" si="116">IF(AND(ISNUMBER(C426),ISNUMBER(D426),ISNUMBER(F426)),IF(OR(B426="买入",B426="定投"),ROUND(C426*D426+F426,2),IF(B426="卖出",ROUND(C426*D426-F426,2),IF(B426="红利再投",0,""))),"")</f>
        <v/>
      </c>
      <c r="F426" s="39"/>
      <c r="G426" s="45" t="str">
        <f t="shared" si="117">IF(COUNTA(A426:D426,F426)=0,"",IF(I426="已计入","已录入","待修正"))</f>
        <v/>
      </c>
      <c r="H426" s="46" t="str">
        <f t="shared" si="118">IF(COUNTA(A426:D426,F426)=0,"",IF(B426="红利再投","仅增加份额，不增加现金投入","金额由份额、净值和手续费推算"))</f>
        <v/>
      </c>
      <c r="I426" s="10" t="str">
        <f>IF(COUNTA(A426:D426,F426)=0,"",IF(NOT(ISNUMBER(A426)),"缺少有效净值日期",IF(OR(A426&lt;=0,A426&lt;&gt;INT(A426)),"净值日期无效",IF(OR(B426="转换转入",B426="现金分红"),"该类型需实际金额，五项录入不适用",IF(NOT(OR(OR(B426="买入",B426="定投"),B426="卖出",B426="红利再投")),"请选择交易类型",IF(NOT(ISNUMBER(C426)),"缺少成交净值",IF(C426&lt;=0,"成交净值须大于零",IF(NOT(ISNUMBER(D426)),"缺少确认份额",IF(D426&lt;=0,"确认份额须大于零",IF(NOT(ISNUMBER(F426)),"缺少手续费，无费用请填 0",IF(F426&lt;0,"手续费不能为负",IF(AA425="错误","前行待修正",IF(A426&lt;Z425,"日期需按成交顺序递增",IF(AND(B426="红利再投",F426&lt;&gt;0),"红利再投手续费应填 0",IF(AND(B426="红利再投",K425&lt;=0),"红利再投前须有持仓",IF(AND(B426="卖出",D426&gt;K425+0.000001),"卖出份额超过持仓",IF(AND(B426="卖出",F426&gt;=C426*D426),"赎回费不能达到赎回总额",IF(NOT(ISNUMBER(E426)),"自动金额未生成，请检查五项输入",IF(NOT(OR('持仓总览'!$C$7="利润优先",'持仓总览'!$C$7="本金优先")),"请选择卖出分配模式","已计入")))))))))))))))))))</f>
        <v/>
      </c>
      <c r="J426" s="11">
        <f t="shared" si="119">IF(AA426="正常",IF(I426="已计入",IF(OR(OR(B426="买入",B426="定投",B426="转换转入"),B426="红利再投"),D426,IF(B426="卖出",-D426,0)),0),"")</f>
        <v>0</v>
      </c>
      <c r="K426" s="11">
        <f t="shared" si="124">IF(AA426="正常",ROUND(K425+J426,6),"")</f>
        <v>25721.6</v>
      </c>
      <c r="L426" s="11" t="str">
        <f t="shared" si="125">IF(I426="已计入",ROUND(K425*C426,2),"")</f>
        <v/>
      </c>
      <c r="M426" s="11" t="str">
        <f t="shared" si="126">IF(I426="已计入",IF(B426="卖出",MAX(0,L426-Q425-F426),IF(B426="现金分红",MAX(0,L426+E426-Q425),0)),"")</f>
        <v/>
      </c>
      <c r="N426" s="11" t="str">
        <f>IF(I426="已计入",IF(AND(B426="卖出",'持仓总览'!$C$7="本金优先"),MAX(0,E426-Q425),IF(OR(B426="卖出",B426="现金分红"),MIN(E426,M426),0)),"")</f>
        <v/>
      </c>
      <c r="O426" s="11" t="str">
        <f t="shared" si="127">IF(I426="已计入",IF(OR(B426="卖出",B426="现金分红"),MIN(Q425,MAX(0,E426-N426)),0),"")</f>
        <v/>
      </c>
      <c r="P426" s="11" t="str">
        <f t="shared" si="128">IF(I426="已计入",IF(AND(B426="卖出",K426=0),MAX(0,Q425-O426),0),"")</f>
        <v/>
      </c>
      <c r="Q426" s="11">
        <f t="shared" si="129">IF(AA426="正常",IF(I426="已计入",ROUND(Q425+IF(OR(B426="买入",B426="定投",B426="转换转入"),E426,0)-O426-P426,2),Q425),"")</f>
        <v>129570</v>
      </c>
      <c r="R426" s="11" t="str">
        <f t="shared" si="120">IF(I426="已计入",ROUND(K426*C426,2),"")</f>
        <v/>
      </c>
      <c r="S426" s="11" t="str">
        <f t="shared" si="121">IF(I426="已计入",ROUND(R426-Q426,2),"")</f>
        <v/>
      </c>
      <c r="T426" s="12" t="str">
        <f t="shared" si="122">IF(I426="已计入",IF(Q426=0,"",S426/Q426),"")</f>
        <v/>
      </c>
      <c r="U426" s="11">
        <f t="shared" si="130">IF(AA426="正常",U425+IF(AND(I426="已计入",OR(B426="买入",B426="定投",B426="转换转入")),E426,0),"")</f>
        <v>129570</v>
      </c>
      <c r="V426" s="11">
        <f t="shared" si="131">IF(AA426="正常",V425+IF(AND(I426="已计入",OR(B426="卖出",B426="现金分红")),E426,0),"")</f>
        <v>0</v>
      </c>
      <c r="W426" s="11">
        <f t="shared" si="132">IF(AA426="正常",W425+IF(I426="已计入",N426,0),"")</f>
        <v>0</v>
      </c>
      <c r="X426" s="11">
        <f t="shared" si="133">IF(AA426="正常",X425+IF(I426="已计入",P426,0),"")</f>
        <v>0</v>
      </c>
      <c r="Y426" s="11" t="str">
        <f t="shared" si="123">IF(I426="已计入",ROUND(R426+V426-U426,2),"")</f>
        <v/>
      </c>
      <c r="Z426" s="13">
        <f t="shared" si="134">IF(AA426="正常",IF(I426="已计入",A426,Z425),"")</f>
        <v>46239</v>
      </c>
      <c r="AA426" s="10" t="str">
        <f>IF(OR($AA$134="错误",COUNTIF($G$135:G426,"待修正")&gt;0),"错误","正常")</f>
        <v>正常</v>
      </c>
      <c r="AB426" s="14">
        <f t="shared" si="135">IF(AA426="正常",IF(I426="已计入",C426,AB425),"")</f>
        <v>6.347</v>
      </c>
    </row>
    <row r="427" ht="23" customHeight="1">
      <c r="A427" s="36"/>
      <c r="B427" s="37"/>
      <c r="C427" s="38"/>
      <c r="D427" s="39"/>
      <c r="E427" s="44" t="str">
        <f t="shared" si="116">IF(AND(ISNUMBER(C427),ISNUMBER(D427),ISNUMBER(F427)),IF(OR(B427="买入",B427="定投"),ROUND(C427*D427+F427,2),IF(B427="卖出",ROUND(C427*D427-F427,2),IF(B427="红利再投",0,""))),"")</f>
        <v/>
      </c>
      <c r="F427" s="39"/>
      <c r="G427" s="45" t="str">
        <f t="shared" si="117">IF(COUNTA(A427:D427,F427)=0,"",IF(I427="已计入","已录入","待修正"))</f>
        <v/>
      </c>
      <c r="H427" s="46" t="str">
        <f t="shared" si="118">IF(COUNTA(A427:D427,F427)=0,"",IF(B427="红利再投","仅增加份额，不增加现金投入","金额由份额、净值和手续费推算"))</f>
        <v/>
      </c>
      <c r="I427" s="10" t="str">
        <f>IF(COUNTA(A427:D427,F427)=0,"",IF(NOT(ISNUMBER(A427)),"缺少有效净值日期",IF(OR(A427&lt;=0,A427&lt;&gt;INT(A427)),"净值日期无效",IF(OR(B427="转换转入",B427="现金分红"),"该类型需实际金额，五项录入不适用",IF(NOT(OR(OR(B427="买入",B427="定投"),B427="卖出",B427="红利再投")),"请选择交易类型",IF(NOT(ISNUMBER(C427)),"缺少成交净值",IF(C427&lt;=0,"成交净值须大于零",IF(NOT(ISNUMBER(D427)),"缺少确认份额",IF(D427&lt;=0,"确认份额须大于零",IF(NOT(ISNUMBER(F427)),"缺少手续费，无费用请填 0",IF(F427&lt;0,"手续费不能为负",IF(AA426="错误","前行待修正",IF(A427&lt;Z426,"日期需按成交顺序递增",IF(AND(B427="红利再投",F427&lt;&gt;0),"红利再投手续费应填 0",IF(AND(B427="红利再投",K426&lt;=0),"红利再投前须有持仓",IF(AND(B427="卖出",D427&gt;K426+0.000001),"卖出份额超过持仓",IF(AND(B427="卖出",F427&gt;=C427*D427),"赎回费不能达到赎回总额",IF(NOT(ISNUMBER(E427)),"自动金额未生成，请检查五项输入",IF(NOT(OR('持仓总览'!$C$7="利润优先",'持仓总览'!$C$7="本金优先")),"请选择卖出分配模式","已计入")))))))))))))))))))</f>
        <v/>
      </c>
      <c r="J427" s="11">
        <f t="shared" si="119">IF(AA427="正常",IF(I427="已计入",IF(OR(OR(B427="买入",B427="定投",B427="转换转入"),B427="红利再投"),D427,IF(B427="卖出",-D427,0)),0),"")</f>
        <v>0</v>
      </c>
      <c r="K427" s="11">
        <f t="shared" si="124">IF(AA427="正常",ROUND(K426+J427,6),"")</f>
        <v>25721.6</v>
      </c>
      <c r="L427" s="11" t="str">
        <f t="shared" si="125">IF(I427="已计入",ROUND(K426*C427,2),"")</f>
        <v/>
      </c>
      <c r="M427" s="11" t="str">
        <f t="shared" si="126">IF(I427="已计入",IF(B427="卖出",MAX(0,L427-Q426-F427),IF(B427="现金分红",MAX(0,L427+E427-Q426),0)),"")</f>
        <v/>
      </c>
      <c r="N427" s="11" t="str">
        <f>IF(I427="已计入",IF(AND(B427="卖出",'持仓总览'!$C$7="本金优先"),MAX(0,E427-Q426),IF(OR(B427="卖出",B427="现金分红"),MIN(E427,M427),0)),"")</f>
        <v/>
      </c>
      <c r="O427" s="11" t="str">
        <f t="shared" si="127">IF(I427="已计入",IF(OR(B427="卖出",B427="现金分红"),MIN(Q426,MAX(0,E427-N427)),0),"")</f>
        <v/>
      </c>
      <c r="P427" s="11" t="str">
        <f t="shared" si="128">IF(I427="已计入",IF(AND(B427="卖出",K427=0),MAX(0,Q426-O427),0),"")</f>
        <v/>
      </c>
      <c r="Q427" s="11">
        <f t="shared" si="129">IF(AA427="正常",IF(I427="已计入",ROUND(Q426+IF(OR(B427="买入",B427="定投",B427="转换转入"),E427,0)-O427-P427,2),Q426),"")</f>
        <v>129570</v>
      </c>
      <c r="R427" s="11" t="str">
        <f t="shared" si="120">IF(I427="已计入",ROUND(K427*C427,2),"")</f>
        <v/>
      </c>
      <c r="S427" s="11" t="str">
        <f t="shared" si="121">IF(I427="已计入",ROUND(R427-Q427,2),"")</f>
        <v/>
      </c>
      <c r="T427" s="12" t="str">
        <f t="shared" si="122">IF(I427="已计入",IF(Q427=0,"",S427/Q427),"")</f>
        <v/>
      </c>
      <c r="U427" s="11">
        <f t="shared" si="130">IF(AA427="正常",U426+IF(AND(I427="已计入",OR(B427="买入",B427="定投",B427="转换转入")),E427,0),"")</f>
        <v>129570</v>
      </c>
      <c r="V427" s="11">
        <f t="shared" si="131">IF(AA427="正常",V426+IF(AND(I427="已计入",OR(B427="卖出",B427="现金分红")),E427,0),"")</f>
        <v>0</v>
      </c>
      <c r="W427" s="11">
        <f t="shared" si="132">IF(AA427="正常",W426+IF(I427="已计入",N427,0),"")</f>
        <v>0</v>
      </c>
      <c r="X427" s="11">
        <f t="shared" si="133">IF(AA427="正常",X426+IF(I427="已计入",P427,0),"")</f>
        <v>0</v>
      </c>
      <c r="Y427" s="11" t="str">
        <f t="shared" si="123">IF(I427="已计入",ROUND(R427+V427-U427,2),"")</f>
        <v/>
      </c>
      <c r="Z427" s="13">
        <f t="shared" si="134">IF(AA427="正常",IF(I427="已计入",A427,Z426),"")</f>
        <v>46239</v>
      </c>
      <c r="AA427" s="10" t="str">
        <f>IF(OR($AA$134="错误",COUNTIF($G$135:G427,"待修正")&gt;0),"错误","正常")</f>
        <v>正常</v>
      </c>
      <c r="AB427" s="14">
        <f t="shared" si="135">IF(AA427="正常",IF(I427="已计入",C427,AB426),"")</f>
        <v>6.347</v>
      </c>
    </row>
    <row r="428" ht="23" customHeight="1">
      <c r="A428" s="36"/>
      <c r="B428" s="37"/>
      <c r="C428" s="38"/>
      <c r="D428" s="39"/>
      <c r="E428" s="44" t="str">
        <f t="shared" si="116">IF(AND(ISNUMBER(C428),ISNUMBER(D428),ISNUMBER(F428)),IF(OR(B428="买入",B428="定投"),ROUND(C428*D428+F428,2),IF(B428="卖出",ROUND(C428*D428-F428,2),IF(B428="红利再投",0,""))),"")</f>
        <v/>
      </c>
      <c r="F428" s="39"/>
      <c r="G428" s="45" t="str">
        <f t="shared" si="117">IF(COUNTA(A428:D428,F428)=0,"",IF(I428="已计入","已录入","待修正"))</f>
        <v/>
      </c>
      <c r="H428" s="46" t="str">
        <f t="shared" si="118">IF(COUNTA(A428:D428,F428)=0,"",IF(B428="红利再投","仅增加份额，不增加现金投入","金额由份额、净值和手续费推算"))</f>
        <v/>
      </c>
      <c r="I428" s="10" t="str">
        <f>IF(COUNTA(A428:D428,F428)=0,"",IF(NOT(ISNUMBER(A428)),"缺少有效净值日期",IF(OR(A428&lt;=0,A428&lt;&gt;INT(A428)),"净值日期无效",IF(OR(B428="转换转入",B428="现金分红"),"该类型需实际金额，五项录入不适用",IF(NOT(OR(OR(B428="买入",B428="定投"),B428="卖出",B428="红利再投")),"请选择交易类型",IF(NOT(ISNUMBER(C428)),"缺少成交净值",IF(C428&lt;=0,"成交净值须大于零",IF(NOT(ISNUMBER(D428)),"缺少确认份额",IF(D428&lt;=0,"确认份额须大于零",IF(NOT(ISNUMBER(F428)),"缺少手续费，无费用请填 0",IF(F428&lt;0,"手续费不能为负",IF(AA427="错误","前行待修正",IF(A428&lt;Z427,"日期需按成交顺序递增",IF(AND(B428="红利再投",F428&lt;&gt;0),"红利再投手续费应填 0",IF(AND(B428="红利再投",K427&lt;=0),"红利再投前须有持仓",IF(AND(B428="卖出",D428&gt;K427+0.000001),"卖出份额超过持仓",IF(AND(B428="卖出",F428&gt;=C428*D428),"赎回费不能达到赎回总额",IF(NOT(ISNUMBER(E428)),"自动金额未生成，请检查五项输入",IF(NOT(OR('持仓总览'!$C$7="利润优先",'持仓总览'!$C$7="本金优先")),"请选择卖出分配模式","已计入")))))))))))))))))))</f>
        <v/>
      </c>
      <c r="J428" s="11">
        <f t="shared" si="119">IF(AA428="正常",IF(I428="已计入",IF(OR(OR(B428="买入",B428="定投",B428="转换转入"),B428="红利再投"),D428,IF(B428="卖出",-D428,0)),0),"")</f>
        <v>0</v>
      </c>
      <c r="K428" s="11">
        <f t="shared" si="124">IF(AA428="正常",ROUND(K427+J428,6),"")</f>
        <v>25721.6</v>
      </c>
      <c r="L428" s="11" t="str">
        <f t="shared" si="125">IF(I428="已计入",ROUND(K427*C428,2),"")</f>
        <v/>
      </c>
      <c r="M428" s="11" t="str">
        <f t="shared" si="126">IF(I428="已计入",IF(B428="卖出",MAX(0,L428-Q427-F428),IF(B428="现金分红",MAX(0,L428+E428-Q427),0)),"")</f>
        <v/>
      </c>
      <c r="N428" s="11" t="str">
        <f>IF(I428="已计入",IF(AND(B428="卖出",'持仓总览'!$C$7="本金优先"),MAX(0,E428-Q427),IF(OR(B428="卖出",B428="现金分红"),MIN(E428,M428),0)),"")</f>
        <v/>
      </c>
      <c r="O428" s="11" t="str">
        <f t="shared" si="127">IF(I428="已计入",IF(OR(B428="卖出",B428="现金分红"),MIN(Q427,MAX(0,E428-N428)),0),"")</f>
        <v/>
      </c>
      <c r="P428" s="11" t="str">
        <f t="shared" si="128">IF(I428="已计入",IF(AND(B428="卖出",K428=0),MAX(0,Q427-O428),0),"")</f>
        <v/>
      </c>
      <c r="Q428" s="11">
        <f t="shared" si="129">IF(AA428="正常",IF(I428="已计入",ROUND(Q427+IF(OR(B428="买入",B428="定投",B428="转换转入"),E428,0)-O428-P428,2),Q427),"")</f>
        <v>129570</v>
      </c>
      <c r="R428" s="11" t="str">
        <f t="shared" si="120">IF(I428="已计入",ROUND(K428*C428,2),"")</f>
        <v/>
      </c>
      <c r="S428" s="11" t="str">
        <f t="shared" si="121">IF(I428="已计入",ROUND(R428-Q428,2),"")</f>
        <v/>
      </c>
      <c r="T428" s="12" t="str">
        <f t="shared" si="122">IF(I428="已计入",IF(Q428=0,"",S428/Q428),"")</f>
        <v/>
      </c>
      <c r="U428" s="11">
        <f t="shared" si="130">IF(AA428="正常",U427+IF(AND(I428="已计入",OR(B428="买入",B428="定投",B428="转换转入")),E428,0),"")</f>
        <v>129570</v>
      </c>
      <c r="V428" s="11">
        <f t="shared" si="131">IF(AA428="正常",V427+IF(AND(I428="已计入",OR(B428="卖出",B428="现金分红")),E428,0),"")</f>
        <v>0</v>
      </c>
      <c r="W428" s="11">
        <f t="shared" si="132">IF(AA428="正常",W427+IF(I428="已计入",N428,0),"")</f>
        <v>0</v>
      </c>
      <c r="X428" s="11">
        <f t="shared" si="133">IF(AA428="正常",X427+IF(I428="已计入",P428,0),"")</f>
        <v>0</v>
      </c>
      <c r="Y428" s="11" t="str">
        <f t="shared" si="123">IF(I428="已计入",ROUND(R428+V428-U428,2),"")</f>
        <v/>
      </c>
      <c r="Z428" s="13">
        <f t="shared" si="134">IF(AA428="正常",IF(I428="已计入",A428,Z427),"")</f>
        <v>46239</v>
      </c>
      <c r="AA428" s="10" t="str">
        <f>IF(OR($AA$134="错误",COUNTIF($G$135:G428,"待修正")&gt;0),"错误","正常")</f>
        <v>正常</v>
      </c>
      <c r="AB428" s="14">
        <f t="shared" si="135">IF(AA428="正常",IF(I428="已计入",C428,AB427),"")</f>
        <v>6.347</v>
      </c>
    </row>
    <row r="429" ht="23" customHeight="1">
      <c r="A429" s="36"/>
      <c r="B429" s="37"/>
      <c r="C429" s="38"/>
      <c r="D429" s="39"/>
      <c r="E429" s="44" t="str">
        <f t="shared" si="116">IF(AND(ISNUMBER(C429),ISNUMBER(D429),ISNUMBER(F429)),IF(OR(B429="买入",B429="定投"),ROUND(C429*D429+F429,2),IF(B429="卖出",ROUND(C429*D429-F429,2),IF(B429="红利再投",0,""))),"")</f>
        <v/>
      </c>
      <c r="F429" s="39"/>
      <c r="G429" s="45" t="str">
        <f t="shared" si="117">IF(COUNTA(A429:D429,F429)=0,"",IF(I429="已计入","已录入","待修正"))</f>
        <v/>
      </c>
      <c r="H429" s="46" t="str">
        <f t="shared" si="118">IF(COUNTA(A429:D429,F429)=0,"",IF(B429="红利再投","仅增加份额，不增加现金投入","金额由份额、净值和手续费推算"))</f>
        <v/>
      </c>
      <c r="I429" s="10" t="str">
        <f>IF(COUNTA(A429:D429,F429)=0,"",IF(NOT(ISNUMBER(A429)),"缺少有效净值日期",IF(OR(A429&lt;=0,A429&lt;&gt;INT(A429)),"净值日期无效",IF(OR(B429="转换转入",B429="现金分红"),"该类型需实际金额，五项录入不适用",IF(NOT(OR(OR(B429="买入",B429="定投"),B429="卖出",B429="红利再投")),"请选择交易类型",IF(NOT(ISNUMBER(C429)),"缺少成交净值",IF(C429&lt;=0,"成交净值须大于零",IF(NOT(ISNUMBER(D429)),"缺少确认份额",IF(D429&lt;=0,"确认份额须大于零",IF(NOT(ISNUMBER(F429)),"缺少手续费，无费用请填 0",IF(F429&lt;0,"手续费不能为负",IF(AA428="错误","前行待修正",IF(A429&lt;Z428,"日期需按成交顺序递增",IF(AND(B429="红利再投",F429&lt;&gt;0),"红利再投手续费应填 0",IF(AND(B429="红利再投",K428&lt;=0),"红利再投前须有持仓",IF(AND(B429="卖出",D429&gt;K428+0.000001),"卖出份额超过持仓",IF(AND(B429="卖出",F429&gt;=C429*D429),"赎回费不能达到赎回总额",IF(NOT(ISNUMBER(E429)),"自动金额未生成，请检查五项输入",IF(NOT(OR('持仓总览'!$C$7="利润优先",'持仓总览'!$C$7="本金优先")),"请选择卖出分配模式","已计入")))))))))))))))))))</f>
        <v/>
      </c>
      <c r="J429" s="11">
        <f t="shared" si="119">IF(AA429="正常",IF(I429="已计入",IF(OR(OR(B429="买入",B429="定投",B429="转换转入"),B429="红利再投"),D429,IF(B429="卖出",-D429,0)),0),"")</f>
        <v>0</v>
      </c>
      <c r="K429" s="11">
        <f t="shared" si="124">IF(AA429="正常",ROUND(K428+J429,6),"")</f>
        <v>25721.6</v>
      </c>
      <c r="L429" s="11" t="str">
        <f t="shared" si="125">IF(I429="已计入",ROUND(K428*C429,2),"")</f>
        <v/>
      </c>
      <c r="M429" s="11" t="str">
        <f t="shared" si="126">IF(I429="已计入",IF(B429="卖出",MAX(0,L429-Q428-F429),IF(B429="现金分红",MAX(0,L429+E429-Q428),0)),"")</f>
        <v/>
      </c>
      <c r="N429" s="11" t="str">
        <f>IF(I429="已计入",IF(AND(B429="卖出",'持仓总览'!$C$7="本金优先"),MAX(0,E429-Q428),IF(OR(B429="卖出",B429="现金分红"),MIN(E429,M429),0)),"")</f>
        <v/>
      </c>
      <c r="O429" s="11" t="str">
        <f t="shared" si="127">IF(I429="已计入",IF(OR(B429="卖出",B429="现金分红"),MIN(Q428,MAX(0,E429-N429)),0),"")</f>
        <v/>
      </c>
      <c r="P429" s="11" t="str">
        <f t="shared" si="128">IF(I429="已计入",IF(AND(B429="卖出",K429=0),MAX(0,Q428-O429),0),"")</f>
        <v/>
      </c>
      <c r="Q429" s="11">
        <f t="shared" si="129">IF(AA429="正常",IF(I429="已计入",ROUND(Q428+IF(OR(B429="买入",B429="定投",B429="转换转入"),E429,0)-O429-P429,2),Q428),"")</f>
        <v>129570</v>
      </c>
      <c r="R429" s="11" t="str">
        <f t="shared" si="120">IF(I429="已计入",ROUND(K429*C429,2),"")</f>
        <v/>
      </c>
      <c r="S429" s="11" t="str">
        <f t="shared" si="121">IF(I429="已计入",ROUND(R429-Q429,2),"")</f>
        <v/>
      </c>
      <c r="T429" s="12" t="str">
        <f t="shared" si="122">IF(I429="已计入",IF(Q429=0,"",S429/Q429),"")</f>
        <v/>
      </c>
      <c r="U429" s="11">
        <f t="shared" si="130">IF(AA429="正常",U428+IF(AND(I429="已计入",OR(B429="买入",B429="定投",B429="转换转入")),E429,0),"")</f>
        <v>129570</v>
      </c>
      <c r="V429" s="11">
        <f t="shared" si="131">IF(AA429="正常",V428+IF(AND(I429="已计入",OR(B429="卖出",B429="现金分红")),E429,0),"")</f>
        <v>0</v>
      </c>
      <c r="W429" s="11">
        <f t="shared" si="132">IF(AA429="正常",W428+IF(I429="已计入",N429,0),"")</f>
        <v>0</v>
      </c>
      <c r="X429" s="11">
        <f t="shared" si="133">IF(AA429="正常",X428+IF(I429="已计入",P429,0),"")</f>
        <v>0</v>
      </c>
      <c r="Y429" s="11" t="str">
        <f t="shared" si="123">IF(I429="已计入",ROUND(R429+V429-U429,2),"")</f>
        <v/>
      </c>
      <c r="Z429" s="13">
        <f t="shared" si="134">IF(AA429="正常",IF(I429="已计入",A429,Z428),"")</f>
        <v>46239</v>
      </c>
      <c r="AA429" s="10" t="str">
        <f>IF(OR($AA$134="错误",COUNTIF($G$135:G429,"待修正")&gt;0),"错误","正常")</f>
        <v>正常</v>
      </c>
      <c r="AB429" s="14">
        <f t="shared" si="135">IF(AA429="正常",IF(I429="已计入",C429,AB428),"")</f>
        <v>6.347</v>
      </c>
    </row>
    <row r="430" ht="23" customHeight="1">
      <c r="A430" s="36"/>
      <c r="B430" s="37"/>
      <c r="C430" s="38"/>
      <c r="D430" s="39"/>
      <c r="E430" s="44" t="str">
        <f t="shared" si="116">IF(AND(ISNUMBER(C430),ISNUMBER(D430),ISNUMBER(F430)),IF(OR(B430="买入",B430="定投"),ROUND(C430*D430+F430,2),IF(B430="卖出",ROUND(C430*D430-F430,2),IF(B430="红利再投",0,""))),"")</f>
        <v/>
      </c>
      <c r="F430" s="39"/>
      <c r="G430" s="45" t="str">
        <f t="shared" si="117">IF(COUNTA(A430:D430,F430)=0,"",IF(I430="已计入","已录入","待修正"))</f>
        <v/>
      </c>
      <c r="H430" s="46" t="str">
        <f t="shared" si="118">IF(COUNTA(A430:D430,F430)=0,"",IF(B430="红利再投","仅增加份额，不增加现金投入","金额由份额、净值和手续费推算"))</f>
        <v/>
      </c>
      <c r="I430" s="10" t="str">
        <f>IF(COUNTA(A430:D430,F430)=0,"",IF(NOT(ISNUMBER(A430)),"缺少有效净值日期",IF(OR(A430&lt;=0,A430&lt;&gt;INT(A430)),"净值日期无效",IF(OR(B430="转换转入",B430="现金分红"),"该类型需实际金额，五项录入不适用",IF(NOT(OR(OR(B430="买入",B430="定投"),B430="卖出",B430="红利再投")),"请选择交易类型",IF(NOT(ISNUMBER(C430)),"缺少成交净值",IF(C430&lt;=0,"成交净值须大于零",IF(NOT(ISNUMBER(D430)),"缺少确认份额",IF(D430&lt;=0,"确认份额须大于零",IF(NOT(ISNUMBER(F430)),"缺少手续费，无费用请填 0",IF(F430&lt;0,"手续费不能为负",IF(AA429="错误","前行待修正",IF(A430&lt;Z429,"日期需按成交顺序递增",IF(AND(B430="红利再投",F430&lt;&gt;0),"红利再投手续费应填 0",IF(AND(B430="红利再投",K429&lt;=0),"红利再投前须有持仓",IF(AND(B430="卖出",D430&gt;K429+0.000001),"卖出份额超过持仓",IF(AND(B430="卖出",F430&gt;=C430*D430),"赎回费不能达到赎回总额",IF(NOT(ISNUMBER(E430)),"自动金额未生成，请检查五项输入",IF(NOT(OR('持仓总览'!$C$7="利润优先",'持仓总览'!$C$7="本金优先")),"请选择卖出分配模式","已计入")))))))))))))))))))</f>
        <v/>
      </c>
      <c r="J430" s="11">
        <f t="shared" si="119">IF(AA430="正常",IF(I430="已计入",IF(OR(OR(B430="买入",B430="定投",B430="转换转入"),B430="红利再投"),D430,IF(B430="卖出",-D430,0)),0),"")</f>
        <v>0</v>
      </c>
      <c r="K430" s="11">
        <f t="shared" si="124">IF(AA430="正常",ROUND(K429+J430,6),"")</f>
        <v>25721.6</v>
      </c>
      <c r="L430" s="11" t="str">
        <f t="shared" si="125">IF(I430="已计入",ROUND(K429*C430,2),"")</f>
        <v/>
      </c>
      <c r="M430" s="11" t="str">
        <f t="shared" si="126">IF(I430="已计入",IF(B430="卖出",MAX(0,L430-Q429-F430),IF(B430="现金分红",MAX(0,L430+E430-Q429),0)),"")</f>
        <v/>
      </c>
      <c r="N430" s="11" t="str">
        <f>IF(I430="已计入",IF(AND(B430="卖出",'持仓总览'!$C$7="本金优先"),MAX(0,E430-Q429),IF(OR(B430="卖出",B430="现金分红"),MIN(E430,M430),0)),"")</f>
        <v/>
      </c>
      <c r="O430" s="11" t="str">
        <f t="shared" si="127">IF(I430="已计入",IF(OR(B430="卖出",B430="现金分红"),MIN(Q429,MAX(0,E430-N430)),0),"")</f>
        <v/>
      </c>
      <c r="P430" s="11" t="str">
        <f t="shared" si="128">IF(I430="已计入",IF(AND(B430="卖出",K430=0),MAX(0,Q429-O430),0),"")</f>
        <v/>
      </c>
      <c r="Q430" s="11">
        <f t="shared" si="129">IF(AA430="正常",IF(I430="已计入",ROUND(Q429+IF(OR(B430="买入",B430="定投",B430="转换转入"),E430,0)-O430-P430,2),Q429),"")</f>
        <v>129570</v>
      </c>
      <c r="R430" s="11" t="str">
        <f t="shared" si="120">IF(I430="已计入",ROUND(K430*C430,2),"")</f>
        <v/>
      </c>
      <c r="S430" s="11" t="str">
        <f t="shared" si="121">IF(I430="已计入",ROUND(R430-Q430,2),"")</f>
        <v/>
      </c>
      <c r="T430" s="12" t="str">
        <f t="shared" si="122">IF(I430="已计入",IF(Q430=0,"",S430/Q430),"")</f>
        <v/>
      </c>
      <c r="U430" s="11">
        <f t="shared" si="130">IF(AA430="正常",U429+IF(AND(I430="已计入",OR(B430="买入",B430="定投",B430="转换转入")),E430,0),"")</f>
        <v>129570</v>
      </c>
      <c r="V430" s="11">
        <f t="shared" si="131">IF(AA430="正常",V429+IF(AND(I430="已计入",OR(B430="卖出",B430="现金分红")),E430,0),"")</f>
        <v>0</v>
      </c>
      <c r="W430" s="11">
        <f t="shared" si="132">IF(AA430="正常",W429+IF(I430="已计入",N430,0),"")</f>
        <v>0</v>
      </c>
      <c r="X430" s="11">
        <f t="shared" si="133">IF(AA430="正常",X429+IF(I430="已计入",P430,0),"")</f>
        <v>0</v>
      </c>
      <c r="Y430" s="11" t="str">
        <f t="shared" si="123">IF(I430="已计入",ROUND(R430+V430-U430,2),"")</f>
        <v/>
      </c>
      <c r="Z430" s="13">
        <f t="shared" si="134">IF(AA430="正常",IF(I430="已计入",A430,Z429),"")</f>
        <v>46239</v>
      </c>
      <c r="AA430" s="10" t="str">
        <f>IF(OR($AA$134="错误",COUNTIF($G$135:G430,"待修正")&gt;0),"错误","正常")</f>
        <v>正常</v>
      </c>
      <c r="AB430" s="14">
        <f t="shared" si="135">IF(AA430="正常",IF(I430="已计入",C430,AB429),"")</f>
        <v>6.347</v>
      </c>
    </row>
    <row r="431" ht="23" customHeight="1">
      <c r="A431" s="36"/>
      <c r="B431" s="37"/>
      <c r="C431" s="38"/>
      <c r="D431" s="39"/>
      <c r="E431" s="44" t="str">
        <f t="shared" si="116">IF(AND(ISNUMBER(C431),ISNUMBER(D431),ISNUMBER(F431)),IF(OR(B431="买入",B431="定投"),ROUND(C431*D431+F431,2),IF(B431="卖出",ROUND(C431*D431-F431,2),IF(B431="红利再投",0,""))),"")</f>
        <v/>
      </c>
      <c r="F431" s="39"/>
      <c r="G431" s="45" t="str">
        <f t="shared" si="117">IF(COUNTA(A431:D431,F431)=0,"",IF(I431="已计入","已录入","待修正"))</f>
        <v/>
      </c>
      <c r="H431" s="46" t="str">
        <f t="shared" si="118">IF(COUNTA(A431:D431,F431)=0,"",IF(B431="红利再投","仅增加份额，不增加现金投入","金额由份额、净值和手续费推算"))</f>
        <v/>
      </c>
      <c r="I431" s="10" t="str">
        <f>IF(COUNTA(A431:D431,F431)=0,"",IF(NOT(ISNUMBER(A431)),"缺少有效净值日期",IF(OR(A431&lt;=0,A431&lt;&gt;INT(A431)),"净值日期无效",IF(OR(B431="转换转入",B431="现金分红"),"该类型需实际金额，五项录入不适用",IF(NOT(OR(OR(B431="买入",B431="定投"),B431="卖出",B431="红利再投")),"请选择交易类型",IF(NOT(ISNUMBER(C431)),"缺少成交净值",IF(C431&lt;=0,"成交净值须大于零",IF(NOT(ISNUMBER(D431)),"缺少确认份额",IF(D431&lt;=0,"确认份额须大于零",IF(NOT(ISNUMBER(F431)),"缺少手续费，无费用请填 0",IF(F431&lt;0,"手续费不能为负",IF(AA430="错误","前行待修正",IF(A431&lt;Z430,"日期需按成交顺序递增",IF(AND(B431="红利再投",F431&lt;&gt;0),"红利再投手续费应填 0",IF(AND(B431="红利再投",K430&lt;=0),"红利再投前须有持仓",IF(AND(B431="卖出",D431&gt;K430+0.000001),"卖出份额超过持仓",IF(AND(B431="卖出",F431&gt;=C431*D431),"赎回费不能达到赎回总额",IF(NOT(ISNUMBER(E431)),"自动金额未生成，请检查五项输入",IF(NOT(OR('持仓总览'!$C$7="利润优先",'持仓总览'!$C$7="本金优先")),"请选择卖出分配模式","已计入")))))))))))))))))))</f>
        <v/>
      </c>
      <c r="J431" s="11">
        <f t="shared" si="119">IF(AA431="正常",IF(I431="已计入",IF(OR(OR(B431="买入",B431="定投",B431="转换转入"),B431="红利再投"),D431,IF(B431="卖出",-D431,0)),0),"")</f>
        <v>0</v>
      </c>
      <c r="K431" s="11">
        <f t="shared" si="124">IF(AA431="正常",ROUND(K430+J431,6),"")</f>
        <v>25721.6</v>
      </c>
      <c r="L431" s="11" t="str">
        <f t="shared" si="125">IF(I431="已计入",ROUND(K430*C431,2),"")</f>
        <v/>
      </c>
      <c r="M431" s="11" t="str">
        <f t="shared" si="126">IF(I431="已计入",IF(B431="卖出",MAX(0,L431-Q430-F431),IF(B431="现金分红",MAX(0,L431+E431-Q430),0)),"")</f>
        <v/>
      </c>
      <c r="N431" s="11" t="str">
        <f>IF(I431="已计入",IF(AND(B431="卖出",'持仓总览'!$C$7="本金优先"),MAX(0,E431-Q430),IF(OR(B431="卖出",B431="现金分红"),MIN(E431,M431),0)),"")</f>
        <v/>
      </c>
      <c r="O431" s="11" t="str">
        <f t="shared" si="127">IF(I431="已计入",IF(OR(B431="卖出",B431="现金分红"),MIN(Q430,MAX(0,E431-N431)),0),"")</f>
        <v/>
      </c>
      <c r="P431" s="11" t="str">
        <f t="shared" si="128">IF(I431="已计入",IF(AND(B431="卖出",K431=0),MAX(0,Q430-O431),0),"")</f>
        <v/>
      </c>
      <c r="Q431" s="11">
        <f t="shared" si="129">IF(AA431="正常",IF(I431="已计入",ROUND(Q430+IF(OR(B431="买入",B431="定投",B431="转换转入"),E431,0)-O431-P431,2),Q430),"")</f>
        <v>129570</v>
      </c>
      <c r="R431" s="11" t="str">
        <f t="shared" si="120">IF(I431="已计入",ROUND(K431*C431,2),"")</f>
        <v/>
      </c>
      <c r="S431" s="11" t="str">
        <f t="shared" si="121">IF(I431="已计入",ROUND(R431-Q431,2),"")</f>
        <v/>
      </c>
      <c r="T431" s="12" t="str">
        <f t="shared" si="122">IF(I431="已计入",IF(Q431=0,"",S431/Q431),"")</f>
        <v/>
      </c>
      <c r="U431" s="11">
        <f t="shared" si="130">IF(AA431="正常",U430+IF(AND(I431="已计入",OR(B431="买入",B431="定投",B431="转换转入")),E431,0),"")</f>
        <v>129570</v>
      </c>
      <c r="V431" s="11">
        <f t="shared" si="131">IF(AA431="正常",V430+IF(AND(I431="已计入",OR(B431="卖出",B431="现金分红")),E431,0),"")</f>
        <v>0</v>
      </c>
      <c r="W431" s="11">
        <f t="shared" si="132">IF(AA431="正常",W430+IF(I431="已计入",N431,0),"")</f>
        <v>0</v>
      </c>
      <c r="X431" s="11">
        <f t="shared" si="133">IF(AA431="正常",X430+IF(I431="已计入",P431,0),"")</f>
        <v>0</v>
      </c>
      <c r="Y431" s="11" t="str">
        <f t="shared" si="123">IF(I431="已计入",ROUND(R431+V431-U431,2),"")</f>
        <v/>
      </c>
      <c r="Z431" s="13">
        <f t="shared" si="134">IF(AA431="正常",IF(I431="已计入",A431,Z430),"")</f>
        <v>46239</v>
      </c>
      <c r="AA431" s="10" t="str">
        <f>IF(OR($AA$134="错误",COUNTIF($G$135:G431,"待修正")&gt;0),"错误","正常")</f>
        <v>正常</v>
      </c>
      <c r="AB431" s="14">
        <f t="shared" si="135">IF(AA431="正常",IF(I431="已计入",C431,AB430),"")</f>
        <v>6.347</v>
      </c>
    </row>
    <row r="432" ht="23" customHeight="1">
      <c r="A432" s="36"/>
      <c r="B432" s="37"/>
      <c r="C432" s="38"/>
      <c r="D432" s="39"/>
      <c r="E432" s="44" t="str">
        <f t="shared" si="116">IF(AND(ISNUMBER(C432),ISNUMBER(D432),ISNUMBER(F432)),IF(OR(B432="买入",B432="定投"),ROUND(C432*D432+F432,2),IF(B432="卖出",ROUND(C432*D432-F432,2),IF(B432="红利再投",0,""))),"")</f>
        <v/>
      </c>
      <c r="F432" s="39"/>
      <c r="G432" s="45" t="str">
        <f t="shared" si="117">IF(COUNTA(A432:D432,F432)=0,"",IF(I432="已计入","已录入","待修正"))</f>
        <v/>
      </c>
      <c r="H432" s="46" t="str">
        <f t="shared" si="118">IF(COUNTA(A432:D432,F432)=0,"",IF(B432="红利再投","仅增加份额，不增加现金投入","金额由份额、净值和手续费推算"))</f>
        <v/>
      </c>
      <c r="I432" s="10" t="str">
        <f>IF(COUNTA(A432:D432,F432)=0,"",IF(NOT(ISNUMBER(A432)),"缺少有效净值日期",IF(OR(A432&lt;=0,A432&lt;&gt;INT(A432)),"净值日期无效",IF(OR(B432="转换转入",B432="现金分红"),"该类型需实际金额，五项录入不适用",IF(NOT(OR(OR(B432="买入",B432="定投"),B432="卖出",B432="红利再投")),"请选择交易类型",IF(NOT(ISNUMBER(C432)),"缺少成交净值",IF(C432&lt;=0,"成交净值须大于零",IF(NOT(ISNUMBER(D432)),"缺少确认份额",IF(D432&lt;=0,"确认份额须大于零",IF(NOT(ISNUMBER(F432)),"缺少手续费，无费用请填 0",IF(F432&lt;0,"手续费不能为负",IF(AA431="错误","前行待修正",IF(A432&lt;Z431,"日期需按成交顺序递增",IF(AND(B432="红利再投",F432&lt;&gt;0),"红利再投手续费应填 0",IF(AND(B432="红利再投",K431&lt;=0),"红利再投前须有持仓",IF(AND(B432="卖出",D432&gt;K431+0.000001),"卖出份额超过持仓",IF(AND(B432="卖出",F432&gt;=C432*D432),"赎回费不能达到赎回总额",IF(NOT(ISNUMBER(E432)),"自动金额未生成，请检查五项输入",IF(NOT(OR('持仓总览'!$C$7="利润优先",'持仓总览'!$C$7="本金优先")),"请选择卖出分配模式","已计入")))))))))))))))))))</f>
        <v/>
      </c>
      <c r="J432" s="11">
        <f t="shared" si="119">IF(AA432="正常",IF(I432="已计入",IF(OR(OR(B432="买入",B432="定投",B432="转换转入"),B432="红利再投"),D432,IF(B432="卖出",-D432,0)),0),"")</f>
        <v>0</v>
      </c>
      <c r="K432" s="11">
        <f t="shared" si="124">IF(AA432="正常",ROUND(K431+J432,6),"")</f>
        <v>25721.6</v>
      </c>
      <c r="L432" s="11" t="str">
        <f t="shared" si="125">IF(I432="已计入",ROUND(K431*C432,2),"")</f>
        <v/>
      </c>
      <c r="M432" s="11" t="str">
        <f t="shared" si="126">IF(I432="已计入",IF(B432="卖出",MAX(0,L432-Q431-F432),IF(B432="现金分红",MAX(0,L432+E432-Q431),0)),"")</f>
        <v/>
      </c>
      <c r="N432" s="11" t="str">
        <f>IF(I432="已计入",IF(AND(B432="卖出",'持仓总览'!$C$7="本金优先"),MAX(0,E432-Q431),IF(OR(B432="卖出",B432="现金分红"),MIN(E432,M432),0)),"")</f>
        <v/>
      </c>
      <c r="O432" s="11" t="str">
        <f t="shared" si="127">IF(I432="已计入",IF(OR(B432="卖出",B432="现金分红"),MIN(Q431,MAX(0,E432-N432)),0),"")</f>
        <v/>
      </c>
      <c r="P432" s="11" t="str">
        <f t="shared" si="128">IF(I432="已计入",IF(AND(B432="卖出",K432=0),MAX(0,Q431-O432),0),"")</f>
        <v/>
      </c>
      <c r="Q432" s="11">
        <f t="shared" si="129">IF(AA432="正常",IF(I432="已计入",ROUND(Q431+IF(OR(B432="买入",B432="定投",B432="转换转入"),E432,0)-O432-P432,2),Q431),"")</f>
        <v>129570</v>
      </c>
      <c r="R432" s="11" t="str">
        <f t="shared" si="120">IF(I432="已计入",ROUND(K432*C432,2),"")</f>
        <v/>
      </c>
      <c r="S432" s="11" t="str">
        <f t="shared" si="121">IF(I432="已计入",ROUND(R432-Q432,2),"")</f>
        <v/>
      </c>
      <c r="T432" s="12" t="str">
        <f t="shared" si="122">IF(I432="已计入",IF(Q432=0,"",S432/Q432),"")</f>
        <v/>
      </c>
      <c r="U432" s="11">
        <f t="shared" si="130">IF(AA432="正常",U431+IF(AND(I432="已计入",OR(B432="买入",B432="定投",B432="转换转入")),E432,0),"")</f>
        <v>129570</v>
      </c>
      <c r="V432" s="11">
        <f t="shared" si="131">IF(AA432="正常",V431+IF(AND(I432="已计入",OR(B432="卖出",B432="现金分红")),E432,0),"")</f>
        <v>0</v>
      </c>
      <c r="W432" s="11">
        <f t="shared" si="132">IF(AA432="正常",W431+IF(I432="已计入",N432,0),"")</f>
        <v>0</v>
      </c>
      <c r="X432" s="11">
        <f t="shared" si="133">IF(AA432="正常",X431+IF(I432="已计入",P432,0),"")</f>
        <v>0</v>
      </c>
      <c r="Y432" s="11" t="str">
        <f t="shared" si="123">IF(I432="已计入",ROUND(R432+V432-U432,2),"")</f>
        <v/>
      </c>
      <c r="Z432" s="13">
        <f t="shared" si="134">IF(AA432="正常",IF(I432="已计入",A432,Z431),"")</f>
        <v>46239</v>
      </c>
      <c r="AA432" s="10" t="str">
        <f>IF(OR($AA$134="错误",COUNTIF($G$135:G432,"待修正")&gt;0),"错误","正常")</f>
        <v>正常</v>
      </c>
      <c r="AB432" s="14">
        <f t="shared" si="135">IF(AA432="正常",IF(I432="已计入",C432,AB431),"")</f>
        <v>6.347</v>
      </c>
    </row>
    <row r="433" ht="23" customHeight="1">
      <c r="A433" s="36"/>
      <c r="B433" s="37"/>
      <c r="C433" s="38"/>
      <c r="D433" s="39"/>
      <c r="E433" s="44" t="str">
        <f t="shared" si="116">IF(AND(ISNUMBER(C433),ISNUMBER(D433),ISNUMBER(F433)),IF(OR(B433="买入",B433="定投"),ROUND(C433*D433+F433,2),IF(B433="卖出",ROUND(C433*D433-F433,2),IF(B433="红利再投",0,""))),"")</f>
        <v/>
      </c>
      <c r="F433" s="39"/>
      <c r="G433" s="45" t="str">
        <f t="shared" si="117">IF(COUNTA(A433:D433,F433)=0,"",IF(I433="已计入","已录入","待修正"))</f>
        <v/>
      </c>
      <c r="H433" s="46" t="str">
        <f t="shared" si="118">IF(COUNTA(A433:D433,F433)=0,"",IF(B433="红利再投","仅增加份额，不增加现金投入","金额由份额、净值和手续费推算"))</f>
        <v/>
      </c>
      <c r="I433" s="10" t="str">
        <f>IF(COUNTA(A433:D433,F433)=0,"",IF(NOT(ISNUMBER(A433)),"缺少有效净值日期",IF(OR(A433&lt;=0,A433&lt;&gt;INT(A433)),"净值日期无效",IF(OR(B433="转换转入",B433="现金分红"),"该类型需实际金额，五项录入不适用",IF(NOT(OR(OR(B433="买入",B433="定投"),B433="卖出",B433="红利再投")),"请选择交易类型",IF(NOT(ISNUMBER(C433)),"缺少成交净值",IF(C433&lt;=0,"成交净值须大于零",IF(NOT(ISNUMBER(D433)),"缺少确认份额",IF(D433&lt;=0,"确认份额须大于零",IF(NOT(ISNUMBER(F433)),"缺少手续费，无费用请填 0",IF(F433&lt;0,"手续费不能为负",IF(AA432="错误","前行待修正",IF(A433&lt;Z432,"日期需按成交顺序递增",IF(AND(B433="红利再投",F433&lt;&gt;0),"红利再投手续费应填 0",IF(AND(B433="红利再投",K432&lt;=0),"红利再投前须有持仓",IF(AND(B433="卖出",D433&gt;K432+0.000001),"卖出份额超过持仓",IF(AND(B433="卖出",F433&gt;=C433*D433),"赎回费不能达到赎回总额",IF(NOT(ISNUMBER(E433)),"自动金额未生成，请检查五项输入",IF(NOT(OR('持仓总览'!$C$7="利润优先",'持仓总览'!$C$7="本金优先")),"请选择卖出分配模式","已计入")))))))))))))))))))</f>
        <v/>
      </c>
      <c r="J433" s="11">
        <f t="shared" si="119">IF(AA433="正常",IF(I433="已计入",IF(OR(OR(B433="买入",B433="定投",B433="转换转入"),B433="红利再投"),D433,IF(B433="卖出",-D433,0)),0),"")</f>
        <v>0</v>
      </c>
      <c r="K433" s="11">
        <f t="shared" si="124">IF(AA433="正常",ROUND(K432+J433,6),"")</f>
        <v>25721.6</v>
      </c>
      <c r="L433" s="11" t="str">
        <f t="shared" si="125">IF(I433="已计入",ROUND(K432*C433,2),"")</f>
        <v/>
      </c>
      <c r="M433" s="11" t="str">
        <f t="shared" si="126">IF(I433="已计入",IF(B433="卖出",MAX(0,L433-Q432-F433),IF(B433="现金分红",MAX(0,L433+E433-Q432),0)),"")</f>
        <v/>
      </c>
      <c r="N433" s="11" t="str">
        <f>IF(I433="已计入",IF(AND(B433="卖出",'持仓总览'!$C$7="本金优先"),MAX(0,E433-Q432),IF(OR(B433="卖出",B433="现金分红"),MIN(E433,M433),0)),"")</f>
        <v/>
      </c>
      <c r="O433" s="11" t="str">
        <f t="shared" si="127">IF(I433="已计入",IF(OR(B433="卖出",B433="现金分红"),MIN(Q432,MAX(0,E433-N433)),0),"")</f>
        <v/>
      </c>
      <c r="P433" s="11" t="str">
        <f t="shared" si="128">IF(I433="已计入",IF(AND(B433="卖出",K433=0),MAX(0,Q432-O433),0),"")</f>
        <v/>
      </c>
      <c r="Q433" s="11">
        <f t="shared" si="129">IF(AA433="正常",IF(I433="已计入",ROUND(Q432+IF(OR(B433="买入",B433="定投",B433="转换转入"),E433,0)-O433-P433,2),Q432),"")</f>
        <v>129570</v>
      </c>
      <c r="R433" s="11" t="str">
        <f t="shared" si="120">IF(I433="已计入",ROUND(K433*C433,2),"")</f>
        <v/>
      </c>
      <c r="S433" s="11" t="str">
        <f t="shared" si="121">IF(I433="已计入",ROUND(R433-Q433,2),"")</f>
        <v/>
      </c>
      <c r="T433" s="12" t="str">
        <f t="shared" si="122">IF(I433="已计入",IF(Q433=0,"",S433/Q433),"")</f>
        <v/>
      </c>
      <c r="U433" s="11">
        <f t="shared" si="130">IF(AA433="正常",U432+IF(AND(I433="已计入",OR(B433="买入",B433="定投",B433="转换转入")),E433,0),"")</f>
        <v>129570</v>
      </c>
      <c r="V433" s="11">
        <f t="shared" si="131">IF(AA433="正常",V432+IF(AND(I433="已计入",OR(B433="卖出",B433="现金分红")),E433,0),"")</f>
        <v>0</v>
      </c>
      <c r="W433" s="11">
        <f t="shared" si="132">IF(AA433="正常",W432+IF(I433="已计入",N433,0),"")</f>
        <v>0</v>
      </c>
      <c r="X433" s="11">
        <f t="shared" si="133">IF(AA433="正常",X432+IF(I433="已计入",P433,0),"")</f>
        <v>0</v>
      </c>
      <c r="Y433" s="11" t="str">
        <f t="shared" si="123">IF(I433="已计入",ROUND(R433+V433-U433,2),"")</f>
        <v/>
      </c>
      <c r="Z433" s="13">
        <f t="shared" si="134">IF(AA433="正常",IF(I433="已计入",A433,Z432),"")</f>
        <v>46239</v>
      </c>
      <c r="AA433" s="10" t="str">
        <f>IF(OR($AA$134="错误",COUNTIF($G$135:G433,"待修正")&gt;0),"错误","正常")</f>
        <v>正常</v>
      </c>
      <c r="AB433" s="14">
        <f t="shared" si="135">IF(AA433="正常",IF(I433="已计入",C433,AB432),"")</f>
        <v>6.347</v>
      </c>
    </row>
    <row r="434" ht="23" customHeight="1">
      <c r="A434" s="36"/>
      <c r="B434" s="37"/>
      <c r="C434" s="38"/>
      <c r="D434" s="39"/>
      <c r="E434" s="44" t="str">
        <f t="shared" si="116">IF(AND(ISNUMBER(C434),ISNUMBER(D434),ISNUMBER(F434)),IF(OR(B434="买入",B434="定投"),ROUND(C434*D434+F434,2),IF(B434="卖出",ROUND(C434*D434-F434,2),IF(B434="红利再投",0,""))),"")</f>
        <v/>
      </c>
      <c r="F434" s="39"/>
      <c r="G434" s="45" t="str">
        <f t="shared" si="117">IF(COUNTA(A434:D434,F434)=0,"",IF(I434="已计入","已录入","待修正"))</f>
        <v/>
      </c>
      <c r="H434" s="46" t="str">
        <f t="shared" si="118">IF(COUNTA(A434:D434,F434)=0,"",IF(B434="红利再投","仅增加份额，不增加现金投入","金额由份额、净值和手续费推算"))</f>
        <v/>
      </c>
      <c r="I434" s="10" t="str">
        <f>IF(COUNTA(A434:D434,F434)=0,"",IF(NOT(ISNUMBER(A434)),"缺少有效净值日期",IF(OR(A434&lt;=0,A434&lt;&gt;INT(A434)),"净值日期无效",IF(OR(B434="转换转入",B434="现金分红"),"该类型需实际金额，五项录入不适用",IF(NOT(OR(OR(B434="买入",B434="定投"),B434="卖出",B434="红利再投")),"请选择交易类型",IF(NOT(ISNUMBER(C434)),"缺少成交净值",IF(C434&lt;=0,"成交净值须大于零",IF(NOT(ISNUMBER(D434)),"缺少确认份额",IF(D434&lt;=0,"确认份额须大于零",IF(NOT(ISNUMBER(F434)),"缺少手续费，无费用请填 0",IF(F434&lt;0,"手续费不能为负",IF(AA433="错误","前行待修正",IF(A434&lt;Z433,"日期需按成交顺序递增",IF(AND(B434="红利再投",F434&lt;&gt;0),"红利再投手续费应填 0",IF(AND(B434="红利再投",K433&lt;=0),"红利再投前须有持仓",IF(AND(B434="卖出",D434&gt;K433+0.000001),"卖出份额超过持仓",IF(AND(B434="卖出",F434&gt;=C434*D434),"赎回费不能达到赎回总额",IF(NOT(ISNUMBER(E434)),"自动金额未生成，请检查五项输入",IF(NOT(OR('持仓总览'!$C$7="利润优先",'持仓总览'!$C$7="本金优先")),"请选择卖出分配模式","已计入")))))))))))))))))))</f>
        <v/>
      </c>
      <c r="J434" s="11">
        <f t="shared" si="119">IF(AA434="正常",IF(I434="已计入",IF(OR(OR(B434="买入",B434="定投",B434="转换转入"),B434="红利再投"),D434,IF(B434="卖出",-D434,0)),0),"")</f>
        <v>0</v>
      </c>
      <c r="K434" s="11">
        <f t="shared" si="124">IF(AA434="正常",ROUND(K433+J434,6),"")</f>
        <v>25721.6</v>
      </c>
      <c r="L434" s="11" t="str">
        <f t="shared" si="125">IF(I434="已计入",ROUND(K433*C434,2),"")</f>
        <v/>
      </c>
      <c r="M434" s="11" t="str">
        <f t="shared" si="126">IF(I434="已计入",IF(B434="卖出",MAX(0,L434-Q433-F434),IF(B434="现金分红",MAX(0,L434+E434-Q433),0)),"")</f>
        <v/>
      </c>
      <c r="N434" s="11" t="str">
        <f>IF(I434="已计入",IF(AND(B434="卖出",'持仓总览'!$C$7="本金优先"),MAX(0,E434-Q433),IF(OR(B434="卖出",B434="现金分红"),MIN(E434,M434),0)),"")</f>
        <v/>
      </c>
      <c r="O434" s="11" t="str">
        <f t="shared" si="127">IF(I434="已计入",IF(OR(B434="卖出",B434="现金分红"),MIN(Q433,MAX(0,E434-N434)),0),"")</f>
        <v/>
      </c>
      <c r="P434" s="11" t="str">
        <f t="shared" si="128">IF(I434="已计入",IF(AND(B434="卖出",K434=0),MAX(0,Q433-O434),0),"")</f>
        <v/>
      </c>
      <c r="Q434" s="11">
        <f t="shared" si="129">IF(AA434="正常",IF(I434="已计入",ROUND(Q433+IF(OR(B434="买入",B434="定投",B434="转换转入"),E434,0)-O434-P434,2),Q433),"")</f>
        <v>129570</v>
      </c>
      <c r="R434" s="11" t="str">
        <f t="shared" si="120">IF(I434="已计入",ROUND(K434*C434,2),"")</f>
        <v/>
      </c>
      <c r="S434" s="11" t="str">
        <f t="shared" si="121">IF(I434="已计入",ROUND(R434-Q434,2),"")</f>
        <v/>
      </c>
      <c r="T434" s="12" t="str">
        <f t="shared" si="122">IF(I434="已计入",IF(Q434=0,"",S434/Q434),"")</f>
        <v/>
      </c>
      <c r="U434" s="11">
        <f t="shared" si="130">IF(AA434="正常",U433+IF(AND(I434="已计入",OR(B434="买入",B434="定投",B434="转换转入")),E434,0),"")</f>
        <v>129570</v>
      </c>
      <c r="V434" s="11">
        <f t="shared" si="131">IF(AA434="正常",V433+IF(AND(I434="已计入",OR(B434="卖出",B434="现金分红")),E434,0),"")</f>
        <v>0</v>
      </c>
      <c r="W434" s="11">
        <f t="shared" si="132">IF(AA434="正常",W433+IF(I434="已计入",N434,0),"")</f>
        <v>0</v>
      </c>
      <c r="X434" s="11">
        <f t="shared" si="133">IF(AA434="正常",X433+IF(I434="已计入",P434,0),"")</f>
        <v>0</v>
      </c>
      <c r="Y434" s="11" t="str">
        <f t="shared" si="123">IF(I434="已计入",ROUND(R434+V434-U434,2),"")</f>
        <v/>
      </c>
      <c r="Z434" s="13">
        <f t="shared" si="134">IF(AA434="正常",IF(I434="已计入",A434,Z433),"")</f>
        <v>46239</v>
      </c>
      <c r="AA434" s="10" t="str">
        <f>IF(OR($AA$134="错误",COUNTIF($G$135:G434,"待修正")&gt;0),"错误","正常")</f>
        <v>正常</v>
      </c>
      <c r="AB434" s="14">
        <f t="shared" si="135">IF(AA434="正常",IF(I434="已计入",C434,AB433),"")</f>
        <v>6.347</v>
      </c>
    </row>
    <row r="435" ht="23" customHeight="1">
      <c r="A435" s="36"/>
      <c r="B435" s="37"/>
      <c r="C435" s="38"/>
      <c r="D435" s="39"/>
      <c r="E435" s="44" t="str">
        <f t="shared" si="116">IF(AND(ISNUMBER(C435),ISNUMBER(D435),ISNUMBER(F435)),IF(OR(B435="买入",B435="定投"),ROUND(C435*D435+F435,2),IF(B435="卖出",ROUND(C435*D435-F435,2),IF(B435="红利再投",0,""))),"")</f>
        <v/>
      </c>
      <c r="F435" s="39"/>
      <c r="G435" s="45" t="str">
        <f t="shared" si="117">IF(COUNTA(A435:D435,F435)=0,"",IF(I435="已计入","已录入","待修正"))</f>
        <v/>
      </c>
      <c r="H435" s="46" t="str">
        <f t="shared" si="118">IF(COUNTA(A435:D435,F435)=0,"",IF(B435="红利再投","仅增加份额，不增加现金投入","金额由份额、净值和手续费推算"))</f>
        <v/>
      </c>
      <c r="I435" s="10" t="str">
        <f>IF(COUNTA(A435:D435,F435)=0,"",IF(NOT(ISNUMBER(A435)),"缺少有效净值日期",IF(OR(A435&lt;=0,A435&lt;&gt;INT(A435)),"净值日期无效",IF(OR(B435="转换转入",B435="现金分红"),"该类型需实际金额，五项录入不适用",IF(NOT(OR(OR(B435="买入",B435="定投"),B435="卖出",B435="红利再投")),"请选择交易类型",IF(NOT(ISNUMBER(C435)),"缺少成交净值",IF(C435&lt;=0,"成交净值须大于零",IF(NOT(ISNUMBER(D435)),"缺少确认份额",IF(D435&lt;=0,"确认份额须大于零",IF(NOT(ISNUMBER(F435)),"缺少手续费，无费用请填 0",IF(F435&lt;0,"手续费不能为负",IF(AA434="错误","前行待修正",IF(A435&lt;Z434,"日期需按成交顺序递增",IF(AND(B435="红利再投",F435&lt;&gt;0),"红利再投手续费应填 0",IF(AND(B435="红利再投",K434&lt;=0),"红利再投前须有持仓",IF(AND(B435="卖出",D435&gt;K434+0.000001),"卖出份额超过持仓",IF(AND(B435="卖出",F435&gt;=C435*D435),"赎回费不能达到赎回总额",IF(NOT(ISNUMBER(E435)),"自动金额未生成，请检查五项输入",IF(NOT(OR('持仓总览'!$C$7="利润优先",'持仓总览'!$C$7="本金优先")),"请选择卖出分配模式","已计入")))))))))))))))))))</f>
        <v/>
      </c>
      <c r="J435" s="11">
        <f t="shared" si="119">IF(AA435="正常",IF(I435="已计入",IF(OR(OR(B435="买入",B435="定投",B435="转换转入"),B435="红利再投"),D435,IF(B435="卖出",-D435,0)),0),"")</f>
        <v>0</v>
      </c>
      <c r="K435" s="11">
        <f t="shared" si="124">IF(AA435="正常",ROUND(K434+J435,6),"")</f>
        <v>25721.6</v>
      </c>
      <c r="L435" s="11" t="str">
        <f t="shared" si="125">IF(I435="已计入",ROUND(K434*C435,2),"")</f>
        <v/>
      </c>
      <c r="M435" s="11" t="str">
        <f t="shared" si="126">IF(I435="已计入",IF(B435="卖出",MAX(0,L435-Q434-F435),IF(B435="现金分红",MAX(0,L435+E435-Q434),0)),"")</f>
        <v/>
      </c>
      <c r="N435" s="11" t="str">
        <f>IF(I435="已计入",IF(AND(B435="卖出",'持仓总览'!$C$7="本金优先"),MAX(0,E435-Q434),IF(OR(B435="卖出",B435="现金分红"),MIN(E435,M435),0)),"")</f>
        <v/>
      </c>
      <c r="O435" s="11" t="str">
        <f t="shared" si="127">IF(I435="已计入",IF(OR(B435="卖出",B435="现金分红"),MIN(Q434,MAX(0,E435-N435)),0),"")</f>
        <v/>
      </c>
      <c r="P435" s="11" t="str">
        <f t="shared" si="128">IF(I435="已计入",IF(AND(B435="卖出",K435=0),MAX(0,Q434-O435),0),"")</f>
        <v/>
      </c>
      <c r="Q435" s="11">
        <f t="shared" si="129">IF(AA435="正常",IF(I435="已计入",ROUND(Q434+IF(OR(B435="买入",B435="定投",B435="转换转入"),E435,0)-O435-P435,2),Q434),"")</f>
        <v>129570</v>
      </c>
      <c r="R435" s="11" t="str">
        <f t="shared" si="120">IF(I435="已计入",ROUND(K435*C435,2),"")</f>
        <v/>
      </c>
      <c r="S435" s="11" t="str">
        <f t="shared" si="121">IF(I435="已计入",ROUND(R435-Q435,2),"")</f>
        <v/>
      </c>
      <c r="T435" s="12" t="str">
        <f t="shared" si="122">IF(I435="已计入",IF(Q435=0,"",S435/Q435),"")</f>
        <v/>
      </c>
      <c r="U435" s="11">
        <f t="shared" si="130">IF(AA435="正常",U434+IF(AND(I435="已计入",OR(B435="买入",B435="定投",B435="转换转入")),E435,0),"")</f>
        <v>129570</v>
      </c>
      <c r="V435" s="11">
        <f t="shared" si="131">IF(AA435="正常",V434+IF(AND(I435="已计入",OR(B435="卖出",B435="现金分红")),E435,0),"")</f>
        <v>0</v>
      </c>
      <c r="W435" s="11">
        <f t="shared" si="132">IF(AA435="正常",W434+IF(I435="已计入",N435,0),"")</f>
        <v>0</v>
      </c>
      <c r="X435" s="11">
        <f t="shared" si="133">IF(AA435="正常",X434+IF(I435="已计入",P435,0),"")</f>
        <v>0</v>
      </c>
      <c r="Y435" s="11" t="str">
        <f t="shared" si="123">IF(I435="已计入",ROUND(R435+V435-U435,2),"")</f>
        <v/>
      </c>
      <c r="Z435" s="13">
        <f t="shared" si="134">IF(AA435="正常",IF(I435="已计入",A435,Z434),"")</f>
        <v>46239</v>
      </c>
      <c r="AA435" s="10" t="str">
        <f>IF(OR($AA$134="错误",COUNTIF($G$135:G435,"待修正")&gt;0),"错误","正常")</f>
        <v>正常</v>
      </c>
      <c r="AB435" s="14">
        <f t="shared" si="135">IF(AA435="正常",IF(I435="已计入",C435,AB434),"")</f>
        <v>6.347</v>
      </c>
    </row>
    <row r="436" ht="23" customHeight="1">
      <c r="A436" s="36"/>
      <c r="B436" s="37"/>
      <c r="C436" s="38"/>
      <c r="D436" s="39"/>
      <c r="E436" s="44" t="str">
        <f t="shared" si="116">IF(AND(ISNUMBER(C436),ISNUMBER(D436),ISNUMBER(F436)),IF(OR(B436="买入",B436="定投"),ROUND(C436*D436+F436,2),IF(B436="卖出",ROUND(C436*D436-F436,2),IF(B436="红利再投",0,""))),"")</f>
        <v/>
      </c>
      <c r="F436" s="39"/>
      <c r="G436" s="45" t="str">
        <f t="shared" si="117">IF(COUNTA(A436:D436,F436)=0,"",IF(I436="已计入","已录入","待修正"))</f>
        <v/>
      </c>
      <c r="H436" s="46" t="str">
        <f t="shared" si="118">IF(COUNTA(A436:D436,F436)=0,"",IF(B436="红利再投","仅增加份额，不增加现金投入","金额由份额、净值和手续费推算"))</f>
        <v/>
      </c>
      <c r="I436" s="10" t="str">
        <f>IF(COUNTA(A436:D436,F436)=0,"",IF(NOT(ISNUMBER(A436)),"缺少有效净值日期",IF(OR(A436&lt;=0,A436&lt;&gt;INT(A436)),"净值日期无效",IF(OR(B436="转换转入",B436="现金分红"),"该类型需实际金额，五项录入不适用",IF(NOT(OR(OR(B436="买入",B436="定投"),B436="卖出",B436="红利再投")),"请选择交易类型",IF(NOT(ISNUMBER(C436)),"缺少成交净值",IF(C436&lt;=0,"成交净值须大于零",IF(NOT(ISNUMBER(D436)),"缺少确认份额",IF(D436&lt;=0,"确认份额须大于零",IF(NOT(ISNUMBER(F436)),"缺少手续费，无费用请填 0",IF(F436&lt;0,"手续费不能为负",IF(AA435="错误","前行待修正",IF(A436&lt;Z435,"日期需按成交顺序递增",IF(AND(B436="红利再投",F436&lt;&gt;0),"红利再投手续费应填 0",IF(AND(B436="红利再投",K435&lt;=0),"红利再投前须有持仓",IF(AND(B436="卖出",D436&gt;K435+0.000001),"卖出份额超过持仓",IF(AND(B436="卖出",F436&gt;=C436*D436),"赎回费不能达到赎回总额",IF(NOT(ISNUMBER(E436)),"自动金额未生成，请检查五项输入",IF(NOT(OR('持仓总览'!$C$7="利润优先",'持仓总览'!$C$7="本金优先")),"请选择卖出分配模式","已计入")))))))))))))))))))</f>
        <v/>
      </c>
      <c r="J436" s="11">
        <f t="shared" si="119">IF(AA436="正常",IF(I436="已计入",IF(OR(OR(B436="买入",B436="定投",B436="转换转入"),B436="红利再投"),D436,IF(B436="卖出",-D436,0)),0),"")</f>
        <v>0</v>
      </c>
      <c r="K436" s="11">
        <f t="shared" si="124">IF(AA436="正常",ROUND(K435+J436,6),"")</f>
        <v>25721.6</v>
      </c>
      <c r="L436" s="11" t="str">
        <f t="shared" si="125">IF(I436="已计入",ROUND(K435*C436,2),"")</f>
        <v/>
      </c>
      <c r="M436" s="11" t="str">
        <f t="shared" si="126">IF(I436="已计入",IF(B436="卖出",MAX(0,L436-Q435-F436),IF(B436="现金分红",MAX(0,L436+E436-Q435),0)),"")</f>
        <v/>
      </c>
      <c r="N436" s="11" t="str">
        <f>IF(I436="已计入",IF(AND(B436="卖出",'持仓总览'!$C$7="本金优先"),MAX(0,E436-Q435),IF(OR(B436="卖出",B436="现金分红"),MIN(E436,M436),0)),"")</f>
        <v/>
      </c>
      <c r="O436" s="11" t="str">
        <f t="shared" si="127">IF(I436="已计入",IF(OR(B436="卖出",B436="现金分红"),MIN(Q435,MAX(0,E436-N436)),0),"")</f>
        <v/>
      </c>
      <c r="P436" s="11" t="str">
        <f t="shared" si="128">IF(I436="已计入",IF(AND(B436="卖出",K436=0),MAX(0,Q435-O436),0),"")</f>
        <v/>
      </c>
      <c r="Q436" s="11">
        <f t="shared" si="129">IF(AA436="正常",IF(I436="已计入",ROUND(Q435+IF(OR(B436="买入",B436="定投",B436="转换转入"),E436,0)-O436-P436,2),Q435),"")</f>
        <v>129570</v>
      </c>
      <c r="R436" s="11" t="str">
        <f t="shared" si="120">IF(I436="已计入",ROUND(K436*C436,2),"")</f>
        <v/>
      </c>
      <c r="S436" s="11" t="str">
        <f t="shared" si="121">IF(I436="已计入",ROUND(R436-Q436,2),"")</f>
        <v/>
      </c>
      <c r="T436" s="12" t="str">
        <f t="shared" si="122">IF(I436="已计入",IF(Q436=0,"",S436/Q436),"")</f>
        <v/>
      </c>
      <c r="U436" s="11">
        <f t="shared" si="130">IF(AA436="正常",U435+IF(AND(I436="已计入",OR(B436="买入",B436="定投",B436="转换转入")),E436,0),"")</f>
        <v>129570</v>
      </c>
      <c r="V436" s="11">
        <f t="shared" si="131">IF(AA436="正常",V435+IF(AND(I436="已计入",OR(B436="卖出",B436="现金分红")),E436,0),"")</f>
        <v>0</v>
      </c>
      <c r="W436" s="11">
        <f t="shared" si="132">IF(AA436="正常",W435+IF(I436="已计入",N436,0),"")</f>
        <v>0</v>
      </c>
      <c r="X436" s="11">
        <f t="shared" si="133">IF(AA436="正常",X435+IF(I436="已计入",P436,0),"")</f>
        <v>0</v>
      </c>
      <c r="Y436" s="11" t="str">
        <f t="shared" si="123">IF(I436="已计入",ROUND(R436+V436-U436,2),"")</f>
        <v/>
      </c>
      <c r="Z436" s="13">
        <f t="shared" si="134">IF(AA436="正常",IF(I436="已计入",A436,Z435),"")</f>
        <v>46239</v>
      </c>
      <c r="AA436" s="10" t="str">
        <f>IF(OR($AA$134="错误",COUNTIF($G$135:G436,"待修正")&gt;0),"错误","正常")</f>
        <v>正常</v>
      </c>
      <c r="AB436" s="14">
        <f t="shared" si="135">IF(AA436="正常",IF(I436="已计入",C436,AB435),"")</f>
        <v>6.347</v>
      </c>
    </row>
    <row r="437" ht="23" customHeight="1">
      <c r="A437" s="36"/>
      <c r="B437" s="37"/>
      <c r="C437" s="38"/>
      <c r="D437" s="39"/>
      <c r="E437" s="44" t="str">
        <f t="shared" ref="E437:E500" si="136">IF(AND(ISNUMBER(C437),ISNUMBER(D437),ISNUMBER(F437)),IF(OR(B437="买入",B437="定投"),ROUND(C437*D437+F437,2),IF(B437="卖出",ROUND(C437*D437-F437,2),IF(B437="红利再投",0,""))),"")</f>
        <v/>
      </c>
      <c r="F437" s="39"/>
      <c r="G437" s="45" t="str">
        <f t="shared" ref="G437:G500" si="137">IF(COUNTA(A437:D437,F437)=0,"",IF(I437="已计入","已录入","待修正"))</f>
        <v/>
      </c>
      <c r="H437" s="46" t="str">
        <f t="shared" ref="H437:H500" si="138">IF(COUNTA(A437:D437,F437)=0,"",IF(B437="红利再投","仅增加份额，不增加现金投入","金额由份额、净值和手续费推算"))</f>
        <v/>
      </c>
      <c r="I437" s="10" t="str">
        <f>IF(COUNTA(A437:D437,F437)=0,"",IF(NOT(ISNUMBER(A437)),"缺少有效净值日期",IF(OR(A437&lt;=0,A437&lt;&gt;INT(A437)),"净值日期无效",IF(OR(B437="转换转入",B437="现金分红"),"该类型需实际金额，五项录入不适用",IF(NOT(OR(OR(B437="买入",B437="定投"),B437="卖出",B437="红利再投")),"请选择交易类型",IF(NOT(ISNUMBER(C437)),"缺少成交净值",IF(C437&lt;=0,"成交净值须大于零",IF(NOT(ISNUMBER(D437)),"缺少确认份额",IF(D437&lt;=0,"确认份额须大于零",IF(NOT(ISNUMBER(F437)),"缺少手续费，无费用请填 0",IF(F437&lt;0,"手续费不能为负",IF(AA436="错误","前行待修正",IF(A437&lt;Z436,"日期需按成交顺序递增",IF(AND(B437="红利再投",F437&lt;&gt;0),"红利再投手续费应填 0",IF(AND(B437="红利再投",K436&lt;=0),"红利再投前须有持仓",IF(AND(B437="卖出",D437&gt;K436+0.000001),"卖出份额超过持仓",IF(AND(B437="卖出",F437&gt;=C437*D437),"赎回费不能达到赎回总额",IF(NOT(ISNUMBER(E437)),"自动金额未生成，请检查五项输入",IF(NOT(OR('持仓总览'!$C$7="利润优先",'持仓总览'!$C$7="本金优先")),"请选择卖出分配模式","已计入")))))))))))))))))))</f>
        <v/>
      </c>
      <c r="J437" s="11">
        <f t="shared" si="119">IF(AA437="正常",IF(I437="已计入",IF(OR(OR(B437="买入",B437="定投",B437="转换转入"),B437="红利再投"),D437,IF(B437="卖出",-D437,0)),0),"")</f>
        <v>0</v>
      </c>
      <c r="K437" s="11">
        <f t="shared" si="124">IF(AA437="正常",ROUND(K436+J437,6),"")</f>
        <v>25721.6</v>
      </c>
      <c r="L437" s="11" t="str">
        <f t="shared" si="125">IF(I437="已计入",ROUND(K436*C437,2),"")</f>
        <v/>
      </c>
      <c r="M437" s="11" t="str">
        <f t="shared" si="126">IF(I437="已计入",IF(B437="卖出",MAX(0,L437-Q436-F437),IF(B437="现金分红",MAX(0,L437+E437-Q436),0)),"")</f>
        <v/>
      </c>
      <c r="N437" s="11" t="str">
        <f>IF(I437="已计入",IF(AND(B437="卖出",'持仓总览'!$C$7="本金优先"),MAX(0,E437-Q436),IF(OR(B437="卖出",B437="现金分红"),MIN(E437,M437),0)),"")</f>
        <v/>
      </c>
      <c r="O437" s="11" t="str">
        <f t="shared" si="127">IF(I437="已计入",IF(OR(B437="卖出",B437="现金分红"),MIN(Q436,MAX(0,E437-N437)),0),"")</f>
        <v/>
      </c>
      <c r="P437" s="11" t="str">
        <f t="shared" si="128">IF(I437="已计入",IF(AND(B437="卖出",K437=0),MAX(0,Q436-O437),0),"")</f>
        <v/>
      </c>
      <c r="Q437" s="11">
        <f t="shared" si="129">IF(AA437="正常",IF(I437="已计入",ROUND(Q436+IF(OR(B437="买入",B437="定投",B437="转换转入"),E437,0)-O437-P437,2),Q436),"")</f>
        <v>129570</v>
      </c>
      <c r="R437" s="11" t="str">
        <f t="shared" si="120">IF(I437="已计入",ROUND(K437*C437,2),"")</f>
        <v/>
      </c>
      <c r="S437" s="11" t="str">
        <f t="shared" si="121">IF(I437="已计入",ROUND(R437-Q437,2),"")</f>
        <v/>
      </c>
      <c r="T437" s="12" t="str">
        <f t="shared" si="122">IF(I437="已计入",IF(Q437=0,"",S437/Q437),"")</f>
        <v/>
      </c>
      <c r="U437" s="11">
        <f t="shared" si="130">IF(AA437="正常",U436+IF(AND(I437="已计入",OR(B437="买入",B437="定投",B437="转换转入")),E437,0),"")</f>
        <v>129570</v>
      </c>
      <c r="V437" s="11">
        <f t="shared" si="131">IF(AA437="正常",V436+IF(AND(I437="已计入",OR(B437="卖出",B437="现金分红")),E437,0),"")</f>
        <v>0</v>
      </c>
      <c r="W437" s="11">
        <f t="shared" si="132">IF(AA437="正常",W436+IF(I437="已计入",N437,0),"")</f>
        <v>0</v>
      </c>
      <c r="X437" s="11">
        <f t="shared" si="133">IF(AA437="正常",X436+IF(I437="已计入",P437,0),"")</f>
        <v>0</v>
      </c>
      <c r="Y437" s="11" t="str">
        <f t="shared" si="123">IF(I437="已计入",ROUND(R437+V437-U437,2),"")</f>
        <v/>
      </c>
      <c r="Z437" s="13">
        <f t="shared" si="134">IF(AA437="正常",IF(I437="已计入",A437,Z436),"")</f>
        <v>46239</v>
      </c>
      <c r="AA437" s="10" t="str">
        <f>IF(OR($AA$134="错误",COUNTIF($G$135:G437,"待修正")&gt;0),"错误","正常")</f>
        <v>正常</v>
      </c>
      <c r="AB437" s="14">
        <f t="shared" si="135">IF(AA437="正常",IF(I437="已计入",C437,AB436),"")</f>
        <v>6.347</v>
      </c>
    </row>
    <row r="438" ht="23" customHeight="1">
      <c r="A438" s="36"/>
      <c r="B438" s="37"/>
      <c r="C438" s="38"/>
      <c r="D438" s="39"/>
      <c r="E438" s="44" t="str">
        <f t="shared" si="136">IF(AND(ISNUMBER(C438),ISNUMBER(D438),ISNUMBER(F438)),IF(OR(B438="买入",B438="定投"),ROUND(C438*D438+F438,2),IF(B438="卖出",ROUND(C438*D438-F438,2),IF(B438="红利再投",0,""))),"")</f>
        <v/>
      </c>
      <c r="F438" s="39"/>
      <c r="G438" s="45" t="str">
        <f t="shared" si="137">IF(COUNTA(A438:D438,F438)=0,"",IF(I438="已计入","已录入","待修正"))</f>
        <v/>
      </c>
      <c r="H438" s="46" t="str">
        <f t="shared" si="138">IF(COUNTA(A438:D438,F438)=0,"",IF(B438="红利再投","仅增加份额，不增加现金投入","金额由份额、净值和手续费推算"))</f>
        <v/>
      </c>
      <c r="I438" s="10" t="str">
        <f>IF(COUNTA(A438:D438,F438)=0,"",IF(NOT(ISNUMBER(A438)),"缺少有效净值日期",IF(OR(A438&lt;=0,A438&lt;&gt;INT(A438)),"净值日期无效",IF(OR(B438="转换转入",B438="现金分红"),"该类型需实际金额，五项录入不适用",IF(NOT(OR(OR(B438="买入",B438="定投"),B438="卖出",B438="红利再投")),"请选择交易类型",IF(NOT(ISNUMBER(C438)),"缺少成交净值",IF(C438&lt;=0,"成交净值须大于零",IF(NOT(ISNUMBER(D438)),"缺少确认份额",IF(D438&lt;=0,"确认份额须大于零",IF(NOT(ISNUMBER(F438)),"缺少手续费，无费用请填 0",IF(F438&lt;0,"手续费不能为负",IF(AA437="错误","前行待修正",IF(A438&lt;Z437,"日期需按成交顺序递增",IF(AND(B438="红利再投",F438&lt;&gt;0),"红利再投手续费应填 0",IF(AND(B438="红利再投",K437&lt;=0),"红利再投前须有持仓",IF(AND(B438="卖出",D438&gt;K437+0.000001),"卖出份额超过持仓",IF(AND(B438="卖出",F438&gt;=C438*D438),"赎回费不能达到赎回总额",IF(NOT(ISNUMBER(E438)),"自动金额未生成，请检查五项输入",IF(NOT(OR('持仓总览'!$C$7="利润优先",'持仓总览'!$C$7="本金优先")),"请选择卖出分配模式","已计入")))))))))))))))))))</f>
        <v/>
      </c>
      <c r="J438" s="11">
        <f t="shared" si="119">IF(AA438="正常",IF(I438="已计入",IF(OR(OR(B438="买入",B438="定投",B438="转换转入"),B438="红利再投"),D438,IF(B438="卖出",-D438,0)),0),"")</f>
        <v>0</v>
      </c>
      <c r="K438" s="11">
        <f t="shared" si="124">IF(AA438="正常",ROUND(K437+J438,6),"")</f>
        <v>25721.6</v>
      </c>
      <c r="L438" s="11" t="str">
        <f t="shared" si="125">IF(I438="已计入",ROUND(K437*C438,2),"")</f>
        <v/>
      </c>
      <c r="M438" s="11" t="str">
        <f t="shared" si="126">IF(I438="已计入",IF(B438="卖出",MAX(0,L438-Q437-F438),IF(B438="现金分红",MAX(0,L438+E438-Q437),0)),"")</f>
        <v/>
      </c>
      <c r="N438" s="11" t="str">
        <f>IF(I438="已计入",IF(AND(B438="卖出",'持仓总览'!$C$7="本金优先"),MAX(0,E438-Q437),IF(OR(B438="卖出",B438="现金分红"),MIN(E438,M438),0)),"")</f>
        <v/>
      </c>
      <c r="O438" s="11" t="str">
        <f t="shared" si="127">IF(I438="已计入",IF(OR(B438="卖出",B438="现金分红"),MIN(Q437,MAX(0,E438-N438)),0),"")</f>
        <v/>
      </c>
      <c r="P438" s="11" t="str">
        <f t="shared" si="128">IF(I438="已计入",IF(AND(B438="卖出",K438=0),MAX(0,Q437-O438),0),"")</f>
        <v/>
      </c>
      <c r="Q438" s="11">
        <f t="shared" si="129">IF(AA438="正常",IF(I438="已计入",ROUND(Q437+IF(OR(B438="买入",B438="定投",B438="转换转入"),E438,0)-O438-P438,2),Q437),"")</f>
        <v>129570</v>
      </c>
      <c r="R438" s="11" t="str">
        <f t="shared" si="120">IF(I438="已计入",ROUND(K438*C438,2),"")</f>
        <v/>
      </c>
      <c r="S438" s="11" t="str">
        <f t="shared" si="121">IF(I438="已计入",ROUND(R438-Q438,2),"")</f>
        <v/>
      </c>
      <c r="T438" s="12" t="str">
        <f t="shared" si="122">IF(I438="已计入",IF(Q438=0,"",S438/Q438),"")</f>
        <v/>
      </c>
      <c r="U438" s="11">
        <f t="shared" si="130">IF(AA438="正常",U437+IF(AND(I438="已计入",OR(B438="买入",B438="定投",B438="转换转入")),E438,0),"")</f>
        <v>129570</v>
      </c>
      <c r="V438" s="11">
        <f t="shared" si="131">IF(AA438="正常",V437+IF(AND(I438="已计入",OR(B438="卖出",B438="现金分红")),E438,0),"")</f>
        <v>0</v>
      </c>
      <c r="W438" s="11">
        <f t="shared" si="132">IF(AA438="正常",W437+IF(I438="已计入",N438,0),"")</f>
        <v>0</v>
      </c>
      <c r="X438" s="11">
        <f t="shared" si="133">IF(AA438="正常",X437+IF(I438="已计入",P438,0),"")</f>
        <v>0</v>
      </c>
      <c r="Y438" s="11" t="str">
        <f t="shared" si="123">IF(I438="已计入",ROUND(R438+V438-U438,2),"")</f>
        <v/>
      </c>
      <c r="Z438" s="13">
        <f t="shared" si="134">IF(AA438="正常",IF(I438="已计入",A438,Z437),"")</f>
        <v>46239</v>
      </c>
      <c r="AA438" s="10" t="str">
        <f>IF(OR($AA$134="错误",COUNTIF($G$135:G438,"待修正")&gt;0),"错误","正常")</f>
        <v>正常</v>
      </c>
      <c r="AB438" s="14">
        <f t="shared" si="135">IF(AA438="正常",IF(I438="已计入",C438,AB437),"")</f>
        <v>6.347</v>
      </c>
    </row>
    <row r="439" ht="23" customHeight="1">
      <c r="A439" s="36"/>
      <c r="B439" s="37"/>
      <c r="C439" s="38"/>
      <c r="D439" s="39"/>
      <c r="E439" s="44" t="str">
        <f t="shared" si="136">IF(AND(ISNUMBER(C439),ISNUMBER(D439),ISNUMBER(F439)),IF(OR(B439="买入",B439="定投"),ROUND(C439*D439+F439,2),IF(B439="卖出",ROUND(C439*D439-F439,2),IF(B439="红利再投",0,""))),"")</f>
        <v/>
      </c>
      <c r="F439" s="39"/>
      <c r="G439" s="45" t="str">
        <f t="shared" si="137">IF(COUNTA(A439:D439,F439)=0,"",IF(I439="已计入","已录入","待修正"))</f>
        <v/>
      </c>
      <c r="H439" s="46" t="str">
        <f t="shared" si="138">IF(COUNTA(A439:D439,F439)=0,"",IF(B439="红利再投","仅增加份额，不增加现金投入","金额由份额、净值和手续费推算"))</f>
        <v/>
      </c>
      <c r="I439" s="10" t="str">
        <f>IF(COUNTA(A439:D439,F439)=0,"",IF(NOT(ISNUMBER(A439)),"缺少有效净值日期",IF(OR(A439&lt;=0,A439&lt;&gt;INT(A439)),"净值日期无效",IF(OR(B439="转换转入",B439="现金分红"),"该类型需实际金额，五项录入不适用",IF(NOT(OR(OR(B439="买入",B439="定投"),B439="卖出",B439="红利再投")),"请选择交易类型",IF(NOT(ISNUMBER(C439)),"缺少成交净值",IF(C439&lt;=0,"成交净值须大于零",IF(NOT(ISNUMBER(D439)),"缺少确认份额",IF(D439&lt;=0,"确认份额须大于零",IF(NOT(ISNUMBER(F439)),"缺少手续费，无费用请填 0",IF(F439&lt;0,"手续费不能为负",IF(AA438="错误","前行待修正",IF(A439&lt;Z438,"日期需按成交顺序递增",IF(AND(B439="红利再投",F439&lt;&gt;0),"红利再投手续费应填 0",IF(AND(B439="红利再投",K438&lt;=0),"红利再投前须有持仓",IF(AND(B439="卖出",D439&gt;K438+0.000001),"卖出份额超过持仓",IF(AND(B439="卖出",F439&gt;=C439*D439),"赎回费不能达到赎回总额",IF(NOT(ISNUMBER(E439)),"自动金额未生成，请检查五项输入",IF(NOT(OR('持仓总览'!$C$7="利润优先",'持仓总览'!$C$7="本金优先")),"请选择卖出分配模式","已计入")))))))))))))))))))</f>
        <v/>
      </c>
      <c r="J439" s="11">
        <f t="shared" si="119">IF(AA439="正常",IF(I439="已计入",IF(OR(OR(B439="买入",B439="定投",B439="转换转入"),B439="红利再投"),D439,IF(B439="卖出",-D439,0)),0),"")</f>
        <v>0</v>
      </c>
      <c r="K439" s="11">
        <f t="shared" si="124">IF(AA439="正常",ROUND(K438+J439,6),"")</f>
        <v>25721.6</v>
      </c>
      <c r="L439" s="11" t="str">
        <f t="shared" si="125">IF(I439="已计入",ROUND(K438*C439,2),"")</f>
        <v/>
      </c>
      <c r="M439" s="11" t="str">
        <f t="shared" si="126">IF(I439="已计入",IF(B439="卖出",MAX(0,L439-Q438-F439),IF(B439="现金分红",MAX(0,L439+E439-Q438),0)),"")</f>
        <v/>
      </c>
      <c r="N439" s="11" t="str">
        <f>IF(I439="已计入",IF(AND(B439="卖出",'持仓总览'!$C$7="本金优先"),MAX(0,E439-Q438),IF(OR(B439="卖出",B439="现金分红"),MIN(E439,M439),0)),"")</f>
        <v/>
      </c>
      <c r="O439" s="11" t="str">
        <f t="shared" si="127">IF(I439="已计入",IF(OR(B439="卖出",B439="现金分红"),MIN(Q438,MAX(0,E439-N439)),0),"")</f>
        <v/>
      </c>
      <c r="P439" s="11" t="str">
        <f t="shared" si="128">IF(I439="已计入",IF(AND(B439="卖出",K439=0),MAX(0,Q438-O439),0),"")</f>
        <v/>
      </c>
      <c r="Q439" s="11">
        <f t="shared" si="129">IF(AA439="正常",IF(I439="已计入",ROUND(Q438+IF(OR(B439="买入",B439="定投",B439="转换转入"),E439,0)-O439-P439,2),Q438),"")</f>
        <v>129570</v>
      </c>
      <c r="R439" s="11" t="str">
        <f t="shared" si="120">IF(I439="已计入",ROUND(K439*C439,2),"")</f>
        <v/>
      </c>
      <c r="S439" s="11" t="str">
        <f t="shared" si="121">IF(I439="已计入",ROUND(R439-Q439,2),"")</f>
        <v/>
      </c>
      <c r="T439" s="12" t="str">
        <f t="shared" si="122">IF(I439="已计入",IF(Q439=0,"",S439/Q439),"")</f>
        <v/>
      </c>
      <c r="U439" s="11">
        <f t="shared" si="130">IF(AA439="正常",U438+IF(AND(I439="已计入",OR(B439="买入",B439="定投",B439="转换转入")),E439,0),"")</f>
        <v>129570</v>
      </c>
      <c r="V439" s="11">
        <f t="shared" si="131">IF(AA439="正常",V438+IF(AND(I439="已计入",OR(B439="卖出",B439="现金分红")),E439,0),"")</f>
        <v>0</v>
      </c>
      <c r="W439" s="11">
        <f t="shared" si="132">IF(AA439="正常",W438+IF(I439="已计入",N439,0),"")</f>
        <v>0</v>
      </c>
      <c r="X439" s="11">
        <f t="shared" si="133">IF(AA439="正常",X438+IF(I439="已计入",P439,0),"")</f>
        <v>0</v>
      </c>
      <c r="Y439" s="11" t="str">
        <f t="shared" si="123">IF(I439="已计入",ROUND(R439+V439-U439,2),"")</f>
        <v/>
      </c>
      <c r="Z439" s="13">
        <f t="shared" si="134">IF(AA439="正常",IF(I439="已计入",A439,Z438),"")</f>
        <v>46239</v>
      </c>
      <c r="AA439" s="10" t="str">
        <f>IF(OR($AA$134="错误",COUNTIF($G$135:G439,"待修正")&gt;0),"错误","正常")</f>
        <v>正常</v>
      </c>
      <c r="AB439" s="14">
        <f t="shared" si="135">IF(AA439="正常",IF(I439="已计入",C439,AB438),"")</f>
        <v>6.347</v>
      </c>
    </row>
    <row r="440" ht="23" customHeight="1">
      <c r="A440" s="36"/>
      <c r="B440" s="37"/>
      <c r="C440" s="38"/>
      <c r="D440" s="39"/>
      <c r="E440" s="44" t="str">
        <f t="shared" si="136">IF(AND(ISNUMBER(C440),ISNUMBER(D440),ISNUMBER(F440)),IF(OR(B440="买入",B440="定投"),ROUND(C440*D440+F440,2),IF(B440="卖出",ROUND(C440*D440-F440,2),IF(B440="红利再投",0,""))),"")</f>
        <v/>
      </c>
      <c r="F440" s="39"/>
      <c r="G440" s="45" t="str">
        <f t="shared" si="137">IF(COUNTA(A440:D440,F440)=0,"",IF(I440="已计入","已录入","待修正"))</f>
        <v/>
      </c>
      <c r="H440" s="46" t="str">
        <f t="shared" si="138">IF(COUNTA(A440:D440,F440)=0,"",IF(B440="红利再投","仅增加份额，不增加现金投入","金额由份额、净值和手续费推算"))</f>
        <v/>
      </c>
      <c r="I440" s="10" t="str">
        <f>IF(COUNTA(A440:D440,F440)=0,"",IF(NOT(ISNUMBER(A440)),"缺少有效净值日期",IF(OR(A440&lt;=0,A440&lt;&gt;INT(A440)),"净值日期无效",IF(OR(B440="转换转入",B440="现金分红"),"该类型需实际金额，五项录入不适用",IF(NOT(OR(OR(B440="买入",B440="定投"),B440="卖出",B440="红利再投")),"请选择交易类型",IF(NOT(ISNUMBER(C440)),"缺少成交净值",IF(C440&lt;=0,"成交净值须大于零",IF(NOT(ISNUMBER(D440)),"缺少确认份额",IF(D440&lt;=0,"确认份额须大于零",IF(NOT(ISNUMBER(F440)),"缺少手续费，无费用请填 0",IF(F440&lt;0,"手续费不能为负",IF(AA439="错误","前行待修正",IF(A440&lt;Z439,"日期需按成交顺序递增",IF(AND(B440="红利再投",F440&lt;&gt;0),"红利再投手续费应填 0",IF(AND(B440="红利再投",K439&lt;=0),"红利再投前须有持仓",IF(AND(B440="卖出",D440&gt;K439+0.000001),"卖出份额超过持仓",IF(AND(B440="卖出",F440&gt;=C440*D440),"赎回费不能达到赎回总额",IF(NOT(ISNUMBER(E440)),"自动金额未生成，请检查五项输入",IF(NOT(OR('持仓总览'!$C$7="利润优先",'持仓总览'!$C$7="本金优先")),"请选择卖出分配模式","已计入")))))))))))))))))))</f>
        <v/>
      </c>
      <c r="J440" s="11">
        <f t="shared" si="119">IF(AA440="正常",IF(I440="已计入",IF(OR(OR(B440="买入",B440="定投",B440="转换转入"),B440="红利再投"),D440,IF(B440="卖出",-D440,0)),0),"")</f>
        <v>0</v>
      </c>
      <c r="K440" s="11">
        <f t="shared" si="124">IF(AA440="正常",ROUND(K439+J440,6),"")</f>
        <v>25721.6</v>
      </c>
      <c r="L440" s="11" t="str">
        <f t="shared" si="125">IF(I440="已计入",ROUND(K439*C440,2),"")</f>
        <v/>
      </c>
      <c r="M440" s="11" t="str">
        <f t="shared" si="126">IF(I440="已计入",IF(B440="卖出",MAX(0,L440-Q439-F440),IF(B440="现金分红",MAX(0,L440+E440-Q439),0)),"")</f>
        <v/>
      </c>
      <c r="N440" s="11" t="str">
        <f>IF(I440="已计入",IF(AND(B440="卖出",'持仓总览'!$C$7="本金优先"),MAX(0,E440-Q439),IF(OR(B440="卖出",B440="现金分红"),MIN(E440,M440),0)),"")</f>
        <v/>
      </c>
      <c r="O440" s="11" t="str">
        <f t="shared" si="127">IF(I440="已计入",IF(OR(B440="卖出",B440="现金分红"),MIN(Q439,MAX(0,E440-N440)),0),"")</f>
        <v/>
      </c>
      <c r="P440" s="11" t="str">
        <f t="shared" si="128">IF(I440="已计入",IF(AND(B440="卖出",K440=0),MAX(0,Q439-O440),0),"")</f>
        <v/>
      </c>
      <c r="Q440" s="11">
        <f t="shared" si="129">IF(AA440="正常",IF(I440="已计入",ROUND(Q439+IF(OR(B440="买入",B440="定投",B440="转换转入"),E440,0)-O440-P440,2),Q439),"")</f>
        <v>129570</v>
      </c>
      <c r="R440" s="11" t="str">
        <f t="shared" si="120">IF(I440="已计入",ROUND(K440*C440,2),"")</f>
        <v/>
      </c>
      <c r="S440" s="11" t="str">
        <f t="shared" si="121">IF(I440="已计入",ROUND(R440-Q440,2),"")</f>
        <v/>
      </c>
      <c r="T440" s="12" t="str">
        <f t="shared" si="122">IF(I440="已计入",IF(Q440=0,"",S440/Q440),"")</f>
        <v/>
      </c>
      <c r="U440" s="11">
        <f t="shared" si="130">IF(AA440="正常",U439+IF(AND(I440="已计入",OR(B440="买入",B440="定投",B440="转换转入")),E440,0),"")</f>
        <v>129570</v>
      </c>
      <c r="V440" s="11">
        <f t="shared" si="131">IF(AA440="正常",V439+IF(AND(I440="已计入",OR(B440="卖出",B440="现金分红")),E440,0),"")</f>
        <v>0</v>
      </c>
      <c r="W440" s="11">
        <f t="shared" si="132">IF(AA440="正常",W439+IF(I440="已计入",N440,0),"")</f>
        <v>0</v>
      </c>
      <c r="X440" s="11">
        <f t="shared" si="133">IF(AA440="正常",X439+IF(I440="已计入",P440,0),"")</f>
        <v>0</v>
      </c>
      <c r="Y440" s="11" t="str">
        <f t="shared" si="123">IF(I440="已计入",ROUND(R440+V440-U440,2),"")</f>
        <v/>
      </c>
      <c r="Z440" s="13">
        <f t="shared" si="134">IF(AA440="正常",IF(I440="已计入",A440,Z439),"")</f>
        <v>46239</v>
      </c>
      <c r="AA440" s="10" t="str">
        <f>IF(OR($AA$134="错误",COUNTIF($G$135:G440,"待修正")&gt;0),"错误","正常")</f>
        <v>正常</v>
      </c>
      <c r="AB440" s="14">
        <f t="shared" si="135">IF(AA440="正常",IF(I440="已计入",C440,AB439),"")</f>
        <v>6.347</v>
      </c>
    </row>
    <row r="441" ht="23" customHeight="1">
      <c r="A441" s="36"/>
      <c r="B441" s="37"/>
      <c r="C441" s="38"/>
      <c r="D441" s="39"/>
      <c r="E441" s="44" t="str">
        <f t="shared" si="136">IF(AND(ISNUMBER(C441),ISNUMBER(D441),ISNUMBER(F441)),IF(OR(B441="买入",B441="定投"),ROUND(C441*D441+F441,2),IF(B441="卖出",ROUND(C441*D441-F441,2),IF(B441="红利再投",0,""))),"")</f>
        <v/>
      </c>
      <c r="F441" s="39"/>
      <c r="G441" s="45" t="str">
        <f t="shared" si="137">IF(COUNTA(A441:D441,F441)=0,"",IF(I441="已计入","已录入","待修正"))</f>
        <v/>
      </c>
      <c r="H441" s="46" t="str">
        <f t="shared" si="138">IF(COUNTA(A441:D441,F441)=0,"",IF(B441="红利再投","仅增加份额，不增加现金投入","金额由份额、净值和手续费推算"))</f>
        <v/>
      </c>
      <c r="I441" s="10" t="str">
        <f>IF(COUNTA(A441:D441,F441)=0,"",IF(NOT(ISNUMBER(A441)),"缺少有效净值日期",IF(OR(A441&lt;=0,A441&lt;&gt;INT(A441)),"净值日期无效",IF(OR(B441="转换转入",B441="现金分红"),"该类型需实际金额，五项录入不适用",IF(NOT(OR(OR(B441="买入",B441="定投"),B441="卖出",B441="红利再投")),"请选择交易类型",IF(NOT(ISNUMBER(C441)),"缺少成交净值",IF(C441&lt;=0,"成交净值须大于零",IF(NOT(ISNUMBER(D441)),"缺少确认份额",IF(D441&lt;=0,"确认份额须大于零",IF(NOT(ISNUMBER(F441)),"缺少手续费，无费用请填 0",IF(F441&lt;0,"手续费不能为负",IF(AA440="错误","前行待修正",IF(A441&lt;Z440,"日期需按成交顺序递增",IF(AND(B441="红利再投",F441&lt;&gt;0),"红利再投手续费应填 0",IF(AND(B441="红利再投",K440&lt;=0),"红利再投前须有持仓",IF(AND(B441="卖出",D441&gt;K440+0.000001),"卖出份额超过持仓",IF(AND(B441="卖出",F441&gt;=C441*D441),"赎回费不能达到赎回总额",IF(NOT(ISNUMBER(E441)),"自动金额未生成，请检查五项输入",IF(NOT(OR('持仓总览'!$C$7="利润优先",'持仓总览'!$C$7="本金优先")),"请选择卖出分配模式","已计入")))))))))))))))))))</f>
        <v/>
      </c>
      <c r="J441" s="11">
        <f t="shared" si="119">IF(AA441="正常",IF(I441="已计入",IF(OR(OR(B441="买入",B441="定投",B441="转换转入"),B441="红利再投"),D441,IF(B441="卖出",-D441,0)),0),"")</f>
        <v>0</v>
      </c>
      <c r="K441" s="11">
        <f t="shared" si="124">IF(AA441="正常",ROUND(K440+J441,6),"")</f>
        <v>25721.6</v>
      </c>
      <c r="L441" s="11" t="str">
        <f t="shared" si="125">IF(I441="已计入",ROUND(K440*C441,2),"")</f>
        <v/>
      </c>
      <c r="M441" s="11" t="str">
        <f t="shared" si="126">IF(I441="已计入",IF(B441="卖出",MAX(0,L441-Q440-F441),IF(B441="现金分红",MAX(0,L441+E441-Q440),0)),"")</f>
        <v/>
      </c>
      <c r="N441" s="11" t="str">
        <f>IF(I441="已计入",IF(AND(B441="卖出",'持仓总览'!$C$7="本金优先"),MAX(0,E441-Q440),IF(OR(B441="卖出",B441="现金分红"),MIN(E441,M441),0)),"")</f>
        <v/>
      </c>
      <c r="O441" s="11" t="str">
        <f t="shared" si="127">IF(I441="已计入",IF(OR(B441="卖出",B441="现金分红"),MIN(Q440,MAX(0,E441-N441)),0),"")</f>
        <v/>
      </c>
      <c r="P441" s="11" t="str">
        <f t="shared" si="128">IF(I441="已计入",IF(AND(B441="卖出",K441=0),MAX(0,Q440-O441),0),"")</f>
        <v/>
      </c>
      <c r="Q441" s="11">
        <f t="shared" si="129">IF(AA441="正常",IF(I441="已计入",ROUND(Q440+IF(OR(B441="买入",B441="定投",B441="转换转入"),E441,0)-O441-P441,2),Q440),"")</f>
        <v>129570</v>
      </c>
      <c r="R441" s="11" t="str">
        <f t="shared" si="120">IF(I441="已计入",ROUND(K441*C441,2),"")</f>
        <v/>
      </c>
      <c r="S441" s="11" t="str">
        <f t="shared" si="121">IF(I441="已计入",ROUND(R441-Q441,2),"")</f>
        <v/>
      </c>
      <c r="T441" s="12" t="str">
        <f t="shared" si="122">IF(I441="已计入",IF(Q441=0,"",S441/Q441),"")</f>
        <v/>
      </c>
      <c r="U441" s="11">
        <f t="shared" si="130">IF(AA441="正常",U440+IF(AND(I441="已计入",OR(B441="买入",B441="定投",B441="转换转入")),E441,0),"")</f>
        <v>129570</v>
      </c>
      <c r="V441" s="11">
        <f t="shared" si="131">IF(AA441="正常",V440+IF(AND(I441="已计入",OR(B441="卖出",B441="现金分红")),E441,0),"")</f>
        <v>0</v>
      </c>
      <c r="W441" s="11">
        <f t="shared" si="132">IF(AA441="正常",W440+IF(I441="已计入",N441,0),"")</f>
        <v>0</v>
      </c>
      <c r="X441" s="11">
        <f t="shared" si="133">IF(AA441="正常",X440+IF(I441="已计入",P441,0),"")</f>
        <v>0</v>
      </c>
      <c r="Y441" s="11" t="str">
        <f t="shared" si="123">IF(I441="已计入",ROUND(R441+V441-U441,2),"")</f>
        <v/>
      </c>
      <c r="Z441" s="13">
        <f t="shared" si="134">IF(AA441="正常",IF(I441="已计入",A441,Z440),"")</f>
        <v>46239</v>
      </c>
      <c r="AA441" s="10" t="str">
        <f>IF(OR($AA$134="错误",COUNTIF($G$135:G441,"待修正")&gt;0),"错误","正常")</f>
        <v>正常</v>
      </c>
      <c r="AB441" s="14">
        <f t="shared" si="135">IF(AA441="正常",IF(I441="已计入",C441,AB440),"")</f>
        <v>6.347</v>
      </c>
    </row>
    <row r="442" ht="23" customHeight="1">
      <c r="A442" s="36"/>
      <c r="B442" s="37"/>
      <c r="C442" s="38"/>
      <c r="D442" s="39"/>
      <c r="E442" s="44" t="str">
        <f t="shared" si="136">IF(AND(ISNUMBER(C442),ISNUMBER(D442),ISNUMBER(F442)),IF(OR(B442="买入",B442="定投"),ROUND(C442*D442+F442,2),IF(B442="卖出",ROUND(C442*D442-F442,2),IF(B442="红利再投",0,""))),"")</f>
        <v/>
      </c>
      <c r="F442" s="39"/>
      <c r="G442" s="45" t="str">
        <f t="shared" si="137">IF(COUNTA(A442:D442,F442)=0,"",IF(I442="已计入","已录入","待修正"))</f>
        <v/>
      </c>
      <c r="H442" s="46" t="str">
        <f t="shared" si="138">IF(COUNTA(A442:D442,F442)=0,"",IF(B442="红利再投","仅增加份额，不增加现金投入","金额由份额、净值和手续费推算"))</f>
        <v/>
      </c>
      <c r="I442" s="10" t="str">
        <f>IF(COUNTA(A442:D442,F442)=0,"",IF(NOT(ISNUMBER(A442)),"缺少有效净值日期",IF(OR(A442&lt;=0,A442&lt;&gt;INT(A442)),"净值日期无效",IF(OR(B442="转换转入",B442="现金分红"),"该类型需实际金额，五项录入不适用",IF(NOT(OR(OR(B442="买入",B442="定投"),B442="卖出",B442="红利再投")),"请选择交易类型",IF(NOT(ISNUMBER(C442)),"缺少成交净值",IF(C442&lt;=0,"成交净值须大于零",IF(NOT(ISNUMBER(D442)),"缺少确认份额",IF(D442&lt;=0,"确认份额须大于零",IF(NOT(ISNUMBER(F442)),"缺少手续费，无费用请填 0",IF(F442&lt;0,"手续费不能为负",IF(AA441="错误","前行待修正",IF(A442&lt;Z441,"日期需按成交顺序递增",IF(AND(B442="红利再投",F442&lt;&gt;0),"红利再投手续费应填 0",IF(AND(B442="红利再投",K441&lt;=0),"红利再投前须有持仓",IF(AND(B442="卖出",D442&gt;K441+0.000001),"卖出份额超过持仓",IF(AND(B442="卖出",F442&gt;=C442*D442),"赎回费不能达到赎回总额",IF(NOT(ISNUMBER(E442)),"自动金额未生成，请检查五项输入",IF(NOT(OR('持仓总览'!$C$7="利润优先",'持仓总览'!$C$7="本金优先")),"请选择卖出分配模式","已计入")))))))))))))))))))</f>
        <v/>
      </c>
      <c r="J442" s="11">
        <f t="shared" si="119">IF(AA442="正常",IF(I442="已计入",IF(OR(OR(B442="买入",B442="定投",B442="转换转入"),B442="红利再投"),D442,IF(B442="卖出",-D442,0)),0),"")</f>
        <v>0</v>
      </c>
      <c r="K442" s="11">
        <f t="shared" si="124">IF(AA442="正常",ROUND(K441+J442,6),"")</f>
        <v>25721.6</v>
      </c>
      <c r="L442" s="11" t="str">
        <f t="shared" si="125">IF(I442="已计入",ROUND(K441*C442,2),"")</f>
        <v/>
      </c>
      <c r="M442" s="11" t="str">
        <f t="shared" si="126">IF(I442="已计入",IF(B442="卖出",MAX(0,L442-Q441-F442),IF(B442="现金分红",MAX(0,L442+E442-Q441),0)),"")</f>
        <v/>
      </c>
      <c r="N442" s="11" t="str">
        <f>IF(I442="已计入",IF(AND(B442="卖出",'持仓总览'!$C$7="本金优先"),MAX(0,E442-Q441),IF(OR(B442="卖出",B442="现金分红"),MIN(E442,M442),0)),"")</f>
        <v/>
      </c>
      <c r="O442" s="11" t="str">
        <f t="shared" si="127">IF(I442="已计入",IF(OR(B442="卖出",B442="现金分红"),MIN(Q441,MAX(0,E442-N442)),0),"")</f>
        <v/>
      </c>
      <c r="P442" s="11" t="str">
        <f t="shared" si="128">IF(I442="已计入",IF(AND(B442="卖出",K442=0),MAX(0,Q441-O442),0),"")</f>
        <v/>
      </c>
      <c r="Q442" s="11">
        <f t="shared" si="129">IF(AA442="正常",IF(I442="已计入",ROUND(Q441+IF(OR(B442="买入",B442="定投",B442="转换转入"),E442,0)-O442-P442,2),Q441),"")</f>
        <v>129570</v>
      </c>
      <c r="R442" s="11" t="str">
        <f t="shared" si="120">IF(I442="已计入",ROUND(K442*C442,2),"")</f>
        <v/>
      </c>
      <c r="S442" s="11" t="str">
        <f t="shared" si="121">IF(I442="已计入",ROUND(R442-Q442,2),"")</f>
        <v/>
      </c>
      <c r="T442" s="12" t="str">
        <f t="shared" si="122">IF(I442="已计入",IF(Q442=0,"",S442/Q442),"")</f>
        <v/>
      </c>
      <c r="U442" s="11">
        <f t="shared" si="130">IF(AA442="正常",U441+IF(AND(I442="已计入",OR(B442="买入",B442="定投",B442="转换转入")),E442,0),"")</f>
        <v>129570</v>
      </c>
      <c r="V442" s="11">
        <f t="shared" si="131">IF(AA442="正常",V441+IF(AND(I442="已计入",OR(B442="卖出",B442="现金分红")),E442,0),"")</f>
        <v>0</v>
      </c>
      <c r="W442" s="11">
        <f t="shared" si="132">IF(AA442="正常",W441+IF(I442="已计入",N442,0),"")</f>
        <v>0</v>
      </c>
      <c r="X442" s="11">
        <f t="shared" si="133">IF(AA442="正常",X441+IF(I442="已计入",P442,0),"")</f>
        <v>0</v>
      </c>
      <c r="Y442" s="11" t="str">
        <f t="shared" si="123">IF(I442="已计入",ROUND(R442+V442-U442,2),"")</f>
        <v/>
      </c>
      <c r="Z442" s="13">
        <f t="shared" si="134">IF(AA442="正常",IF(I442="已计入",A442,Z441),"")</f>
        <v>46239</v>
      </c>
      <c r="AA442" s="10" t="str">
        <f>IF(OR($AA$134="错误",COUNTIF($G$135:G442,"待修正")&gt;0),"错误","正常")</f>
        <v>正常</v>
      </c>
      <c r="AB442" s="14">
        <f t="shared" si="135">IF(AA442="正常",IF(I442="已计入",C442,AB441),"")</f>
        <v>6.347</v>
      </c>
    </row>
    <row r="443" ht="23" customHeight="1">
      <c r="A443" s="36"/>
      <c r="B443" s="37"/>
      <c r="C443" s="38"/>
      <c r="D443" s="39"/>
      <c r="E443" s="44" t="str">
        <f t="shared" si="136">IF(AND(ISNUMBER(C443),ISNUMBER(D443),ISNUMBER(F443)),IF(OR(B443="买入",B443="定投"),ROUND(C443*D443+F443,2),IF(B443="卖出",ROUND(C443*D443-F443,2),IF(B443="红利再投",0,""))),"")</f>
        <v/>
      </c>
      <c r="F443" s="39"/>
      <c r="G443" s="45" t="str">
        <f t="shared" si="137">IF(COUNTA(A443:D443,F443)=0,"",IF(I443="已计入","已录入","待修正"))</f>
        <v/>
      </c>
      <c r="H443" s="46" t="str">
        <f t="shared" si="138">IF(COUNTA(A443:D443,F443)=0,"",IF(B443="红利再投","仅增加份额，不增加现金投入","金额由份额、净值和手续费推算"))</f>
        <v/>
      </c>
      <c r="I443" s="10" t="str">
        <f>IF(COUNTA(A443:D443,F443)=0,"",IF(NOT(ISNUMBER(A443)),"缺少有效净值日期",IF(OR(A443&lt;=0,A443&lt;&gt;INT(A443)),"净值日期无效",IF(OR(B443="转换转入",B443="现金分红"),"该类型需实际金额，五项录入不适用",IF(NOT(OR(OR(B443="买入",B443="定投"),B443="卖出",B443="红利再投")),"请选择交易类型",IF(NOT(ISNUMBER(C443)),"缺少成交净值",IF(C443&lt;=0,"成交净值须大于零",IF(NOT(ISNUMBER(D443)),"缺少确认份额",IF(D443&lt;=0,"确认份额须大于零",IF(NOT(ISNUMBER(F443)),"缺少手续费，无费用请填 0",IF(F443&lt;0,"手续费不能为负",IF(AA442="错误","前行待修正",IF(A443&lt;Z442,"日期需按成交顺序递增",IF(AND(B443="红利再投",F443&lt;&gt;0),"红利再投手续费应填 0",IF(AND(B443="红利再投",K442&lt;=0),"红利再投前须有持仓",IF(AND(B443="卖出",D443&gt;K442+0.000001),"卖出份额超过持仓",IF(AND(B443="卖出",F443&gt;=C443*D443),"赎回费不能达到赎回总额",IF(NOT(ISNUMBER(E443)),"自动金额未生成，请检查五项输入",IF(NOT(OR('持仓总览'!$C$7="利润优先",'持仓总览'!$C$7="本金优先")),"请选择卖出分配模式","已计入")))))))))))))))))))</f>
        <v/>
      </c>
      <c r="J443" s="11">
        <f t="shared" si="119">IF(AA443="正常",IF(I443="已计入",IF(OR(OR(B443="买入",B443="定投",B443="转换转入"),B443="红利再投"),D443,IF(B443="卖出",-D443,0)),0),"")</f>
        <v>0</v>
      </c>
      <c r="K443" s="11">
        <f t="shared" si="124">IF(AA443="正常",ROUND(K442+J443,6),"")</f>
        <v>25721.6</v>
      </c>
      <c r="L443" s="11" t="str">
        <f t="shared" si="125">IF(I443="已计入",ROUND(K442*C443,2),"")</f>
        <v/>
      </c>
      <c r="M443" s="11" t="str">
        <f t="shared" si="126">IF(I443="已计入",IF(B443="卖出",MAX(0,L443-Q442-F443),IF(B443="现金分红",MAX(0,L443+E443-Q442),0)),"")</f>
        <v/>
      </c>
      <c r="N443" s="11" t="str">
        <f>IF(I443="已计入",IF(AND(B443="卖出",'持仓总览'!$C$7="本金优先"),MAX(0,E443-Q442),IF(OR(B443="卖出",B443="现金分红"),MIN(E443,M443),0)),"")</f>
        <v/>
      </c>
      <c r="O443" s="11" t="str">
        <f t="shared" si="127">IF(I443="已计入",IF(OR(B443="卖出",B443="现金分红"),MIN(Q442,MAX(0,E443-N443)),0),"")</f>
        <v/>
      </c>
      <c r="P443" s="11" t="str">
        <f t="shared" si="128">IF(I443="已计入",IF(AND(B443="卖出",K443=0),MAX(0,Q442-O443),0),"")</f>
        <v/>
      </c>
      <c r="Q443" s="11">
        <f t="shared" si="129">IF(AA443="正常",IF(I443="已计入",ROUND(Q442+IF(OR(B443="买入",B443="定投",B443="转换转入"),E443,0)-O443-P443,2),Q442),"")</f>
        <v>129570</v>
      </c>
      <c r="R443" s="11" t="str">
        <f t="shared" si="120">IF(I443="已计入",ROUND(K443*C443,2),"")</f>
        <v/>
      </c>
      <c r="S443" s="11" t="str">
        <f t="shared" si="121">IF(I443="已计入",ROUND(R443-Q443,2),"")</f>
        <v/>
      </c>
      <c r="T443" s="12" t="str">
        <f t="shared" si="122">IF(I443="已计入",IF(Q443=0,"",S443/Q443),"")</f>
        <v/>
      </c>
      <c r="U443" s="11">
        <f t="shared" si="130">IF(AA443="正常",U442+IF(AND(I443="已计入",OR(B443="买入",B443="定投",B443="转换转入")),E443,0),"")</f>
        <v>129570</v>
      </c>
      <c r="V443" s="11">
        <f t="shared" si="131">IF(AA443="正常",V442+IF(AND(I443="已计入",OR(B443="卖出",B443="现金分红")),E443,0),"")</f>
        <v>0</v>
      </c>
      <c r="W443" s="11">
        <f t="shared" si="132">IF(AA443="正常",W442+IF(I443="已计入",N443,0),"")</f>
        <v>0</v>
      </c>
      <c r="X443" s="11">
        <f t="shared" si="133">IF(AA443="正常",X442+IF(I443="已计入",P443,0),"")</f>
        <v>0</v>
      </c>
      <c r="Y443" s="11" t="str">
        <f t="shared" si="123">IF(I443="已计入",ROUND(R443+V443-U443,2),"")</f>
        <v/>
      </c>
      <c r="Z443" s="13">
        <f t="shared" si="134">IF(AA443="正常",IF(I443="已计入",A443,Z442),"")</f>
        <v>46239</v>
      </c>
      <c r="AA443" s="10" t="str">
        <f>IF(OR($AA$134="错误",COUNTIF($G$135:G443,"待修正")&gt;0),"错误","正常")</f>
        <v>正常</v>
      </c>
      <c r="AB443" s="14">
        <f t="shared" si="135">IF(AA443="正常",IF(I443="已计入",C443,AB442),"")</f>
        <v>6.347</v>
      </c>
    </row>
    <row r="444" ht="23" customHeight="1">
      <c r="A444" s="36"/>
      <c r="B444" s="37"/>
      <c r="C444" s="38"/>
      <c r="D444" s="39"/>
      <c r="E444" s="44" t="str">
        <f t="shared" si="136">IF(AND(ISNUMBER(C444),ISNUMBER(D444),ISNUMBER(F444)),IF(OR(B444="买入",B444="定投"),ROUND(C444*D444+F444,2),IF(B444="卖出",ROUND(C444*D444-F444,2),IF(B444="红利再投",0,""))),"")</f>
        <v/>
      </c>
      <c r="F444" s="39"/>
      <c r="G444" s="45" t="str">
        <f t="shared" si="137">IF(COUNTA(A444:D444,F444)=0,"",IF(I444="已计入","已录入","待修正"))</f>
        <v/>
      </c>
      <c r="H444" s="46" t="str">
        <f t="shared" si="138">IF(COUNTA(A444:D444,F444)=0,"",IF(B444="红利再投","仅增加份额，不增加现金投入","金额由份额、净值和手续费推算"))</f>
        <v/>
      </c>
      <c r="I444" s="10" t="str">
        <f>IF(COUNTA(A444:D444,F444)=0,"",IF(NOT(ISNUMBER(A444)),"缺少有效净值日期",IF(OR(A444&lt;=0,A444&lt;&gt;INT(A444)),"净值日期无效",IF(OR(B444="转换转入",B444="现金分红"),"该类型需实际金额，五项录入不适用",IF(NOT(OR(OR(B444="买入",B444="定投"),B444="卖出",B444="红利再投")),"请选择交易类型",IF(NOT(ISNUMBER(C444)),"缺少成交净值",IF(C444&lt;=0,"成交净值须大于零",IF(NOT(ISNUMBER(D444)),"缺少确认份额",IF(D444&lt;=0,"确认份额须大于零",IF(NOT(ISNUMBER(F444)),"缺少手续费，无费用请填 0",IF(F444&lt;0,"手续费不能为负",IF(AA443="错误","前行待修正",IF(A444&lt;Z443,"日期需按成交顺序递增",IF(AND(B444="红利再投",F444&lt;&gt;0),"红利再投手续费应填 0",IF(AND(B444="红利再投",K443&lt;=0),"红利再投前须有持仓",IF(AND(B444="卖出",D444&gt;K443+0.000001),"卖出份额超过持仓",IF(AND(B444="卖出",F444&gt;=C444*D444),"赎回费不能达到赎回总额",IF(NOT(ISNUMBER(E444)),"自动金额未生成，请检查五项输入",IF(NOT(OR('持仓总览'!$C$7="利润优先",'持仓总览'!$C$7="本金优先")),"请选择卖出分配模式","已计入")))))))))))))))))))</f>
        <v/>
      </c>
      <c r="J444" s="11">
        <f t="shared" si="119">IF(AA444="正常",IF(I444="已计入",IF(OR(OR(B444="买入",B444="定投",B444="转换转入"),B444="红利再投"),D444,IF(B444="卖出",-D444,0)),0),"")</f>
        <v>0</v>
      </c>
      <c r="K444" s="11">
        <f t="shared" si="124">IF(AA444="正常",ROUND(K443+J444,6),"")</f>
        <v>25721.6</v>
      </c>
      <c r="L444" s="11" t="str">
        <f t="shared" si="125">IF(I444="已计入",ROUND(K443*C444,2),"")</f>
        <v/>
      </c>
      <c r="M444" s="11" t="str">
        <f t="shared" si="126">IF(I444="已计入",IF(B444="卖出",MAX(0,L444-Q443-F444),IF(B444="现金分红",MAX(0,L444+E444-Q443),0)),"")</f>
        <v/>
      </c>
      <c r="N444" s="11" t="str">
        <f>IF(I444="已计入",IF(AND(B444="卖出",'持仓总览'!$C$7="本金优先"),MAX(0,E444-Q443),IF(OR(B444="卖出",B444="现金分红"),MIN(E444,M444),0)),"")</f>
        <v/>
      </c>
      <c r="O444" s="11" t="str">
        <f t="shared" si="127">IF(I444="已计入",IF(OR(B444="卖出",B444="现金分红"),MIN(Q443,MAX(0,E444-N444)),0),"")</f>
        <v/>
      </c>
      <c r="P444" s="11" t="str">
        <f t="shared" si="128">IF(I444="已计入",IF(AND(B444="卖出",K444=0),MAX(0,Q443-O444),0),"")</f>
        <v/>
      </c>
      <c r="Q444" s="11">
        <f t="shared" si="129">IF(AA444="正常",IF(I444="已计入",ROUND(Q443+IF(OR(B444="买入",B444="定投",B444="转换转入"),E444,0)-O444-P444,2),Q443),"")</f>
        <v>129570</v>
      </c>
      <c r="R444" s="11" t="str">
        <f t="shared" si="120">IF(I444="已计入",ROUND(K444*C444,2),"")</f>
        <v/>
      </c>
      <c r="S444" s="11" t="str">
        <f t="shared" si="121">IF(I444="已计入",ROUND(R444-Q444,2),"")</f>
        <v/>
      </c>
      <c r="T444" s="12" t="str">
        <f t="shared" si="122">IF(I444="已计入",IF(Q444=0,"",S444/Q444),"")</f>
        <v/>
      </c>
      <c r="U444" s="11">
        <f t="shared" si="130">IF(AA444="正常",U443+IF(AND(I444="已计入",OR(B444="买入",B444="定投",B444="转换转入")),E444,0),"")</f>
        <v>129570</v>
      </c>
      <c r="V444" s="11">
        <f t="shared" si="131">IF(AA444="正常",V443+IF(AND(I444="已计入",OR(B444="卖出",B444="现金分红")),E444,0),"")</f>
        <v>0</v>
      </c>
      <c r="W444" s="11">
        <f t="shared" si="132">IF(AA444="正常",W443+IF(I444="已计入",N444,0),"")</f>
        <v>0</v>
      </c>
      <c r="X444" s="11">
        <f t="shared" si="133">IF(AA444="正常",X443+IF(I444="已计入",P444,0),"")</f>
        <v>0</v>
      </c>
      <c r="Y444" s="11" t="str">
        <f t="shared" si="123">IF(I444="已计入",ROUND(R444+V444-U444,2),"")</f>
        <v/>
      </c>
      <c r="Z444" s="13">
        <f t="shared" si="134">IF(AA444="正常",IF(I444="已计入",A444,Z443),"")</f>
        <v>46239</v>
      </c>
      <c r="AA444" s="10" t="str">
        <f>IF(OR($AA$134="错误",COUNTIF($G$135:G444,"待修正")&gt;0),"错误","正常")</f>
        <v>正常</v>
      </c>
      <c r="AB444" s="14">
        <f t="shared" si="135">IF(AA444="正常",IF(I444="已计入",C444,AB443),"")</f>
        <v>6.347</v>
      </c>
    </row>
    <row r="445" ht="23" customHeight="1">
      <c r="A445" s="36"/>
      <c r="B445" s="37"/>
      <c r="C445" s="38"/>
      <c r="D445" s="39"/>
      <c r="E445" s="44" t="str">
        <f t="shared" si="136">IF(AND(ISNUMBER(C445),ISNUMBER(D445),ISNUMBER(F445)),IF(OR(B445="买入",B445="定投"),ROUND(C445*D445+F445,2),IF(B445="卖出",ROUND(C445*D445-F445,2),IF(B445="红利再投",0,""))),"")</f>
        <v/>
      </c>
      <c r="F445" s="39"/>
      <c r="G445" s="45" t="str">
        <f t="shared" si="137">IF(COUNTA(A445:D445,F445)=0,"",IF(I445="已计入","已录入","待修正"))</f>
        <v/>
      </c>
      <c r="H445" s="46" t="str">
        <f t="shared" si="138">IF(COUNTA(A445:D445,F445)=0,"",IF(B445="红利再投","仅增加份额，不增加现金投入","金额由份额、净值和手续费推算"))</f>
        <v/>
      </c>
      <c r="I445" s="10" t="str">
        <f>IF(COUNTA(A445:D445,F445)=0,"",IF(NOT(ISNUMBER(A445)),"缺少有效净值日期",IF(OR(A445&lt;=0,A445&lt;&gt;INT(A445)),"净值日期无效",IF(OR(B445="转换转入",B445="现金分红"),"该类型需实际金额，五项录入不适用",IF(NOT(OR(OR(B445="买入",B445="定投"),B445="卖出",B445="红利再投")),"请选择交易类型",IF(NOT(ISNUMBER(C445)),"缺少成交净值",IF(C445&lt;=0,"成交净值须大于零",IF(NOT(ISNUMBER(D445)),"缺少确认份额",IF(D445&lt;=0,"确认份额须大于零",IF(NOT(ISNUMBER(F445)),"缺少手续费，无费用请填 0",IF(F445&lt;0,"手续费不能为负",IF(AA444="错误","前行待修正",IF(A445&lt;Z444,"日期需按成交顺序递增",IF(AND(B445="红利再投",F445&lt;&gt;0),"红利再投手续费应填 0",IF(AND(B445="红利再投",K444&lt;=0),"红利再投前须有持仓",IF(AND(B445="卖出",D445&gt;K444+0.000001),"卖出份额超过持仓",IF(AND(B445="卖出",F445&gt;=C445*D445),"赎回费不能达到赎回总额",IF(NOT(ISNUMBER(E445)),"自动金额未生成，请检查五项输入",IF(NOT(OR('持仓总览'!$C$7="利润优先",'持仓总览'!$C$7="本金优先")),"请选择卖出分配模式","已计入")))))))))))))))))))</f>
        <v/>
      </c>
      <c r="J445" s="11">
        <f t="shared" si="119">IF(AA445="正常",IF(I445="已计入",IF(OR(OR(B445="买入",B445="定投",B445="转换转入"),B445="红利再投"),D445,IF(B445="卖出",-D445,0)),0),"")</f>
        <v>0</v>
      </c>
      <c r="K445" s="11">
        <f t="shared" si="124">IF(AA445="正常",ROUND(K444+J445,6),"")</f>
        <v>25721.6</v>
      </c>
      <c r="L445" s="11" t="str">
        <f t="shared" si="125">IF(I445="已计入",ROUND(K444*C445,2),"")</f>
        <v/>
      </c>
      <c r="M445" s="11" t="str">
        <f t="shared" si="126">IF(I445="已计入",IF(B445="卖出",MAX(0,L445-Q444-F445),IF(B445="现金分红",MAX(0,L445+E445-Q444),0)),"")</f>
        <v/>
      </c>
      <c r="N445" s="11" t="str">
        <f>IF(I445="已计入",IF(AND(B445="卖出",'持仓总览'!$C$7="本金优先"),MAX(0,E445-Q444),IF(OR(B445="卖出",B445="现金分红"),MIN(E445,M445),0)),"")</f>
        <v/>
      </c>
      <c r="O445" s="11" t="str">
        <f t="shared" si="127">IF(I445="已计入",IF(OR(B445="卖出",B445="现金分红"),MIN(Q444,MAX(0,E445-N445)),0),"")</f>
        <v/>
      </c>
      <c r="P445" s="11" t="str">
        <f t="shared" si="128">IF(I445="已计入",IF(AND(B445="卖出",K445=0),MAX(0,Q444-O445),0),"")</f>
        <v/>
      </c>
      <c r="Q445" s="11">
        <f t="shared" si="129">IF(AA445="正常",IF(I445="已计入",ROUND(Q444+IF(OR(B445="买入",B445="定投",B445="转换转入"),E445,0)-O445-P445,2),Q444),"")</f>
        <v>129570</v>
      </c>
      <c r="R445" s="11" t="str">
        <f t="shared" si="120">IF(I445="已计入",ROUND(K445*C445,2),"")</f>
        <v/>
      </c>
      <c r="S445" s="11" t="str">
        <f t="shared" si="121">IF(I445="已计入",ROUND(R445-Q445,2),"")</f>
        <v/>
      </c>
      <c r="T445" s="12" t="str">
        <f t="shared" si="122">IF(I445="已计入",IF(Q445=0,"",S445/Q445),"")</f>
        <v/>
      </c>
      <c r="U445" s="11">
        <f t="shared" si="130">IF(AA445="正常",U444+IF(AND(I445="已计入",OR(B445="买入",B445="定投",B445="转换转入")),E445,0),"")</f>
        <v>129570</v>
      </c>
      <c r="V445" s="11">
        <f t="shared" si="131">IF(AA445="正常",V444+IF(AND(I445="已计入",OR(B445="卖出",B445="现金分红")),E445,0),"")</f>
        <v>0</v>
      </c>
      <c r="W445" s="11">
        <f t="shared" si="132">IF(AA445="正常",W444+IF(I445="已计入",N445,0),"")</f>
        <v>0</v>
      </c>
      <c r="X445" s="11">
        <f t="shared" si="133">IF(AA445="正常",X444+IF(I445="已计入",P445,0),"")</f>
        <v>0</v>
      </c>
      <c r="Y445" s="11" t="str">
        <f t="shared" si="123">IF(I445="已计入",ROUND(R445+V445-U445,2),"")</f>
        <v/>
      </c>
      <c r="Z445" s="13">
        <f t="shared" si="134">IF(AA445="正常",IF(I445="已计入",A445,Z444),"")</f>
        <v>46239</v>
      </c>
      <c r="AA445" s="10" t="str">
        <f>IF(OR($AA$134="错误",COUNTIF($G$135:G445,"待修正")&gt;0),"错误","正常")</f>
        <v>正常</v>
      </c>
      <c r="AB445" s="14">
        <f t="shared" si="135">IF(AA445="正常",IF(I445="已计入",C445,AB444),"")</f>
        <v>6.347</v>
      </c>
    </row>
    <row r="446" ht="23" customHeight="1">
      <c r="A446" s="36"/>
      <c r="B446" s="37"/>
      <c r="C446" s="38"/>
      <c r="D446" s="39"/>
      <c r="E446" s="44" t="str">
        <f t="shared" si="136">IF(AND(ISNUMBER(C446),ISNUMBER(D446),ISNUMBER(F446)),IF(OR(B446="买入",B446="定投"),ROUND(C446*D446+F446,2),IF(B446="卖出",ROUND(C446*D446-F446,2),IF(B446="红利再投",0,""))),"")</f>
        <v/>
      </c>
      <c r="F446" s="39"/>
      <c r="G446" s="45" t="str">
        <f t="shared" si="137">IF(COUNTA(A446:D446,F446)=0,"",IF(I446="已计入","已录入","待修正"))</f>
        <v/>
      </c>
      <c r="H446" s="46" t="str">
        <f t="shared" si="138">IF(COUNTA(A446:D446,F446)=0,"",IF(B446="红利再投","仅增加份额，不增加现金投入","金额由份额、净值和手续费推算"))</f>
        <v/>
      </c>
      <c r="I446" s="10" t="str">
        <f>IF(COUNTA(A446:D446,F446)=0,"",IF(NOT(ISNUMBER(A446)),"缺少有效净值日期",IF(OR(A446&lt;=0,A446&lt;&gt;INT(A446)),"净值日期无效",IF(OR(B446="转换转入",B446="现金分红"),"该类型需实际金额，五项录入不适用",IF(NOT(OR(OR(B446="买入",B446="定投"),B446="卖出",B446="红利再投")),"请选择交易类型",IF(NOT(ISNUMBER(C446)),"缺少成交净值",IF(C446&lt;=0,"成交净值须大于零",IF(NOT(ISNUMBER(D446)),"缺少确认份额",IF(D446&lt;=0,"确认份额须大于零",IF(NOT(ISNUMBER(F446)),"缺少手续费，无费用请填 0",IF(F446&lt;0,"手续费不能为负",IF(AA445="错误","前行待修正",IF(A446&lt;Z445,"日期需按成交顺序递增",IF(AND(B446="红利再投",F446&lt;&gt;0),"红利再投手续费应填 0",IF(AND(B446="红利再投",K445&lt;=0),"红利再投前须有持仓",IF(AND(B446="卖出",D446&gt;K445+0.000001),"卖出份额超过持仓",IF(AND(B446="卖出",F446&gt;=C446*D446),"赎回费不能达到赎回总额",IF(NOT(ISNUMBER(E446)),"自动金额未生成，请检查五项输入",IF(NOT(OR('持仓总览'!$C$7="利润优先",'持仓总览'!$C$7="本金优先")),"请选择卖出分配模式","已计入")))))))))))))))))))</f>
        <v/>
      </c>
      <c r="J446" s="11">
        <f t="shared" si="119">IF(AA446="正常",IF(I446="已计入",IF(OR(OR(B446="买入",B446="定投",B446="转换转入"),B446="红利再投"),D446,IF(B446="卖出",-D446,0)),0),"")</f>
        <v>0</v>
      </c>
      <c r="K446" s="11">
        <f t="shared" si="124">IF(AA446="正常",ROUND(K445+J446,6),"")</f>
        <v>25721.6</v>
      </c>
      <c r="L446" s="11" t="str">
        <f t="shared" si="125">IF(I446="已计入",ROUND(K445*C446,2),"")</f>
        <v/>
      </c>
      <c r="M446" s="11" t="str">
        <f t="shared" si="126">IF(I446="已计入",IF(B446="卖出",MAX(0,L446-Q445-F446),IF(B446="现金分红",MAX(0,L446+E446-Q445),0)),"")</f>
        <v/>
      </c>
      <c r="N446" s="11" t="str">
        <f>IF(I446="已计入",IF(AND(B446="卖出",'持仓总览'!$C$7="本金优先"),MAX(0,E446-Q445),IF(OR(B446="卖出",B446="现金分红"),MIN(E446,M446),0)),"")</f>
        <v/>
      </c>
      <c r="O446" s="11" t="str">
        <f t="shared" si="127">IF(I446="已计入",IF(OR(B446="卖出",B446="现金分红"),MIN(Q445,MAX(0,E446-N446)),0),"")</f>
        <v/>
      </c>
      <c r="P446" s="11" t="str">
        <f t="shared" si="128">IF(I446="已计入",IF(AND(B446="卖出",K446=0),MAX(0,Q445-O446),0),"")</f>
        <v/>
      </c>
      <c r="Q446" s="11">
        <f t="shared" si="129">IF(AA446="正常",IF(I446="已计入",ROUND(Q445+IF(OR(B446="买入",B446="定投",B446="转换转入"),E446,0)-O446-P446,2),Q445),"")</f>
        <v>129570</v>
      </c>
      <c r="R446" s="11" t="str">
        <f t="shared" si="120">IF(I446="已计入",ROUND(K446*C446,2),"")</f>
        <v/>
      </c>
      <c r="S446" s="11" t="str">
        <f t="shared" si="121">IF(I446="已计入",ROUND(R446-Q446,2),"")</f>
        <v/>
      </c>
      <c r="T446" s="12" t="str">
        <f t="shared" si="122">IF(I446="已计入",IF(Q446=0,"",S446/Q446),"")</f>
        <v/>
      </c>
      <c r="U446" s="11">
        <f t="shared" si="130">IF(AA446="正常",U445+IF(AND(I446="已计入",OR(B446="买入",B446="定投",B446="转换转入")),E446,0),"")</f>
        <v>129570</v>
      </c>
      <c r="V446" s="11">
        <f t="shared" si="131">IF(AA446="正常",V445+IF(AND(I446="已计入",OR(B446="卖出",B446="现金分红")),E446,0),"")</f>
        <v>0</v>
      </c>
      <c r="W446" s="11">
        <f t="shared" si="132">IF(AA446="正常",W445+IF(I446="已计入",N446,0),"")</f>
        <v>0</v>
      </c>
      <c r="X446" s="11">
        <f t="shared" si="133">IF(AA446="正常",X445+IF(I446="已计入",P446,0),"")</f>
        <v>0</v>
      </c>
      <c r="Y446" s="11" t="str">
        <f t="shared" si="123">IF(I446="已计入",ROUND(R446+V446-U446,2),"")</f>
        <v/>
      </c>
      <c r="Z446" s="13">
        <f t="shared" si="134">IF(AA446="正常",IF(I446="已计入",A446,Z445),"")</f>
        <v>46239</v>
      </c>
      <c r="AA446" s="10" t="str">
        <f>IF(OR($AA$134="错误",COUNTIF($G$135:G446,"待修正")&gt;0),"错误","正常")</f>
        <v>正常</v>
      </c>
      <c r="AB446" s="14">
        <f t="shared" si="135">IF(AA446="正常",IF(I446="已计入",C446,AB445),"")</f>
        <v>6.347</v>
      </c>
    </row>
    <row r="447" ht="23" customHeight="1">
      <c r="A447" s="36"/>
      <c r="B447" s="37"/>
      <c r="C447" s="38"/>
      <c r="D447" s="39"/>
      <c r="E447" s="44" t="str">
        <f t="shared" si="136">IF(AND(ISNUMBER(C447),ISNUMBER(D447),ISNUMBER(F447)),IF(OR(B447="买入",B447="定投"),ROUND(C447*D447+F447,2),IF(B447="卖出",ROUND(C447*D447-F447,2),IF(B447="红利再投",0,""))),"")</f>
        <v/>
      </c>
      <c r="F447" s="39"/>
      <c r="G447" s="45" t="str">
        <f t="shared" si="137">IF(COUNTA(A447:D447,F447)=0,"",IF(I447="已计入","已录入","待修正"))</f>
        <v/>
      </c>
      <c r="H447" s="46" t="str">
        <f t="shared" si="138">IF(COUNTA(A447:D447,F447)=0,"",IF(B447="红利再投","仅增加份额，不增加现金投入","金额由份额、净值和手续费推算"))</f>
        <v/>
      </c>
      <c r="I447" s="10" t="str">
        <f>IF(COUNTA(A447:D447,F447)=0,"",IF(NOT(ISNUMBER(A447)),"缺少有效净值日期",IF(OR(A447&lt;=0,A447&lt;&gt;INT(A447)),"净值日期无效",IF(OR(B447="转换转入",B447="现金分红"),"该类型需实际金额，五项录入不适用",IF(NOT(OR(OR(B447="买入",B447="定投"),B447="卖出",B447="红利再投")),"请选择交易类型",IF(NOT(ISNUMBER(C447)),"缺少成交净值",IF(C447&lt;=0,"成交净值须大于零",IF(NOT(ISNUMBER(D447)),"缺少确认份额",IF(D447&lt;=0,"确认份额须大于零",IF(NOT(ISNUMBER(F447)),"缺少手续费，无费用请填 0",IF(F447&lt;0,"手续费不能为负",IF(AA446="错误","前行待修正",IF(A447&lt;Z446,"日期需按成交顺序递增",IF(AND(B447="红利再投",F447&lt;&gt;0),"红利再投手续费应填 0",IF(AND(B447="红利再投",K446&lt;=0),"红利再投前须有持仓",IF(AND(B447="卖出",D447&gt;K446+0.000001),"卖出份额超过持仓",IF(AND(B447="卖出",F447&gt;=C447*D447),"赎回费不能达到赎回总额",IF(NOT(ISNUMBER(E447)),"自动金额未生成，请检查五项输入",IF(NOT(OR('持仓总览'!$C$7="利润优先",'持仓总览'!$C$7="本金优先")),"请选择卖出分配模式","已计入")))))))))))))))))))</f>
        <v/>
      </c>
      <c r="J447" s="11">
        <f t="shared" si="119">IF(AA447="正常",IF(I447="已计入",IF(OR(OR(B447="买入",B447="定投",B447="转换转入"),B447="红利再投"),D447,IF(B447="卖出",-D447,0)),0),"")</f>
        <v>0</v>
      </c>
      <c r="K447" s="11">
        <f t="shared" si="124">IF(AA447="正常",ROUND(K446+J447,6),"")</f>
        <v>25721.6</v>
      </c>
      <c r="L447" s="11" t="str">
        <f t="shared" si="125">IF(I447="已计入",ROUND(K446*C447,2),"")</f>
        <v/>
      </c>
      <c r="M447" s="11" t="str">
        <f t="shared" si="126">IF(I447="已计入",IF(B447="卖出",MAX(0,L447-Q446-F447),IF(B447="现金分红",MAX(0,L447+E447-Q446),0)),"")</f>
        <v/>
      </c>
      <c r="N447" s="11" t="str">
        <f>IF(I447="已计入",IF(AND(B447="卖出",'持仓总览'!$C$7="本金优先"),MAX(0,E447-Q446),IF(OR(B447="卖出",B447="现金分红"),MIN(E447,M447),0)),"")</f>
        <v/>
      </c>
      <c r="O447" s="11" t="str">
        <f t="shared" si="127">IF(I447="已计入",IF(OR(B447="卖出",B447="现金分红"),MIN(Q446,MAX(0,E447-N447)),0),"")</f>
        <v/>
      </c>
      <c r="P447" s="11" t="str">
        <f t="shared" si="128">IF(I447="已计入",IF(AND(B447="卖出",K447=0),MAX(0,Q446-O447),0),"")</f>
        <v/>
      </c>
      <c r="Q447" s="11">
        <f t="shared" si="129">IF(AA447="正常",IF(I447="已计入",ROUND(Q446+IF(OR(B447="买入",B447="定投",B447="转换转入"),E447,0)-O447-P447,2),Q446),"")</f>
        <v>129570</v>
      </c>
      <c r="R447" s="11" t="str">
        <f t="shared" si="120">IF(I447="已计入",ROUND(K447*C447,2),"")</f>
        <v/>
      </c>
      <c r="S447" s="11" t="str">
        <f t="shared" si="121">IF(I447="已计入",ROUND(R447-Q447,2),"")</f>
        <v/>
      </c>
      <c r="T447" s="12" t="str">
        <f t="shared" si="122">IF(I447="已计入",IF(Q447=0,"",S447/Q447),"")</f>
        <v/>
      </c>
      <c r="U447" s="11">
        <f t="shared" si="130">IF(AA447="正常",U446+IF(AND(I447="已计入",OR(B447="买入",B447="定投",B447="转换转入")),E447,0),"")</f>
        <v>129570</v>
      </c>
      <c r="V447" s="11">
        <f t="shared" si="131">IF(AA447="正常",V446+IF(AND(I447="已计入",OR(B447="卖出",B447="现金分红")),E447,0),"")</f>
        <v>0</v>
      </c>
      <c r="W447" s="11">
        <f t="shared" si="132">IF(AA447="正常",W446+IF(I447="已计入",N447,0),"")</f>
        <v>0</v>
      </c>
      <c r="X447" s="11">
        <f t="shared" si="133">IF(AA447="正常",X446+IF(I447="已计入",P447,0),"")</f>
        <v>0</v>
      </c>
      <c r="Y447" s="11" t="str">
        <f t="shared" si="123">IF(I447="已计入",ROUND(R447+V447-U447,2),"")</f>
        <v/>
      </c>
      <c r="Z447" s="13">
        <f t="shared" si="134">IF(AA447="正常",IF(I447="已计入",A447,Z446),"")</f>
        <v>46239</v>
      </c>
      <c r="AA447" s="10" t="str">
        <f>IF(OR($AA$134="错误",COUNTIF($G$135:G447,"待修正")&gt;0),"错误","正常")</f>
        <v>正常</v>
      </c>
      <c r="AB447" s="14">
        <f t="shared" si="135">IF(AA447="正常",IF(I447="已计入",C447,AB446),"")</f>
        <v>6.347</v>
      </c>
    </row>
    <row r="448" ht="23" customHeight="1">
      <c r="A448" s="36"/>
      <c r="B448" s="37"/>
      <c r="C448" s="38"/>
      <c r="D448" s="39"/>
      <c r="E448" s="44" t="str">
        <f t="shared" si="136">IF(AND(ISNUMBER(C448),ISNUMBER(D448),ISNUMBER(F448)),IF(OR(B448="买入",B448="定投"),ROUND(C448*D448+F448,2),IF(B448="卖出",ROUND(C448*D448-F448,2),IF(B448="红利再投",0,""))),"")</f>
        <v/>
      </c>
      <c r="F448" s="39"/>
      <c r="G448" s="45" t="str">
        <f t="shared" si="137">IF(COUNTA(A448:D448,F448)=0,"",IF(I448="已计入","已录入","待修正"))</f>
        <v/>
      </c>
      <c r="H448" s="46" t="str">
        <f t="shared" si="138">IF(COUNTA(A448:D448,F448)=0,"",IF(B448="红利再投","仅增加份额，不增加现金投入","金额由份额、净值和手续费推算"))</f>
        <v/>
      </c>
      <c r="I448" s="10" t="str">
        <f>IF(COUNTA(A448:D448,F448)=0,"",IF(NOT(ISNUMBER(A448)),"缺少有效净值日期",IF(OR(A448&lt;=0,A448&lt;&gt;INT(A448)),"净值日期无效",IF(OR(B448="转换转入",B448="现金分红"),"该类型需实际金额，五项录入不适用",IF(NOT(OR(OR(B448="买入",B448="定投"),B448="卖出",B448="红利再投")),"请选择交易类型",IF(NOT(ISNUMBER(C448)),"缺少成交净值",IF(C448&lt;=0,"成交净值须大于零",IF(NOT(ISNUMBER(D448)),"缺少确认份额",IF(D448&lt;=0,"确认份额须大于零",IF(NOT(ISNUMBER(F448)),"缺少手续费，无费用请填 0",IF(F448&lt;0,"手续费不能为负",IF(AA447="错误","前行待修正",IF(A448&lt;Z447,"日期需按成交顺序递增",IF(AND(B448="红利再投",F448&lt;&gt;0),"红利再投手续费应填 0",IF(AND(B448="红利再投",K447&lt;=0),"红利再投前须有持仓",IF(AND(B448="卖出",D448&gt;K447+0.000001),"卖出份额超过持仓",IF(AND(B448="卖出",F448&gt;=C448*D448),"赎回费不能达到赎回总额",IF(NOT(ISNUMBER(E448)),"自动金额未生成，请检查五项输入",IF(NOT(OR('持仓总览'!$C$7="利润优先",'持仓总览'!$C$7="本金优先")),"请选择卖出分配模式","已计入")))))))))))))))))))</f>
        <v/>
      </c>
      <c r="J448" s="11">
        <f t="shared" si="119">IF(AA448="正常",IF(I448="已计入",IF(OR(OR(B448="买入",B448="定投",B448="转换转入"),B448="红利再投"),D448,IF(B448="卖出",-D448,0)),0),"")</f>
        <v>0</v>
      </c>
      <c r="K448" s="11">
        <f t="shared" si="124">IF(AA448="正常",ROUND(K447+J448,6),"")</f>
        <v>25721.6</v>
      </c>
      <c r="L448" s="11" t="str">
        <f t="shared" si="125">IF(I448="已计入",ROUND(K447*C448,2),"")</f>
        <v/>
      </c>
      <c r="M448" s="11" t="str">
        <f t="shared" si="126">IF(I448="已计入",IF(B448="卖出",MAX(0,L448-Q447-F448),IF(B448="现金分红",MAX(0,L448+E448-Q447),0)),"")</f>
        <v/>
      </c>
      <c r="N448" s="11" t="str">
        <f>IF(I448="已计入",IF(AND(B448="卖出",'持仓总览'!$C$7="本金优先"),MAX(0,E448-Q447),IF(OR(B448="卖出",B448="现金分红"),MIN(E448,M448),0)),"")</f>
        <v/>
      </c>
      <c r="O448" s="11" t="str">
        <f t="shared" si="127">IF(I448="已计入",IF(OR(B448="卖出",B448="现金分红"),MIN(Q447,MAX(0,E448-N448)),0),"")</f>
        <v/>
      </c>
      <c r="P448" s="11" t="str">
        <f t="shared" si="128">IF(I448="已计入",IF(AND(B448="卖出",K448=0),MAX(0,Q447-O448),0),"")</f>
        <v/>
      </c>
      <c r="Q448" s="11">
        <f t="shared" si="129">IF(AA448="正常",IF(I448="已计入",ROUND(Q447+IF(OR(B448="买入",B448="定投",B448="转换转入"),E448,0)-O448-P448,2),Q447),"")</f>
        <v>129570</v>
      </c>
      <c r="R448" s="11" t="str">
        <f t="shared" si="120">IF(I448="已计入",ROUND(K448*C448,2),"")</f>
        <v/>
      </c>
      <c r="S448" s="11" t="str">
        <f t="shared" si="121">IF(I448="已计入",ROUND(R448-Q448,2),"")</f>
        <v/>
      </c>
      <c r="T448" s="12" t="str">
        <f t="shared" si="122">IF(I448="已计入",IF(Q448=0,"",S448/Q448),"")</f>
        <v/>
      </c>
      <c r="U448" s="11">
        <f t="shared" si="130">IF(AA448="正常",U447+IF(AND(I448="已计入",OR(B448="买入",B448="定投",B448="转换转入")),E448,0),"")</f>
        <v>129570</v>
      </c>
      <c r="V448" s="11">
        <f t="shared" si="131">IF(AA448="正常",V447+IF(AND(I448="已计入",OR(B448="卖出",B448="现金分红")),E448,0),"")</f>
        <v>0</v>
      </c>
      <c r="W448" s="11">
        <f t="shared" si="132">IF(AA448="正常",W447+IF(I448="已计入",N448,0),"")</f>
        <v>0</v>
      </c>
      <c r="X448" s="11">
        <f t="shared" si="133">IF(AA448="正常",X447+IF(I448="已计入",P448,0),"")</f>
        <v>0</v>
      </c>
      <c r="Y448" s="11" t="str">
        <f t="shared" si="123">IF(I448="已计入",ROUND(R448+V448-U448,2),"")</f>
        <v/>
      </c>
      <c r="Z448" s="13">
        <f t="shared" si="134">IF(AA448="正常",IF(I448="已计入",A448,Z447),"")</f>
        <v>46239</v>
      </c>
      <c r="AA448" s="10" t="str">
        <f>IF(OR($AA$134="错误",COUNTIF($G$135:G448,"待修正")&gt;0),"错误","正常")</f>
        <v>正常</v>
      </c>
      <c r="AB448" s="14">
        <f t="shared" si="135">IF(AA448="正常",IF(I448="已计入",C448,AB447),"")</f>
        <v>6.347</v>
      </c>
    </row>
    <row r="449" ht="23" customHeight="1">
      <c r="A449" s="36"/>
      <c r="B449" s="37"/>
      <c r="C449" s="38"/>
      <c r="D449" s="39"/>
      <c r="E449" s="44" t="str">
        <f t="shared" si="136">IF(AND(ISNUMBER(C449),ISNUMBER(D449),ISNUMBER(F449)),IF(OR(B449="买入",B449="定投"),ROUND(C449*D449+F449,2),IF(B449="卖出",ROUND(C449*D449-F449,2),IF(B449="红利再投",0,""))),"")</f>
        <v/>
      </c>
      <c r="F449" s="39"/>
      <c r="G449" s="45" t="str">
        <f t="shared" si="137">IF(COUNTA(A449:D449,F449)=0,"",IF(I449="已计入","已录入","待修正"))</f>
        <v/>
      </c>
      <c r="H449" s="46" t="str">
        <f t="shared" si="138">IF(COUNTA(A449:D449,F449)=0,"",IF(B449="红利再投","仅增加份额，不增加现金投入","金额由份额、净值和手续费推算"))</f>
        <v/>
      </c>
      <c r="I449" s="10" t="str">
        <f>IF(COUNTA(A449:D449,F449)=0,"",IF(NOT(ISNUMBER(A449)),"缺少有效净值日期",IF(OR(A449&lt;=0,A449&lt;&gt;INT(A449)),"净值日期无效",IF(OR(B449="转换转入",B449="现金分红"),"该类型需实际金额，五项录入不适用",IF(NOT(OR(OR(B449="买入",B449="定投"),B449="卖出",B449="红利再投")),"请选择交易类型",IF(NOT(ISNUMBER(C449)),"缺少成交净值",IF(C449&lt;=0,"成交净值须大于零",IF(NOT(ISNUMBER(D449)),"缺少确认份额",IF(D449&lt;=0,"确认份额须大于零",IF(NOT(ISNUMBER(F449)),"缺少手续费，无费用请填 0",IF(F449&lt;0,"手续费不能为负",IF(AA448="错误","前行待修正",IF(A449&lt;Z448,"日期需按成交顺序递增",IF(AND(B449="红利再投",F449&lt;&gt;0),"红利再投手续费应填 0",IF(AND(B449="红利再投",K448&lt;=0),"红利再投前须有持仓",IF(AND(B449="卖出",D449&gt;K448+0.000001),"卖出份额超过持仓",IF(AND(B449="卖出",F449&gt;=C449*D449),"赎回费不能达到赎回总额",IF(NOT(ISNUMBER(E449)),"自动金额未生成，请检查五项输入",IF(NOT(OR('持仓总览'!$C$7="利润优先",'持仓总览'!$C$7="本金优先")),"请选择卖出分配模式","已计入")))))))))))))))))))</f>
        <v/>
      </c>
      <c r="J449" s="11">
        <f t="shared" si="119">IF(AA449="正常",IF(I449="已计入",IF(OR(OR(B449="买入",B449="定投",B449="转换转入"),B449="红利再投"),D449,IF(B449="卖出",-D449,0)),0),"")</f>
        <v>0</v>
      </c>
      <c r="K449" s="11">
        <f t="shared" si="124">IF(AA449="正常",ROUND(K448+J449,6),"")</f>
        <v>25721.6</v>
      </c>
      <c r="L449" s="11" t="str">
        <f t="shared" si="125">IF(I449="已计入",ROUND(K448*C449,2),"")</f>
        <v/>
      </c>
      <c r="M449" s="11" t="str">
        <f t="shared" si="126">IF(I449="已计入",IF(B449="卖出",MAX(0,L449-Q448-F449),IF(B449="现金分红",MAX(0,L449+E449-Q448),0)),"")</f>
        <v/>
      </c>
      <c r="N449" s="11" t="str">
        <f>IF(I449="已计入",IF(AND(B449="卖出",'持仓总览'!$C$7="本金优先"),MAX(0,E449-Q448),IF(OR(B449="卖出",B449="现金分红"),MIN(E449,M449),0)),"")</f>
        <v/>
      </c>
      <c r="O449" s="11" t="str">
        <f t="shared" si="127">IF(I449="已计入",IF(OR(B449="卖出",B449="现金分红"),MIN(Q448,MAX(0,E449-N449)),0),"")</f>
        <v/>
      </c>
      <c r="P449" s="11" t="str">
        <f t="shared" si="128">IF(I449="已计入",IF(AND(B449="卖出",K449=0),MAX(0,Q448-O449),0),"")</f>
        <v/>
      </c>
      <c r="Q449" s="11">
        <f t="shared" si="129">IF(AA449="正常",IF(I449="已计入",ROUND(Q448+IF(OR(B449="买入",B449="定投",B449="转换转入"),E449,0)-O449-P449,2),Q448),"")</f>
        <v>129570</v>
      </c>
      <c r="R449" s="11" t="str">
        <f t="shared" si="120">IF(I449="已计入",ROUND(K449*C449,2),"")</f>
        <v/>
      </c>
      <c r="S449" s="11" t="str">
        <f t="shared" si="121">IF(I449="已计入",ROUND(R449-Q449,2),"")</f>
        <v/>
      </c>
      <c r="T449" s="12" t="str">
        <f t="shared" si="122">IF(I449="已计入",IF(Q449=0,"",S449/Q449),"")</f>
        <v/>
      </c>
      <c r="U449" s="11">
        <f t="shared" si="130">IF(AA449="正常",U448+IF(AND(I449="已计入",OR(B449="买入",B449="定投",B449="转换转入")),E449,0),"")</f>
        <v>129570</v>
      </c>
      <c r="V449" s="11">
        <f t="shared" si="131">IF(AA449="正常",V448+IF(AND(I449="已计入",OR(B449="卖出",B449="现金分红")),E449,0),"")</f>
        <v>0</v>
      </c>
      <c r="W449" s="11">
        <f t="shared" si="132">IF(AA449="正常",W448+IF(I449="已计入",N449,0),"")</f>
        <v>0</v>
      </c>
      <c r="X449" s="11">
        <f t="shared" si="133">IF(AA449="正常",X448+IF(I449="已计入",P449,0),"")</f>
        <v>0</v>
      </c>
      <c r="Y449" s="11" t="str">
        <f t="shared" si="123">IF(I449="已计入",ROUND(R449+V449-U449,2),"")</f>
        <v/>
      </c>
      <c r="Z449" s="13">
        <f t="shared" si="134">IF(AA449="正常",IF(I449="已计入",A449,Z448),"")</f>
        <v>46239</v>
      </c>
      <c r="AA449" s="10" t="str">
        <f>IF(OR($AA$134="错误",COUNTIF($G$135:G449,"待修正")&gt;0),"错误","正常")</f>
        <v>正常</v>
      </c>
      <c r="AB449" s="14">
        <f t="shared" si="135">IF(AA449="正常",IF(I449="已计入",C449,AB448),"")</f>
        <v>6.347</v>
      </c>
    </row>
    <row r="450" ht="23" customHeight="1">
      <c r="A450" s="36"/>
      <c r="B450" s="37"/>
      <c r="C450" s="38"/>
      <c r="D450" s="39"/>
      <c r="E450" s="44" t="str">
        <f t="shared" si="136">IF(AND(ISNUMBER(C450),ISNUMBER(D450),ISNUMBER(F450)),IF(OR(B450="买入",B450="定投"),ROUND(C450*D450+F450,2),IF(B450="卖出",ROUND(C450*D450-F450,2),IF(B450="红利再投",0,""))),"")</f>
        <v/>
      </c>
      <c r="F450" s="39"/>
      <c r="G450" s="45" t="str">
        <f t="shared" si="137">IF(COUNTA(A450:D450,F450)=0,"",IF(I450="已计入","已录入","待修正"))</f>
        <v/>
      </c>
      <c r="H450" s="46" t="str">
        <f t="shared" si="138">IF(COUNTA(A450:D450,F450)=0,"",IF(B450="红利再投","仅增加份额，不增加现金投入","金额由份额、净值和手续费推算"))</f>
        <v/>
      </c>
      <c r="I450" s="10" t="str">
        <f>IF(COUNTA(A450:D450,F450)=0,"",IF(NOT(ISNUMBER(A450)),"缺少有效净值日期",IF(OR(A450&lt;=0,A450&lt;&gt;INT(A450)),"净值日期无效",IF(OR(B450="转换转入",B450="现金分红"),"该类型需实际金额，五项录入不适用",IF(NOT(OR(OR(B450="买入",B450="定投"),B450="卖出",B450="红利再投")),"请选择交易类型",IF(NOT(ISNUMBER(C450)),"缺少成交净值",IF(C450&lt;=0,"成交净值须大于零",IF(NOT(ISNUMBER(D450)),"缺少确认份额",IF(D450&lt;=0,"确认份额须大于零",IF(NOT(ISNUMBER(F450)),"缺��手续费，无费用请填 0",IF(F450&lt;0,"手续费不能为负",IF(AA449="错误","前行待修正",IF(A450&lt;Z449,"日期需按成交顺序递增",IF(AND(B450="红利再投",F450&lt;&gt;0),"红利再投手续费应填 0",IF(AND(B450="红利再投",K449&lt;=0),"红利再投前须有持仓",IF(AND(B450="卖出",D450&gt;K449+0.000001),"卖出份额超过持仓",IF(AND(B450="卖出",F450&gt;=C450*D450),"赎回费不能达到赎回总额",IF(NOT(ISNUMBER(E450)),"自动金额未生成，请检查五项输入",IF(NOT(OR('持仓总览'!$C$7="利润优先",'持仓总览'!$C$7="本金优先")),"请选择卖出分配模式","已计入")))))))))))))))))))</f>
        <v/>
      </c>
      <c r="J450" s="11">
        <f t="shared" si="119">IF(AA450="正常",IF(I450="已计入",IF(OR(OR(B450="买入",B450="定投",B450="转换转入"),B450="红利再投"),D450,IF(B450="卖出",-D450,0)),0),"")</f>
        <v>0</v>
      </c>
      <c r="K450" s="11">
        <f t="shared" si="124">IF(AA450="正常",ROUND(K449+J450,6),"")</f>
        <v>25721.6</v>
      </c>
      <c r="L450" s="11" t="str">
        <f t="shared" si="125">IF(I450="已计入",ROUND(K449*C450,2),"")</f>
        <v/>
      </c>
      <c r="M450" s="11" t="str">
        <f t="shared" si="126">IF(I450="已计入",IF(B450="卖出",MAX(0,L450-Q449-F450),IF(B450="现金分红",MAX(0,L450+E450-Q449),0)),"")</f>
        <v/>
      </c>
      <c r="N450" s="11" t="str">
        <f>IF(I450="已计入",IF(AND(B450="卖出",'持仓总览'!$C$7="本金优先"),MAX(0,E450-Q449),IF(OR(B450="卖出",B450="现金分红"),MIN(E450,M450),0)),"")</f>
        <v/>
      </c>
      <c r="O450" s="11" t="str">
        <f t="shared" si="127">IF(I450="已计入",IF(OR(B450="卖出",B450="现金分红"),MIN(Q449,MAX(0,E450-N450)),0),"")</f>
        <v/>
      </c>
      <c r="P450" s="11" t="str">
        <f t="shared" si="128">IF(I450="已计入",IF(AND(B450="卖出",K450=0),MAX(0,Q449-O450),0),"")</f>
        <v/>
      </c>
      <c r="Q450" s="11">
        <f t="shared" si="129">IF(AA450="正常",IF(I450="已计入",ROUND(Q449+IF(OR(B450="买入",B450="定投",B450="转换转入"),E450,0)-O450-P450,2),Q449),"")</f>
        <v>129570</v>
      </c>
      <c r="R450" s="11" t="str">
        <f t="shared" si="120">IF(I450="已计入",ROUND(K450*C450,2),"")</f>
        <v/>
      </c>
      <c r="S450" s="11" t="str">
        <f t="shared" si="121">IF(I450="已计入",ROUND(R450-Q450,2),"")</f>
        <v/>
      </c>
      <c r="T450" s="12" t="str">
        <f t="shared" si="122">IF(I450="已计入",IF(Q450=0,"",S450/Q450),"")</f>
        <v/>
      </c>
      <c r="U450" s="11">
        <f t="shared" si="130">IF(AA450="正常",U449+IF(AND(I450="已计入",OR(B450="买入",B450="定投",B450="转换转入")),E450,0),"")</f>
        <v>129570</v>
      </c>
      <c r="V450" s="11">
        <f t="shared" si="131">IF(AA450="正常",V449+IF(AND(I450="已计入",OR(B450="卖出",B450="现金分红")),E450,0),"")</f>
        <v>0</v>
      </c>
      <c r="W450" s="11">
        <f t="shared" si="132">IF(AA450="正常",W449+IF(I450="已计入",N450,0),"")</f>
        <v>0</v>
      </c>
      <c r="X450" s="11">
        <f t="shared" si="133">IF(AA450="正常",X449+IF(I450="已计入",P450,0),"")</f>
        <v>0</v>
      </c>
      <c r="Y450" s="11" t="str">
        <f t="shared" si="123">IF(I450="已计入",ROUND(R450+V450-U450,2),"")</f>
        <v/>
      </c>
      <c r="Z450" s="13">
        <f t="shared" si="134">IF(AA450="正常",IF(I450="已计入",A450,Z449),"")</f>
        <v>46239</v>
      </c>
      <c r="AA450" s="10" t="str">
        <f>IF(OR($AA$134="错误",COUNTIF($G$135:G450,"待修正")&gt;0),"错误","正常")</f>
        <v>正常</v>
      </c>
      <c r="AB450" s="14">
        <f t="shared" si="135">IF(AA450="正常",IF(I450="已计入",C450,AB449),"")</f>
        <v>6.347</v>
      </c>
    </row>
    <row r="451" ht="23" customHeight="1">
      <c r="A451" s="36"/>
      <c r="B451" s="37"/>
      <c r="C451" s="38"/>
      <c r="D451" s="39"/>
      <c r="E451" s="44" t="str">
        <f t="shared" si="136">IF(AND(ISNUMBER(C451),ISNUMBER(D451),ISNUMBER(F451)),IF(OR(B451="买入",B451="定投"),ROUND(C451*D451+F451,2),IF(B451="卖出",ROUND(C451*D451-F451,2),IF(B451="红利再投",0,""))),"")</f>
        <v/>
      </c>
      <c r="F451" s="39"/>
      <c r="G451" s="45" t="str">
        <f t="shared" si="137">IF(COUNTA(A451:D451,F451)=0,"",IF(I451="已计入","已录入","待修正"))</f>
        <v/>
      </c>
      <c r="H451" s="46" t="str">
        <f t="shared" si="138">IF(COUNTA(A451:D451,F451)=0,"",IF(B451="红利再投","仅增加份额，不增加现金投入","金额由份额、净值和手续费推算"))</f>
        <v/>
      </c>
      <c r="I451" s="10" t="str">
        <f>IF(COUNTA(A451:D451,F451)=0,"",IF(NOT(ISNUMBER(A451)),"缺少有效净值日期",IF(OR(A451&lt;=0,A451&lt;&gt;INT(A451)),"净值日期无效",IF(OR(B451="转换转入",B451="现金分红"),"该类型需实际金额，五项录入不适用",IF(NOT(OR(OR(B451="买入",B451="定投"),B451="卖出",B451="红利再投")),"请选择交易类型",IF(NOT(ISNUMBER(C451)),"缺少成交净值",IF(C451&lt;=0,"成交净值须大于零",IF(NOT(ISNUMBER(D451)),"缺少确认份额",IF(D451&lt;=0,"确认份额须大于零",IF(NOT(ISNUMBER(F451)),"缺少手续费，无费用请填 0",IF(F451&lt;0,"手续费不能为负",IF(AA450="错误","前行待修正",IF(A451&lt;Z450,"日期需按成交顺序递增",IF(AND(B451="红利再投",F451&lt;&gt;0),"红利再投手续费应填 0",IF(AND(B451="红利再投",K450&lt;=0),"红利再投前须有持仓",IF(AND(B451="卖出",D451&gt;K450+0.000001),"卖出份额超过持仓",IF(AND(B451="卖出",F451&gt;=C451*D451),"赎回费不能达到赎回总额",IF(NOT(ISNUMBER(E451)),"自动金额未生成，请检查五项输入",IF(NOT(OR('持仓总览'!$C$7="利润优先",'持仓总览'!$C$7="本金优先")),"请选择卖出分配模式","已计入")))))))))))))))))))</f>
        <v/>
      </c>
      <c r="J451" s="11">
        <f t="shared" si="119">IF(AA451="正常",IF(I451="已计入",IF(OR(OR(B451="买入",B451="定投",B451="转换转入"),B451="红利再投"),D451,IF(B451="卖出",-D451,0)),0),"")</f>
        <v>0</v>
      </c>
      <c r="K451" s="11">
        <f t="shared" si="124">IF(AA451="正常",ROUND(K450+J451,6),"")</f>
        <v>25721.6</v>
      </c>
      <c r="L451" s="11" t="str">
        <f t="shared" si="125">IF(I451="已计入",ROUND(K450*C451,2),"")</f>
        <v/>
      </c>
      <c r="M451" s="11" t="str">
        <f t="shared" si="126">IF(I451="已计入",IF(B451="卖出",MAX(0,L451-Q450-F451),IF(B451="现金分红",MAX(0,L451+E451-Q450),0)),"")</f>
        <v/>
      </c>
      <c r="N451" s="11" t="str">
        <f>IF(I451="已计入",IF(AND(B451="卖出",'持仓总览'!$C$7="本金优先"),MAX(0,E451-Q450),IF(OR(B451="卖出",B451="现金分红"),MIN(E451,M451),0)),"")</f>
        <v/>
      </c>
      <c r="O451" s="11" t="str">
        <f t="shared" si="127">IF(I451="已计入",IF(OR(B451="卖出",B451="现金分红"),MIN(Q450,MAX(0,E451-N451)),0),"")</f>
        <v/>
      </c>
      <c r="P451" s="11" t="str">
        <f t="shared" si="128">IF(I451="已计入",IF(AND(B451="卖出",K451=0),MAX(0,Q450-O451),0),"")</f>
        <v/>
      </c>
      <c r="Q451" s="11">
        <f t="shared" si="129">IF(AA451="正常",IF(I451="已计入",ROUND(Q450+IF(OR(B451="买入",B451="定投",B451="转换转入"),E451,0)-O451-P451,2),Q450),"")</f>
        <v>129570</v>
      </c>
      <c r="R451" s="11" t="str">
        <f t="shared" si="120">IF(I451="已计入",ROUND(K451*C451,2),"")</f>
        <v/>
      </c>
      <c r="S451" s="11" t="str">
        <f t="shared" si="121">IF(I451="已计入",ROUND(R451-Q451,2),"")</f>
        <v/>
      </c>
      <c r="T451" s="12" t="str">
        <f t="shared" si="122">IF(I451="已计入",IF(Q451=0,"",S451/Q451),"")</f>
        <v/>
      </c>
      <c r="U451" s="11">
        <f t="shared" si="130">IF(AA451="正常",U450+IF(AND(I451="已计入",OR(B451="买入",B451="定投",B451="转换转入")),E451,0),"")</f>
        <v>129570</v>
      </c>
      <c r="V451" s="11">
        <f t="shared" si="131">IF(AA451="正常",V450+IF(AND(I451="已计入",OR(B451="卖出",B451="现金分红")),E451,0),"")</f>
        <v>0</v>
      </c>
      <c r="W451" s="11">
        <f t="shared" si="132">IF(AA451="正常",W450+IF(I451="已计入",N451,0),"")</f>
        <v>0</v>
      </c>
      <c r="X451" s="11">
        <f t="shared" si="133">IF(AA451="正常",X450+IF(I451="已计入",P451,0),"")</f>
        <v>0</v>
      </c>
      <c r="Y451" s="11" t="str">
        <f t="shared" si="123">IF(I451="已计入",ROUND(R451+V451-U451,2),"")</f>
        <v/>
      </c>
      <c r="Z451" s="13">
        <f t="shared" si="134">IF(AA451="正常",IF(I451="已计入",A451,Z450),"")</f>
        <v>46239</v>
      </c>
      <c r="AA451" s="10" t="str">
        <f>IF(OR($AA$134="错误",COUNTIF($G$135:G451,"待修正")&gt;0),"错误","正常")</f>
        <v>正常</v>
      </c>
      <c r="AB451" s="14">
        <f t="shared" si="135">IF(AA451="正常",IF(I451="已计入",C451,AB450),"")</f>
        <v>6.347</v>
      </c>
    </row>
    <row r="452" ht="23" customHeight="1">
      <c r="A452" s="36"/>
      <c r="B452" s="37"/>
      <c r="C452" s="38"/>
      <c r="D452" s="39"/>
      <c r="E452" s="44" t="str">
        <f t="shared" si="136">IF(AND(ISNUMBER(C452),ISNUMBER(D452),ISNUMBER(F452)),IF(OR(B452="买入",B452="定投"),ROUND(C452*D452+F452,2),IF(B452="卖出",ROUND(C452*D452-F452,2),IF(B452="红利再投",0,""))),"")</f>
        <v/>
      </c>
      <c r="F452" s="39"/>
      <c r="G452" s="45" t="str">
        <f t="shared" si="137">IF(COUNTA(A452:D452,F452)=0,"",IF(I452="已计入","已录入","待修正"))</f>
        <v/>
      </c>
      <c r="H452" s="46" t="str">
        <f t="shared" si="138">IF(COUNTA(A452:D452,F452)=0,"",IF(B452="红利再投","仅增加份额，不增加现金投入","金额由份额、净值和手续费推算"))</f>
        <v/>
      </c>
      <c r="I452" s="10" t="str">
        <f>IF(COUNTA(A452:D452,F452)=0,"",IF(NOT(ISNUMBER(A452)),"缺少有效净值日期",IF(OR(A452&lt;=0,A452&lt;&gt;INT(A452)),"净值日期无效",IF(OR(B452="转换转入",B452="现金分红"),"该类型需实际金额，五项录入不适用",IF(NOT(OR(OR(B452="买入",B452="定投"),B452="卖出",B452="红利再投")),"请选择交易类型",IF(NOT(ISNUMBER(C452)),"缺少成交净值",IF(C452&lt;=0,"成交净值须大于零",IF(NOT(ISNUMBER(D452)),"缺少确认份额",IF(D452&lt;=0,"确认份额须大于零",IF(NOT(ISNUMBER(F452)),"缺少手续费，无费用请填 0",IF(F452&lt;0,"手续费不能为负",IF(AA451="错误","前行待修正",IF(A452&lt;Z451,"日期需按成交顺序递增",IF(AND(B452="红利再投",F452&lt;&gt;0),"红利再投手续费应填 0",IF(AND(B452="红利再投",K451&lt;=0),"红利再投前须有持仓",IF(AND(B452="卖出",D452&gt;K451+0.000001),"卖出份额超过持仓",IF(AND(B452="卖出",F452&gt;=C452*D452),"赎回费不能达到赎回总额",IF(NOT(ISNUMBER(E452)),"自动金额未生成，请检查五项输入",IF(NOT(OR('持仓总览'!$C$7="利润优先",'持仓总览'!$C$7="本金优先")),"请选择卖出分配模式","已计入")))))))))))))))))))</f>
        <v/>
      </c>
      <c r="J452" s="11">
        <f t="shared" si="119">IF(AA452="正常",IF(I452="已计入",IF(OR(OR(B452="买入",B452="定投",B452="转换转入"),B452="红利再投"),D452,IF(B452="卖出",-D452,0)),0),"")</f>
        <v>0</v>
      </c>
      <c r="K452" s="11">
        <f t="shared" si="124">IF(AA452="正常",ROUND(K451+J452,6),"")</f>
        <v>25721.6</v>
      </c>
      <c r="L452" s="11" t="str">
        <f t="shared" si="125">IF(I452="已计入",ROUND(K451*C452,2),"")</f>
        <v/>
      </c>
      <c r="M452" s="11" t="str">
        <f t="shared" si="126">IF(I452="已计入",IF(B452="卖出",MAX(0,L452-Q451-F452),IF(B452="现金分红",MAX(0,L452+E452-Q451),0)),"")</f>
        <v/>
      </c>
      <c r="N452" s="11" t="str">
        <f>IF(I452="已计入",IF(AND(B452="卖出",'持仓总览'!$C$7="本金优先"),MAX(0,E452-Q451),IF(OR(B452="卖出",B452="现金分红"),MIN(E452,M452),0)),"")</f>
        <v/>
      </c>
      <c r="O452" s="11" t="str">
        <f t="shared" si="127">IF(I452="已计入",IF(OR(B452="卖出",B452="现金分红"),MIN(Q451,MAX(0,E452-N452)),0),"")</f>
        <v/>
      </c>
      <c r="P452" s="11" t="str">
        <f t="shared" si="128">IF(I452="已计入",IF(AND(B452="卖出",K452=0),MAX(0,Q451-O452),0),"")</f>
        <v/>
      </c>
      <c r="Q452" s="11">
        <f t="shared" si="129">IF(AA452="正常",IF(I452="已计入",ROUND(Q451+IF(OR(B452="买入",B452="定投",B452="转换转入"),E452,0)-O452-P452,2),Q451),"")</f>
        <v>129570</v>
      </c>
      <c r="R452" s="11" t="str">
        <f t="shared" si="120">IF(I452="已计入",ROUND(K452*C452,2),"")</f>
        <v/>
      </c>
      <c r="S452" s="11" t="str">
        <f t="shared" si="121">IF(I452="已计入",ROUND(R452-Q452,2),"")</f>
        <v/>
      </c>
      <c r="T452" s="12" t="str">
        <f t="shared" si="122">IF(I452="已计入",IF(Q452=0,"",S452/Q452),"")</f>
        <v/>
      </c>
      <c r="U452" s="11">
        <f t="shared" si="130">IF(AA452="正常",U451+IF(AND(I452="已计入",OR(B452="买入",B452="定投",B452="转换转入")),E452,0),"")</f>
        <v>129570</v>
      </c>
      <c r="V452" s="11">
        <f t="shared" si="131">IF(AA452="正常",V451+IF(AND(I452="已计入",OR(B452="卖出",B452="现金分红")),E452,0),"")</f>
        <v>0</v>
      </c>
      <c r="W452" s="11">
        <f t="shared" si="132">IF(AA452="正常",W451+IF(I452="已计入",N452,0),"")</f>
        <v>0</v>
      </c>
      <c r="X452" s="11">
        <f t="shared" si="133">IF(AA452="正常",X451+IF(I452="已计入",P452,0),"")</f>
        <v>0</v>
      </c>
      <c r="Y452" s="11" t="str">
        <f t="shared" si="123">IF(I452="已计入",ROUND(R452+V452-U452,2),"")</f>
        <v/>
      </c>
      <c r="Z452" s="13">
        <f t="shared" si="134">IF(AA452="正常",IF(I452="已计入",A452,Z451),"")</f>
        <v>46239</v>
      </c>
      <c r="AA452" s="10" t="str">
        <f>IF(OR($AA$134="错误",COUNTIF($G$135:G452,"待修正")&gt;0),"错误","正常")</f>
        <v>正常</v>
      </c>
      <c r="AB452" s="14">
        <f t="shared" si="135">IF(AA452="正常",IF(I452="已计入",C452,AB451),"")</f>
        <v>6.347</v>
      </c>
    </row>
    <row r="453" ht="23" customHeight="1">
      <c r="A453" s="36"/>
      <c r="B453" s="37"/>
      <c r="C453" s="38"/>
      <c r="D453" s="39"/>
      <c r="E453" s="44" t="str">
        <f t="shared" si="136">IF(AND(ISNUMBER(C453),ISNUMBER(D453),ISNUMBER(F453)),IF(OR(B453="买入",B453="定投"),ROUND(C453*D453+F453,2),IF(B453="卖出",ROUND(C453*D453-F453,2),IF(B453="红利再投",0,""))),"")</f>
        <v/>
      </c>
      <c r="F453" s="39"/>
      <c r="G453" s="45" t="str">
        <f t="shared" si="137">IF(COUNTA(A453:D453,F453)=0,"",IF(I453="已计入","已录入","待修正"))</f>
        <v/>
      </c>
      <c r="H453" s="46" t="str">
        <f t="shared" si="138">IF(COUNTA(A453:D453,F453)=0,"",IF(B453="红利再投","仅增加份额，不增加现金投入","金额由份额、净值和手续费推算"))</f>
        <v/>
      </c>
      <c r="I453" s="10" t="str">
        <f>IF(COUNTA(A453:D453,F453)=0,"",IF(NOT(ISNUMBER(A453)),"缺少有效净值日期",IF(OR(A453&lt;=0,A453&lt;&gt;INT(A453)),"净值日期无效",IF(OR(B453="转换转入",B453="现金分红"),"该类型需实际金额，五项录入不适用",IF(NOT(OR(OR(B453="买入",B453="定投"),B453="卖出",B453="红利再投")),"请选择交易类型",IF(NOT(ISNUMBER(C453)),"缺少成交净值",IF(C453&lt;=0,"成交净值须大于零",IF(NOT(ISNUMBER(D453)),"缺少确认份额",IF(D453&lt;=0,"确认份额须大于零",IF(NOT(ISNUMBER(F453)),"缺少手续费，无费用请填 0",IF(F453&lt;0,"手续费不能为负",IF(AA452="错误","前行待修正",IF(A453&lt;Z452,"日期需按成交顺序递增",IF(AND(B453="红利再投",F453&lt;&gt;0),"红利再投手续费应填 0",IF(AND(B453="红利再投",K452&lt;=0),"红利再投前须有持仓",IF(AND(B453="卖出",D453&gt;K452+0.000001),"卖出份额超过持仓",IF(AND(B453="卖出",F453&gt;=C453*D453),"赎回费不能达到赎回总额",IF(NOT(ISNUMBER(E453)),"自动金额未生成，请检查五项输入",IF(NOT(OR('持仓总览'!$C$7="利润优先",'持仓总览'!$C$7="本金优先")),"请选择卖出分配模式","已计入")))))))))))))))))))</f>
        <v/>
      </c>
      <c r="J453" s="11">
        <f t="shared" si="119">IF(AA453="正常",IF(I453="已计入",IF(OR(OR(B453="买入",B453="定投",B453="转换转入"),B453="红利再投"),D453,IF(B453="卖出",-D453,0)),0),"")</f>
        <v>0</v>
      </c>
      <c r="K453" s="11">
        <f t="shared" si="124">IF(AA453="正常",ROUND(K452+J453,6),"")</f>
        <v>25721.6</v>
      </c>
      <c r="L453" s="11" t="str">
        <f t="shared" si="125">IF(I453="已计入",ROUND(K452*C453,2),"")</f>
        <v/>
      </c>
      <c r="M453" s="11" t="str">
        <f t="shared" si="126">IF(I453="已计入",IF(B453="卖出",MAX(0,L453-Q452-F453),IF(B453="现金分红",MAX(0,L453+E453-Q452),0)),"")</f>
        <v/>
      </c>
      <c r="N453" s="11" t="str">
        <f>IF(I453="已计入",IF(AND(B453="卖出",'持仓总览'!$C$7="本金优先"),MAX(0,E453-Q452),IF(OR(B453="卖出",B453="现金分红"),MIN(E453,M453),0)),"")</f>
        <v/>
      </c>
      <c r="O453" s="11" t="str">
        <f t="shared" si="127">IF(I453="已计入",IF(OR(B453="卖出",B453="现金分红"),MIN(Q452,MAX(0,E453-N453)),0),"")</f>
        <v/>
      </c>
      <c r="P453" s="11" t="str">
        <f t="shared" si="128">IF(I453="已计入",IF(AND(B453="卖出",K453=0),MAX(0,Q452-O453),0),"")</f>
        <v/>
      </c>
      <c r="Q453" s="11">
        <f t="shared" si="129">IF(AA453="正常",IF(I453="已计入",ROUND(Q452+IF(OR(B453="买入",B453="定投",B453="转换转入"),E453,0)-O453-P453,2),Q452),"")</f>
        <v>129570</v>
      </c>
      <c r="R453" s="11" t="str">
        <f t="shared" si="120">IF(I453="已计入",ROUND(K453*C453,2),"")</f>
        <v/>
      </c>
      <c r="S453" s="11" t="str">
        <f t="shared" si="121">IF(I453="已计入",ROUND(R453-Q453,2),"")</f>
        <v/>
      </c>
      <c r="T453" s="12" t="str">
        <f t="shared" si="122">IF(I453="已计入",IF(Q453=0,"",S453/Q453),"")</f>
        <v/>
      </c>
      <c r="U453" s="11">
        <f t="shared" si="130">IF(AA453="正常",U452+IF(AND(I453="已计入",OR(B453="买入",B453="定投",B453="转换转入")),E453,0),"")</f>
        <v>129570</v>
      </c>
      <c r="V453" s="11">
        <f t="shared" si="131">IF(AA453="正常",V452+IF(AND(I453="已计入",OR(B453="卖出",B453="现金分红")),E453,0),"")</f>
        <v>0</v>
      </c>
      <c r="W453" s="11">
        <f t="shared" si="132">IF(AA453="正常",W452+IF(I453="已计入",N453,0),"")</f>
        <v>0</v>
      </c>
      <c r="X453" s="11">
        <f t="shared" si="133">IF(AA453="正常",X452+IF(I453="已计入",P453,0),"")</f>
        <v>0</v>
      </c>
      <c r="Y453" s="11" t="str">
        <f t="shared" si="123">IF(I453="已计入",ROUND(R453+V453-U453,2),"")</f>
        <v/>
      </c>
      <c r="Z453" s="13">
        <f t="shared" si="134">IF(AA453="正常",IF(I453="已计入",A453,Z452),"")</f>
        <v>46239</v>
      </c>
      <c r="AA453" s="10" t="str">
        <f>IF(OR($AA$134="错误",COUNTIF($G$135:G453,"待修正")&gt;0),"错误","正常")</f>
        <v>正常</v>
      </c>
      <c r="AB453" s="14">
        <f t="shared" si="135">IF(AA453="正常",IF(I453="已计入",C453,AB452),"")</f>
        <v>6.347</v>
      </c>
    </row>
    <row r="454" ht="23" customHeight="1">
      <c r="A454" s="36"/>
      <c r="B454" s="37"/>
      <c r="C454" s="38"/>
      <c r="D454" s="39"/>
      <c r="E454" s="44" t="str">
        <f t="shared" si="136">IF(AND(ISNUMBER(C454),ISNUMBER(D454),ISNUMBER(F454)),IF(OR(B454="买入",B454="定投"),ROUND(C454*D454+F454,2),IF(B454="卖出",ROUND(C454*D454-F454,2),IF(B454="红利再投",0,""))),"")</f>
        <v/>
      </c>
      <c r="F454" s="39"/>
      <c r="G454" s="45" t="str">
        <f t="shared" si="137">IF(COUNTA(A454:D454,F454)=0,"",IF(I454="已计入","已录入","待修正"))</f>
        <v/>
      </c>
      <c r="H454" s="46" t="str">
        <f t="shared" si="138">IF(COUNTA(A454:D454,F454)=0,"",IF(B454="红利再投","仅增加份额，不增加现金投入","金额由份额、净值和手续费推算"))</f>
        <v/>
      </c>
      <c r="I454" s="10" t="str">
        <f>IF(COUNTA(A454:D454,F454)=0,"",IF(NOT(ISNUMBER(A454)),"缺少有效净值日期",IF(OR(A454&lt;=0,A454&lt;&gt;INT(A454)),"净值日期无效",IF(OR(B454="转换转入",B454="现金分红"),"该类型需实际金额，五项录入不适用",IF(NOT(OR(OR(B454="买入",B454="定投"),B454="卖出",B454="红利再投")),"请选择交易类型",IF(NOT(ISNUMBER(C454)),"缺少成交净值",IF(C454&lt;=0,"成交净值须大于零",IF(NOT(ISNUMBER(D454)),"缺少确认份额",IF(D454&lt;=0,"确认份额须大于零",IF(NOT(ISNUMBER(F454)),"缺少手续费，无费用请填 0",IF(F454&lt;0,"手续费不能为负",IF(AA453="错误","前行待修正",IF(A454&lt;Z453,"日期需按成交顺序递增",IF(AND(B454="红利再投",F454&lt;&gt;0),"红利再投手续费应填 0",IF(AND(B454="红利再投",K453&lt;=0),"红利再投前须有持仓",IF(AND(B454="卖出",D454&gt;K453+0.000001),"卖出份额超过持仓",IF(AND(B454="卖出",F454&gt;=C454*D454),"赎回费不能达到赎回总额",IF(NOT(ISNUMBER(E454)),"自动金额未生成，请检查五项输入",IF(NOT(OR('持仓总览'!$C$7="利润优先",'持仓总览'!$C$7="本金优先")),"请选择卖出分配模式","已计入")))))))))))))))))))</f>
        <v/>
      </c>
      <c r="J454" s="11">
        <f t="shared" si="119">IF(AA454="正常",IF(I454="已计入",IF(OR(OR(B454="买入",B454="定投",B454="转换转入"),B454="红利再投"),D454,IF(B454="卖出",-D454,0)),0),"")</f>
        <v>0</v>
      </c>
      <c r="K454" s="11">
        <f t="shared" si="124">IF(AA454="正常",ROUND(K453+J454,6),"")</f>
        <v>25721.6</v>
      </c>
      <c r="L454" s="11" t="str">
        <f t="shared" si="125">IF(I454="已计入",ROUND(K453*C454,2),"")</f>
        <v/>
      </c>
      <c r="M454" s="11" t="str">
        <f t="shared" si="126">IF(I454="已计入",IF(B454="卖出",MAX(0,L454-Q453-F454),IF(B454="现金分红",MAX(0,L454+E454-Q453),0)),"")</f>
        <v/>
      </c>
      <c r="N454" s="11" t="str">
        <f>IF(I454="已计入",IF(AND(B454="卖出",'持仓总览'!$C$7="本金优先"),MAX(0,E454-Q453),IF(OR(B454="卖出",B454="现金分红"),MIN(E454,M454),0)),"")</f>
        <v/>
      </c>
      <c r="O454" s="11" t="str">
        <f t="shared" si="127">IF(I454="已计入",IF(OR(B454="卖出",B454="现金分红"),MIN(Q453,MAX(0,E454-N454)),0),"")</f>
        <v/>
      </c>
      <c r="P454" s="11" t="str">
        <f t="shared" si="128">IF(I454="已计入",IF(AND(B454="卖出",K454=0),MAX(0,Q453-O454),0),"")</f>
        <v/>
      </c>
      <c r="Q454" s="11">
        <f t="shared" si="129">IF(AA454="正常",IF(I454="已计入",ROUND(Q453+IF(OR(B454="买入",B454="定投",B454="转换转入"),E454,0)-O454-P454,2),Q453),"")</f>
        <v>129570</v>
      </c>
      <c r="R454" s="11" t="str">
        <f t="shared" si="120">IF(I454="已计入",ROUND(K454*C454,2),"")</f>
        <v/>
      </c>
      <c r="S454" s="11" t="str">
        <f t="shared" si="121">IF(I454="已计入",ROUND(R454-Q454,2),"")</f>
        <v/>
      </c>
      <c r="T454" s="12" t="str">
        <f t="shared" si="122">IF(I454="已计入",IF(Q454=0,"",S454/Q454),"")</f>
        <v/>
      </c>
      <c r="U454" s="11">
        <f t="shared" si="130">IF(AA454="正常",U453+IF(AND(I454="已计入",OR(B454="买入",B454="定投",B454="转换转入")),E454,0),"")</f>
        <v>129570</v>
      </c>
      <c r="V454" s="11">
        <f t="shared" si="131">IF(AA454="正常",V453+IF(AND(I454="已计入",OR(B454="卖出",B454="现金分红")),E454,0),"")</f>
        <v>0</v>
      </c>
      <c r="W454" s="11">
        <f t="shared" si="132">IF(AA454="正常",W453+IF(I454="已计入",N454,0),"")</f>
        <v>0</v>
      </c>
      <c r="X454" s="11">
        <f t="shared" si="133">IF(AA454="正常",X453+IF(I454="已计入",P454,0),"")</f>
        <v>0</v>
      </c>
      <c r="Y454" s="11" t="str">
        <f t="shared" si="123">IF(I454="已计入",ROUND(R454+V454-U454,2),"")</f>
        <v/>
      </c>
      <c r="Z454" s="13">
        <f t="shared" si="134">IF(AA454="正常",IF(I454="已计入",A454,Z453),"")</f>
        <v>46239</v>
      </c>
      <c r="AA454" s="10" t="str">
        <f>IF(OR($AA$134="错误",COUNTIF($G$135:G454,"待修正")&gt;0),"错误","正常")</f>
        <v>正常</v>
      </c>
      <c r="AB454" s="14">
        <f t="shared" si="135">IF(AA454="正常",IF(I454="已计入",C454,AB453),"")</f>
        <v>6.347</v>
      </c>
    </row>
    <row r="455" ht="23" customHeight="1">
      <c r="A455" s="36"/>
      <c r="B455" s="37"/>
      <c r="C455" s="38"/>
      <c r="D455" s="39"/>
      <c r="E455" s="44" t="str">
        <f t="shared" si="136">IF(AND(ISNUMBER(C455),ISNUMBER(D455),ISNUMBER(F455)),IF(OR(B455="买入",B455="定投"),ROUND(C455*D455+F455,2),IF(B455="卖出",ROUND(C455*D455-F455,2),IF(B455="红利再投",0,""))),"")</f>
        <v/>
      </c>
      <c r="F455" s="39"/>
      <c r="G455" s="45" t="str">
        <f t="shared" si="137">IF(COUNTA(A455:D455,F455)=0,"",IF(I455="已计入","已录入","待修正"))</f>
        <v/>
      </c>
      <c r="H455" s="46" t="str">
        <f t="shared" si="138">IF(COUNTA(A455:D455,F455)=0,"",IF(B455="红利再投","仅增加份额，不增加现金投入","金额由份额、净值和手续费推算"))</f>
        <v/>
      </c>
      <c r="I455" s="10" t="str">
        <f>IF(COUNTA(A455:D455,F455)=0,"",IF(NOT(ISNUMBER(A455)),"缺少有效净值日期",IF(OR(A455&lt;=0,A455&lt;&gt;INT(A455)),"净值日期无效",IF(OR(B455="转换转入",B455="现金分红"),"该类型需实际金额，五项录入不适用",IF(NOT(OR(OR(B455="买入",B455="定投"),B455="卖出",B455="红利再投")),"请选择交易类型",IF(NOT(ISNUMBER(C455)),"缺少成交净值",IF(C455&lt;=0,"成交净值须大于零",IF(NOT(ISNUMBER(D455)),"缺少确认份额",IF(D455&lt;=0,"确认份额须大于零",IF(NOT(ISNUMBER(F455)),"缺少手续费，无费用请填 0",IF(F455&lt;0,"手续费不能为负",IF(AA454="错误","前行待修正",IF(A455&lt;Z454,"日期需按成交顺序递增",IF(AND(B455="红利再投",F455&lt;&gt;0),"红利再投手续费应填 0",IF(AND(B455="红利再投",K454&lt;=0),"红利再投前须有持仓",IF(AND(B455="卖出",D455&gt;K454+0.000001),"卖出份额超过持仓",IF(AND(B455="卖出",F455&gt;=C455*D455),"赎回费不能达到赎回总额",IF(NOT(ISNUMBER(E455)),"自动金额未生成，请检查五项输入",IF(NOT(OR('持仓总览'!$C$7="利润优先",'持仓总览'!$C$7="本金优先")),"请选择卖出分配模式","已计入")))))))))))))))))))</f>
        <v/>
      </c>
      <c r="J455" s="11">
        <f t="shared" ref="J455:J506" si="139">IF(AA455="正常",IF(I455="已计入",IF(OR(OR(B455="买入",B455="定投",B455="转换转入"),B455="红利再投"),D455,IF(B455="卖出",-D455,0)),0),"")</f>
        <v>0</v>
      </c>
      <c r="K455" s="11">
        <f t="shared" si="124">IF(AA455="正常",ROUND(K454+J455,6),"")</f>
        <v>25721.6</v>
      </c>
      <c r="L455" s="11" t="str">
        <f t="shared" si="125">IF(I455="已计入",ROUND(K454*C455,2),"")</f>
        <v/>
      </c>
      <c r="M455" s="11" t="str">
        <f t="shared" si="126">IF(I455="已计入",IF(B455="卖出",MAX(0,L455-Q454-F455),IF(B455="现金分红",MAX(0,L455+E455-Q454),0)),"")</f>
        <v/>
      </c>
      <c r="N455" s="11" t="str">
        <f>IF(I455="已计入",IF(AND(B455="卖出",'持仓总览'!$C$7="本金优先"),MAX(0,E455-Q454),IF(OR(B455="卖出",B455="现金分红"),MIN(E455,M455),0)),"")</f>
        <v/>
      </c>
      <c r="O455" s="11" t="str">
        <f t="shared" si="127">IF(I455="已计入",IF(OR(B455="卖出",B455="现金分红"),MIN(Q454,MAX(0,E455-N455)),0),"")</f>
        <v/>
      </c>
      <c r="P455" s="11" t="str">
        <f t="shared" si="128">IF(I455="已计入",IF(AND(B455="卖出",K455=0),MAX(0,Q454-O455),0),"")</f>
        <v/>
      </c>
      <c r="Q455" s="11">
        <f t="shared" si="129">IF(AA455="正常",IF(I455="已计入",ROUND(Q454+IF(OR(B455="买入",B455="定投",B455="转换转入"),E455,0)-O455-P455,2),Q454),"")</f>
        <v>129570</v>
      </c>
      <c r="R455" s="11" t="str">
        <f t="shared" ref="R455:R506" si="140">IF(I455="已计入",ROUND(K455*C455,2),"")</f>
        <v/>
      </c>
      <c r="S455" s="11" t="str">
        <f t="shared" ref="S455:S506" si="141">IF(I455="已计入",ROUND(R455-Q455,2),"")</f>
        <v/>
      </c>
      <c r="T455" s="12" t="str">
        <f t="shared" ref="T455:T506" si="142">IF(I455="已计入",IF(Q455=0,"",S455/Q455),"")</f>
        <v/>
      </c>
      <c r="U455" s="11">
        <f t="shared" si="130">IF(AA455="正常",U454+IF(AND(I455="已计入",OR(B455="买入",B455="定投",B455="转换转入")),E455,0),"")</f>
        <v>129570</v>
      </c>
      <c r="V455" s="11">
        <f t="shared" si="131">IF(AA455="正常",V454+IF(AND(I455="已计入",OR(B455="卖出",B455="现金分红")),E455,0),"")</f>
        <v>0</v>
      </c>
      <c r="W455" s="11">
        <f t="shared" si="132">IF(AA455="正常",W454+IF(I455="已计入",N455,0),"")</f>
        <v>0</v>
      </c>
      <c r="X455" s="11">
        <f t="shared" si="133">IF(AA455="正常",X454+IF(I455="已计入",P455,0),"")</f>
        <v>0</v>
      </c>
      <c r="Y455" s="11" t="str">
        <f t="shared" ref="Y455:Y506" si="143">IF(I455="已计入",ROUND(R455+V455-U455,2),"")</f>
        <v/>
      </c>
      <c r="Z455" s="13">
        <f t="shared" si="134">IF(AA455="正常",IF(I455="已计入",A455,Z454),"")</f>
        <v>46239</v>
      </c>
      <c r="AA455" s="10" t="str">
        <f>IF(OR($AA$134="错误",COUNTIF($G$135:G455,"待修正")&gt;0),"错误","正常")</f>
        <v>正常</v>
      </c>
      <c r="AB455" s="14">
        <f t="shared" si="135">IF(AA455="正常",IF(I455="已计入",C455,AB454),"")</f>
        <v>6.347</v>
      </c>
    </row>
    <row r="456" ht="23" customHeight="1">
      <c r="A456" s="36"/>
      <c r="B456" s="37"/>
      <c r="C456" s="38"/>
      <c r="D456" s="39"/>
      <c r="E456" s="44" t="str">
        <f t="shared" si="136">IF(AND(ISNUMBER(C456),ISNUMBER(D456),ISNUMBER(F456)),IF(OR(B456="买入",B456="定投"),ROUND(C456*D456+F456,2),IF(B456="卖出",ROUND(C456*D456-F456,2),IF(B456="红利再投",0,""))),"")</f>
        <v/>
      </c>
      <c r="F456" s="39"/>
      <c r="G456" s="45" t="str">
        <f t="shared" si="137">IF(COUNTA(A456:D456,F456)=0,"",IF(I456="已计入","已录入","待修正"))</f>
        <v/>
      </c>
      <c r="H456" s="46" t="str">
        <f t="shared" si="138">IF(COUNTA(A456:D456,F456)=0,"",IF(B456="红利再投","仅增加份额，不增加现金投入","金额由份额、净值和手续费推算"))</f>
        <v/>
      </c>
      <c r="I456" s="10" t="str">
        <f>IF(COUNTA(A456:D456,F456)=0,"",IF(NOT(ISNUMBER(A456)),"缺少有效净值日期",IF(OR(A456&lt;=0,A456&lt;&gt;INT(A456)),"净值日期无效",IF(OR(B456="转换转入",B456="现金分红"),"该类型需实际金额，五项录入不适用",IF(NOT(OR(OR(B456="买入",B456="定投"),B456="卖出",B456="红利再投")),"请选择交易类型",IF(NOT(ISNUMBER(C456)),"缺少成交净值",IF(C456&lt;=0,"成交净值须大于零",IF(NOT(ISNUMBER(D456)),"缺少确认份额",IF(D456&lt;=0,"确认份额须大于零",IF(NOT(ISNUMBER(F456)),"缺少手续费，无费用请填 0",IF(F456&lt;0,"手续费不能为负",IF(AA455="错误","前行待修正",IF(A456&lt;Z455,"日期需按成交顺序递增",IF(AND(B456="红利再投",F456&lt;&gt;0),"红利再投手续费应填 0",IF(AND(B456="红利再投",K455&lt;=0),"红利再投前须有持仓",IF(AND(B456="卖出",D456&gt;K455+0.000001),"卖出份额超过持仓",IF(AND(B456="卖出",F456&gt;=C456*D456),"赎回费不能达到赎回总额",IF(NOT(ISNUMBER(E456)),"自动金额未生成，请检查五项输入",IF(NOT(OR('持仓总览'!$C$7="利润优先",'持仓总览'!$C$7="本金优先")),"请选择卖出分配模式","已计入")))))))))))))))))))</f>
        <v/>
      </c>
      <c r="J456" s="11">
        <f t="shared" si="139">IF(AA456="正常",IF(I456="已计入",IF(OR(OR(B456="买入",B456="定投",B456="转换转入"),B456="红利再投"),D456,IF(B456="卖出",-D456,0)),0),"")</f>
        <v>0</v>
      </c>
      <c r="K456" s="11">
        <f t="shared" ref="K456:K506" si="144">IF(AA456="正常",ROUND(K455+J456,6),"")</f>
        <v>25721.6</v>
      </c>
      <c r="L456" s="11" t="str">
        <f t="shared" ref="L456:L506" si="145">IF(I456="已计入",ROUND(K455*C456,2),"")</f>
        <v/>
      </c>
      <c r="M456" s="11" t="str">
        <f t="shared" ref="M456:M506" si="146">IF(I456="已计入",IF(B456="卖出",MAX(0,L456-Q455-F456),IF(B456="现金分红",MAX(0,L456+E456-Q455),0)),"")</f>
        <v/>
      </c>
      <c r="N456" s="11" t="str">
        <f>IF(I456="已计入",IF(AND(B456="卖出",'持仓总览'!$C$7="本金优先"),MAX(0,E456-Q455),IF(OR(B456="卖出",B456="现金分红"),MIN(E456,M456),0)),"")</f>
        <v/>
      </c>
      <c r="O456" s="11" t="str">
        <f t="shared" ref="O456:O506" si="147">IF(I456="已计入",IF(OR(B456="卖出",B456="现金分红"),MIN(Q455,MAX(0,E456-N456)),0),"")</f>
        <v/>
      </c>
      <c r="P456" s="11" t="str">
        <f t="shared" ref="P456:P506" si="148">IF(I456="已计入",IF(AND(B456="卖出",K456=0),MAX(0,Q455-O456),0),"")</f>
        <v/>
      </c>
      <c r="Q456" s="11">
        <f t="shared" ref="Q456:Q506" si="149">IF(AA456="正常",IF(I456="已计入",ROUND(Q455+IF(OR(B456="买入",B456="定投",B456="转换转入"),E456,0)-O456-P456,2),Q455),"")</f>
        <v>129570</v>
      </c>
      <c r="R456" s="11" t="str">
        <f t="shared" si="140">IF(I456="已计入",ROUND(K456*C456,2),"")</f>
        <v/>
      </c>
      <c r="S456" s="11" t="str">
        <f t="shared" si="141">IF(I456="已计入",ROUND(R456-Q456,2),"")</f>
        <v/>
      </c>
      <c r="T456" s="12" t="str">
        <f t="shared" si="142">IF(I456="已计入",IF(Q456=0,"",S456/Q456),"")</f>
        <v/>
      </c>
      <c r="U456" s="11">
        <f t="shared" ref="U456:U506" si="150">IF(AA456="正常",U455+IF(AND(I456="已计入",OR(B456="买入",B456="定投",B456="转换转入")),E456,0),"")</f>
        <v>129570</v>
      </c>
      <c r="V456" s="11">
        <f t="shared" ref="V456:V506" si="151">IF(AA456="正常",V455+IF(AND(I456="已计入",OR(B456="卖出",B456="现金分红")),E456,0),"")</f>
        <v>0</v>
      </c>
      <c r="W456" s="11">
        <f t="shared" ref="W456:W506" si="152">IF(AA456="正常",W455+IF(I456="已计入",N456,0),"")</f>
        <v>0</v>
      </c>
      <c r="X456" s="11">
        <f t="shared" ref="X456:X506" si="153">IF(AA456="正常",X455+IF(I456="已计入",P456,0),"")</f>
        <v>0</v>
      </c>
      <c r="Y456" s="11" t="str">
        <f t="shared" si="143">IF(I456="已计入",ROUND(R456+V456-U456,2),"")</f>
        <v/>
      </c>
      <c r="Z456" s="13">
        <f t="shared" ref="Z456:Z506" si="154">IF(AA456="正常",IF(I456="已计入",A456,Z455),"")</f>
        <v>46239</v>
      </c>
      <c r="AA456" s="10" t="str">
        <f>IF(OR($AA$134="错误",COUNTIF($G$135:G456,"待修正")&gt;0),"错误","正常")</f>
        <v>正常</v>
      </c>
      <c r="AB456" s="14">
        <f t="shared" ref="AB456:AB506" si="155">IF(AA456="正常",IF(I456="已计入",C456,AB455),"")</f>
        <v>6.347</v>
      </c>
    </row>
    <row r="457" ht="23" customHeight="1">
      <c r="A457" s="36"/>
      <c r="B457" s="37"/>
      <c r="C457" s="38"/>
      <c r="D457" s="39"/>
      <c r="E457" s="44" t="str">
        <f t="shared" si="136">IF(AND(ISNUMBER(C457),ISNUMBER(D457),ISNUMBER(F457)),IF(OR(B457="买入",B457="定投"),ROUND(C457*D457+F457,2),IF(B457="卖出",ROUND(C457*D457-F457,2),IF(B457="红利再投",0,""))),"")</f>
        <v/>
      </c>
      <c r="F457" s="39"/>
      <c r="G457" s="45" t="str">
        <f t="shared" si="137">IF(COUNTA(A457:D457,F457)=0,"",IF(I457="已计入","已录入","待修正"))</f>
        <v/>
      </c>
      <c r="H457" s="46" t="str">
        <f t="shared" si="138">IF(COUNTA(A457:D457,F457)=0,"",IF(B457="红利再投","仅增加份额，不增加现金投入","金额由份额、净值和手续费推算"))</f>
        <v/>
      </c>
      <c r="I457" s="10" t="str">
        <f>IF(COUNTA(A457:D457,F457)=0,"",IF(NOT(ISNUMBER(A457)),"缺少有效净值日期",IF(OR(A457&lt;=0,A457&lt;&gt;INT(A457)),"净值日期无效",IF(OR(B457="转换转入",B457="现金分红"),"该类型需实际金额，五项录入不适用",IF(NOT(OR(OR(B457="买入",B457="定投"),B457="卖出",B457="红利再投")),"请选择交易类型",IF(NOT(ISNUMBER(C457)),"缺少成交净值",IF(C457&lt;=0,"成交净值须大于零",IF(NOT(ISNUMBER(D457)),"缺少确认份额",IF(D457&lt;=0,"确认份额须大于零",IF(NOT(ISNUMBER(F457)),"缺少手续费，无费用请填 0",IF(F457&lt;0,"手续费不能为负",IF(AA456="错误","前行待修正",IF(A457&lt;Z456,"日期需按成交顺序递增",IF(AND(B457="红利再投",F457&lt;&gt;0),"红利再投手续费应填 0",IF(AND(B457="红利再投",K456&lt;=0),"红利再投前须有持仓",IF(AND(B457="卖出",D457&gt;K456+0.000001),"卖出份额超过持仓",IF(AND(B457="卖出",F457&gt;=C457*D457),"赎回费不能达到赎回总额",IF(NOT(ISNUMBER(E457)),"自动金额未生成，请检查五项输入",IF(NOT(OR('持仓总览'!$C$7="利润优先",'持仓总览'!$C$7="本金优先")),"请选择卖出分配模式","已计入")))))))))))))))))))</f>
        <v/>
      </c>
      <c r="J457" s="11">
        <f t="shared" si="139">IF(AA457="正常",IF(I457="已计入",IF(OR(OR(B457="买入",B457="定投",B457="转换转入"),B457="红利再投"),D457,IF(B457="卖出",-D457,0)),0),"")</f>
        <v>0</v>
      </c>
      <c r="K457" s="11">
        <f t="shared" si="144">IF(AA457="正常",ROUND(K456+J457,6),"")</f>
        <v>25721.6</v>
      </c>
      <c r="L457" s="11" t="str">
        <f t="shared" si="145">IF(I457="已计入",ROUND(K456*C457,2),"")</f>
        <v/>
      </c>
      <c r="M457" s="11" t="str">
        <f t="shared" si="146">IF(I457="已计入",IF(B457="卖出",MAX(0,L457-Q456-F457),IF(B457="现金分红",MAX(0,L457+E457-Q456),0)),"")</f>
        <v/>
      </c>
      <c r="N457" s="11" t="str">
        <f>IF(I457="已计入",IF(AND(B457="卖出",'持仓总览'!$C$7="本金优先"),MAX(0,E457-Q456),IF(OR(B457="卖出",B457="现金分红"),MIN(E457,M457),0)),"")</f>
        <v/>
      </c>
      <c r="O457" s="11" t="str">
        <f t="shared" si="147">IF(I457="已计入",IF(OR(B457="卖出",B457="现金分红"),MIN(Q456,MAX(0,E457-N457)),0),"")</f>
        <v/>
      </c>
      <c r="P457" s="11" t="str">
        <f t="shared" si="148">IF(I457="已计入",IF(AND(B457="卖出",K457=0),MAX(0,Q456-O457),0),"")</f>
        <v/>
      </c>
      <c r="Q457" s="11">
        <f t="shared" si="149">IF(AA457="正常",IF(I457="已计入",ROUND(Q456+IF(OR(B457="买入",B457="定投",B457="转换转入"),E457,0)-O457-P457,2),Q456),"")</f>
        <v>129570</v>
      </c>
      <c r="R457" s="11" t="str">
        <f t="shared" si="140">IF(I457="已计入",ROUND(K457*C457,2),"")</f>
        <v/>
      </c>
      <c r="S457" s="11" t="str">
        <f t="shared" si="141">IF(I457="已计入",ROUND(R457-Q457,2),"")</f>
        <v/>
      </c>
      <c r="T457" s="12" t="str">
        <f t="shared" si="142">IF(I457="已计入",IF(Q457=0,"",S457/Q457),"")</f>
        <v/>
      </c>
      <c r="U457" s="11">
        <f t="shared" si="150">IF(AA457="正常",U456+IF(AND(I457="已计入",OR(B457="买入",B457="定投",B457="转换转入")),E457,0),"")</f>
        <v>129570</v>
      </c>
      <c r="V457" s="11">
        <f t="shared" si="151">IF(AA457="正常",V456+IF(AND(I457="已计入",OR(B457="卖出",B457="现金分红")),E457,0),"")</f>
        <v>0</v>
      </c>
      <c r="W457" s="11">
        <f t="shared" si="152">IF(AA457="正常",W456+IF(I457="已计入",N457,0),"")</f>
        <v>0</v>
      </c>
      <c r="X457" s="11">
        <f t="shared" si="153">IF(AA457="正常",X456+IF(I457="已计入",P457,0),"")</f>
        <v>0</v>
      </c>
      <c r="Y457" s="11" t="str">
        <f t="shared" si="143">IF(I457="已计入",ROUND(R457+V457-U457,2),"")</f>
        <v/>
      </c>
      <c r="Z457" s="13">
        <f t="shared" si="154">IF(AA457="正常",IF(I457="已计入",A457,Z456),"")</f>
        <v>46239</v>
      </c>
      <c r="AA457" s="10" t="str">
        <f>IF(OR($AA$134="错误",COUNTIF($G$135:G457,"待修正")&gt;0),"错误","正常")</f>
        <v>正常</v>
      </c>
      <c r="AB457" s="14">
        <f t="shared" si="155">IF(AA457="正常",IF(I457="已计入",C457,AB456),"")</f>
        <v>6.347</v>
      </c>
    </row>
    <row r="458" ht="23" customHeight="1">
      <c r="A458" s="36"/>
      <c r="B458" s="37"/>
      <c r="C458" s="38"/>
      <c r="D458" s="39"/>
      <c r="E458" s="44" t="str">
        <f t="shared" si="136">IF(AND(ISNUMBER(C458),ISNUMBER(D458),ISNUMBER(F458)),IF(OR(B458="买入",B458="定投"),ROUND(C458*D458+F458,2),IF(B458="卖出",ROUND(C458*D458-F458,2),IF(B458="红利再投",0,""))),"")</f>
        <v/>
      </c>
      <c r="F458" s="39"/>
      <c r="G458" s="45" t="str">
        <f t="shared" si="137">IF(COUNTA(A458:D458,F458)=0,"",IF(I458="已计入","已录入","待修正"))</f>
        <v/>
      </c>
      <c r="H458" s="46" t="str">
        <f t="shared" si="138">IF(COUNTA(A458:D458,F458)=0,"",IF(B458="红利再投","仅增加份额，不增加现金投入","金额由份额、净值和手续费推算"))</f>
        <v/>
      </c>
      <c r="I458" s="10" t="str">
        <f>IF(COUNTA(A458:D458,F458)=0,"",IF(NOT(ISNUMBER(A458)),"缺少有效净值日期",IF(OR(A458&lt;=0,A458&lt;&gt;INT(A458)),"净值日期无效",IF(OR(B458="转换转入",B458="现金分红"),"该类型需实际金额，五项录入不适用",IF(NOT(OR(OR(B458="买入",B458="定投"),B458="卖出",B458="红利再投")),"请选择交易类型",IF(NOT(ISNUMBER(C458)),"缺少成交净值",IF(C458&lt;=0,"成交净值须大于零",IF(NOT(ISNUMBER(D458)),"缺少确认份额",IF(D458&lt;=0,"确认份额须大于零",IF(NOT(ISNUMBER(F458)),"缺少手续费，无费用请填 0",IF(F458&lt;0,"手续费不能为负",IF(AA457="错误","前行待修正",IF(A458&lt;Z457,"日期需按成交顺序递增",IF(AND(B458="红利再投",F458&lt;&gt;0),"红利再投手续费应填 0",IF(AND(B458="红利再投",K457&lt;=0),"红利再投前须有持仓",IF(AND(B458="卖出",D458&gt;K457+0.000001),"卖出份额超过持仓",IF(AND(B458="卖出",F458&gt;=C458*D458),"赎回费不能达到赎回总额",IF(NOT(ISNUMBER(E458)),"自动金额未生成，请检查五项输入",IF(NOT(OR('持仓总览'!$C$7="利润优先",'持仓总览'!$C$7="本金优先")),"请选择卖出分配模式","已计入")))))))))))))))))))</f>
        <v/>
      </c>
      <c r="J458" s="11">
        <f t="shared" si="139">IF(AA458="正常",IF(I458="已计入",IF(OR(OR(B458="买入",B458="定投",B458="转换转入"),B458="红利再投"),D458,IF(B458="卖出",-D458,0)),0),"")</f>
        <v>0</v>
      </c>
      <c r="K458" s="11">
        <f t="shared" si="144">IF(AA458="正常",ROUND(K457+J458,6),"")</f>
        <v>25721.6</v>
      </c>
      <c r="L458" s="11" t="str">
        <f t="shared" si="145">IF(I458="已计入",ROUND(K457*C458,2),"")</f>
        <v/>
      </c>
      <c r="M458" s="11" t="str">
        <f t="shared" si="146">IF(I458="已计入",IF(B458="卖出",MAX(0,L458-Q457-F458),IF(B458="现金分红",MAX(0,L458+E458-Q457),0)),"")</f>
        <v/>
      </c>
      <c r="N458" s="11" t="str">
        <f>IF(I458="已计入",IF(AND(B458="卖出",'持仓总览'!$C$7="本金优先"),MAX(0,E458-Q457),IF(OR(B458="卖出",B458="现金分红"),MIN(E458,M458),0)),"")</f>
        <v/>
      </c>
      <c r="O458" s="11" t="str">
        <f t="shared" si="147">IF(I458="已计入",IF(OR(B458="卖出",B458="现金分红"),MIN(Q457,MAX(0,E458-N458)),0),"")</f>
        <v/>
      </c>
      <c r="P458" s="11" t="str">
        <f t="shared" si="148">IF(I458="已计入",IF(AND(B458="卖出",K458=0),MAX(0,Q457-O458),0),"")</f>
        <v/>
      </c>
      <c r="Q458" s="11">
        <f t="shared" si="149">IF(AA458="正常",IF(I458="已计入",ROUND(Q457+IF(OR(B458="买入",B458="定投",B458="转换转入"),E458,0)-O458-P458,2),Q457),"")</f>
        <v>129570</v>
      </c>
      <c r="R458" s="11" t="str">
        <f t="shared" si="140">IF(I458="已计入",ROUND(K458*C458,2),"")</f>
        <v/>
      </c>
      <c r="S458" s="11" t="str">
        <f t="shared" si="141">IF(I458="已计入",ROUND(R458-Q458,2),"")</f>
        <v/>
      </c>
      <c r="T458" s="12" t="str">
        <f t="shared" si="142">IF(I458="已计入",IF(Q458=0,"",S458/Q458),"")</f>
        <v/>
      </c>
      <c r="U458" s="11">
        <f t="shared" si="150">IF(AA458="正常",U457+IF(AND(I458="已计入",OR(B458="买入",B458="定投",B458="转换转入")),E458,0),"")</f>
        <v>129570</v>
      </c>
      <c r="V458" s="11">
        <f t="shared" si="151">IF(AA458="正常",V457+IF(AND(I458="已计入",OR(B458="卖出",B458="现金分红")),E458,0),"")</f>
        <v>0</v>
      </c>
      <c r="W458" s="11">
        <f t="shared" si="152">IF(AA458="正常",W457+IF(I458="已计入",N458,0),"")</f>
        <v>0</v>
      </c>
      <c r="X458" s="11">
        <f t="shared" si="153">IF(AA458="正常",X457+IF(I458="已计入",P458,0),"")</f>
        <v>0</v>
      </c>
      <c r="Y458" s="11" t="str">
        <f t="shared" si="143">IF(I458="已计入",ROUND(R458+V458-U458,2),"")</f>
        <v/>
      </c>
      <c r="Z458" s="13">
        <f t="shared" si="154">IF(AA458="正常",IF(I458="已计入",A458,Z457),"")</f>
        <v>46239</v>
      </c>
      <c r="AA458" s="10" t="str">
        <f>IF(OR($AA$134="错误",COUNTIF($G$135:G458,"待修正")&gt;0),"错误","正常")</f>
        <v>正常</v>
      </c>
      <c r="AB458" s="14">
        <f t="shared" si="155">IF(AA458="正常",IF(I458="已计入",C458,AB457),"")</f>
        <v>6.347</v>
      </c>
    </row>
    <row r="459" ht="23" customHeight="1">
      <c r="A459" s="36"/>
      <c r="B459" s="37"/>
      <c r="C459" s="38"/>
      <c r="D459" s="39"/>
      <c r="E459" s="44" t="str">
        <f t="shared" si="136">IF(AND(ISNUMBER(C459),ISNUMBER(D459),ISNUMBER(F459)),IF(OR(B459="买入",B459="定投"),ROUND(C459*D459+F459,2),IF(B459="卖出",ROUND(C459*D459-F459,2),IF(B459="红利再投",0,""))),"")</f>
        <v/>
      </c>
      <c r="F459" s="39"/>
      <c r="G459" s="45" t="str">
        <f t="shared" si="137">IF(COUNTA(A459:D459,F459)=0,"",IF(I459="已计入","已录入","待修正"))</f>
        <v/>
      </c>
      <c r="H459" s="46" t="str">
        <f t="shared" si="138">IF(COUNTA(A459:D459,F459)=0,"",IF(B459="红利再投","仅增加份额，不增加现金投入","金额由份额、净值和手续费推算"))</f>
        <v/>
      </c>
      <c r="I459" s="10" t="str">
        <f>IF(COUNTA(A459:D459,F459)=0,"",IF(NOT(ISNUMBER(A459)),"缺少有效净值日期",IF(OR(A459&lt;=0,A459&lt;&gt;INT(A459)),"净值日期无效",IF(OR(B459="转换转入",B459="现金分红"),"该类型需实际金额，五项录入不适用",IF(NOT(OR(OR(B459="买入",B459="定投"),B459="卖出",B459="红利再投")),"请选择交易类型",IF(NOT(ISNUMBER(C459)),"缺少成交净值",IF(C459&lt;=0,"成交净值须大于零",IF(NOT(ISNUMBER(D459)),"缺少确认份额",IF(D459&lt;=0,"确认份额须大于零",IF(NOT(ISNUMBER(F459)),"缺少手续费，无费用请填 0",IF(F459&lt;0,"手续费不能为负",IF(AA458="错误","前行待修正",IF(A459&lt;Z458,"日期需按成交顺序递增",IF(AND(B459="红利再投",F459&lt;&gt;0),"红利再投手续费应填 0",IF(AND(B459="红利再投",K458&lt;=0),"红利再投前须有持仓",IF(AND(B459="卖出",D459&gt;K458+0.000001),"卖出份额超过持仓",IF(AND(B459="卖出",F459&gt;=C459*D459),"赎回费不能达到赎回总额",IF(NOT(ISNUMBER(E459)),"自动金额未生成，请检查五项输入",IF(NOT(OR('持仓总览'!$C$7="利润优先",'持仓总览'!$C$7="本金优先")),"请选择卖出分配模式","已计入")))))))))))))))))))</f>
        <v/>
      </c>
      <c r="J459" s="11">
        <f t="shared" si="139">IF(AA459="正常",IF(I459="已计入",IF(OR(OR(B459="买入",B459="定投",B459="转换转入"),B459="红利再投"),D459,IF(B459="卖出",-D459,0)),0),"")</f>
        <v>0</v>
      </c>
      <c r="K459" s="11">
        <f t="shared" si="144">IF(AA459="正常",ROUND(K458+J459,6),"")</f>
        <v>25721.6</v>
      </c>
      <c r="L459" s="11" t="str">
        <f t="shared" si="145">IF(I459="已计入",ROUND(K458*C459,2),"")</f>
        <v/>
      </c>
      <c r="M459" s="11" t="str">
        <f t="shared" si="146">IF(I459="已计入",IF(B459="卖出",MAX(0,L459-Q458-F459),IF(B459="现金分红",MAX(0,L459+E459-Q458),0)),"")</f>
        <v/>
      </c>
      <c r="N459" s="11" t="str">
        <f>IF(I459="已计入",IF(AND(B459="卖出",'持仓总览'!$C$7="本金优先"),MAX(0,E459-Q458),IF(OR(B459="卖出",B459="现金分红"),MIN(E459,M459),0)),"")</f>
        <v/>
      </c>
      <c r="O459" s="11" t="str">
        <f t="shared" si="147">IF(I459="已计入",IF(OR(B459="卖出",B459="现金分红"),MIN(Q458,MAX(0,E459-N459)),0),"")</f>
        <v/>
      </c>
      <c r="P459" s="11" t="str">
        <f t="shared" si="148">IF(I459="已计入",IF(AND(B459="卖出",K459=0),MAX(0,Q458-O459),0),"")</f>
        <v/>
      </c>
      <c r="Q459" s="11">
        <f t="shared" si="149">IF(AA459="正常",IF(I459="已计入",ROUND(Q458+IF(OR(B459="买入",B459="定投",B459="转换转入"),E459,0)-O459-P459,2),Q458),"")</f>
        <v>129570</v>
      </c>
      <c r="R459" s="11" t="str">
        <f t="shared" si="140">IF(I459="已计入",ROUND(K459*C459,2),"")</f>
        <v/>
      </c>
      <c r="S459" s="11" t="str">
        <f t="shared" si="141">IF(I459="已计入",ROUND(R459-Q459,2),"")</f>
        <v/>
      </c>
      <c r="T459" s="12" t="str">
        <f t="shared" si="142">IF(I459="已计入",IF(Q459=0,"",S459/Q459),"")</f>
        <v/>
      </c>
      <c r="U459" s="11">
        <f t="shared" si="150">IF(AA459="正常",U458+IF(AND(I459="已计入",OR(B459="买入",B459="定投",B459="转换转入")),E459,0),"")</f>
        <v>129570</v>
      </c>
      <c r="V459" s="11">
        <f t="shared" si="151">IF(AA459="正常",V458+IF(AND(I459="已计入",OR(B459="卖出",B459="现金分红")),E459,0),"")</f>
        <v>0</v>
      </c>
      <c r="W459" s="11">
        <f t="shared" si="152">IF(AA459="正常",W458+IF(I459="已计入",N459,0),"")</f>
        <v>0</v>
      </c>
      <c r="X459" s="11">
        <f t="shared" si="153">IF(AA459="正常",X458+IF(I459="已计入",P459,0),"")</f>
        <v>0</v>
      </c>
      <c r="Y459" s="11" t="str">
        <f t="shared" si="143">IF(I459="已计入",ROUND(R459+V459-U459,2),"")</f>
        <v/>
      </c>
      <c r="Z459" s="13">
        <f t="shared" si="154">IF(AA459="正常",IF(I459="已计入",A459,Z458),"")</f>
        <v>46239</v>
      </c>
      <c r="AA459" s="10" t="str">
        <f>IF(OR($AA$134="错误",COUNTIF($G$135:G459,"待修正")&gt;0),"错误","正常")</f>
        <v>正常</v>
      </c>
      <c r="AB459" s="14">
        <f t="shared" si="155">IF(AA459="正常",IF(I459="已计入",C459,AB458),"")</f>
        <v>6.347</v>
      </c>
    </row>
    <row r="460" ht="23" customHeight="1">
      <c r="A460" s="36"/>
      <c r="B460" s="37"/>
      <c r="C460" s="38"/>
      <c r="D460" s="39"/>
      <c r="E460" s="44" t="str">
        <f t="shared" si="136">IF(AND(ISNUMBER(C460),ISNUMBER(D460),ISNUMBER(F460)),IF(OR(B460="买入",B460="定投"),ROUND(C460*D460+F460,2),IF(B460="卖出",ROUND(C460*D460-F460,2),IF(B460="红利再投",0,""))),"")</f>
        <v/>
      </c>
      <c r="F460" s="39"/>
      <c r="G460" s="45" t="str">
        <f t="shared" si="137">IF(COUNTA(A460:D460,F460)=0,"",IF(I460="已计入","已录入","待修正"))</f>
        <v/>
      </c>
      <c r="H460" s="46" t="str">
        <f t="shared" si="138">IF(COUNTA(A460:D460,F460)=0,"",IF(B460="红利再投","仅增加份额，不增加现金投入","金额由份额、净值和手续费推算"))</f>
        <v/>
      </c>
      <c r="I460" s="10" t="str">
        <f>IF(COUNTA(A460:D460,F460)=0,"",IF(NOT(ISNUMBER(A460)),"缺少有效净值日期",IF(OR(A460&lt;=0,A460&lt;&gt;INT(A460)),"净值日期无效",IF(OR(B460="转换转入",B460="现金分红"),"该类型需实际金额，五项录入不适用",IF(NOT(OR(OR(B460="买入",B460="定投"),B460="卖出",B460="红利再投")),"请选择交易类型",IF(NOT(ISNUMBER(C460)),"缺少成交净值",IF(C460&lt;=0,"成交净值须大于零",IF(NOT(ISNUMBER(D460)),"缺少确认份额",IF(D460&lt;=0,"确认份额须大于零",IF(NOT(ISNUMBER(F460)),"缺少手续费，无费用请填 0",IF(F460&lt;0,"手续费不能为负",IF(AA459="错误","前行待修正",IF(A460&lt;Z459,"日期需按成交顺序递增",IF(AND(B460="红利再投",F460&lt;&gt;0),"红利再投手续费应填 0",IF(AND(B460="红利再投",K459&lt;=0),"红利再投前须有持仓",IF(AND(B460="卖出",D460&gt;K459+0.000001),"卖出份额超过持仓",IF(AND(B460="卖出",F460&gt;=C460*D460),"赎回费不能达到赎回总额",IF(NOT(ISNUMBER(E460)),"自动金额未生成，请检查五项输入",IF(NOT(OR('持仓总览'!$C$7="利润优先",'持仓总览'!$C$7="本金优先")),"请选择卖出分配模式","已计入")))))))))))))))))))</f>
        <v/>
      </c>
      <c r="J460" s="11">
        <f t="shared" si="139">IF(AA460="正常",IF(I460="已计入",IF(OR(OR(B460="买入",B460="定投",B460="转换转入"),B460="红利再投"),D460,IF(B460="卖出",-D460,0)),0),"")</f>
        <v>0</v>
      </c>
      <c r="K460" s="11">
        <f t="shared" si="144">IF(AA460="正常",ROUND(K459+J460,6),"")</f>
        <v>25721.6</v>
      </c>
      <c r="L460" s="11" t="str">
        <f t="shared" si="145">IF(I460="已计入",ROUND(K459*C460,2),"")</f>
        <v/>
      </c>
      <c r="M460" s="11" t="str">
        <f t="shared" si="146">IF(I460="已计入",IF(B460="卖出",MAX(0,L460-Q459-F460),IF(B460="现金分红",MAX(0,L460+E460-Q459),0)),"")</f>
        <v/>
      </c>
      <c r="N460" s="11" t="str">
        <f>IF(I460="已计入",IF(AND(B460="卖出",'持仓总览'!$C$7="本金优先"),MAX(0,E460-Q459),IF(OR(B460="卖出",B460="现金分红"),MIN(E460,M460),0)),"")</f>
        <v/>
      </c>
      <c r="O460" s="11" t="str">
        <f t="shared" si="147">IF(I460="已计入",IF(OR(B460="卖出",B460="现金分红"),MIN(Q459,MAX(0,E460-N460)),0),"")</f>
        <v/>
      </c>
      <c r="P460" s="11" t="str">
        <f t="shared" si="148">IF(I460="已计入",IF(AND(B460="卖出",K460=0),MAX(0,Q459-O460),0),"")</f>
        <v/>
      </c>
      <c r="Q460" s="11">
        <f t="shared" si="149">IF(AA460="正常",IF(I460="已计入",ROUND(Q459+IF(OR(B460="买入",B460="定投",B460="转换转入"),E460,0)-O460-P460,2),Q459),"")</f>
        <v>129570</v>
      </c>
      <c r="R460" s="11" t="str">
        <f t="shared" si="140">IF(I460="已计入",ROUND(K460*C460,2),"")</f>
        <v/>
      </c>
      <c r="S460" s="11" t="str">
        <f t="shared" si="141">IF(I460="已计入",ROUND(R460-Q460,2),"")</f>
        <v/>
      </c>
      <c r="T460" s="12" t="str">
        <f t="shared" si="142">IF(I460="已计入",IF(Q460=0,"",S460/Q460),"")</f>
        <v/>
      </c>
      <c r="U460" s="11">
        <f t="shared" si="150">IF(AA460="正常",U459+IF(AND(I460="已计入",OR(B460="买入",B460="定投",B460="转换转入")),E460,0),"")</f>
        <v>129570</v>
      </c>
      <c r="V460" s="11">
        <f t="shared" si="151">IF(AA460="正常",V459+IF(AND(I460="已计入",OR(B460="卖出",B460="现金分红")),E460,0),"")</f>
        <v>0</v>
      </c>
      <c r="W460" s="11">
        <f t="shared" si="152">IF(AA460="正常",W459+IF(I460="已计入",N460,0),"")</f>
        <v>0</v>
      </c>
      <c r="X460" s="11">
        <f t="shared" si="153">IF(AA460="正常",X459+IF(I460="已计入",P460,0),"")</f>
        <v>0</v>
      </c>
      <c r="Y460" s="11" t="str">
        <f t="shared" si="143">IF(I460="已计入",ROUND(R460+V460-U460,2),"")</f>
        <v/>
      </c>
      <c r="Z460" s="13">
        <f t="shared" si="154">IF(AA460="正常",IF(I460="已计入",A460,Z459),"")</f>
        <v>46239</v>
      </c>
      <c r="AA460" s="10" t="str">
        <f>IF(OR($AA$134="错误",COUNTIF($G$135:G460,"待修正")&gt;0),"错误","正常")</f>
        <v>正常</v>
      </c>
      <c r="AB460" s="14">
        <f t="shared" si="155">IF(AA460="正常",IF(I460="已计入",C460,AB459),"")</f>
        <v>6.347</v>
      </c>
    </row>
    <row r="461" ht="23" customHeight="1">
      <c r="A461" s="36"/>
      <c r="B461" s="37"/>
      <c r="C461" s="38"/>
      <c r="D461" s="39"/>
      <c r="E461" s="44" t="str">
        <f t="shared" si="136">IF(AND(ISNUMBER(C461),ISNUMBER(D461),ISNUMBER(F461)),IF(OR(B461="买入",B461="定投"),ROUND(C461*D461+F461,2),IF(B461="卖出",ROUND(C461*D461-F461,2),IF(B461="红利再投",0,""))),"")</f>
        <v/>
      </c>
      <c r="F461" s="39"/>
      <c r="G461" s="45" t="str">
        <f t="shared" si="137">IF(COUNTA(A461:D461,F461)=0,"",IF(I461="已计入","已录入","待修正"))</f>
        <v/>
      </c>
      <c r="H461" s="46" t="str">
        <f t="shared" si="138">IF(COUNTA(A461:D461,F461)=0,"",IF(B461="红利再投","仅增加份额，不增加现金投入","金额由份额、净值和手续费推算"))</f>
        <v/>
      </c>
      <c r="I461" s="10" t="str">
        <f>IF(COUNTA(A461:D461,F461)=0,"",IF(NOT(ISNUMBER(A461)),"缺少有效净值日期",IF(OR(A461&lt;=0,A461&lt;&gt;INT(A461)),"净值日期无效",IF(OR(B461="转换转入",B461="现金分红"),"该类型需实际金额，五项录入不适用",IF(NOT(OR(OR(B461="买入",B461="定投"),B461="卖出",B461="红利再投")),"请选择交易类型",IF(NOT(ISNUMBER(C461)),"缺少成交净值",IF(C461&lt;=0,"成交净值须大于零",IF(NOT(ISNUMBER(D461)),"缺少确认份额",IF(D461&lt;=0,"确认份额须大于零",IF(NOT(ISNUMBER(F461)),"缺少手续费，无费用请填 0",IF(F461&lt;0,"手续费不能为负",IF(AA460="错误","前行待修正",IF(A461&lt;Z460,"日期需按成交顺序递增",IF(AND(B461="红利再投",F461&lt;&gt;0),"红利再投手续费应填 0",IF(AND(B461="红利再投",K460&lt;=0),"红利再投前须有持仓",IF(AND(B461="卖出",D461&gt;K460+0.000001),"卖出份额超过持仓",IF(AND(B461="卖出",F461&gt;=C461*D461),"赎回费不能达到赎回总额",IF(NOT(ISNUMBER(E461)),"自动金额未生成，请检查五项输入",IF(NOT(OR('持仓总览'!$C$7="利润优先",'持仓总览'!$C$7="本金优先")),"请选择卖出分配模式","已计入")))))))))))))))))))</f>
        <v/>
      </c>
      <c r="J461" s="11">
        <f t="shared" si="139">IF(AA461="正常",IF(I461="已计入",IF(OR(OR(B461="买入",B461="定投",B461="转换转入"),B461="红利再投"),D461,IF(B461="卖出",-D461,0)),0),"")</f>
        <v>0</v>
      </c>
      <c r="K461" s="11">
        <f t="shared" si="144">IF(AA461="正常",ROUND(K460+J461,6),"")</f>
        <v>25721.6</v>
      </c>
      <c r="L461" s="11" t="str">
        <f t="shared" si="145">IF(I461="已计入",ROUND(K460*C461,2),"")</f>
        <v/>
      </c>
      <c r="M461" s="11" t="str">
        <f t="shared" si="146">IF(I461="已计入",IF(B461="卖出",MAX(0,L461-Q460-F461),IF(B461="现金分红",MAX(0,L461+E461-Q460),0)),"")</f>
        <v/>
      </c>
      <c r="N461" s="11" t="str">
        <f>IF(I461="已计入",IF(AND(B461="卖出",'持仓总览'!$C$7="本金优先"),MAX(0,E461-Q460),IF(OR(B461="卖出",B461="现金分红"),MIN(E461,M461),0)),"")</f>
        <v/>
      </c>
      <c r="O461" s="11" t="str">
        <f t="shared" si="147">IF(I461="已计入",IF(OR(B461="卖出",B461="现金分红"),MIN(Q460,MAX(0,E461-N461)),0),"")</f>
        <v/>
      </c>
      <c r="P461" s="11" t="str">
        <f t="shared" si="148">IF(I461="已计入",IF(AND(B461="卖出",K461=0),MAX(0,Q460-O461),0),"")</f>
        <v/>
      </c>
      <c r="Q461" s="11">
        <f t="shared" si="149">IF(AA461="正常",IF(I461="已计入",ROUND(Q460+IF(OR(B461="买入",B461="定投",B461="转换转入"),E461,0)-O461-P461,2),Q460),"")</f>
        <v>129570</v>
      </c>
      <c r="R461" s="11" t="str">
        <f t="shared" si="140">IF(I461="已计入",ROUND(K461*C461,2),"")</f>
        <v/>
      </c>
      <c r="S461" s="11" t="str">
        <f t="shared" si="141">IF(I461="已计入",ROUND(R461-Q461,2),"")</f>
        <v/>
      </c>
      <c r="T461" s="12" t="str">
        <f t="shared" si="142">IF(I461="已计入",IF(Q461=0,"",S461/Q461),"")</f>
        <v/>
      </c>
      <c r="U461" s="11">
        <f t="shared" si="150">IF(AA461="正常",U460+IF(AND(I461="已计入",OR(B461="买入",B461="定投",B461="转换转入")),E461,0),"")</f>
        <v>129570</v>
      </c>
      <c r="V461" s="11">
        <f t="shared" si="151">IF(AA461="正常",V460+IF(AND(I461="已计入",OR(B461="卖出",B461="现金分红")),E461,0),"")</f>
        <v>0</v>
      </c>
      <c r="W461" s="11">
        <f t="shared" si="152">IF(AA461="正常",W460+IF(I461="已计入",N461,0),"")</f>
        <v>0</v>
      </c>
      <c r="X461" s="11">
        <f t="shared" si="153">IF(AA461="正常",X460+IF(I461="已计入",P461,0),"")</f>
        <v>0</v>
      </c>
      <c r="Y461" s="11" t="str">
        <f t="shared" si="143">IF(I461="已计入",ROUND(R461+V461-U461,2),"")</f>
        <v/>
      </c>
      <c r="Z461" s="13">
        <f t="shared" si="154">IF(AA461="正常",IF(I461="已计入",A461,Z460),"")</f>
        <v>46239</v>
      </c>
      <c r="AA461" s="10" t="str">
        <f>IF(OR($AA$134="错误",COUNTIF($G$135:G461,"待修正")&gt;0),"错误","正常")</f>
        <v>正常</v>
      </c>
      <c r="AB461" s="14">
        <f t="shared" si="155">IF(AA461="正常",IF(I461="已计入",C461,AB460),"")</f>
        <v>6.347</v>
      </c>
    </row>
    <row r="462" ht="23" customHeight="1">
      <c r="A462" s="36"/>
      <c r="B462" s="37"/>
      <c r="C462" s="38"/>
      <c r="D462" s="39"/>
      <c r="E462" s="44" t="str">
        <f t="shared" si="136">IF(AND(ISNUMBER(C462),ISNUMBER(D462),ISNUMBER(F462)),IF(OR(B462="买入",B462="定投"),ROUND(C462*D462+F462,2),IF(B462="卖出",ROUND(C462*D462-F462,2),IF(B462="红利再投",0,""))),"")</f>
        <v/>
      </c>
      <c r="F462" s="39"/>
      <c r="G462" s="45" t="str">
        <f t="shared" si="137">IF(COUNTA(A462:D462,F462)=0,"",IF(I462="已计入","已录入","待修正"))</f>
        <v/>
      </c>
      <c r="H462" s="46" t="str">
        <f t="shared" si="138">IF(COUNTA(A462:D462,F462)=0,"",IF(B462="红利再投","仅增加份额，不增加现金投入","金额由份额、净值和手续费推算"))</f>
        <v/>
      </c>
      <c r="I462" s="10" t="str">
        <f>IF(COUNTA(A462:D462,F462)=0,"",IF(NOT(ISNUMBER(A462)),"缺少有效净值日期",IF(OR(A462&lt;=0,A462&lt;&gt;INT(A462)),"净值日期无效",IF(OR(B462="转换转入",B462="现金分红"),"该类型需实际金额，五项录入不适用",IF(NOT(OR(OR(B462="买入",B462="定投"),B462="卖出",B462="红利再投")),"请选择交易类型",IF(NOT(ISNUMBER(C462)),"缺少成交净值",IF(C462&lt;=0,"成交净值须大于零",IF(NOT(ISNUMBER(D462)),"缺少确认份额",IF(D462&lt;=0,"确认份额须大于零",IF(NOT(ISNUMBER(F462)),"缺少手续费，无费用请填 0",IF(F462&lt;0,"手续费不能为负",IF(AA461="错误","前行待修正",IF(A462&lt;Z461,"日期需按成交顺序递增",IF(AND(B462="红利再投",F462&lt;&gt;0),"红利再投手续费应填 0",IF(AND(B462="红利再投",K461&lt;=0),"红利再投前须有持仓",IF(AND(B462="卖出",D462&gt;K461+0.000001),"卖出份额超过持仓",IF(AND(B462="卖出",F462&gt;=C462*D462),"赎回费不能达到赎回总额",IF(NOT(ISNUMBER(E462)),"自动金额未生成，请检查五项输入",IF(NOT(OR('持仓总览'!$C$7="利润优先",'持仓总览'!$C$7="本金优先")),"请选择卖出分配模式","已计入")))))))))))))))))))</f>
        <v/>
      </c>
      <c r="J462" s="11">
        <f t="shared" si="139">IF(AA462="正常",IF(I462="已计入",IF(OR(OR(B462="买入",B462="定投",B462="转换转入"),B462="红利再投"),D462,IF(B462="卖出",-D462,0)),0),"")</f>
        <v>0</v>
      </c>
      <c r="K462" s="11">
        <f t="shared" si="144">IF(AA462="正常",ROUND(K461+J462,6),"")</f>
        <v>25721.6</v>
      </c>
      <c r="L462" s="11" t="str">
        <f t="shared" si="145">IF(I462="已计入",ROUND(K461*C462,2),"")</f>
        <v/>
      </c>
      <c r="M462" s="11" t="str">
        <f t="shared" si="146">IF(I462="已计入",IF(B462="卖出",MAX(0,L462-Q461-F462),IF(B462="现金分红",MAX(0,L462+E462-Q461),0)),"")</f>
        <v/>
      </c>
      <c r="N462" s="11" t="str">
        <f>IF(I462="已计入",IF(AND(B462="卖出",'持仓总览'!$C$7="本金优先"),MAX(0,E462-Q461),IF(OR(B462="卖出",B462="现金分红"),MIN(E462,M462),0)),"")</f>
        <v/>
      </c>
      <c r="O462" s="11" t="str">
        <f t="shared" si="147">IF(I462="已计入",IF(OR(B462="卖出",B462="现金分红"),MIN(Q461,MAX(0,E462-N462)),0),"")</f>
        <v/>
      </c>
      <c r="P462" s="11" t="str">
        <f t="shared" si="148">IF(I462="已计入",IF(AND(B462="卖出",K462=0),MAX(0,Q461-O462),0),"")</f>
        <v/>
      </c>
      <c r="Q462" s="11">
        <f t="shared" si="149">IF(AA462="正常",IF(I462="已计入",ROUND(Q461+IF(OR(B462="买入",B462="定投",B462="转换转入"),E462,0)-O462-P462,2),Q461),"")</f>
        <v>129570</v>
      </c>
      <c r="R462" s="11" t="str">
        <f t="shared" si="140">IF(I462="已计入",ROUND(K462*C462,2),"")</f>
        <v/>
      </c>
      <c r="S462" s="11" t="str">
        <f t="shared" si="141">IF(I462="已计入",ROUND(R462-Q462,2),"")</f>
        <v/>
      </c>
      <c r="T462" s="12" t="str">
        <f t="shared" si="142">IF(I462="已计入",IF(Q462=0,"",S462/Q462),"")</f>
        <v/>
      </c>
      <c r="U462" s="11">
        <f t="shared" si="150">IF(AA462="正常",U461+IF(AND(I462="已计入",OR(B462="买入",B462="定投",B462="转换转入")),E462,0),"")</f>
        <v>129570</v>
      </c>
      <c r="V462" s="11">
        <f t="shared" si="151">IF(AA462="正常",V461+IF(AND(I462="已计入",OR(B462="卖出",B462="现金分红")),E462,0),"")</f>
        <v>0</v>
      </c>
      <c r="W462" s="11">
        <f t="shared" si="152">IF(AA462="正常",W461+IF(I462="已计入",N462,0),"")</f>
        <v>0</v>
      </c>
      <c r="X462" s="11">
        <f t="shared" si="153">IF(AA462="正常",X461+IF(I462="已计入",P462,0),"")</f>
        <v>0</v>
      </c>
      <c r="Y462" s="11" t="str">
        <f t="shared" si="143">IF(I462="已计入",ROUND(R462+V462-U462,2),"")</f>
        <v/>
      </c>
      <c r="Z462" s="13">
        <f t="shared" si="154">IF(AA462="正常",IF(I462="已计入",A462,Z461),"")</f>
        <v>46239</v>
      </c>
      <c r="AA462" s="10" t="str">
        <f>IF(OR($AA$134="错误",COUNTIF($G$135:G462,"待修正")&gt;0),"错误","正常")</f>
        <v>正常</v>
      </c>
      <c r="AB462" s="14">
        <f t="shared" si="155">IF(AA462="正常",IF(I462="已计入",C462,AB461),"")</f>
        <v>6.347</v>
      </c>
    </row>
    <row r="463" ht="23" customHeight="1">
      <c r="A463" s="36"/>
      <c r="B463" s="37"/>
      <c r="C463" s="38"/>
      <c r="D463" s="39"/>
      <c r="E463" s="44" t="str">
        <f t="shared" si="136">IF(AND(ISNUMBER(C463),ISNUMBER(D463),ISNUMBER(F463)),IF(OR(B463="买入",B463="定投"),ROUND(C463*D463+F463,2),IF(B463="卖出",ROUND(C463*D463-F463,2),IF(B463="红利再投",0,""))),"")</f>
        <v/>
      </c>
      <c r="F463" s="39"/>
      <c r="G463" s="45" t="str">
        <f t="shared" si="137">IF(COUNTA(A463:D463,F463)=0,"",IF(I463="已计入","已录入","待修正"))</f>
        <v/>
      </c>
      <c r="H463" s="46" t="str">
        <f t="shared" si="138">IF(COUNTA(A463:D463,F463)=0,"",IF(B463="红利再投","仅增加份额，不增加现金投入","金额由份额、净值和手续费推算"))</f>
        <v/>
      </c>
      <c r="I463" s="10" t="str">
        <f>IF(COUNTA(A463:D463,F463)=0,"",IF(NOT(ISNUMBER(A463)),"缺少有效净值日期",IF(OR(A463&lt;=0,A463&lt;&gt;INT(A463)),"净值日期无效",IF(OR(B463="转换转入",B463="现金分红"),"该类型需实际金额，五项录入不适用",IF(NOT(OR(OR(B463="买入",B463="定投"),B463="卖出",B463="红利再投")),"请选择交易类型",IF(NOT(ISNUMBER(C463)),"缺少成交净值",IF(C463&lt;=0,"成交净值须大于零",IF(NOT(ISNUMBER(D463)),"缺少确认份额",IF(D463&lt;=0,"确认份额须大于零",IF(NOT(ISNUMBER(F463)),"缺少手续费，无费用请填 0",IF(F463&lt;0,"手续费不能为负",IF(AA462="错误","前行待修正",IF(A463&lt;Z462,"日期需按成交顺序递增",IF(AND(B463="红利再投",F463&lt;&gt;0),"红利再投手续费应填 0",IF(AND(B463="红利再投",K462&lt;=0),"红利再投前须有持仓",IF(AND(B463="卖出",D463&gt;K462+0.000001),"卖出份额超过持仓",IF(AND(B463="卖出",F463&gt;=C463*D463),"赎回费不能达到赎回总额",IF(NOT(ISNUMBER(E463)),"自动金额未生成，请检查五项输入",IF(NOT(OR('持仓总览'!$C$7="利润优先",'持仓总览'!$C$7="本金优先")),"请选择卖出分配模式","已计入")))))))))))))))))))</f>
        <v/>
      </c>
      <c r="J463" s="11">
        <f t="shared" si="139">IF(AA463="正常",IF(I463="已计入",IF(OR(OR(B463="买入",B463="定投",B463="转换转入"),B463="红利再投"),D463,IF(B463="卖出",-D463,0)),0),"")</f>
        <v>0</v>
      </c>
      <c r="K463" s="11">
        <f t="shared" si="144">IF(AA463="正常",ROUND(K462+J463,6),"")</f>
        <v>25721.6</v>
      </c>
      <c r="L463" s="11" t="str">
        <f t="shared" si="145">IF(I463="已计入",ROUND(K462*C463,2),"")</f>
        <v/>
      </c>
      <c r="M463" s="11" t="str">
        <f t="shared" si="146">IF(I463="已计入",IF(B463="卖出",MAX(0,L463-Q462-F463),IF(B463="现金分红",MAX(0,L463+E463-Q462),0)),"")</f>
        <v/>
      </c>
      <c r="N463" s="11" t="str">
        <f>IF(I463="已计入",IF(AND(B463="卖出",'持仓总览'!$C$7="本金优先"),MAX(0,E463-Q462),IF(OR(B463="卖出",B463="现金分红"),MIN(E463,M463),0)),"")</f>
        <v/>
      </c>
      <c r="O463" s="11" t="str">
        <f t="shared" si="147">IF(I463="已计入",IF(OR(B463="卖出",B463="现金分红"),MIN(Q462,MAX(0,E463-N463)),0),"")</f>
        <v/>
      </c>
      <c r="P463" s="11" t="str">
        <f t="shared" si="148">IF(I463="已计入",IF(AND(B463="卖出",K463=0),MAX(0,Q462-O463),0),"")</f>
        <v/>
      </c>
      <c r="Q463" s="11">
        <f t="shared" si="149">IF(AA463="正常",IF(I463="已计入",ROUND(Q462+IF(OR(B463="买入",B463="定投",B463="转换转入"),E463,0)-O463-P463,2),Q462),"")</f>
        <v>129570</v>
      </c>
      <c r="R463" s="11" t="str">
        <f t="shared" si="140">IF(I463="已计入",ROUND(K463*C463,2),"")</f>
        <v/>
      </c>
      <c r="S463" s="11" t="str">
        <f t="shared" si="141">IF(I463="已计入",ROUND(R463-Q463,2),"")</f>
        <v/>
      </c>
      <c r="T463" s="12" t="str">
        <f t="shared" si="142">IF(I463="已计入",IF(Q463=0,"",S463/Q463),"")</f>
        <v/>
      </c>
      <c r="U463" s="11">
        <f t="shared" si="150">IF(AA463="正常",U462+IF(AND(I463="已计入",OR(B463="买入",B463="定投",B463="转换转入")),E463,0),"")</f>
        <v>129570</v>
      </c>
      <c r="V463" s="11">
        <f t="shared" si="151">IF(AA463="正常",V462+IF(AND(I463="已计入",OR(B463="卖出",B463="现金分红")),E463,0),"")</f>
        <v>0</v>
      </c>
      <c r="W463" s="11">
        <f t="shared" si="152">IF(AA463="正常",W462+IF(I463="已计入",N463,0),"")</f>
        <v>0</v>
      </c>
      <c r="X463" s="11">
        <f t="shared" si="153">IF(AA463="正常",X462+IF(I463="已计入",P463,0),"")</f>
        <v>0</v>
      </c>
      <c r="Y463" s="11" t="str">
        <f t="shared" si="143">IF(I463="已计入",ROUND(R463+V463-U463,2),"")</f>
        <v/>
      </c>
      <c r="Z463" s="13">
        <f t="shared" si="154">IF(AA463="正常",IF(I463="已计入",A463,Z462),"")</f>
        <v>46239</v>
      </c>
      <c r="AA463" s="10" t="str">
        <f>IF(OR($AA$134="错误",COUNTIF($G$135:G463,"待修正")&gt;0),"错误","正常")</f>
        <v>正常</v>
      </c>
      <c r="AB463" s="14">
        <f t="shared" si="155">IF(AA463="正常",IF(I463="已计入",C463,AB462),"")</f>
        <v>6.347</v>
      </c>
    </row>
    <row r="464" ht="23" customHeight="1">
      <c r="A464" s="36"/>
      <c r="B464" s="37"/>
      <c r="C464" s="38"/>
      <c r="D464" s="39"/>
      <c r="E464" s="44" t="str">
        <f t="shared" si="136">IF(AND(ISNUMBER(C464),ISNUMBER(D464),ISNUMBER(F464)),IF(OR(B464="买入",B464="定投"),ROUND(C464*D464+F464,2),IF(B464="卖出",ROUND(C464*D464-F464,2),IF(B464="红利再投",0,""))),"")</f>
        <v/>
      </c>
      <c r="F464" s="39"/>
      <c r="G464" s="45" t="str">
        <f t="shared" si="137">IF(COUNTA(A464:D464,F464)=0,"",IF(I464="已计入","已录入","待修正"))</f>
        <v/>
      </c>
      <c r="H464" s="46" t="str">
        <f t="shared" si="138">IF(COUNTA(A464:D464,F464)=0,"",IF(B464="红利再投","仅增加份额，不增加现金投入","金额由份额、净值和手续费推算"))</f>
        <v/>
      </c>
      <c r="I464" s="10" t="str">
        <f>IF(COUNTA(A464:D464,F464)=0,"",IF(NOT(ISNUMBER(A464)),"缺少有效净值日期",IF(OR(A464&lt;=0,A464&lt;&gt;INT(A464)),"净值日期无效",IF(OR(B464="转换转入",B464="现金分红"),"该类型需实际金额，五项录入不适用",IF(NOT(OR(OR(B464="买入",B464="定投"),B464="卖出",B464="红利再投")),"请选择交易类型",IF(NOT(ISNUMBER(C464)),"缺少成交净值",IF(C464&lt;=0,"成交净值须大于零",IF(NOT(ISNUMBER(D464)),"缺少确认份额",IF(D464&lt;=0,"确认份额须大于零",IF(NOT(ISNUMBER(F464)),"缺少手续费，无费用请填 0",IF(F464&lt;0,"手续费不能为负",IF(AA463="错误","前行待修正",IF(A464&lt;Z463,"日期需按成交顺序递增",IF(AND(B464="红利再投",F464&lt;&gt;0),"红利再投手续费应填 0",IF(AND(B464="红利再投",K463&lt;=0),"红利再投前须有持仓",IF(AND(B464="卖出",D464&gt;K463+0.000001),"卖出份额超过持仓",IF(AND(B464="卖出",F464&gt;=C464*D464),"赎回费不能达到赎回总额",IF(NOT(ISNUMBER(E464)),"自动金额未生成，请检查五项输入",IF(NOT(OR('持仓总览'!$C$7="利润优先",'持仓总览'!$C$7="本金优先")),"请选择卖出分配模式","已计入")))))))))))))))))))</f>
        <v/>
      </c>
      <c r="J464" s="11">
        <f t="shared" si="139">IF(AA464="正常",IF(I464="已计入",IF(OR(OR(B464="买入",B464="定投",B464="转换转入"),B464="红利再投"),D464,IF(B464="卖出",-D464,0)),0),"")</f>
        <v>0</v>
      </c>
      <c r="K464" s="11">
        <f t="shared" si="144">IF(AA464="正常",ROUND(K463+J464,6),"")</f>
        <v>25721.6</v>
      </c>
      <c r="L464" s="11" t="str">
        <f t="shared" si="145">IF(I464="已计入",ROUND(K463*C464,2),"")</f>
        <v/>
      </c>
      <c r="M464" s="11" t="str">
        <f t="shared" si="146">IF(I464="已计入",IF(B464="卖出",MAX(0,L464-Q463-F464),IF(B464="现金分红",MAX(0,L464+E464-Q463),0)),"")</f>
        <v/>
      </c>
      <c r="N464" s="11" t="str">
        <f>IF(I464="已计入",IF(AND(B464="卖出",'持仓总览'!$C$7="本金优先"),MAX(0,E464-Q463),IF(OR(B464="卖出",B464="现金分红"),MIN(E464,M464),0)),"")</f>
        <v/>
      </c>
      <c r="O464" s="11" t="str">
        <f t="shared" si="147">IF(I464="已计入",IF(OR(B464="卖出",B464="现金分红"),MIN(Q463,MAX(0,E464-N464)),0),"")</f>
        <v/>
      </c>
      <c r="P464" s="11" t="str">
        <f t="shared" si="148">IF(I464="已计入",IF(AND(B464="卖出",K464=0),MAX(0,Q463-O464),0),"")</f>
        <v/>
      </c>
      <c r="Q464" s="11">
        <f t="shared" si="149">IF(AA464="正常",IF(I464="已计入",ROUND(Q463+IF(OR(B464="买入",B464="定投",B464="转换转入"),E464,0)-O464-P464,2),Q463),"")</f>
        <v>129570</v>
      </c>
      <c r="R464" s="11" t="str">
        <f t="shared" si="140">IF(I464="已计入",ROUND(K464*C464,2),"")</f>
        <v/>
      </c>
      <c r="S464" s="11" t="str">
        <f t="shared" si="141">IF(I464="已计入",ROUND(R464-Q464,2),"")</f>
        <v/>
      </c>
      <c r="T464" s="12" t="str">
        <f t="shared" si="142">IF(I464="已计入",IF(Q464=0,"",S464/Q464),"")</f>
        <v/>
      </c>
      <c r="U464" s="11">
        <f t="shared" si="150">IF(AA464="正常",U463+IF(AND(I464="已计入",OR(B464="买入",B464="定投",B464="转换转入")),E464,0),"")</f>
        <v>129570</v>
      </c>
      <c r="V464" s="11">
        <f t="shared" si="151">IF(AA464="正常",V463+IF(AND(I464="已计入",OR(B464="卖出",B464="现金分红")),E464,0),"")</f>
        <v>0</v>
      </c>
      <c r="W464" s="11">
        <f t="shared" si="152">IF(AA464="正常",W463+IF(I464="已计入",N464,0),"")</f>
        <v>0</v>
      </c>
      <c r="X464" s="11">
        <f t="shared" si="153">IF(AA464="正常",X463+IF(I464="已计入",P464,0),"")</f>
        <v>0</v>
      </c>
      <c r="Y464" s="11" t="str">
        <f t="shared" si="143">IF(I464="已计入",ROUND(R464+V464-U464,2),"")</f>
        <v/>
      </c>
      <c r="Z464" s="13">
        <f t="shared" si="154">IF(AA464="正常",IF(I464="已计入",A464,Z463),"")</f>
        <v>46239</v>
      </c>
      <c r="AA464" s="10" t="str">
        <f>IF(OR($AA$134="错误",COUNTIF($G$135:G464,"待修正")&gt;0),"错误","正常")</f>
        <v>正常</v>
      </c>
      <c r="AB464" s="14">
        <f t="shared" si="155">IF(AA464="正常",IF(I464="已计入",C464,AB463),"")</f>
        <v>6.347</v>
      </c>
    </row>
    <row r="465" ht="23" customHeight="1">
      <c r="A465" s="36"/>
      <c r="B465" s="37"/>
      <c r="C465" s="38"/>
      <c r="D465" s="39"/>
      <c r="E465" s="44" t="str">
        <f t="shared" si="136">IF(AND(ISNUMBER(C465),ISNUMBER(D465),ISNUMBER(F465)),IF(OR(B465="买入",B465="定投"),ROUND(C465*D465+F465,2),IF(B465="卖出",ROUND(C465*D465-F465,2),IF(B465="红利再投",0,""))),"")</f>
        <v/>
      </c>
      <c r="F465" s="39"/>
      <c r="G465" s="45" t="str">
        <f t="shared" si="137">IF(COUNTA(A465:D465,F465)=0,"",IF(I465="已计入","已录入","待修正"))</f>
        <v/>
      </c>
      <c r="H465" s="46" t="str">
        <f t="shared" si="138">IF(COUNTA(A465:D465,F465)=0,"",IF(B465="红利再投","仅增加份额，不增加现金投入","金额由份额、净值和手续费推算"))</f>
        <v/>
      </c>
      <c r="I465" s="10" t="str">
        <f>IF(COUNTA(A465:D465,F465)=0,"",IF(NOT(ISNUMBER(A465)),"缺少有效净值日期",IF(OR(A465&lt;=0,A465&lt;&gt;INT(A465)),"净值日期无效",IF(OR(B465="转换转入",B465="现金分红"),"该类型需实际金额，五项录入不适用",IF(NOT(OR(OR(B465="买入",B465="定投"),B465="卖出",B465="红利再投")),"请选择交易类型",IF(NOT(ISNUMBER(C465)),"缺少成交净值",IF(C465&lt;=0,"成交净值须大于零",IF(NOT(ISNUMBER(D465)),"缺少确认份额",IF(D465&lt;=0,"确认份额须大于零",IF(NOT(ISNUMBER(F465)),"缺少手续费，无费用请填 0",IF(F465&lt;0,"手续费不能为负",IF(AA464="错误","前行待修正",IF(A465&lt;Z464,"日期需按成交顺序递增",IF(AND(B465="红利再投",F465&lt;&gt;0),"红利再投手续费应填 0",IF(AND(B465="红利再投",K464&lt;=0),"红利再投前须有持仓",IF(AND(B465="卖出",D465&gt;K464+0.000001),"卖出份额超过持仓",IF(AND(B465="卖出",F465&gt;=C465*D465),"赎回费不能达到赎回总额",IF(NOT(ISNUMBER(E465)),"自动金额未生成，请检查五项输入",IF(NOT(OR('持仓总览'!$C$7="利润优先",'持仓总览'!$C$7="本金优先")),"请选择卖出分配模式","已计入")))))))))))))))))))</f>
        <v/>
      </c>
      <c r="J465" s="11">
        <f t="shared" si="139">IF(AA465="正常",IF(I465="已计入",IF(OR(OR(B465="买入",B465="定投",B465="转换转入"),B465="红利再投"),D465,IF(B465="卖出",-D465,0)),0),"")</f>
        <v>0</v>
      </c>
      <c r="K465" s="11">
        <f t="shared" si="144">IF(AA465="正常",ROUND(K464+J465,6),"")</f>
        <v>25721.6</v>
      </c>
      <c r="L465" s="11" t="str">
        <f t="shared" si="145">IF(I465="已计入",ROUND(K464*C465,2),"")</f>
        <v/>
      </c>
      <c r="M465" s="11" t="str">
        <f t="shared" si="146">IF(I465="已计入",IF(B465="卖出",MAX(0,L465-Q464-F465),IF(B465="现金分红",MAX(0,L465+E465-Q464),0)),"")</f>
        <v/>
      </c>
      <c r="N465" s="11" t="str">
        <f>IF(I465="已计入",IF(AND(B465="卖出",'持仓总览'!$C$7="本金优先"),MAX(0,E465-Q464),IF(OR(B465="卖出",B465="现金分红"),MIN(E465,M465),0)),"")</f>
        <v/>
      </c>
      <c r="O465" s="11" t="str">
        <f t="shared" si="147">IF(I465="已计入",IF(OR(B465="卖出",B465="现金分红"),MIN(Q464,MAX(0,E465-N465)),0),"")</f>
        <v/>
      </c>
      <c r="P465" s="11" t="str">
        <f t="shared" si="148">IF(I465="已计入",IF(AND(B465="卖出",K465=0),MAX(0,Q464-O465),0),"")</f>
        <v/>
      </c>
      <c r="Q465" s="11">
        <f t="shared" si="149">IF(AA465="正常",IF(I465="已计入",ROUND(Q464+IF(OR(B465="买入",B465="定投",B465="转换转入"),E465,0)-O465-P465,2),Q464),"")</f>
        <v>129570</v>
      </c>
      <c r="R465" s="11" t="str">
        <f t="shared" si="140">IF(I465="已计入",ROUND(K465*C465,2),"")</f>
        <v/>
      </c>
      <c r="S465" s="11" t="str">
        <f t="shared" si="141">IF(I465="已计入",ROUND(R465-Q465,2),"")</f>
        <v/>
      </c>
      <c r="T465" s="12" t="str">
        <f t="shared" si="142">IF(I465="已计入",IF(Q465=0,"",S465/Q465),"")</f>
        <v/>
      </c>
      <c r="U465" s="11">
        <f t="shared" si="150">IF(AA465="正常",U464+IF(AND(I465="已计入",OR(B465="买入",B465="定投",B465="转换转入")),E465,0),"")</f>
        <v>129570</v>
      </c>
      <c r="V465" s="11">
        <f t="shared" si="151">IF(AA465="正常",V464+IF(AND(I465="已计入",OR(B465="卖出",B465="现金分红")),E465,0),"")</f>
        <v>0</v>
      </c>
      <c r="W465" s="11">
        <f t="shared" si="152">IF(AA465="正常",W464+IF(I465="已计入",N465,0),"")</f>
        <v>0</v>
      </c>
      <c r="X465" s="11">
        <f t="shared" si="153">IF(AA465="正常",X464+IF(I465="已计入",P465,0),"")</f>
        <v>0</v>
      </c>
      <c r="Y465" s="11" t="str">
        <f t="shared" si="143">IF(I465="已计入",ROUND(R465+V465-U465,2),"")</f>
        <v/>
      </c>
      <c r="Z465" s="13">
        <f t="shared" si="154">IF(AA465="正常",IF(I465="已计入",A465,Z464),"")</f>
        <v>46239</v>
      </c>
      <c r="AA465" s="10" t="str">
        <f>IF(OR($AA$134="错误",COUNTIF($G$135:G465,"待修正")&gt;0),"错误","正常")</f>
        <v>正常</v>
      </c>
      <c r="AB465" s="14">
        <f t="shared" si="155">IF(AA465="正常",IF(I465="已计入",C465,AB464),"")</f>
        <v>6.347</v>
      </c>
    </row>
    <row r="466" ht="23" customHeight="1">
      <c r="A466" s="36"/>
      <c r="B466" s="37"/>
      <c r="C466" s="38"/>
      <c r="D466" s="39"/>
      <c r="E466" s="44" t="str">
        <f t="shared" si="136">IF(AND(ISNUMBER(C466),ISNUMBER(D466),ISNUMBER(F466)),IF(OR(B466="买入",B466="定投"),ROUND(C466*D466+F466,2),IF(B466="卖出",ROUND(C466*D466-F466,2),IF(B466="红利再投",0,""))),"")</f>
        <v/>
      </c>
      <c r="F466" s="39"/>
      <c r="G466" s="45" t="str">
        <f t="shared" si="137">IF(COUNTA(A466:D466,F466)=0,"",IF(I466="已计入","已录入","待修正"))</f>
        <v/>
      </c>
      <c r="H466" s="46" t="str">
        <f t="shared" si="138">IF(COUNTA(A466:D466,F466)=0,"",IF(B466="红利再投","仅增加份额，不增加现金投入","金额由份额、净值和手续费推算"))</f>
        <v/>
      </c>
      <c r="I466" s="10" t="str">
        <f>IF(COUNTA(A466:D466,F466)=0,"",IF(NOT(ISNUMBER(A466)),"缺少有效净值日期",IF(OR(A466&lt;=0,A466&lt;&gt;INT(A466)),"净值日期无效",IF(OR(B466="转换转入",B466="现金分红"),"该类型需实际金额，五项录入不适用",IF(NOT(OR(OR(B466="买入",B466="定投"),B466="卖出",B466="红利再投")),"请选择交易类型",IF(NOT(ISNUMBER(C466)),"缺少成交净值",IF(C466&lt;=0,"成交净值须大于零",IF(NOT(ISNUMBER(D466)),"缺少确认份额",IF(D466&lt;=0,"确认份额须大于零",IF(NOT(ISNUMBER(F466)),"缺少手续费，无费用请填 0",IF(F466&lt;0,"手续费不能为负",IF(AA465="错误","前行待修正",IF(A466&lt;Z465,"日期需按成交顺序递增",IF(AND(B466="红利再投",F466&lt;&gt;0),"红利再投手续费应填 0",IF(AND(B466="红利再投",K465&lt;=0),"红利再投前须有持仓",IF(AND(B466="卖出",D466&gt;K465+0.000001),"卖出份额超过持仓",IF(AND(B466="卖出",F466&gt;=C466*D466),"赎回费不能达到赎回总额",IF(NOT(ISNUMBER(E466)),"自动金额未生成，请检查五项输入",IF(NOT(OR('持仓总览'!$C$7="利润优先",'持仓总览'!$C$7="本金优先")),"请选择卖出分配模式","已计入")))))))))))))))))))</f>
        <v/>
      </c>
      <c r="J466" s="11">
        <f t="shared" si="139">IF(AA466="正常",IF(I466="已计入",IF(OR(OR(B466="买入",B466="定投",B466="转换转入"),B466="红利再投"),D466,IF(B466="卖出",-D466,0)),0),"")</f>
        <v>0</v>
      </c>
      <c r="K466" s="11">
        <f t="shared" si="144">IF(AA466="正常",ROUND(K465+J466,6),"")</f>
        <v>25721.6</v>
      </c>
      <c r="L466" s="11" t="str">
        <f t="shared" si="145">IF(I466="已计入",ROUND(K465*C466,2),"")</f>
        <v/>
      </c>
      <c r="M466" s="11" t="str">
        <f t="shared" si="146">IF(I466="已计入",IF(B466="卖出",MAX(0,L466-Q465-F466),IF(B466="现金分红",MAX(0,L466+E466-Q465),0)),"")</f>
        <v/>
      </c>
      <c r="N466" s="11" t="str">
        <f>IF(I466="已计入",IF(AND(B466="卖出",'持仓总览'!$C$7="本金优先"),MAX(0,E466-Q465),IF(OR(B466="卖出",B466="现金分红"),MIN(E466,M466),0)),"")</f>
        <v/>
      </c>
      <c r="O466" s="11" t="str">
        <f t="shared" si="147">IF(I466="已计入",IF(OR(B466="卖出",B466="现金分红"),MIN(Q465,MAX(0,E466-N466)),0),"")</f>
        <v/>
      </c>
      <c r="P466" s="11" t="str">
        <f t="shared" si="148">IF(I466="已计入",IF(AND(B466="卖出",K466=0),MAX(0,Q465-O466),0),"")</f>
        <v/>
      </c>
      <c r="Q466" s="11">
        <f t="shared" si="149">IF(AA466="正常",IF(I466="已计入",ROUND(Q465+IF(OR(B466="买入",B466="定投",B466="转换转入"),E466,0)-O466-P466,2),Q465),"")</f>
        <v>129570</v>
      </c>
      <c r="R466" s="11" t="str">
        <f t="shared" si="140">IF(I466="已计入",ROUND(K466*C466,2),"")</f>
        <v/>
      </c>
      <c r="S466" s="11" t="str">
        <f t="shared" si="141">IF(I466="已计入",ROUND(R466-Q466,2),"")</f>
        <v/>
      </c>
      <c r="T466" s="12" t="str">
        <f t="shared" si="142">IF(I466="已计入",IF(Q466=0,"",S466/Q466),"")</f>
        <v/>
      </c>
      <c r="U466" s="11">
        <f t="shared" si="150">IF(AA466="正常",U465+IF(AND(I466="已计入",OR(B466="买入",B466="定投",B466="转换转入")),E466,0),"")</f>
        <v>129570</v>
      </c>
      <c r="V466" s="11">
        <f t="shared" si="151">IF(AA466="正常",V465+IF(AND(I466="已计入",OR(B466="卖出",B466="现金分红")),E466,0),"")</f>
        <v>0</v>
      </c>
      <c r="W466" s="11">
        <f t="shared" si="152">IF(AA466="正常",W465+IF(I466="已计入",N466,0),"")</f>
        <v>0</v>
      </c>
      <c r="X466" s="11">
        <f t="shared" si="153">IF(AA466="正常",X465+IF(I466="已计入",P466,0),"")</f>
        <v>0</v>
      </c>
      <c r="Y466" s="11" t="str">
        <f t="shared" si="143">IF(I466="已计入",ROUND(R466+V466-U466,2),"")</f>
        <v/>
      </c>
      <c r="Z466" s="13">
        <f t="shared" si="154">IF(AA466="正常",IF(I466="已计入",A466,Z465),"")</f>
        <v>46239</v>
      </c>
      <c r="AA466" s="10" t="str">
        <f>IF(OR($AA$134="错误",COUNTIF($G$135:G466,"待修正")&gt;0),"错误","正常")</f>
        <v>正常</v>
      </c>
      <c r="AB466" s="14">
        <f t="shared" si="155">IF(AA466="正常",IF(I466="已计入",C466,AB465),"")</f>
        <v>6.347</v>
      </c>
    </row>
    <row r="467" ht="23" customHeight="1">
      <c r="A467" s="36"/>
      <c r="B467" s="37"/>
      <c r="C467" s="38"/>
      <c r="D467" s="39"/>
      <c r="E467" s="44" t="str">
        <f t="shared" si="136">IF(AND(ISNUMBER(C467),ISNUMBER(D467),ISNUMBER(F467)),IF(OR(B467="买入",B467="定投"),ROUND(C467*D467+F467,2),IF(B467="卖出",ROUND(C467*D467-F467,2),IF(B467="红利再投",0,""))),"")</f>
        <v/>
      </c>
      <c r="F467" s="39"/>
      <c r="G467" s="45" t="str">
        <f t="shared" si="137">IF(COUNTA(A467:D467,F467)=0,"",IF(I467="已计入","已录入","待修正"))</f>
        <v/>
      </c>
      <c r="H467" s="46" t="str">
        <f t="shared" si="138">IF(COUNTA(A467:D467,F467)=0,"",IF(B467="红利再投","仅增加份额，不增加现金投入","金额由份额、净值和手续费推算"))</f>
        <v/>
      </c>
      <c r="I467" s="10" t="str">
        <f>IF(COUNTA(A467:D467,F467)=0,"",IF(NOT(ISNUMBER(A467)),"缺少有效净值日期",IF(OR(A467&lt;=0,A467&lt;&gt;INT(A467)),"净值日期无效",IF(OR(B467="转换转入",B467="现金分红"),"该类型需实际金额，五项录入不适用",IF(NOT(OR(OR(B467="买入",B467="定投"),B467="卖出",B467="红利再投")),"请选择交易类型",IF(NOT(ISNUMBER(C467)),"缺少成交净值",IF(C467&lt;=0,"成交净值须大于零",IF(NOT(ISNUMBER(D467)),"缺少确认份额",IF(D467&lt;=0,"确认份额须大于零",IF(NOT(ISNUMBER(F467)),"缺少手续费，无费用请填 0",IF(F467&lt;0,"手续费不能为负",IF(AA466="错误","前行待修正",IF(A467&lt;Z466,"日期需按成交顺序递增",IF(AND(B467="红利再投",F467&lt;&gt;0),"红利再投手续费应填 0",IF(AND(B467="红利再投",K466&lt;=0),"红利再投前须有持仓",IF(AND(B467="卖出",D467&gt;K466+0.000001),"卖出份额超过持仓",IF(AND(B467="卖出",F467&gt;=C467*D467),"赎回费不能达到赎回总额",IF(NOT(ISNUMBER(E467)),"自动金额未生成，请检查五项输入",IF(NOT(OR('持仓总览'!$C$7="利润优先",'持仓总览'!$C$7="本金优先")),"请选择卖出分配模式","已计入")))))))))))))))))))</f>
        <v/>
      </c>
      <c r="J467" s="11">
        <f t="shared" si="139">IF(AA467="正常",IF(I467="已计入",IF(OR(OR(B467="买入",B467="定投",B467="转换转入"),B467="红利再投"),D467,IF(B467="卖出",-D467,0)),0),"")</f>
        <v>0</v>
      </c>
      <c r="K467" s="11">
        <f t="shared" si="144">IF(AA467="正常",ROUND(K466+J467,6),"")</f>
        <v>25721.6</v>
      </c>
      <c r="L467" s="11" t="str">
        <f t="shared" si="145">IF(I467="已计入",ROUND(K466*C467,2),"")</f>
        <v/>
      </c>
      <c r="M467" s="11" t="str">
        <f t="shared" si="146">IF(I467="已计入",IF(B467="卖出",MAX(0,L467-Q466-F467),IF(B467="现金分红",MAX(0,L467+E467-Q466),0)),"")</f>
        <v/>
      </c>
      <c r="N467" s="11" t="str">
        <f>IF(I467="已计入",IF(AND(B467="卖出",'持仓总览'!$C$7="本金优先"),MAX(0,E467-Q466),IF(OR(B467="卖出",B467="现金分红"),MIN(E467,M467),0)),"")</f>
        <v/>
      </c>
      <c r="O467" s="11" t="str">
        <f t="shared" si="147">IF(I467="已计入",IF(OR(B467="卖出",B467="现金分红"),MIN(Q466,MAX(0,E467-N467)),0),"")</f>
        <v/>
      </c>
      <c r="P467" s="11" t="str">
        <f t="shared" si="148">IF(I467="已计入",IF(AND(B467="卖出",K467=0),MAX(0,Q466-O467),0),"")</f>
        <v/>
      </c>
      <c r="Q467" s="11">
        <f t="shared" si="149">IF(AA467="正常",IF(I467="已计入",ROUND(Q466+IF(OR(B467="买入",B467="定投",B467="转换转入"),E467,0)-O467-P467,2),Q466),"")</f>
        <v>129570</v>
      </c>
      <c r="R467" s="11" t="str">
        <f t="shared" si="140">IF(I467="已计入",ROUND(K467*C467,2),"")</f>
        <v/>
      </c>
      <c r="S467" s="11" t="str">
        <f t="shared" si="141">IF(I467="已计入",ROUND(R467-Q467,2),"")</f>
        <v/>
      </c>
      <c r="T467" s="12" t="str">
        <f t="shared" si="142">IF(I467="已计入",IF(Q467=0,"",S467/Q467),"")</f>
        <v/>
      </c>
      <c r="U467" s="11">
        <f t="shared" si="150">IF(AA467="正常",U466+IF(AND(I467="已计入",OR(B467="买入",B467="定投",B467="转换转入")),E467,0),"")</f>
        <v>129570</v>
      </c>
      <c r="V467" s="11">
        <f t="shared" si="151">IF(AA467="正常",V466+IF(AND(I467="已计入",OR(B467="卖出",B467="现金分红")),E467,0),"")</f>
        <v>0</v>
      </c>
      <c r="W467" s="11">
        <f t="shared" si="152">IF(AA467="正常",W466+IF(I467="已计入",N467,0),"")</f>
        <v>0</v>
      </c>
      <c r="X467" s="11">
        <f t="shared" si="153">IF(AA467="正常",X466+IF(I467="已计入",P467,0),"")</f>
        <v>0</v>
      </c>
      <c r="Y467" s="11" t="str">
        <f t="shared" si="143">IF(I467="已计入",ROUND(R467+V467-U467,2),"")</f>
        <v/>
      </c>
      <c r="Z467" s="13">
        <f t="shared" si="154">IF(AA467="正常",IF(I467="已计入",A467,Z466),"")</f>
        <v>46239</v>
      </c>
      <c r="AA467" s="10" t="str">
        <f>IF(OR($AA$134="错误",COUNTIF($G$135:G467,"待修正")&gt;0),"错误","正常")</f>
        <v>正常</v>
      </c>
      <c r="AB467" s="14">
        <f t="shared" si="155">IF(AA467="正常",IF(I467="已计入",C467,AB466),"")</f>
        <v>6.347</v>
      </c>
    </row>
    <row r="468" ht="23" customHeight="1">
      <c r="A468" s="36"/>
      <c r="B468" s="37"/>
      <c r="C468" s="38"/>
      <c r="D468" s="39"/>
      <c r="E468" s="44" t="str">
        <f t="shared" si="136">IF(AND(ISNUMBER(C468),ISNUMBER(D468),ISNUMBER(F468)),IF(OR(B468="买入",B468="定投"),ROUND(C468*D468+F468,2),IF(B468="卖出",ROUND(C468*D468-F468,2),IF(B468="红利再投",0,""))),"")</f>
        <v/>
      </c>
      <c r="F468" s="39"/>
      <c r="G468" s="45" t="str">
        <f t="shared" si="137">IF(COUNTA(A468:D468,F468)=0,"",IF(I468="已计入","已录入","待修正"))</f>
        <v/>
      </c>
      <c r="H468" s="46" t="str">
        <f t="shared" si="138">IF(COUNTA(A468:D468,F468)=0,"",IF(B468="红利再投","仅增加份额，不增加现金投入","金额由份额、净值和手续费推算"))</f>
        <v/>
      </c>
      <c r="I468" s="10" t="str">
        <f>IF(COUNTA(A468:D468,F468)=0,"",IF(NOT(ISNUMBER(A468)),"缺少有效净值日期",IF(OR(A468&lt;=0,A468&lt;&gt;INT(A468)),"净值日期无效",IF(OR(B468="转换转入",B468="现金分红"),"该类型需实际金额，五项录入不适用",IF(NOT(OR(OR(B468="买入",B468="定投"),B468="卖出",B468="红利再投")),"请选择交易类型",IF(NOT(ISNUMBER(C468)),"缺少成交净值",IF(C468&lt;=0,"成交净值须大于零",IF(NOT(ISNUMBER(D468)),"缺少确认份额",IF(D468&lt;=0,"确认份额须大于零",IF(NOT(ISNUMBER(F468)),"缺少手续费，无费用请填 0",IF(F468&lt;0,"手续费不能为负",IF(AA467="错误","前行待修正",IF(A468&lt;Z467,"日期需按成交顺序递增",IF(AND(B468="红利再投",F468&lt;&gt;0),"红利再投手续费应填 0",IF(AND(B468="红利再投",K467&lt;=0),"红利再投前须有持仓",IF(AND(B468="卖出",D468&gt;K467+0.000001),"卖出份额超过持仓",IF(AND(B468="卖出",F468&gt;=C468*D468),"赎回费不能达到赎回总额",IF(NOT(ISNUMBER(E468)),"自动金额未生成，请检查五项输入",IF(NOT(OR('持仓总览'!$C$7="利润优先",'持仓总览'!$C$7="本金优先")),"请选择卖出分配模式","已计入")))))))))))))))))))</f>
        <v/>
      </c>
      <c r="J468" s="11">
        <f t="shared" si="139">IF(AA468="正常",IF(I468="已计入",IF(OR(OR(B468="买入",B468="定投",B468="转换转入"),B468="红利再投"),D468,IF(B468="卖出",-D468,0)),0),"")</f>
        <v>0</v>
      </c>
      <c r="K468" s="11">
        <f t="shared" si="144">IF(AA468="正常",ROUND(K467+J468,6),"")</f>
        <v>25721.6</v>
      </c>
      <c r="L468" s="11" t="str">
        <f t="shared" si="145">IF(I468="已计入",ROUND(K467*C468,2),"")</f>
        <v/>
      </c>
      <c r="M468" s="11" t="str">
        <f t="shared" si="146">IF(I468="已计入",IF(B468="卖出",MAX(0,L468-Q467-F468),IF(B468="现金分红",MAX(0,L468+E468-Q467),0)),"")</f>
        <v/>
      </c>
      <c r="N468" s="11" t="str">
        <f>IF(I468="已计入",IF(AND(B468="卖出",'持仓总览'!$C$7="本金优先"),MAX(0,E468-Q467),IF(OR(B468="卖出",B468="现金分红"),MIN(E468,M468),0)),"")</f>
        <v/>
      </c>
      <c r="O468" s="11" t="str">
        <f t="shared" si="147">IF(I468="已计入",IF(OR(B468="卖出",B468="现金分红"),MIN(Q467,MAX(0,E468-N468)),0),"")</f>
        <v/>
      </c>
      <c r="P468" s="11" t="str">
        <f t="shared" si="148">IF(I468="已计入",IF(AND(B468="卖出",K468=0),MAX(0,Q467-O468),0),"")</f>
        <v/>
      </c>
      <c r="Q468" s="11">
        <f t="shared" si="149">IF(AA468="正常",IF(I468="已计入",ROUND(Q467+IF(OR(B468="买入",B468="定投",B468="转换转入"),E468,0)-O468-P468,2),Q467),"")</f>
        <v>129570</v>
      </c>
      <c r="R468" s="11" t="str">
        <f t="shared" si="140">IF(I468="已计入",ROUND(K468*C468,2),"")</f>
        <v/>
      </c>
      <c r="S468" s="11" t="str">
        <f t="shared" si="141">IF(I468="已计入",ROUND(R468-Q468,2),"")</f>
        <v/>
      </c>
      <c r="T468" s="12" t="str">
        <f t="shared" si="142">IF(I468="已计入",IF(Q468=0,"",S468/Q468),"")</f>
        <v/>
      </c>
      <c r="U468" s="11">
        <f t="shared" si="150">IF(AA468="正常",U467+IF(AND(I468="已计入",OR(B468="买入",B468="定投",B468="转换转入")),E468,0),"")</f>
        <v>129570</v>
      </c>
      <c r="V468" s="11">
        <f t="shared" si="151">IF(AA468="正常",V467+IF(AND(I468="已计入",OR(B468="卖出",B468="现金分红")),E468,0),"")</f>
        <v>0</v>
      </c>
      <c r="W468" s="11">
        <f t="shared" si="152">IF(AA468="正常",W467+IF(I468="已计入",N468,0),"")</f>
        <v>0</v>
      </c>
      <c r="X468" s="11">
        <f t="shared" si="153">IF(AA468="正常",X467+IF(I468="已计入",P468,0),"")</f>
        <v>0</v>
      </c>
      <c r="Y468" s="11" t="str">
        <f t="shared" si="143">IF(I468="已计入",ROUND(R468+V468-U468,2),"")</f>
        <v/>
      </c>
      <c r="Z468" s="13">
        <f t="shared" si="154">IF(AA468="正常",IF(I468="已计入",A468,Z467),"")</f>
        <v>46239</v>
      </c>
      <c r="AA468" s="10" t="str">
        <f>IF(OR($AA$134="错误",COUNTIF($G$135:G468,"待修正")&gt;0),"错误","正常")</f>
        <v>正常</v>
      </c>
      <c r="AB468" s="14">
        <f t="shared" si="155">IF(AA468="正常",IF(I468="已计入",C468,AB467),"")</f>
        <v>6.347</v>
      </c>
    </row>
    <row r="469" ht="23" customHeight="1">
      <c r="A469" s="36"/>
      <c r="B469" s="37"/>
      <c r="C469" s="38"/>
      <c r="D469" s="39"/>
      <c r="E469" s="44" t="str">
        <f t="shared" si="136">IF(AND(ISNUMBER(C469),ISNUMBER(D469),ISNUMBER(F469)),IF(OR(B469="买入",B469="定投"),ROUND(C469*D469+F469,2),IF(B469="卖出",ROUND(C469*D469-F469,2),IF(B469="红利再投",0,""))),"")</f>
        <v/>
      </c>
      <c r="F469" s="39"/>
      <c r="G469" s="45" t="str">
        <f t="shared" si="137">IF(COUNTA(A469:D469,F469)=0,"",IF(I469="已计入","已录入","待修正"))</f>
        <v/>
      </c>
      <c r="H469" s="46" t="str">
        <f t="shared" si="138">IF(COUNTA(A469:D469,F469)=0,"",IF(B469="红利再投","仅增加份额，不增加现金投入","金额由份额、净值和手续费推算"))</f>
        <v/>
      </c>
      <c r="I469" s="10" t="str">
        <f>IF(COUNTA(A469:D469,F469)=0,"",IF(NOT(ISNUMBER(A469)),"缺少有效净值日期",IF(OR(A469&lt;=0,A469&lt;&gt;INT(A469)),"净值日期无效",IF(OR(B469="转换转入",B469="现金分红"),"该类型需实际金额，五项录入不适用",IF(NOT(OR(OR(B469="买入",B469="定投"),B469="卖出",B469="红利再投")),"请选择交易类型",IF(NOT(ISNUMBER(C469)),"缺少成交净值",IF(C469&lt;=0,"成交净值须大于零",IF(NOT(ISNUMBER(D469)),"缺少确认份额",IF(D469&lt;=0,"确认份额须大于零",IF(NOT(ISNUMBER(F469)),"缺少手续费，无费用请填 0",IF(F469&lt;0,"手续费不能为负",IF(AA468="错误","前行待修正",IF(A469&lt;Z468,"日期需按成交顺序递增",IF(AND(B469="红利再投",F469&lt;&gt;0),"红利再投手续费应填 0",IF(AND(B469="红利再投",K468&lt;=0),"红利再投前须有持仓",IF(AND(B469="卖出",D469&gt;K468+0.000001),"卖出份额超过持仓",IF(AND(B469="卖出",F469&gt;=C469*D469),"赎回费不能达到赎回总额",IF(NOT(ISNUMBER(E469)),"自动金额未生成，请检查五项输入",IF(NOT(OR('持仓总览'!$C$7="利润优先",'持仓总览'!$C$7="本金优先")),"请选择卖出分配模式","已计入")))))))))))))))))))</f>
        <v/>
      </c>
      <c r="J469" s="11">
        <f t="shared" si="139">IF(AA469="正常",IF(I469="已计入",IF(OR(OR(B469="买入",B469="定投",B469="转换转入"),B469="红利再投"),D469,IF(B469="卖出",-D469,0)),0),"")</f>
        <v>0</v>
      </c>
      <c r="K469" s="11">
        <f t="shared" si="144">IF(AA469="正常",ROUND(K468+J469,6),"")</f>
        <v>25721.6</v>
      </c>
      <c r="L469" s="11" t="str">
        <f t="shared" si="145">IF(I469="已计入",ROUND(K468*C469,2),"")</f>
        <v/>
      </c>
      <c r="M469" s="11" t="str">
        <f t="shared" si="146">IF(I469="已计入",IF(B469="卖出",MAX(0,L469-Q468-F469),IF(B469="现金分红",MAX(0,L469+E469-Q468),0)),"")</f>
        <v/>
      </c>
      <c r="N469" s="11" t="str">
        <f>IF(I469="已计入",IF(AND(B469="卖出",'持仓总览'!$C$7="本金优先"),MAX(0,E469-Q468),IF(OR(B469="卖出",B469="现金分红"),MIN(E469,M469),0)),"")</f>
        <v/>
      </c>
      <c r="O469" s="11" t="str">
        <f t="shared" si="147">IF(I469="已计入",IF(OR(B469="卖出",B469="现金分红"),MIN(Q468,MAX(0,E469-N469)),0),"")</f>
        <v/>
      </c>
      <c r="P469" s="11" t="str">
        <f t="shared" si="148">IF(I469="已计入",IF(AND(B469="卖出",K469=0),MAX(0,Q468-O469),0),"")</f>
        <v/>
      </c>
      <c r="Q469" s="11">
        <f t="shared" si="149">IF(AA469="正常",IF(I469="已计入",ROUND(Q468+IF(OR(B469="买入",B469="定投",B469="转换转入"),E469,0)-O469-P469,2),Q468),"")</f>
        <v>129570</v>
      </c>
      <c r="R469" s="11" t="str">
        <f t="shared" si="140">IF(I469="已计入",ROUND(K469*C469,2),"")</f>
        <v/>
      </c>
      <c r="S469" s="11" t="str">
        <f t="shared" si="141">IF(I469="已计入",ROUND(R469-Q469,2),"")</f>
        <v/>
      </c>
      <c r="T469" s="12" t="str">
        <f t="shared" si="142">IF(I469="已计入",IF(Q469=0,"",S469/Q469),"")</f>
        <v/>
      </c>
      <c r="U469" s="11">
        <f t="shared" si="150">IF(AA469="正常",U468+IF(AND(I469="已计入",OR(B469="买入",B469="定投",B469="转换转入")),E469,0),"")</f>
        <v>129570</v>
      </c>
      <c r="V469" s="11">
        <f t="shared" si="151">IF(AA469="正常",V468+IF(AND(I469="已计入",OR(B469="卖出",B469="现金分红")),E469,0),"")</f>
        <v>0</v>
      </c>
      <c r="W469" s="11">
        <f t="shared" si="152">IF(AA469="正常",W468+IF(I469="已计入",N469,0),"")</f>
        <v>0</v>
      </c>
      <c r="X469" s="11">
        <f t="shared" si="153">IF(AA469="正常",X468+IF(I469="已计入",P469,0),"")</f>
        <v>0</v>
      </c>
      <c r="Y469" s="11" t="str">
        <f t="shared" si="143">IF(I469="已计入",ROUND(R469+V469-U469,2),"")</f>
        <v/>
      </c>
      <c r="Z469" s="13">
        <f t="shared" si="154">IF(AA469="正常",IF(I469="已计入",A469,Z468),"")</f>
        <v>46239</v>
      </c>
      <c r="AA469" s="10" t="str">
        <f>IF(OR($AA$134="错误",COUNTIF($G$135:G469,"待修正")&gt;0),"错误","正常")</f>
        <v>正常</v>
      </c>
      <c r="AB469" s="14">
        <f t="shared" si="155">IF(AA469="正常",IF(I469="已计入",C469,AB468),"")</f>
        <v>6.347</v>
      </c>
    </row>
    <row r="470" ht="23" customHeight="1">
      <c r="A470" s="36"/>
      <c r="B470" s="37"/>
      <c r="C470" s="38"/>
      <c r="D470" s="39"/>
      <c r="E470" s="44" t="str">
        <f t="shared" si="136">IF(AND(ISNUMBER(C470),ISNUMBER(D470),ISNUMBER(F470)),IF(OR(B470="买入",B470="定投"),ROUND(C470*D470+F470,2),IF(B470="卖出",ROUND(C470*D470-F470,2),IF(B470="红利再投",0,""))),"")</f>
        <v/>
      </c>
      <c r="F470" s="39"/>
      <c r="G470" s="45" t="str">
        <f t="shared" si="137">IF(COUNTA(A470:D470,F470)=0,"",IF(I470="已计入","已录入","待修正"))</f>
        <v/>
      </c>
      <c r="H470" s="46" t="str">
        <f t="shared" si="138">IF(COUNTA(A470:D470,F470)=0,"",IF(B470="红利再投","仅增加份额，不增加现金投入","金额由份额、净值和手续费推算"))</f>
        <v/>
      </c>
      <c r="I470" s="10" t="str">
        <f>IF(COUNTA(A470:D470,F470)=0,"",IF(NOT(ISNUMBER(A470)),"缺少有效净值日期",IF(OR(A470&lt;=0,A470&lt;&gt;INT(A470)),"净值日期无效",IF(OR(B470="转换转入",B470="现金分红"),"该类型需实际金额，五项录入不适用",IF(NOT(OR(OR(B470="买入",B470="定投"),B470="卖出",B470="红利再投")),"请选择交易类型",IF(NOT(ISNUMBER(C470)),"缺少成交净值",IF(C470&lt;=0,"成交净值须大于零",IF(NOT(ISNUMBER(D470)),"缺少确认份额",IF(D470&lt;=0,"确认份额须大于零",IF(NOT(ISNUMBER(F470)),"缺少手续费，无费用请填 0",IF(F470&lt;0,"手续费不能为负",IF(AA469="错误","前行待修正",IF(A470&lt;Z469,"日期需按成交顺序递增",IF(AND(B470="红利再投",F470&lt;&gt;0),"红利再投手续费应填 0",IF(AND(B470="红利再投",K469&lt;=0),"红利再投前须有持仓",IF(AND(B470="卖出",D470&gt;K469+0.000001),"卖出份额超过持仓",IF(AND(B470="卖出",F470&gt;=C470*D470),"赎回费不能达到赎回总额",IF(NOT(ISNUMBER(E470)),"自动金额未生成，请检查五项输入",IF(NOT(OR('持仓总览'!$C$7="利润优先",'持仓总览'!$C$7="本金优先")),"请选择卖出分配模式","已计入")))))))))))))))))))</f>
        <v/>
      </c>
      <c r="J470" s="11">
        <f t="shared" si="139">IF(AA470="正常",IF(I470="已计入",IF(OR(OR(B470="买入",B470="定投",B470="转换转入"),B470="红利再投"),D470,IF(B470="卖出",-D470,0)),0),"")</f>
        <v>0</v>
      </c>
      <c r="K470" s="11">
        <f t="shared" si="144">IF(AA470="正常",ROUND(K469+J470,6),"")</f>
        <v>25721.6</v>
      </c>
      <c r="L470" s="11" t="str">
        <f t="shared" si="145">IF(I470="已计入",ROUND(K469*C470,2),"")</f>
        <v/>
      </c>
      <c r="M470" s="11" t="str">
        <f t="shared" si="146">IF(I470="已计入",IF(B470="卖出",MAX(0,L470-Q469-F470),IF(B470="现金分红",MAX(0,L470+E470-Q469),0)),"")</f>
        <v/>
      </c>
      <c r="N470" s="11" t="str">
        <f>IF(I470="已计入",IF(AND(B470="卖出",'持仓总览'!$C$7="本金优先"),MAX(0,E470-Q469),IF(OR(B470="卖出",B470="现金分红"),MIN(E470,M470),0)),"")</f>
        <v/>
      </c>
      <c r="O470" s="11" t="str">
        <f t="shared" si="147">IF(I470="已计入",IF(OR(B470="卖出",B470="现金分红"),MIN(Q469,MAX(0,E470-N470)),0),"")</f>
        <v/>
      </c>
      <c r="P470" s="11" t="str">
        <f t="shared" si="148">IF(I470="已计入",IF(AND(B470="卖出",K470=0),MAX(0,Q469-O470),0),"")</f>
        <v/>
      </c>
      <c r="Q470" s="11">
        <f t="shared" si="149">IF(AA470="正常",IF(I470="已计入",ROUND(Q469+IF(OR(B470="买入",B470="定投",B470="转换转入"),E470,0)-O470-P470,2),Q469),"")</f>
        <v>129570</v>
      </c>
      <c r="R470" s="11" t="str">
        <f t="shared" si="140">IF(I470="已计入",ROUND(K470*C470,2),"")</f>
        <v/>
      </c>
      <c r="S470" s="11" t="str">
        <f t="shared" si="141">IF(I470="已计入",ROUND(R470-Q470,2),"")</f>
        <v/>
      </c>
      <c r="T470" s="12" t="str">
        <f t="shared" si="142">IF(I470="已计入",IF(Q470=0,"",S470/Q470),"")</f>
        <v/>
      </c>
      <c r="U470" s="11">
        <f t="shared" si="150">IF(AA470="正常",U469+IF(AND(I470="已计入",OR(B470="买入",B470="定投",B470="转换转入")),E470,0),"")</f>
        <v>129570</v>
      </c>
      <c r="V470" s="11">
        <f t="shared" si="151">IF(AA470="正常",V469+IF(AND(I470="已计入",OR(B470="卖出",B470="现金分红")),E470,0),"")</f>
        <v>0</v>
      </c>
      <c r="W470" s="11">
        <f t="shared" si="152">IF(AA470="正常",W469+IF(I470="已计入",N470,0),"")</f>
        <v>0</v>
      </c>
      <c r="X470" s="11">
        <f t="shared" si="153">IF(AA470="正常",X469+IF(I470="已计入",P470,0),"")</f>
        <v>0</v>
      </c>
      <c r="Y470" s="11" t="str">
        <f t="shared" si="143">IF(I470="已计入",ROUND(R470+V470-U470,2),"")</f>
        <v/>
      </c>
      <c r="Z470" s="13">
        <f t="shared" si="154">IF(AA470="正常",IF(I470="已计入",A470,Z469),"")</f>
        <v>46239</v>
      </c>
      <c r="AA470" s="10" t="str">
        <f>IF(OR($AA$134="错误",COUNTIF($G$135:G470,"待修正")&gt;0),"错误","正常")</f>
        <v>正常</v>
      </c>
      <c r="AB470" s="14">
        <f t="shared" si="155">IF(AA470="正常",IF(I470="已计入",C470,AB469),"")</f>
        <v>6.347</v>
      </c>
    </row>
    <row r="471" ht="23" customHeight="1">
      <c r="A471" s="36"/>
      <c r="B471" s="37"/>
      <c r="C471" s="38"/>
      <c r="D471" s="39"/>
      <c r="E471" s="44" t="str">
        <f t="shared" si="136">IF(AND(ISNUMBER(C471),ISNUMBER(D471),ISNUMBER(F471)),IF(OR(B471="买入",B471="定投"),ROUND(C471*D471+F471,2),IF(B471="卖出",ROUND(C471*D471-F471,2),IF(B471="红利再投",0,""))),"")</f>
        <v/>
      </c>
      <c r="F471" s="39"/>
      <c r="G471" s="45" t="str">
        <f t="shared" si="137">IF(COUNTA(A471:D471,F471)=0,"",IF(I471="已计入","已录入","待修正"))</f>
        <v/>
      </c>
      <c r="H471" s="46" t="str">
        <f t="shared" si="138">IF(COUNTA(A471:D471,F471)=0,"",IF(B471="红利再投","仅增加份额，不增加现金投入","金额由份额、净值和手续费推算"))</f>
        <v/>
      </c>
      <c r="I471" s="10" t="str">
        <f>IF(COUNTA(A471:D471,F471)=0,"",IF(NOT(ISNUMBER(A471)),"缺少有效净值日期",IF(OR(A471&lt;=0,A471&lt;&gt;INT(A471)),"净值日期无效",IF(OR(B471="转换转入",B471="现金分红"),"该类型需实际金额，五项录入不适用",IF(NOT(OR(OR(B471="买入",B471="定投"),B471="卖出",B471="红利再投")),"请选择交易类型",IF(NOT(ISNUMBER(C471)),"缺少成交净值",IF(C471&lt;=0,"成交净值须大于零",IF(NOT(ISNUMBER(D471)),"缺少确认份额",IF(D471&lt;=0,"确认份额须大于零",IF(NOT(ISNUMBER(F471)),"缺少手续费，无费用请填 0",IF(F471&lt;0,"手续费不能为负",IF(AA470="错误","前行待修正",IF(A471&lt;Z470,"日期需按成交顺序递增",IF(AND(B471="红利再投",F471&lt;&gt;0),"红利再投手续费应填 0",IF(AND(B471="红利再投",K470&lt;=0),"红利再投前须有持仓",IF(AND(B471="卖出",D471&gt;K470+0.000001),"卖出份额超过持仓",IF(AND(B471="卖出",F471&gt;=C471*D471),"赎回费不能达到赎回总额",IF(NOT(ISNUMBER(E471)),"自动金额未生成，请检查五项输入",IF(NOT(OR('持仓总览'!$C$7="利润优先",'持仓总览'!$C$7="本金优先")),"请选择卖出分配模式","已计入")))))))))))))))))))</f>
        <v/>
      </c>
      <c r="J471" s="11">
        <f t="shared" si="139">IF(AA471="正常",IF(I471="已计入",IF(OR(OR(B471="买入",B471="定投",B471="转换转入"),B471="红利再投"),D471,IF(B471="卖出",-D471,0)),0),"")</f>
        <v>0</v>
      </c>
      <c r="K471" s="11">
        <f t="shared" si="144">IF(AA471="正常",ROUND(K470+J471,6),"")</f>
        <v>25721.6</v>
      </c>
      <c r="L471" s="11" t="str">
        <f t="shared" si="145">IF(I471="已计入",ROUND(K470*C471,2),"")</f>
        <v/>
      </c>
      <c r="M471" s="11" t="str">
        <f t="shared" si="146">IF(I471="已计入",IF(B471="卖出",MAX(0,L471-Q470-F471),IF(B471="现金分红",MAX(0,L471+E471-Q470),0)),"")</f>
        <v/>
      </c>
      <c r="N471" s="11" t="str">
        <f>IF(I471="已计入",IF(AND(B471="卖出",'持仓总览'!$C$7="本金优先"),MAX(0,E471-Q470),IF(OR(B471="卖出",B471="现金分红"),MIN(E471,M471),0)),"")</f>
        <v/>
      </c>
      <c r="O471" s="11" t="str">
        <f t="shared" si="147">IF(I471="已计入",IF(OR(B471="卖出",B471="现金分红"),MIN(Q470,MAX(0,E471-N471)),0),"")</f>
        <v/>
      </c>
      <c r="P471" s="11" t="str">
        <f t="shared" si="148">IF(I471="已计入",IF(AND(B471="卖出",K471=0),MAX(0,Q470-O471),0),"")</f>
        <v/>
      </c>
      <c r="Q471" s="11">
        <f t="shared" si="149">IF(AA471="正常",IF(I471="已计入",ROUND(Q470+IF(OR(B471="买入",B471="定投",B471="转换转入"),E471,0)-O471-P471,2),Q470),"")</f>
        <v>129570</v>
      </c>
      <c r="R471" s="11" t="str">
        <f t="shared" si="140">IF(I471="已计入",ROUND(K471*C471,2),"")</f>
        <v/>
      </c>
      <c r="S471" s="11" t="str">
        <f t="shared" si="141">IF(I471="已计入",ROUND(R471-Q471,2),"")</f>
        <v/>
      </c>
      <c r="T471" s="12" t="str">
        <f t="shared" si="142">IF(I471="已计入",IF(Q471=0,"",S471/Q471),"")</f>
        <v/>
      </c>
      <c r="U471" s="11">
        <f t="shared" si="150">IF(AA471="正常",U470+IF(AND(I471="已计入",OR(B471="买入",B471="定投",B471="转换转入")),E471,0),"")</f>
        <v>129570</v>
      </c>
      <c r="V471" s="11">
        <f t="shared" si="151">IF(AA471="正常",V470+IF(AND(I471="已计入",OR(B471="卖出",B471="现金分红")),E471,0),"")</f>
        <v>0</v>
      </c>
      <c r="W471" s="11">
        <f t="shared" si="152">IF(AA471="正常",W470+IF(I471="已计入",N471,0),"")</f>
        <v>0</v>
      </c>
      <c r="X471" s="11">
        <f t="shared" si="153">IF(AA471="正常",X470+IF(I471="已计入",P471,0),"")</f>
        <v>0</v>
      </c>
      <c r="Y471" s="11" t="str">
        <f t="shared" si="143">IF(I471="已计入",ROUND(R471+V471-U471,2),"")</f>
        <v/>
      </c>
      <c r="Z471" s="13">
        <f t="shared" si="154">IF(AA471="正常",IF(I471="已计入",A471,Z470),"")</f>
        <v>46239</v>
      </c>
      <c r="AA471" s="10" t="str">
        <f>IF(OR($AA$134="错误",COUNTIF($G$135:G471,"待修正")&gt;0),"错误","正常")</f>
        <v>正常</v>
      </c>
      <c r="AB471" s="14">
        <f t="shared" si="155">IF(AA471="正常",IF(I471="已计入",C471,AB470),"")</f>
        <v>6.347</v>
      </c>
    </row>
    <row r="472" ht="23" customHeight="1">
      <c r="A472" s="36"/>
      <c r="B472" s="37"/>
      <c r="C472" s="38"/>
      <c r="D472" s="39"/>
      <c r="E472" s="44" t="str">
        <f t="shared" si="136">IF(AND(ISNUMBER(C472),ISNUMBER(D472),ISNUMBER(F472)),IF(OR(B472="买入",B472="定投"),ROUND(C472*D472+F472,2),IF(B472="卖出",ROUND(C472*D472-F472,2),IF(B472="红利再投",0,""))),"")</f>
        <v/>
      </c>
      <c r="F472" s="39"/>
      <c r="G472" s="45" t="str">
        <f t="shared" si="137">IF(COUNTA(A472:D472,F472)=0,"",IF(I472="已计入","已录入","待修正"))</f>
        <v/>
      </c>
      <c r="H472" s="46" t="str">
        <f t="shared" si="138">IF(COUNTA(A472:D472,F472)=0,"",IF(B472="红利再投","仅增加份额，不增加现金投入","金额由份额、净值和手续费推算"))</f>
        <v/>
      </c>
      <c r="I472" s="10" t="str">
        <f>IF(COUNTA(A472:D472,F472)=0,"",IF(NOT(ISNUMBER(A472)),"缺少有效净值日期",IF(OR(A472&lt;=0,A472&lt;&gt;INT(A472)),"净值日期无效",IF(OR(B472="转换转入",B472="现金分红"),"该类型需实际金额，五项录入不适用",IF(NOT(OR(OR(B472="买入",B472="定投"),B472="卖出",B472="红利再投")),"请选择交易类型",IF(NOT(ISNUMBER(C472)),"缺少成交净值",IF(C472&lt;=0,"成交净值须大于零",IF(NOT(ISNUMBER(D472)),"缺少确认份额",IF(D472&lt;=0,"确认份额须大于零",IF(NOT(ISNUMBER(F472)),"缺少手续费，无费用请填 0",IF(F472&lt;0,"手续费不能为负",IF(AA471="错误","前行待修正",IF(A472&lt;Z471,"日期需按成交顺序递增",IF(AND(B472="红利再投",F472&lt;&gt;0),"红利再投手续费应填 0",IF(AND(B472="红利再投",K471&lt;=0),"红利再投前须有持仓",IF(AND(B472="卖出",D472&gt;K471+0.000001),"卖出份额超过持仓",IF(AND(B472="卖出",F472&gt;=C472*D472),"赎回费不能达到赎回总额",IF(NOT(ISNUMBER(E472)),"自动金额未生成，请检查五项输入",IF(NOT(OR('持仓总览'!$C$7="利润优先",'持仓总览'!$C$7="本金优先")),"请选择卖出分配模式","已计入")))))))))))))))))))</f>
        <v/>
      </c>
      <c r="J472" s="11">
        <f t="shared" si="139">IF(AA472="正常",IF(I472="已计入",IF(OR(OR(B472="买入",B472="定投",B472="转换转入"),B472="红利再投"),D472,IF(B472="卖出",-D472,0)),0),"")</f>
        <v>0</v>
      </c>
      <c r="K472" s="11">
        <f t="shared" si="144">IF(AA472="正常",ROUND(K471+J472,6),"")</f>
        <v>25721.6</v>
      </c>
      <c r="L472" s="11" t="str">
        <f t="shared" si="145">IF(I472="已计入",ROUND(K471*C472,2),"")</f>
        <v/>
      </c>
      <c r="M472" s="11" t="str">
        <f t="shared" si="146">IF(I472="已计入",IF(B472="卖出",MAX(0,L472-Q471-F472),IF(B472="现金分红",MAX(0,L472+E472-Q471),0)),"")</f>
        <v/>
      </c>
      <c r="N472" s="11" t="str">
        <f>IF(I472="已计入",IF(AND(B472="卖出",'持仓总览'!$C$7="本金优先"),MAX(0,E472-Q471),IF(OR(B472="卖出",B472="现金分红"),MIN(E472,M472),0)),"")</f>
        <v/>
      </c>
      <c r="O472" s="11" t="str">
        <f t="shared" si="147">IF(I472="已计入",IF(OR(B472="卖出",B472="现金分红"),MIN(Q471,MAX(0,E472-N472)),0),"")</f>
        <v/>
      </c>
      <c r="P472" s="11" t="str">
        <f t="shared" si="148">IF(I472="已计入",IF(AND(B472="卖出",K472=0),MAX(0,Q471-O472),0),"")</f>
        <v/>
      </c>
      <c r="Q472" s="11">
        <f t="shared" si="149">IF(AA472="正常",IF(I472="已计入",ROUND(Q471+IF(OR(B472="买入",B472="定投",B472="转换转入"),E472,0)-O472-P472,2),Q471),"")</f>
        <v>129570</v>
      </c>
      <c r="R472" s="11" t="str">
        <f t="shared" si="140">IF(I472="已计入",ROUND(K472*C472,2),"")</f>
        <v/>
      </c>
      <c r="S472" s="11" t="str">
        <f t="shared" si="141">IF(I472="已计入",ROUND(R472-Q472,2),"")</f>
        <v/>
      </c>
      <c r="T472" s="12" t="str">
        <f t="shared" si="142">IF(I472="已计入",IF(Q472=0,"",S472/Q472),"")</f>
        <v/>
      </c>
      <c r="U472" s="11">
        <f t="shared" si="150">IF(AA472="正常",U471+IF(AND(I472="已计入",OR(B472="买入",B472="定投",B472="转换转入")),E472,0),"")</f>
        <v>129570</v>
      </c>
      <c r="V472" s="11">
        <f t="shared" si="151">IF(AA472="正常",V471+IF(AND(I472="已计入",OR(B472="卖出",B472="现金分红")),E472,0),"")</f>
        <v>0</v>
      </c>
      <c r="W472" s="11">
        <f t="shared" si="152">IF(AA472="正常",W471+IF(I472="已计入",N472,0),"")</f>
        <v>0</v>
      </c>
      <c r="X472" s="11">
        <f t="shared" si="153">IF(AA472="正常",X471+IF(I472="已计入",P472,0),"")</f>
        <v>0</v>
      </c>
      <c r="Y472" s="11" t="str">
        <f t="shared" si="143">IF(I472="已计入",ROUND(R472+V472-U472,2),"")</f>
        <v/>
      </c>
      <c r="Z472" s="13">
        <f t="shared" si="154">IF(AA472="正常",IF(I472="已计入",A472,Z471),"")</f>
        <v>46239</v>
      </c>
      <c r="AA472" s="10" t="str">
        <f>IF(OR($AA$134="错误",COUNTIF($G$135:G472,"待修正")&gt;0),"错误","正常")</f>
        <v>正常</v>
      </c>
      <c r="AB472" s="14">
        <f t="shared" si="155">IF(AA472="正常",IF(I472="已计入",C472,AB471),"")</f>
        <v>6.347</v>
      </c>
    </row>
    <row r="473" ht="23" customHeight="1">
      <c r="A473" s="36"/>
      <c r="B473" s="37"/>
      <c r="C473" s="38"/>
      <c r="D473" s="39"/>
      <c r="E473" s="44" t="str">
        <f t="shared" si="136">IF(AND(ISNUMBER(C473),ISNUMBER(D473),ISNUMBER(F473)),IF(OR(B473="买入",B473="定投"),ROUND(C473*D473+F473,2),IF(B473="卖出",ROUND(C473*D473-F473,2),IF(B473="红利再投",0,""))),"")</f>
        <v/>
      </c>
      <c r="F473" s="39"/>
      <c r="G473" s="45" t="str">
        <f t="shared" si="137">IF(COUNTA(A473:D473,F473)=0,"",IF(I473="已计入","已录入","待修正"))</f>
        <v/>
      </c>
      <c r="H473" s="46" t="str">
        <f t="shared" si="138">IF(COUNTA(A473:D473,F473)=0,"",IF(B473="红利再投","仅增加份额，不增加现金投入","金额由份额、净值和手续费推算"))</f>
        <v/>
      </c>
      <c r="I473" s="10" t="str">
        <f>IF(COUNTA(A473:D473,F473)=0,"",IF(NOT(ISNUMBER(A473)),"缺少有效净值日期",IF(OR(A473&lt;=0,A473&lt;&gt;INT(A473)),"净值日期无效",IF(OR(B473="转换转入",B473="现金分红"),"该类型需实际金额，五项录入不适用",IF(NOT(OR(OR(B473="买入",B473="定投"),B473="卖出",B473="红利再投")),"请选择交易类型",IF(NOT(ISNUMBER(C473)),"缺少成交净值",IF(C473&lt;=0,"成交净值须大于零",IF(NOT(ISNUMBER(D473)),"缺少确认份额",IF(D473&lt;=0,"确认份额须大于零",IF(NOT(ISNUMBER(F473)),"缺少手续费，无费用请填 0",IF(F473&lt;0,"手续费不能为负",IF(AA472="错误","前行待修正",IF(A473&lt;Z472,"日期需按成交顺序递增",IF(AND(B473="红利再投",F473&lt;&gt;0),"红利再投手续费应填 0",IF(AND(B473="红利再投",K472&lt;=0),"红利再投前须有持仓",IF(AND(B473="卖出",D473&gt;K472+0.000001),"卖出份额超过持仓",IF(AND(B473="卖出",F473&gt;=C473*D473),"赎回费不能达到赎回总额",IF(NOT(ISNUMBER(E473)),"自动金额未生成，请检查五项输入",IF(NOT(OR('持仓总览'!$C$7="利润优先",'持仓总览'!$C$7="本金优先")),"请选择卖出分配模式","已计入")))))))))))))))))))</f>
        <v/>
      </c>
      <c r="J473" s="11">
        <f t="shared" si="139">IF(AA473="正常",IF(I473="已计入",IF(OR(OR(B473="买入",B473="定投",B473="转换转入"),B473="红利再投"),D473,IF(B473="卖出",-D473,0)),0),"")</f>
        <v>0</v>
      </c>
      <c r="K473" s="11">
        <f t="shared" si="144">IF(AA473="正常",ROUND(K472+J473,6),"")</f>
        <v>25721.6</v>
      </c>
      <c r="L473" s="11" t="str">
        <f t="shared" si="145">IF(I473="已计入",ROUND(K472*C473,2),"")</f>
        <v/>
      </c>
      <c r="M473" s="11" t="str">
        <f t="shared" si="146">IF(I473="已计入",IF(B473="卖出",MAX(0,L473-Q472-F473),IF(B473="现金分红",MAX(0,L473+E473-Q472),0)),"")</f>
        <v/>
      </c>
      <c r="N473" s="11" t="str">
        <f>IF(I473="已计入",IF(AND(B473="卖出",'持仓总览'!$C$7="本金优先"),MAX(0,E473-Q472),IF(OR(B473="卖出",B473="现金分红"),MIN(E473,M473),0)),"")</f>
        <v/>
      </c>
      <c r="O473" s="11" t="str">
        <f t="shared" si="147">IF(I473="已计入",IF(OR(B473="卖出",B473="现金分红"),MIN(Q472,MAX(0,E473-N473)),0),"")</f>
        <v/>
      </c>
      <c r="P473" s="11" t="str">
        <f t="shared" si="148">IF(I473="已计入",IF(AND(B473="卖出",K473=0),MAX(0,Q472-O473),0),"")</f>
        <v/>
      </c>
      <c r="Q473" s="11">
        <f t="shared" si="149">IF(AA473="正常",IF(I473="已计入",ROUND(Q472+IF(OR(B473="买入",B473="定投",B473="转换转入"),E473,0)-O473-P473,2),Q472),"")</f>
        <v>129570</v>
      </c>
      <c r="R473" s="11" t="str">
        <f t="shared" si="140">IF(I473="已计入",ROUND(K473*C473,2),"")</f>
        <v/>
      </c>
      <c r="S473" s="11" t="str">
        <f t="shared" si="141">IF(I473="已计入",ROUND(R473-Q473,2),"")</f>
        <v/>
      </c>
      <c r="T473" s="12" t="str">
        <f t="shared" si="142">IF(I473="已计入",IF(Q473=0,"",S473/Q473),"")</f>
        <v/>
      </c>
      <c r="U473" s="11">
        <f t="shared" si="150">IF(AA473="正常",U472+IF(AND(I473="已计入",OR(B473="买入",B473="定投",B473="转换转入")),E473,0),"")</f>
        <v>129570</v>
      </c>
      <c r="V473" s="11">
        <f t="shared" si="151">IF(AA473="正常",V472+IF(AND(I473="已计入",OR(B473="卖出",B473="现金分红")),E473,0),"")</f>
        <v>0</v>
      </c>
      <c r="W473" s="11">
        <f t="shared" si="152">IF(AA473="正常",W472+IF(I473="已计入",N473,0),"")</f>
        <v>0</v>
      </c>
      <c r="X473" s="11">
        <f t="shared" si="153">IF(AA473="正常",X472+IF(I473="已计入",P473,0),"")</f>
        <v>0</v>
      </c>
      <c r="Y473" s="11" t="str">
        <f t="shared" si="143">IF(I473="已计入",ROUND(R473+V473-U473,2),"")</f>
        <v/>
      </c>
      <c r="Z473" s="13">
        <f t="shared" si="154">IF(AA473="正常",IF(I473="已计入",A473,Z472),"")</f>
        <v>46239</v>
      </c>
      <c r="AA473" s="10" t="str">
        <f>IF(OR($AA$134="错误",COUNTIF($G$135:G473,"待修正")&gt;0),"错误","正常")</f>
        <v>正常</v>
      </c>
      <c r="AB473" s="14">
        <f t="shared" si="155">IF(AA473="正常",IF(I473="已计入",C473,AB472),"")</f>
        <v>6.347</v>
      </c>
    </row>
    <row r="474" ht="23" customHeight="1">
      <c r="A474" s="36"/>
      <c r="B474" s="37"/>
      <c r="C474" s="38"/>
      <c r="D474" s="39"/>
      <c r="E474" s="44" t="str">
        <f t="shared" si="136">IF(AND(ISNUMBER(C474),ISNUMBER(D474),ISNUMBER(F474)),IF(OR(B474="买入",B474="定投"),ROUND(C474*D474+F474,2),IF(B474="卖出",ROUND(C474*D474-F474,2),IF(B474="红利再投",0,""))),"")</f>
        <v/>
      </c>
      <c r="F474" s="39"/>
      <c r="G474" s="45" t="str">
        <f t="shared" si="137">IF(COUNTA(A474:D474,F474)=0,"",IF(I474="已计入","已录入","待修正"))</f>
        <v/>
      </c>
      <c r="H474" s="46" t="str">
        <f t="shared" si="138">IF(COUNTA(A474:D474,F474)=0,"",IF(B474="红利再投","仅增加份额，不增加现金投入","金额由份额、净值和手续费推算"))</f>
        <v/>
      </c>
      <c r="I474" s="10" t="str">
        <f>IF(COUNTA(A474:D474,F474)=0,"",IF(NOT(ISNUMBER(A474)),"缺少有效净值日期",IF(OR(A474&lt;=0,A474&lt;&gt;INT(A474)),"净值日期无效",IF(OR(B474="转换转入",B474="现金分红"),"该类型需实际金额，五项录入不适用",IF(NOT(OR(OR(B474="买入",B474="定投"),B474="卖出",B474="红利再投")),"请选择交易类型",IF(NOT(ISNUMBER(C474)),"缺少成交净值",IF(C474&lt;=0,"成交净值须大于零",IF(NOT(ISNUMBER(D474)),"缺少确认份额",IF(D474&lt;=0,"确认份额须大于零",IF(NOT(ISNUMBER(F474)),"缺少手续费，无费用请填 0",IF(F474&lt;0,"手续费不能为负",IF(AA473="错误","前行待修正",IF(A474&lt;Z473,"日期需按成交顺序递增",IF(AND(B474="红利再投",F474&lt;&gt;0),"红利再投手续费应填 0",IF(AND(B474="红利再投",K473&lt;=0),"红利再投前须有持仓",IF(AND(B474="卖出",D474&gt;K473+0.000001),"卖出份额超过持仓",IF(AND(B474="卖出",F474&gt;=C474*D474),"赎回费不能达到赎回总额",IF(NOT(ISNUMBER(E474)),"自动金额未生成，请检查五项输入",IF(NOT(OR('持仓总览'!$C$7="利润优先",'持仓总览'!$C$7="本金优先")),"请选择卖出分配模式","已计入")))))))))))))))))))</f>
        <v/>
      </c>
      <c r="J474" s="11">
        <f t="shared" si="139">IF(AA474="正常",IF(I474="已计入",IF(OR(OR(B474="买入",B474="定投",B474="转换转入"),B474="红利再投"),D474,IF(B474="卖出",-D474,0)),0),"")</f>
        <v>0</v>
      </c>
      <c r="K474" s="11">
        <f t="shared" si="144">IF(AA474="正常",ROUND(K473+J474,6),"")</f>
        <v>25721.6</v>
      </c>
      <c r="L474" s="11" t="str">
        <f t="shared" si="145">IF(I474="已计入",ROUND(K473*C474,2),"")</f>
        <v/>
      </c>
      <c r="M474" s="11" t="str">
        <f t="shared" si="146">IF(I474="已计入",IF(B474="卖出",MAX(0,L474-Q473-F474),IF(B474="现金分红",MAX(0,L474+E474-Q473),0)),"")</f>
        <v/>
      </c>
      <c r="N474" s="11" t="str">
        <f>IF(I474="已计入",IF(AND(B474="卖出",'持仓总览'!$C$7="本金优先"),MAX(0,E474-Q473),IF(OR(B474="卖出",B474="现金分红"),MIN(E474,M474),0)),"")</f>
        <v/>
      </c>
      <c r="O474" s="11" t="str">
        <f t="shared" si="147">IF(I474="已计入",IF(OR(B474="卖出",B474="现金分红"),MIN(Q473,MAX(0,E474-N474)),0),"")</f>
        <v/>
      </c>
      <c r="P474" s="11" t="str">
        <f t="shared" si="148">IF(I474="已计入",IF(AND(B474="卖出",K474=0),MAX(0,Q473-O474),0),"")</f>
        <v/>
      </c>
      <c r="Q474" s="11">
        <f t="shared" si="149">IF(AA474="正常",IF(I474="已计入",ROUND(Q473+IF(OR(B474="买入",B474="定投",B474="转换转入"),E474,0)-O474-P474,2),Q473),"")</f>
        <v>129570</v>
      </c>
      <c r="R474" s="11" t="str">
        <f t="shared" si="140">IF(I474="已计入",ROUND(K474*C474,2),"")</f>
        <v/>
      </c>
      <c r="S474" s="11" t="str">
        <f t="shared" si="141">IF(I474="已计入",ROUND(R474-Q474,2),"")</f>
        <v/>
      </c>
      <c r="T474" s="12" t="str">
        <f t="shared" si="142">IF(I474="已计入",IF(Q474=0,"",S474/Q474),"")</f>
        <v/>
      </c>
      <c r="U474" s="11">
        <f t="shared" si="150">IF(AA474="正常",U473+IF(AND(I474="已计入",OR(B474="买入",B474="定投",B474="转换转入")),E474,0),"")</f>
        <v>129570</v>
      </c>
      <c r="V474" s="11">
        <f t="shared" si="151">IF(AA474="正常",V473+IF(AND(I474="已计入",OR(B474="卖出",B474="现金分红")),E474,0),"")</f>
        <v>0</v>
      </c>
      <c r="W474" s="11">
        <f t="shared" si="152">IF(AA474="正常",W473+IF(I474="已计入",N474,0),"")</f>
        <v>0</v>
      </c>
      <c r="X474" s="11">
        <f t="shared" si="153">IF(AA474="正常",X473+IF(I474="已计入",P474,0),"")</f>
        <v>0</v>
      </c>
      <c r="Y474" s="11" t="str">
        <f t="shared" si="143">IF(I474="已计入",ROUND(R474+V474-U474,2),"")</f>
        <v/>
      </c>
      <c r="Z474" s="13">
        <f t="shared" si="154">IF(AA474="正常",IF(I474="已计入",A474,Z473),"")</f>
        <v>46239</v>
      </c>
      <c r="AA474" s="10" t="str">
        <f>IF(OR($AA$134="错误",COUNTIF($G$135:G474,"待修正")&gt;0),"错误","正常")</f>
        <v>正常</v>
      </c>
      <c r="AB474" s="14">
        <f t="shared" si="155">IF(AA474="正常",IF(I474="已计入",C474,AB473),"")</f>
        <v>6.347</v>
      </c>
    </row>
    <row r="475" ht="23" customHeight="1">
      <c r="A475" s="36"/>
      <c r="B475" s="37"/>
      <c r="C475" s="38"/>
      <c r="D475" s="39"/>
      <c r="E475" s="44" t="str">
        <f t="shared" si="136">IF(AND(ISNUMBER(C475),ISNUMBER(D475),ISNUMBER(F475)),IF(OR(B475="买入",B475="定投"),ROUND(C475*D475+F475,2),IF(B475="卖出",ROUND(C475*D475-F475,2),IF(B475="红利再投",0,""))),"")</f>
        <v/>
      </c>
      <c r="F475" s="39"/>
      <c r="G475" s="45" t="str">
        <f t="shared" si="137">IF(COUNTA(A475:D475,F475)=0,"",IF(I475="已计入","已录入","待修正"))</f>
        <v/>
      </c>
      <c r="H475" s="46" t="str">
        <f t="shared" si="138">IF(COUNTA(A475:D475,F475)=0,"",IF(B475="红利再投","仅增加份额，不增加现金投入","金额由份额、净值和手续费推算"))</f>
        <v/>
      </c>
      <c r="I475" s="10" t="str">
        <f>IF(COUNTA(A475:D475,F475)=0,"",IF(NOT(ISNUMBER(A475)),"缺少有效净值日期",IF(OR(A475&lt;=0,A475&lt;&gt;INT(A475)),"净值日期无效",IF(OR(B475="转换转入",B475="现金分红"),"该类型需实际金额，五项录入不适用",IF(NOT(OR(OR(B475="买入",B475="定投"),B475="卖出",B475="红利再投")),"请选择交易类型",IF(NOT(ISNUMBER(C475)),"缺少成交净值",IF(C475&lt;=0,"成交净值须大于零",IF(NOT(ISNUMBER(D475)),"缺少确认份额",IF(D475&lt;=0,"确认份额须大于零",IF(NOT(ISNUMBER(F475)),"缺少手续费，无费用请填 0",IF(F475&lt;0,"手续费不能为负",IF(AA474="错误","前行待修正",IF(A475&lt;Z474,"日期需按成交顺序递增",IF(AND(B475="红利再投",F475&lt;&gt;0),"红利再投手续费应填 0",IF(AND(B475="红利再投",K474&lt;=0),"红利再投前须有持仓",IF(AND(B475="卖出",D475&gt;K474+0.000001),"卖出份额超过持仓",IF(AND(B475="卖出",F475&gt;=C475*D475),"赎回费不能达到赎回总额",IF(NOT(ISNUMBER(E475)),"自动金额未生成，请检查五项输入",IF(NOT(OR('持仓总览'!$C$7="利润优先",'持仓总览'!$C$7="本金优先")),"请选择卖出分配模式","已计入")))))))))))))))))))</f>
        <v/>
      </c>
      <c r="J475" s="11">
        <f t="shared" si="139">IF(AA475="正常",IF(I475="已计入",IF(OR(OR(B475="买入",B475="定投",B475="转换转入"),B475="红利再投"),D475,IF(B475="卖出",-D475,0)),0),"")</f>
        <v>0</v>
      </c>
      <c r="K475" s="11">
        <f t="shared" si="144">IF(AA475="正常",ROUND(K474+J475,6),"")</f>
        <v>25721.6</v>
      </c>
      <c r="L475" s="11" t="str">
        <f t="shared" si="145">IF(I475="已计入",ROUND(K474*C475,2),"")</f>
        <v/>
      </c>
      <c r="M475" s="11" t="str">
        <f t="shared" si="146">IF(I475="已计入",IF(B475="卖出",MAX(0,L475-Q474-F475),IF(B475="现金分红",MAX(0,L475+E475-Q474),0)),"")</f>
        <v/>
      </c>
      <c r="N475" s="11" t="str">
        <f>IF(I475="已计入",IF(AND(B475="卖出",'持仓总览'!$C$7="本金优先"),MAX(0,E475-Q474),IF(OR(B475="卖出",B475="现金分红"),MIN(E475,M475),0)),"")</f>
        <v/>
      </c>
      <c r="O475" s="11" t="str">
        <f t="shared" si="147">IF(I475="已计入",IF(OR(B475="卖出",B475="现金分红"),MIN(Q474,MAX(0,E475-N475)),0),"")</f>
        <v/>
      </c>
      <c r="P475" s="11" t="str">
        <f t="shared" si="148">IF(I475="已计入",IF(AND(B475="卖出",K475=0),MAX(0,Q474-O475),0),"")</f>
        <v/>
      </c>
      <c r="Q475" s="11">
        <f t="shared" si="149">IF(AA475="正常",IF(I475="已计入",ROUND(Q474+IF(OR(B475="买入",B475="定投",B475="转换转入"),E475,0)-O475-P475,2),Q474),"")</f>
        <v>129570</v>
      </c>
      <c r="R475" s="11" t="str">
        <f t="shared" si="140">IF(I475="已计入",ROUND(K475*C475,2),"")</f>
        <v/>
      </c>
      <c r="S475" s="11" t="str">
        <f t="shared" si="141">IF(I475="已计入",ROUND(R475-Q475,2),"")</f>
        <v/>
      </c>
      <c r="T475" s="12" t="str">
        <f t="shared" si="142">IF(I475="已计入",IF(Q475=0,"",S475/Q475),"")</f>
        <v/>
      </c>
      <c r="U475" s="11">
        <f t="shared" si="150">IF(AA475="正常",U474+IF(AND(I475="已计入",OR(B475="买入",B475="定投",B475="转换转入")),E475,0),"")</f>
        <v>129570</v>
      </c>
      <c r="V475" s="11">
        <f t="shared" si="151">IF(AA475="正常",V474+IF(AND(I475="已计入",OR(B475="卖出",B475="现金分红")),E475,0),"")</f>
        <v>0</v>
      </c>
      <c r="W475" s="11">
        <f t="shared" si="152">IF(AA475="正常",W474+IF(I475="已计入",N475,0),"")</f>
        <v>0</v>
      </c>
      <c r="X475" s="11">
        <f t="shared" si="153">IF(AA475="正常",X474+IF(I475="已计入",P475,0),"")</f>
        <v>0</v>
      </c>
      <c r="Y475" s="11" t="str">
        <f t="shared" si="143">IF(I475="已计入",ROUND(R475+V475-U475,2),"")</f>
        <v/>
      </c>
      <c r="Z475" s="13">
        <f t="shared" si="154">IF(AA475="正常",IF(I475="已计入",A475,Z474),"")</f>
        <v>46239</v>
      </c>
      <c r="AA475" s="10" t="str">
        <f>IF(OR($AA$134="错误",COUNTIF($G$135:G475,"待修正")&gt;0),"错误","正常")</f>
        <v>正常</v>
      </c>
      <c r="AB475" s="14">
        <f t="shared" si="155">IF(AA475="正常",IF(I475="已计入",C475,AB474),"")</f>
        <v>6.347</v>
      </c>
    </row>
    <row r="476" ht="23" customHeight="1">
      <c r="A476" s="36"/>
      <c r="B476" s="37"/>
      <c r="C476" s="38"/>
      <c r="D476" s="39"/>
      <c r="E476" s="44" t="str">
        <f t="shared" si="136">IF(AND(ISNUMBER(C476),ISNUMBER(D476),ISNUMBER(F476)),IF(OR(B476="买入",B476="定投"),ROUND(C476*D476+F476,2),IF(B476="卖出",ROUND(C476*D476-F476,2),IF(B476="红利再投",0,""))),"")</f>
        <v/>
      </c>
      <c r="F476" s="39"/>
      <c r="G476" s="45" t="str">
        <f t="shared" si="137">IF(COUNTA(A476:D476,F476)=0,"",IF(I476="已计入","已录入","待修正"))</f>
        <v/>
      </c>
      <c r="H476" s="46" t="str">
        <f t="shared" si="138">IF(COUNTA(A476:D476,F476)=0,"",IF(B476="红利再投","仅增加份额，不增加现金投入","金额由份额、净值和手续费推算"))</f>
        <v/>
      </c>
      <c r="I476" s="10" t="str">
        <f>IF(COUNTA(A476:D476,F476)=0,"",IF(NOT(ISNUMBER(A476)),"缺少有效净值日期",IF(OR(A476&lt;=0,A476&lt;&gt;INT(A476)),"净值日期无效",IF(OR(B476="转换转入",B476="现金分红"),"该类型需实际金额，五项录入不适用",IF(NOT(OR(OR(B476="买入",B476="定投"),B476="卖出",B476="红利再投")),"请选择交易类型",IF(NOT(ISNUMBER(C476)),"缺少成交净值",IF(C476&lt;=0,"成交净值须大于零",IF(NOT(ISNUMBER(D476)),"缺少确认份额",IF(D476&lt;=0,"确认份额须大于零",IF(NOT(ISNUMBER(F476)),"缺少手续费，无费用请填 0",IF(F476&lt;0,"手续费不能为负",IF(AA475="错误","前行待修正",IF(A476&lt;Z475,"日期需按成交顺序递增",IF(AND(B476="红利再投",F476&lt;&gt;0),"红利再投手续费应填 0",IF(AND(B476="红利再投",K475&lt;=0),"红利再投前须有持仓",IF(AND(B476="卖出",D476&gt;K475+0.000001),"卖出份额超过持仓",IF(AND(B476="卖出",F476&gt;=C476*D476),"赎回费不能达到赎回总额",IF(NOT(ISNUMBER(E476)),"自动金额未生成，请检查五项输入",IF(NOT(OR('持仓总览'!$C$7="利润优先",'持仓总览'!$C$7="本金优先")),"请选择卖出分配模式","已计入")))))))))))))))))))</f>
        <v/>
      </c>
      <c r="J476" s="11">
        <f t="shared" si="139">IF(AA476="正常",IF(I476="已计入",IF(OR(OR(B476="买入",B476="定投",B476="转换转入"),B476="红利再投"),D476,IF(B476="卖出",-D476,0)),0),"")</f>
        <v>0</v>
      </c>
      <c r="K476" s="11">
        <f t="shared" si="144">IF(AA476="正常",ROUND(K475+J476,6),"")</f>
        <v>25721.6</v>
      </c>
      <c r="L476" s="11" t="str">
        <f t="shared" si="145">IF(I476="已计入",ROUND(K475*C476,2),"")</f>
        <v/>
      </c>
      <c r="M476" s="11" t="str">
        <f t="shared" si="146">IF(I476="已计入",IF(B476="卖出",MAX(0,L476-Q475-F476),IF(B476="现金分红",MAX(0,L476+E476-Q475),0)),"")</f>
        <v/>
      </c>
      <c r="N476" s="11" t="str">
        <f>IF(I476="已计入",IF(AND(B476="卖出",'持仓总览'!$C$7="本金优先"),MAX(0,E476-Q475),IF(OR(B476="卖出",B476="现金分红"),MIN(E476,M476),0)),"")</f>
        <v/>
      </c>
      <c r="O476" s="11" t="str">
        <f t="shared" si="147">IF(I476="已计入",IF(OR(B476="卖出",B476="现金分红"),MIN(Q475,MAX(0,E476-N476)),0),"")</f>
        <v/>
      </c>
      <c r="P476" s="11" t="str">
        <f t="shared" si="148">IF(I476="已计入",IF(AND(B476="卖出",K476=0),MAX(0,Q475-O476),0),"")</f>
        <v/>
      </c>
      <c r="Q476" s="11">
        <f t="shared" si="149">IF(AA476="正常",IF(I476="已计入",ROUND(Q475+IF(OR(B476="买入",B476="定投",B476="转换转入"),E476,0)-O476-P476,2),Q475),"")</f>
        <v>129570</v>
      </c>
      <c r="R476" s="11" t="str">
        <f t="shared" si="140">IF(I476="已计入",ROUND(K476*C476,2),"")</f>
        <v/>
      </c>
      <c r="S476" s="11" t="str">
        <f t="shared" si="141">IF(I476="已计入",ROUND(R476-Q476,2),"")</f>
        <v/>
      </c>
      <c r="T476" s="12" t="str">
        <f t="shared" si="142">IF(I476="已计入",IF(Q476=0,"",S476/Q476),"")</f>
        <v/>
      </c>
      <c r="U476" s="11">
        <f t="shared" si="150">IF(AA476="正常",U475+IF(AND(I476="已计入",OR(B476="买入",B476="定投",B476="转换转入")),E476,0),"")</f>
        <v>129570</v>
      </c>
      <c r="V476" s="11">
        <f t="shared" si="151">IF(AA476="正常",V475+IF(AND(I476="已计入",OR(B476="卖出",B476="现金分红")),E476,0),"")</f>
        <v>0</v>
      </c>
      <c r="W476" s="11">
        <f t="shared" si="152">IF(AA476="正常",W475+IF(I476="已计入",N476,0),"")</f>
        <v>0</v>
      </c>
      <c r="X476" s="11">
        <f t="shared" si="153">IF(AA476="正常",X475+IF(I476="已计入",P476,0),"")</f>
        <v>0</v>
      </c>
      <c r="Y476" s="11" t="str">
        <f t="shared" si="143">IF(I476="已计入",ROUND(R476+V476-U476,2),"")</f>
        <v/>
      </c>
      <c r="Z476" s="13">
        <f t="shared" si="154">IF(AA476="正常",IF(I476="已计入",A476,Z475),"")</f>
        <v>46239</v>
      </c>
      <c r="AA476" s="10" t="str">
        <f>IF(OR($AA$134="错误",COUNTIF($G$135:G476,"待修正")&gt;0),"错误","正常")</f>
        <v>正常</v>
      </c>
      <c r="AB476" s="14">
        <f t="shared" si="155">IF(AA476="正常",IF(I476="已计入",C476,AB475),"")</f>
        <v>6.347</v>
      </c>
    </row>
    <row r="477" ht="23" customHeight="1">
      <c r="A477" s="36"/>
      <c r="B477" s="37"/>
      <c r="C477" s="38"/>
      <c r="D477" s="39"/>
      <c r="E477" s="44" t="str">
        <f t="shared" si="136">IF(AND(ISNUMBER(C477),ISNUMBER(D477),ISNUMBER(F477)),IF(OR(B477="买入",B477="定投"),ROUND(C477*D477+F477,2),IF(B477="卖出",ROUND(C477*D477-F477,2),IF(B477="红利再投",0,""))),"")</f>
        <v/>
      </c>
      <c r="F477" s="39"/>
      <c r="G477" s="45" t="str">
        <f t="shared" si="137">IF(COUNTA(A477:D477,F477)=0,"",IF(I477="已计入","已录入","待修正"))</f>
        <v/>
      </c>
      <c r="H477" s="46" t="str">
        <f t="shared" si="138">IF(COUNTA(A477:D477,F477)=0,"",IF(B477="红利再投","仅增加份额，不增加现金投入","金额由份额、净值和手续费推算"))</f>
        <v/>
      </c>
      <c r="I477" s="10" t="str">
        <f>IF(COUNTA(A477:D477,F477)=0,"",IF(NOT(ISNUMBER(A477)),"缺少有效净值日期",IF(OR(A477&lt;=0,A477&lt;&gt;INT(A477)),"净值日期无效",IF(OR(B477="转换转入",B477="现金分红"),"该类型需实际金额，五项录入不适用",IF(NOT(OR(OR(B477="买入",B477="定投"),B477="卖出",B477="红利再投")),"请选择交易类型",IF(NOT(ISNUMBER(C477)),"缺少成交净值",IF(C477&lt;=0,"成交净值须大于零",IF(NOT(ISNUMBER(D477)),"缺少确认份额",IF(D477&lt;=0,"确认份额须大于零",IF(NOT(ISNUMBER(F477)),"缺少手续费，无费用请填 0",IF(F477&lt;0,"手续费不能为负",IF(AA476="错误","前行待修正",IF(A477&lt;Z476,"日期需按成交顺序递增",IF(AND(B477="红利再投",F477&lt;&gt;0),"红利再投手续费应填 0",IF(AND(B477="红利再投",K476&lt;=0),"红利再投前须有持仓",IF(AND(B477="卖出",D477&gt;K476+0.000001),"卖出份额超过持仓",IF(AND(B477="卖出",F477&gt;=C477*D477),"赎回费不能达到赎回总额",IF(NOT(ISNUMBER(E477)),"自动金额未生成，请检查五项输入",IF(NOT(OR('持仓总览'!$C$7="利润优先",'持仓总览'!$C$7="本金优先")),"请选择卖出分配模式","已计入")))))))))))))))))))</f>
        <v/>
      </c>
      <c r="J477" s="11">
        <f t="shared" si="139">IF(AA477="正常",IF(I477="已计入",IF(OR(OR(B477="买入",B477="定投",B477="转换转入"),B477="红利再投"),D477,IF(B477="卖出",-D477,0)),0),"")</f>
        <v>0</v>
      </c>
      <c r="K477" s="11">
        <f t="shared" si="144">IF(AA477="正常",ROUND(K476+J477,6),"")</f>
        <v>25721.6</v>
      </c>
      <c r="L477" s="11" t="str">
        <f t="shared" si="145">IF(I477="已计入",ROUND(K476*C477,2),"")</f>
        <v/>
      </c>
      <c r="M477" s="11" t="str">
        <f t="shared" si="146">IF(I477="已计入",IF(B477="卖出",MAX(0,L477-Q476-F477),IF(B477="现金分红",MAX(0,L477+E477-Q476),0)),"")</f>
        <v/>
      </c>
      <c r="N477" s="11" t="str">
        <f>IF(I477="已计入",IF(AND(B477="卖出",'持仓总览'!$C$7="本金优先"),MAX(0,E477-Q476),IF(OR(B477="卖出",B477="现金分红"),MIN(E477,M477),0)),"")</f>
        <v/>
      </c>
      <c r="O477" s="11" t="str">
        <f t="shared" si="147">IF(I477="已计入",IF(OR(B477="卖出",B477="现金分红"),MIN(Q476,MAX(0,E477-N477)),0),"")</f>
        <v/>
      </c>
      <c r="P477" s="11" t="str">
        <f t="shared" si="148">IF(I477="已计入",IF(AND(B477="卖出",K477=0),MAX(0,Q476-O477),0),"")</f>
        <v/>
      </c>
      <c r="Q477" s="11">
        <f t="shared" si="149">IF(AA477="正常",IF(I477="已计入",ROUND(Q476+IF(OR(B477="买入",B477="定投",B477="转换转入"),E477,0)-O477-P477,2),Q476),"")</f>
        <v>129570</v>
      </c>
      <c r="R477" s="11" t="str">
        <f t="shared" si="140">IF(I477="已计入",ROUND(K477*C477,2),"")</f>
        <v/>
      </c>
      <c r="S477" s="11" t="str">
        <f t="shared" si="141">IF(I477="已计入",ROUND(R477-Q477,2),"")</f>
        <v/>
      </c>
      <c r="T477" s="12" t="str">
        <f t="shared" si="142">IF(I477="已计入",IF(Q477=0,"",S477/Q477),"")</f>
        <v/>
      </c>
      <c r="U477" s="11">
        <f t="shared" si="150">IF(AA477="正常",U476+IF(AND(I477="已计入",OR(B477="买入",B477="定投",B477="转换转入")),E477,0),"")</f>
        <v>129570</v>
      </c>
      <c r="V477" s="11">
        <f t="shared" si="151">IF(AA477="正常",V476+IF(AND(I477="已计入",OR(B477="卖出",B477="现金分红")),E477,0),"")</f>
        <v>0</v>
      </c>
      <c r="W477" s="11">
        <f t="shared" si="152">IF(AA477="正常",W476+IF(I477="已计入",N477,0),"")</f>
        <v>0</v>
      </c>
      <c r="X477" s="11">
        <f t="shared" si="153">IF(AA477="正常",X476+IF(I477="已计入",P477,0),"")</f>
        <v>0</v>
      </c>
      <c r="Y477" s="11" t="str">
        <f t="shared" si="143">IF(I477="已计入",ROUND(R477+V477-U477,2),"")</f>
        <v/>
      </c>
      <c r="Z477" s="13">
        <f t="shared" si="154">IF(AA477="正常",IF(I477="已计入",A477,Z476),"")</f>
        <v>46239</v>
      </c>
      <c r="AA477" s="10" t="str">
        <f>IF(OR($AA$134="错误",COUNTIF($G$135:G477,"待修正")&gt;0),"错误","正常")</f>
        <v>正常</v>
      </c>
      <c r="AB477" s="14">
        <f t="shared" si="155">IF(AA477="正常",IF(I477="已计入",C477,AB476),"")</f>
        <v>6.347</v>
      </c>
    </row>
    <row r="478" ht="23" customHeight="1">
      <c r="A478" s="36"/>
      <c r="B478" s="37"/>
      <c r="C478" s="38"/>
      <c r="D478" s="39"/>
      <c r="E478" s="44" t="str">
        <f t="shared" si="136">IF(AND(ISNUMBER(C478),ISNUMBER(D478),ISNUMBER(F478)),IF(OR(B478="买入",B478="定投"),ROUND(C478*D478+F478,2),IF(B478="卖出",ROUND(C478*D478-F478,2),IF(B478="红利再投",0,""))),"")</f>
        <v/>
      </c>
      <c r="F478" s="39"/>
      <c r="G478" s="45" t="str">
        <f t="shared" si="137">IF(COUNTA(A478:D478,F478)=0,"",IF(I478="已计入","已录入","待修正"))</f>
        <v/>
      </c>
      <c r="H478" s="46" t="str">
        <f t="shared" si="138">IF(COUNTA(A478:D478,F478)=0,"",IF(B478="红利再投","仅增加份额，不增加现金投入","金额由份额、净值和手续费推算"))</f>
        <v/>
      </c>
      <c r="I478" s="10" t="str">
        <f>IF(COUNTA(A478:D478,F478)=0,"",IF(NOT(ISNUMBER(A478)),"缺少有效净值日期",IF(OR(A478&lt;=0,A478&lt;&gt;INT(A478)),"净值日期无效",IF(OR(B478="转换转入",B478="现金分红"),"该类型需实际金额，五项录入不适用",IF(NOT(OR(OR(B478="买入",B478="定投"),B478="卖出",B478="红利再投")),"请选择交易类型",IF(NOT(ISNUMBER(C478)),"缺少成交净值",IF(C478&lt;=0,"成交净值须大于零",IF(NOT(ISNUMBER(D478)),"缺少确认份额",IF(D478&lt;=0,"确认份额须大于零",IF(NOT(ISNUMBER(F478)),"缺少手续费，无费用请填 0",IF(F478&lt;0,"手续费不能为负",IF(AA477="错误","前行待修正",IF(A478&lt;Z477,"日期需按成交顺序递增",IF(AND(B478="红利再投",F478&lt;&gt;0),"红利再投手续费应填 0",IF(AND(B478="红利再投",K477&lt;=0),"红利再投前须有持仓",IF(AND(B478="卖出",D478&gt;K477+0.000001),"卖出份额超过持仓",IF(AND(B478="卖出",F478&gt;=C478*D478),"赎回费不能达到赎回总额",IF(NOT(ISNUMBER(E478)),"自动金额未生成，请检查五项输入",IF(NOT(OR('持仓总览'!$C$7="利润优先",'持仓总览'!$C$7="本金优先")),"请选择卖出分配模式","已计入")))))))))))))))))))</f>
        <v/>
      </c>
      <c r="J478" s="11">
        <f t="shared" si="139">IF(AA478="正常",IF(I478="已计入",IF(OR(OR(B478="买入",B478="定投",B478="转换转入"),B478="红利再投"),D478,IF(B478="卖出",-D478,0)),0),"")</f>
        <v>0</v>
      </c>
      <c r="K478" s="11">
        <f t="shared" si="144">IF(AA478="正常",ROUND(K477+J478,6),"")</f>
        <v>25721.6</v>
      </c>
      <c r="L478" s="11" t="str">
        <f t="shared" si="145">IF(I478="已计入",ROUND(K477*C478,2),"")</f>
        <v/>
      </c>
      <c r="M478" s="11" t="str">
        <f t="shared" si="146">IF(I478="已计入",IF(B478="卖出",MAX(0,L478-Q477-F478),IF(B478="现金分红",MAX(0,L478+E478-Q477),0)),"")</f>
        <v/>
      </c>
      <c r="N478" s="11" t="str">
        <f>IF(I478="已计入",IF(AND(B478="卖出",'持仓总览'!$C$7="本金优先"),MAX(0,E478-Q477),IF(OR(B478="卖出",B478="现金分红"),MIN(E478,M478),0)),"")</f>
        <v/>
      </c>
      <c r="O478" s="11" t="str">
        <f t="shared" si="147">IF(I478="已计入",IF(OR(B478="卖出",B478="现金分红"),MIN(Q477,MAX(0,E478-N478)),0),"")</f>
        <v/>
      </c>
      <c r="P478" s="11" t="str">
        <f t="shared" si="148">IF(I478="已计入",IF(AND(B478="卖出",K478=0),MAX(0,Q477-O478),0),"")</f>
        <v/>
      </c>
      <c r="Q478" s="11">
        <f t="shared" si="149">IF(AA478="正常",IF(I478="已计入",ROUND(Q477+IF(OR(B478="买入",B478="定投",B478="转换转入"),E478,0)-O478-P478,2),Q477),"")</f>
        <v>129570</v>
      </c>
      <c r="R478" s="11" t="str">
        <f t="shared" si="140">IF(I478="已计入",ROUND(K478*C478,2),"")</f>
        <v/>
      </c>
      <c r="S478" s="11" t="str">
        <f t="shared" si="141">IF(I478="已计入",ROUND(R478-Q478,2),"")</f>
        <v/>
      </c>
      <c r="T478" s="12" t="str">
        <f t="shared" si="142">IF(I478="已计入",IF(Q478=0,"",S478/Q478),"")</f>
        <v/>
      </c>
      <c r="U478" s="11">
        <f t="shared" si="150">IF(AA478="正常",U477+IF(AND(I478="已计入",OR(B478="买入",B478="定投",B478="转换转入")),E478,0),"")</f>
        <v>129570</v>
      </c>
      <c r="V478" s="11">
        <f t="shared" si="151">IF(AA478="正常",V477+IF(AND(I478="已计入",OR(B478="卖出",B478="现金分红")),E478,0),"")</f>
        <v>0</v>
      </c>
      <c r="W478" s="11">
        <f t="shared" si="152">IF(AA478="正常",W477+IF(I478="已计入",N478,0),"")</f>
        <v>0</v>
      </c>
      <c r="X478" s="11">
        <f t="shared" si="153">IF(AA478="正常",X477+IF(I478="已计入",P478,0),"")</f>
        <v>0</v>
      </c>
      <c r="Y478" s="11" t="str">
        <f t="shared" si="143">IF(I478="已计入",ROUND(R478+V478-U478,2),"")</f>
        <v/>
      </c>
      <c r="Z478" s="13">
        <f t="shared" si="154">IF(AA478="正常",IF(I478="已计入",A478,Z477),"")</f>
        <v>46239</v>
      </c>
      <c r="AA478" s="10" t="str">
        <f>IF(OR($AA$134="错误",COUNTIF($G$135:G478,"待修正")&gt;0),"错误","正常")</f>
        <v>正常</v>
      </c>
      <c r="AB478" s="14">
        <f t="shared" si="155">IF(AA478="正常",IF(I478="已计入",C478,AB477),"")</f>
        <v>6.347</v>
      </c>
    </row>
    <row r="479" ht="23" customHeight="1">
      <c r="A479" s="36"/>
      <c r="B479" s="37"/>
      <c r="C479" s="38"/>
      <c r="D479" s="39"/>
      <c r="E479" s="44" t="str">
        <f t="shared" si="136">IF(AND(ISNUMBER(C479),ISNUMBER(D479),ISNUMBER(F479)),IF(OR(B479="买入",B479="定投"),ROUND(C479*D479+F479,2),IF(B479="卖出",ROUND(C479*D479-F479,2),IF(B479="红利再投",0,""))),"")</f>
        <v/>
      </c>
      <c r="F479" s="39"/>
      <c r="G479" s="45" t="str">
        <f t="shared" si="137">IF(COUNTA(A479:D479,F479)=0,"",IF(I479="已计入","已录入","待修正"))</f>
        <v/>
      </c>
      <c r="H479" s="46" t="str">
        <f t="shared" si="138">IF(COUNTA(A479:D479,F479)=0,"",IF(B479="红利再投","仅增加份额，不增加现金投入","金额由份额、净值和手续费推算"))</f>
        <v/>
      </c>
      <c r="I479" s="10" t="str">
        <f>IF(COUNTA(A479:D479,F479)=0,"",IF(NOT(ISNUMBER(A479)),"缺少有效净值日期",IF(OR(A479&lt;=0,A479&lt;&gt;INT(A479)),"净值日期无效",IF(OR(B479="转换转入",B479="现金分红"),"该类型需实际金额，五项录入不适用",IF(NOT(OR(OR(B479="买入",B479="定投"),B479="卖出",B479="红利再投")),"请选择交易类型",IF(NOT(ISNUMBER(C479)),"缺少成交净值",IF(C479&lt;=0,"成交净值须大于零",IF(NOT(ISNUMBER(D479)),"缺少确认份额",IF(D479&lt;=0,"确认份额须大于零",IF(NOT(ISNUMBER(F479)),"缺少手续费，无费用请填 0",IF(F479&lt;0,"手续费不能为负",IF(AA478="错误","前行待修正",IF(A479&lt;Z478,"日期需按成交顺序递增",IF(AND(B479="红利再投",F479&lt;&gt;0),"红利再投手续费应填 0",IF(AND(B479="红利再投",K478&lt;=0),"红利再投前须有持仓",IF(AND(B479="卖出",D479&gt;K478+0.000001),"卖出份额超过持仓",IF(AND(B479="卖出",F479&gt;=C479*D479),"赎回费不能达到赎回总额",IF(NOT(ISNUMBER(E479)),"自动金额未生成，请检查五项输入",IF(NOT(OR('持仓总览'!$C$7="利润优先",'持仓总览'!$C$7="本金优先")),"请选择卖出分配模式","已计入")))))))))))))))))))</f>
        <v/>
      </c>
      <c r="J479" s="11">
        <f t="shared" si="139">IF(AA479="正常",IF(I479="已计入",IF(OR(OR(B479="买入",B479="定投",B479="转换转入"),B479="红利再投"),D479,IF(B479="卖出",-D479,0)),0),"")</f>
        <v>0</v>
      </c>
      <c r="K479" s="11">
        <f t="shared" si="144">IF(AA479="正常",ROUND(K478+J479,6),"")</f>
        <v>25721.6</v>
      </c>
      <c r="L479" s="11" t="str">
        <f t="shared" si="145">IF(I479="已计入",ROUND(K478*C479,2),"")</f>
        <v/>
      </c>
      <c r="M479" s="11" t="str">
        <f t="shared" si="146">IF(I479="已计入",IF(B479="卖出",MAX(0,L479-Q478-F479),IF(B479="现金分红",MAX(0,L479+E479-Q478),0)),"")</f>
        <v/>
      </c>
      <c r="N479" s="11" t="str">
        <f>IF(I479="已计入",IF(AND(B479="卖出",'持仓总览'!$C$7="本金优先"),MAX(0,E479-Q478),IF(OR(B479="卖出",B479="现金分红"),MIN(E479,M479),0)),"")</f>
        <v/>
      </c>
      <c r="O479" s="11" t="str">
        <f t="shared" si="147">IF(I479="已计入",IF(OR(B479="卖出",B479="现金分红"),MIN(Q478,MAX(0,E479-N479)),0),"")</f>
        <v/>
      </c>
      <c r="P479" s="11" t="str">
        <f t="shared" si="148">IF(I479="已计入",IF(AND(B479="卖出",K479=0),MAX(0,Q478-O479),0),"")</f>
        <v/>
      </c>
      <c r="Q479" s="11">
        <f t="shared" si="149">IF(AA479="正常",IF(I479="已计入",ROUND(Q478+IF(OR(B479="买入",B479="定投",B479="转换转入"),E479,0)-O479-P479,2),Q478),"")</f>
        <v>129570</v>
      </c>
      <c r="R479" s="11" t="str">
        <f t="shared" si="140">IF(I479="已计入",ROUND(K479*C479,2),"")</f>
        <v/>
      </c>
      <c r="S479" s="11" t="str">
        <f t="shared" si="141">IF(I479="已计入",ROUND(R479-Q479,2),"")</f>
        <v/>
      </c>
      <c r="T479" s="12" t="str">
        <f t="shared" si="142">IF(I479="已计入",IF(Q479=0,"",S479/Q479),"")</f>
        <v/>
      </c>
      <c r="U479" s="11">
        <f t="shared" si="150">IF(AA479="正常",U478+IF(AND(I479="已计入",OR(B479="买入",B479="定投",B479="转换转入")),E479,0),"")</f>
        <v>129570</v>
      </c>
      <c r="V479" s="11">
        <f t="shared" si="151">IF(AA479="正常",V478+IF(AND(I479="已计入",OR(B479="卖出",B479="现金分红")),E479,0),"")</f>
        <v>0</v>
      </c>
      <c r="W479" s="11">
        <f t="shared" si="152">IF(AA479="正常",W478+IF(I479="已计入",N479,0),"")</f>
        <v>0</v>
      </c>
      <c r="X479" s="11">
        <f t="shared" si="153">IF(AA479="正常",X478+IF(I479="已计入",P479,0),"")</f>
        <v>0</v>
      </c>
      <c r="Y479" s="11" t="str">
        <f t="shared" si="143">IF(I479="已计入",ROUND(R479+V479-U479,2),"")</f>
        <v/>
      </c>
      <c r="Z479" s="13">
        <f t="shared" si="154">IF(AA479="正常",IF(I479="已计入",A479,Z478),"")</f>
        <v>46239</v>
      </c>
      <c r="AA479" s="10" t="str">
        <f>IF(OR($AA$134="错误",COUNTIF($G$135:G479,"待修正")&gt;0),"错误","正常")</f>
        <v>正常</v>
      </c>
      <c r="AB479" s="14">
        <f t="shared" si="155">IF(AA479="正常",IF(I479="已计入",C479,AB478),"")</f>
        <v>6.347</v>
      </c>
    </row>
    <row r="480" ht="23" customHeight="1">
      <c r="A480" s="36"/>
      <c r="B480" s="37"/>
      <c r="C480" s="38"/>
      <c r="D480" s="39"/>
      <c r="E480" s="44" t="str">
        <f t="shared" si="136">IF(AND(ISNUMBER(C480),ISNUMBER(D480),ISNUMBER(F480)),IF(OR(B480="买入",B480="定投"),ROUND(C480*D480+F480,2),IF(B480="卖出",ROUND(C480*D480-F480,2),IF(B480="红利再投",0,""))),"")</f>
        <v/>
      </c>
      <c r="F480" s="39"/>
      <c r="G480" s="45" t="str">
        <f t="shared" si="137">IF(COUNTA(A480:D480,F480)=0,"",IF(I480="已计入","已录入","待修正"))</f>
        <v/>
      </c>
      <c r="H480" s="46" t="str">
        <f t="shared" si="138">IF(COUNTA(A480:D480,F480)=0,"",IF(B480="红利再投","仅增加份额，不增加现金投入","金额由份额、净值和手续费推算"))</f>
        <v/>
      </c>
      <c r="I480" s="10" t="str">
        <f>IF(COUNTA(A480:D480,F480)=0,"",IF(NOT(ISNUMBER(A480)),"缺少有效净值日期",IF(OR(A480&lt;=0,A480&lt;&gt;INT(A480)),"净值日期无效",IF(OR(B480="转换转入",B480="现金分红"),"该类型需实际金额，五项录入不适用",IF(NOT(OR(OR(B480="买入",B480="定投"),B480="卖出",B480="红利再投")),"请选择交易类型",IF(NOT(ISNUMBER(C480)),"缺少成交净值",IF(C480&lt;=0,"成交净值须大于零",IF(NOT(ISNUMBER(D480)),"缺少确认份额",IF(D480&lt;=0,"确认份额须大于零",IF(NOT(ISNUMBER(F480)),"缺少手续费，无费用请填 0",IF(F480&lt;0,"手续费不能为负",IF(AA479="错误","前行待修正",IF(A480&lt;Z479,"日期需按成交顺序递增",IF(AND(B480="红利再投",F480&lt;&gt;0),"红利再投手续费应填 0",IF(AND(B480="红利再投",K479&lt;=0),"红利再投前须有持仓",IF(AND(B480="卖出",D480&gt;K479+0.000001),"卖出份额超过持仓",IF(AND(B480="卖出",F480&gt;=C480*D480),"赎回费不能达到赎回总额",IF(NOT(ISNUMBER(E480)),"自动金额未生成，请检查五项输入",IF(NOT(OR('持仓总览'!$C$7="利润优先",'持仓总览'!$C$7="本金优先")),"请选择卖出分配模式","已计入")))))))))))))))))))</f>
        <v/>
      </c>
      <c r="J480" s="11">
        <f t="shared" si="139">IF(AA480="正常",IF(I480="已计入",IF(OR(OR(B480="买入",B480="定投",B480="转换转入"),B480="红利再投"),D480,IF(B480="卖出",-D480,0)),0),"")</f>
        <v>0</v>
      </c>
      <c r="K480" s="11">
        <f t="shared" si="144">IF(AA480="正常",ROUND(K479+J480,6),"")</f>
        <v>25721.6</v>
      </c>
      <c r="L480" s="11" t="str">
        <f t="shared" si="145">IF(I480="已计入",ROUND(K479*C480,2),"")</f>
        <v/>
      </c>
      <c r="M480" s="11" t="str">
        <f t="shared" si="146">IF(I480="已计入",IF(B480="卖出",MAX(0,L480-Q479-F480),IF(B480="现金分红",MAX(0,L480+E480-Q479),0)),"")</f>
        <v/>
      </c>
      <c r="N480" s="11" t="str">
        <f>IF(I480="已计入",IF(AND(B480="卖出",'持仓总览'!$C$7="本金优先"),MAX(0,E480-Q479),IF(OR(B480="卖出",B480="现金分红"),MIN(E480,M480),0)),"")</f>
        <v/>
      </c>
      <c r="O480" s="11" t="str">
        <f t="shared" si="147">IF(I480="已计入",IF(OR(B480="卖出",B480="现金分红"),MIN(Q479,MAX(0,E480-N480)),0),"")</f>
        <v/>
      </c>
      <c r="P480" s="11" t="str">
        <f t="shared" si="148">IF(I480="已计入",IF(AND(B480="卖出",K480=0),MAX(0,Q479-O480),0),"")</f>
        <v/>
      </c>
      <c r="Q480" s="11">
        <f t="shared" si="149">IF(AA480="正常",IF(I480="已计入",ROUND(Q479+IF(OR(B480="买入",B480="定投",B480="转换转入"),E480,0)-O480-P480,2),Q479),"")</f>
        <v>129570</v>
      </c>
      <c r="R480" s="11" t="str">
        <f t="shared" si="140">IF(I480="已计入",ROUND(K480*C480,2),"")</f>
        <v/>
      </c>
      <c r="S480" s="11" t="str">
        <f t="shared" si="141">IF(I480="已计入",ROUND(R480-Q480,2),"")</f>
        <v/>
      </c>
      <c r="T480" s="12" t="str">
        <f t="shared" si="142">IF(I480="已计入",IF(Q480=0,"",S480/Q480),"")</f>
        <v/>
      </c>
      <c r="U480" s="11">
        <f t="shared" si="150">IF(AA480="正常",U479+IF(AND(I480="已计入",OR(B480="买入",B480="定投",B480="转换转入")),E480,0),"")</f>
        <v>129570</v>
      </c>
      <c r="V480" s="11">
        <f t="shared" si="151">IF(AA480="正常",V479+IF(AND(I480="已计入",OR(B480="卖出",B480="现金分红")),E480,0),"")</f>
        <v>0</v>
      </c>
      <c r="W480" s="11">
        <f t="shared" si="152">IF(AA480="正常",W479+IF(I480="已计入",N480,0),"")</f>
        <v>0</v>
      </c>
      <c r="X480" s="11">
        <f t="shared" si="153">IF(AA480="正常",X479+IF(I480="已计入",P480,0),"")</f>
        <v>0</v>
      </c>
      <c r="Y480" s="11" t="str">
        <f t="shared" si="143">IF(I480="已计入",ROUND(R480+V480-U480,2),"")</f>
        <v/>
      </c>
      <c r="Z480" s="13">
        <f t="shared" si="154">IF(AA480="正常",IF(I480="已计入",A480,Z479),"")</f>
        <v>46239</v>
      </c>
      <c r="AA480" s="10" t="str">
        <f>IF(OR($AA$134="错误",COUNTIF($G$135:G480,"待修正")&gt;0),"错误","正常")</f>
        <v>正常</v>
      </c>
      <c r="AB480" s="14">
        <f t="shared" si="155">IF(AA480="正常",IF(I480="已计入",C480,AB479),"")</f>
        <v>6.347</v>
      </c>
    </row>
    <row r="481" ht="23" customHeight="1">
      <c r="A481" s="36"/>
      <c r="B481" s="37"/>
      <c r="C481" s="38"/>
      <c r="D481" s="39"/>
      <c r="E481" s="44" t="str">
        <f t="shared" si="136">IF(AND(ISNUMBER(C481),ISNUMBER(D481),ISNUMBER(F481)),IF(OR(B481="买入",B481="定投"),ROUND(C481*D481+F481,2),IF(B481="卖出",ROUND(C481*D481-F481,2),IF(B481="红利再投",0,""))),"")</f>
        <v/>
      </c>
      <c r="F481" s="39"/>
      <c r="G481" s="45" t="str">
        <f t="shared" si="137">IF(COUNTA(A481:D481,F481)=0,"",IF(I481="已计入","已录入","待修正"))</f>
        <v/>
      </c>
      <c r="H481" s="46" t="str">
        <f t="shared" si="138">IF(COUNTA(A481:D481,F481)=0,"",IF(B481="红利再投","仅增加份额，不增加现金投入","金额由份额、净值和手续费推算"))</f>
        <v/>
      </c>
      <c r="I481" s="10" t="str">
        <f>IF(COUNTA(A481:D481,F481)=0,"",IF(NOT(ISNUMBER(A481)),"缺少有效净值日期",IF(OR(A481&lt;=0,A481&lt;&gt;INT(A481)),"净值日期无效",IF(OR(B481="转换转入",B481="现金分红"),"该类型需实际金额，五项录入不适用",IF(NOT(OR(OR(B481="买入",B481="定投"),B481="卖出",B481="红利再投")),"请选择交易类型",IF(NOT(ISNUMBER(C481)),"缺少成交净值",IF(C481&lt;=0,"成交净值须大于零",IF(NOT(ISNUMBER(D481)),"缺少确认份额",IF(D481&lt;=0,"确认份额须大于零",IF(NOT(ISNUMBER(F481)),"缺少手续费，无费用请填 0",IF(F481&lt;0,"手续费不能为负",IF(AA480="错误","前行待修正",IF(A481&lt;Z480,"日期需按成交顺序递增",IF(AND(B481="红利再投",F481&lt;&gt;0),"红利再投手续费应填 0",IF(AND(B481="红利再投",K480&lt;=0),"红利再投前须有持仓",IF(AND(B481="卖出",D481&gt;K480+0.000001),"卖出份额超过持仓",IF(AND(B481="卖出",F481&gt;=C481*D481),"赎回费不能达到赎回总额",IF(NOT(ISNUMBER(E481)),"自动金额未生成，请检查五项输入",IF(NOT(OR('持仓总览'!$C$7="利润优先",'持仓总览'!$C$7="本金优先")),"请选择卖出分配模式","已计入")))))))))))))))))))</f>
        <v/>
      </c>
      <c r="J481" s="11">
        <f t="shared" si="139">IF(AA481="正常",IF(I481="已计入",IF(OR(OR(B481="买入",B481="定投",B481="转换转入"),B481="红利再投"),D481,IF(B481="卖出",-D481,0)),0),"")</f>
        <v>0</v>
      </c>
      <c r="K481" s="11">
        <f t="shared" si="144">IF(AA481="正常",ROUND(K480+J481,6),"")</f>
        <v>25721.6</v>
      </c>
      <c r="L481" s="11" t="str">
        <f t="shared" si="145">IF(I481="已计入",ROUND(K480*C481,2),"")</f>
        <v/>
      </c>
      <c r="M481" s="11" t="str">
        <f t="shared" si="146">IF(I481="已计入",IF(B481="卖出",MAX(0,L481-Q480-F481),IF(B481="现金分红",MAX(0,L481+E481-Q480),0)),"")</f>
        <v/>
      </c>
      <c r="N481" s="11" t="str">
        <f>IF(I481="已计入",IF(AND(B481="卖出",'持仓总览'!$C$7="本金优先"),MAX(0,E481-Q480),IF(OR(B481="卖出",B481="现金分红"),MIN(E481,M481),0)),"")</f>
        <v/>
      </c>
      <c r="O481" s="11" t="str">
        <f t="shared" si="147">IF(I481="已计入",IF(OR(B481="卖出",B481="现金分红"),MIN(Q480,MAX(0,E481-N481)),0),"")</f>
        <v/>
      </c>
      <c r="P481" s="11" t="str">
        <f t="shared" si="148">IF(I481="已计入",IF(AND(B481="卖出",K481=0),MAX(0,Q480-O481),0),"")</f>
        <v/>
      </c>
      <c r="Q481" s="11">
        <f t="shared" si="149">IF(AA481="正常",IF(I481="已计入",ROUND(Q480+IF(OR(B481="买入",B481="定投",B481="转换转入"),E481,0)-O481-P481,2),Q480),"")</f>
        <v>129570</v>
      </c>
      <c r="R481" s="11" t="str">
        <f t="shared" si="140">IF(I481="已计入",ROUND(K481*C481,2),"")</f>
        <v/>
      </c>
      <c r="S481" s="11" t="str">
        <f t="shared" si="141">IF(I481="已计入",ROUND(R481-Q481,2),"")</f>
        <v/>
      </c>
      <c r="T481" s="12" t="str">
        <f t="shared" si="142">IF(I481="已计入",IF(Q481=0,"",S481/Q481),"")</f>
        <v/>
      </c>
      <c r="U481" s="11">
        <f t="shared" si="150">IF(AA481="正常",U480+IF(AND(I481="已计入",OR(B481="买入",B481="定投",B481="转换转入")),E481,0),"")</f>
        <v>129570</v>
      </c>
      <c r="V481" s="11">
        <f t="shared" si="151">IF(AA481="正常",V480+IF(AND(I481="已计入",OR(B481="卖出",B481="现金分红")),E481,0),"")</f>
        <v>0</v>
      </c>
      <c r="W481" s="11">
        <f t="shared" si="152">IF(AA481="正常",W480+IF(I481="已计入",N481,0),"")</f>
        <v>0</v>
      </c>
      <c r="X481" s="11">
        <f t="shared" si="153">IF(AA481="正常",X480+IF(I481="已计入",P481,0),"")</f>
        <v>0</v>
      </c>
      <c r="Y481" s="11" t="str">
        <f t="shared" si="143">IF(I481="已计入",ROUND(R481+V481-U481,2),"")</f>
        <v/>
      </c>
      <c r="Z481" s="13">
        <f t="shared" si="154">IF(AA481="正常",IF(I481="已计入",A481,Z480),"")</f>
        <v>46239</v>
      </c>
      <c r="AA481" s="10" t="str">
        <f>IF(OR($AA$134="错误",COUNTIF($G$135:G481,"待修正")&gt;0),"错误","正常")</f>
        <v>正常</v>
      </c>
      <c r="AB481" s="14">
        <f t="shared" si="155">IF(AA481="正常",IF(I481="已计入",C481,AB480),"")</f>
        <v>6.347</v>
      </c>
    </row>
    <row r="482" ht="23" customHeight="1">
      <c r="A482" s="36"/>
      <c r="B482" s="37"/>
      <c r="C482" s="38"/>
      <c r="D482" s="39"/>
      <c r="E482" s="44" t="str">
        <f t="shared" si="136">IF(AND(ISNUMBER(C482),ISNUMBER(D482),ISNUMBER(F482)),IF(OR(B482="买入",B482="定投"),ROUND(C482*D482+F482,2),IF(B482="卖出",ROUND(C482*D482-F482,2),IF(B482="红利再投",0,""))),"")</f>
        <v/>
      </c>
      <c r="F482" s="39"/>
      <c r="G482" s="45" t="str">
        <f t="shared" si="137">IF(COUNTA(A482:D482,F482)=0,"",IF(I482="已计入","已录入","待修正"))</f>
        <v/>
      </c>
      <c r="H482" s="46" t="str">
        <f t="shared" si="138">IF(COUNTA(A482:D482,F482)=0,"",IF(B482="红利再投","仅增加份额，不增加现金投入","金额由份额、净值和手续费推算"))</f>
        <v/>
      </c>
      <c r="I482" s="10" t="str">
        <f>IF(COUNTA(A482:D482,F482)=0,"",IF(NOT(ISNUMBER(A482)),"缺少有效净值日期",IF(OR(A482&lt;=0,A482&lt;&gt;INT(A482)),"净值日期无效",IF(OR(B482="转换转入",B482="现金分红"),"该类型需实际金额，五项录入不适用",IF(NOT(OR(OR(B482="买入",B482="定投"),B482="卖出",B482="红利再投")),"请选择交易类型",IF(NOT(ISNUMBER(C482)),"缺少成交净值",IF(C482&lt;=0,"成交净值须大于零",IF(NOT(ISNUMBER(D482)),"缺少确认份额",IF(D482&lt;=0,"确认份额须大于零",IF(NOT(ISNUMBER(F482)),"缺少手续费，无费用请填 0",IF(F482&lt;0,"手续费不能为负",IF(AA481="错误","前行待修正",IF(A482&lt;Z481,"日期需按成交顺序递增",IF(AND(B482="红利再投",F482&lt;&gt;0),"红利再投手续费应填 0",IF(AND(B482="红利再投",K481&lt;=0),"红利再投前须有持仓",IF(AND(B482="卖出",D482&gt;K481+0.000001),"卖出份额超过持仓",IF(AND(B482="卖出",F482&gt;=C482*D482),"赎回费不能达到赎回总额",IF(NOT(ISNUMBER(E482)),"自动金额未生成，请检查五项输入",IF(NOT(OR('持仓总览'!$C$7="利润优先",'持仓总览'!$C$7="本金优先")),"请选择卖出分配模式","已计入")))))))))))))))))))</f>
        <v/>
      </c>
      <c r="J482" s="11">
        <f t="shared" si="139">IF(AA482="正常",IF(I482="已计入",IF(OR(OR(B482="买入",B482="定投",B482="转换转入"),B482="红利再投"),D482,IF(B482="卖出",-D482,0)),0),"")</f>
        <v>0</v>
      </c>
      <c r="K482" s="11">
        <f t="shared" si="144">IF(AA482="正常",ROUND(K481+J482,6),"")</f>
        <v>25721.6</v>
      </c>
      <c r="L482" s="11" t="str">
        <f t="shared" si="145">IF(I482="已计入",ROUND(K481*C482,2),"")</f>
        <v/>
      </c>
      <c r="M482" s="11" t="str">
        <f t="shared" si="146">IF(I482="已计入",IF(B482="卖出",MAX(0,L482-Q481-F482),IF(B482="现金分红",MAX(0,L482+E482-Q481),0)),"")</f>
        <v/>
      </c>
      <c r="N482" s="11" t="str">
        <f>IF(I482="已计入",IF(AND(B482="卖出",'持仓总览'!$C$7="本金优先"),MAX(0,E482-Q481),IF(OR(B482="卖出",B482="现金分红"),MIN(E482,M482),0)),"")</f>
        <v/>
      </c>
      <c r="O482" s="11" t="str">
        <f t="shared" si="147">IF(I482="已计入",IF(OR(B482="卖出",B482="现金分红"),MIN(Q481,MAX(0,E482-N482)),0),"")</f>
        <v/>
      </c>
      <c r="P482" s="11" t="str">
        <f t="shared" si="148">IF(I482="已计入",IF(AND(B482="卖出",K482=0),MAX(0,Q481-O482),0),"")</f>
        <v/>
      </c>
      <c r="Q482" s="11">
        <f t="shared" si="149">IF(AA482="正常",IF(I482="已计入",ROUND(Q481+IF(OR(B482="买入",B482="定投",B482="转换转入"),E482,0)-O482-P482,2),Q481),"")</f>
        <v>129570</v>
      </c>
      <c r="R482" s="11" t="str">
        <f t="shared" si="140">IF(I482="已计入",ROUND(K482*C482,2),"")</f>
        <v/>
      </c>
      <c r="S482" s="11" t="str">
        <f t="shared" si="141">IF(I482="已计入",ROUND(R482-Q482,2),"")</f>
        <v/>
      </c>
      <c r="T482" s="12" t="str">
        <f t="shared" si="142">IF(I482="已计入",IF(Q482=0,"",S482/Q482),"")</f>
        <v/>
      </c>
      <c r="U482" s="11">
        <f t="shared" si="150">IF(AA482="正常",U481+IF(AND(I482="已计入",OR(B482="买入",B482="定投",B482="转换转入")),E482,0),"")</f>
        <v>129570</v>
      </c>
      <c r="V482" s="11">
        <f t="shared" si="151">IF(AA482="正常",V481+IF(AND(I482="已计入",OR(B482="卖出",B482="现金分红")),E482,0),"")</f>
        <v>0</v>
      </c>
      <c r="W482" s="11">
        <f t="shared" si="152">IF(AA482="正常",W481+IF(I482="已计入",N482,0),"")</f>
        <v>0</v>
      </c>
      <c r="X482" s="11">
        <f t="shared" si="153">IF(AA482="正常",X481+IF(I482="已计入",P482,0),"")</f>
        <v>0</v>
      </c>
      <c r="Y482" s="11" t="str">
        <f t="shared" si="143">IF(I482="已计入",ROUND(R482+V482-U482,2),"")</f>
        <v/>
      </c>
      <c r="Z482" s="13">
        <f t="shared" si="154">IF(AA482="正常",IF(I482="已计入",A482,Z481),"")</f>
        <v>46239</v>
      </c>
      <c r="AA482" s="10" t="str">
        <f>IF(OR($AA$134="错误",COUNTIF($G$135:G482,"待修正")&gt;0),"错误","正常")</f>
        <v>正常</v>
      </c>
      <c r="AB482" s="14">
        <f t="shared" si="155">IF(AA482="正常",IF(I482="已计入",C482,AB481),"")</f>
        <v>6.347</v>
      </c>
    </row>
    <row r="483" ht="23" customHeight="1">
      <c r="A483" s="36"/>
      <c r="B483" s="37"/>
      <c r="C483" s="38"/>
      <c r="D483" s="39"/>
      <c r="E483" s="44" t="str">
        <f t="shared" si="136">IF(AND(ISNUMBER(C483),ISNUMBER(D483),ISNUMBER(F483)),IF(OR(B483="买入",B483="定投"),ROUND(C483*D483+F483,2),IF(B483="卖出",ROUND(C483*D483-F483,2),IF(B483="红利再投",0,""))),"")</f>
        <v/>
      </c>
      <c r="F483" s="39"/>
      <c r="G483" s="45" t="str">
        <f t="shared" si="137">IF(COUNTA(A483:D483,F483)=0,"",IF(I483="已计入","已录入","待修正"))</f>
        <v/>
      </c>
      <c r="H483" s="46" t="str">
        <f t="shared" si="138">IF(COUNTA(A483:D483,F483)=0,"",IF(B483="红利再投","仅增加份额，不增加现金投入","金额由份额、净值和手续费推算"))</f>
        <v/>
      </c>
      <c r="I483" s="10" t="str">
        <f>IF(COUNTA(A483:D483,F483)=0,"",IF(NOT(ISNUMBER(A483)),"缺少有效净值日期",IF(OR(A483&lt;=0,A483&lt;&gt;INT(A483)),"净值日期无效",IF(OR(B483="转换转入",B483="现金分红"),"该类型需实际金额，五项录入不适用",IF(NOT(OR(OR(B483="买入",B483="定投"),B483="卖出",B483="红利再投")),"请选择交易类型",IF(NOT(ISNUMBER(C483)),"缺少成交净值",IF(C483&lt;=0,"成交净值须大于零",IF(NOT(ISNUMBER(D483)),"缺少确认份额",IF(D483&lt;=0,"确认份额须大于零",IF(NOT(ISNUMBER(F483)),"缺少手续费，无费用请填 0",IF(F483&lt;0,"手续费不能为负",IF(AA482="错误","前行待修正",IF(A483&lt;Z482,"日期需按成交顺序递增",IF(AND(B483="红利再投",F483&lt;&gt;0),"红利再投手续费应填 0",IF(AND(B483="红利再投",K482&lt;=0),"红利再投前须有持仓",IF(AND(B483="卖出",D483&gt;K482+0.000001),"卖出份额超过持仓",IF(AND(B483="卖出",F483&gt;=C483*D483),"赎回费不能达到赎回总额",IF(NOT(ISNUMBER(E483)),"自动金额未生成，请检查五项输入",IF(NOT(OR('持仓总览'!$C$7="利润优先",'持仓总览'!$C$7="本金优先")),"请选择卖出分配模式","已计入")))))))))))))))))))</f>
        <v/>
      </c>
      <c r="J483" s="11">
        <f t="shared" si="139">IF(AA483="正常",IF(I483="已计入",IF(OR(OR(B483="买入",B483="定投",B483="转换转入"),B483="红利再投"),D483,IF(B483="卖出",-D483,0)),0),"")</f>
        <v>0</v>
      </c>
      <c r="K483" s="11">
        <f t="shared" si="144">IF(AA483="正常",ROUND(K482+J483,6),"")</f>
        <v>25721.6</v>
      </c>
      <c r="L483" s="11" t="str">
        <f t="shared" si="145">IF(I483="已计入",ROUND(K482*C483,2),"")</f>
        <v/>
      </c>
      <c r="M483" s="11" t="str">
        <f t="shared" si="146">IF(I483="已计入",IF(B483="卖出",MAX(0,L483-Q482-F483),IF(B483="现金分红",MAX(0,L483+E483-Q482),0)),"")</f>
        <v/>
      </c>
      <c r="N483" s="11" t="str">
        <f>IF(I483="已计入",IF(AND(B483="卖出",'持仓总览'!$C$7="本金优先"),MAX(0,E483-Q482),IF(OR(B483="卖出",B483="现金分红"),MIN(E483,M483),0)),"")</f>
        <v/>
      </c>
      <c r="O483" s="11" t="str">
        <f t="shared" si="147">IF(I483="已计入",IF(OR(B483="卖出",B483="现金分红"),MIN(Q482,MAX(0,E483-N483)),0),"")</f>
        <v/>
      </c>
      <c r="P483" s="11" t="str">
        <f t="shared" si="148">IF(I483="已计入",IF(AND(B483="卖出",K483=0),MAX(0,Q482-O483),0),"")</f>
        <v/>
      </c>
      <c r="Q483" s="11">
        <f t="shared" si="149">IF(AA483="正常",IF(I483="已计入",ROUND(Q482+IF(OR(B483="买入",B483="定投",B483="转换转入"),E483,0)-O483-P483,2),Q482),"")</f>
        <v>129570</v>
      </c>
      <c r="R483" s="11" t="str">
        <f t="shared" si="140">IF(I483="已计入",ROUND(K483*C483,2),"")</f>
        <v/>
      </c>
      <c r="S483" s="11" t="str">
        <f t="shared" si="141">IF(I483="已计入",ROUND(R483-Q483,2),"")</f>
        <v/>
      </c>
      <c r="T483" s="12" t="str">
        <f t="shared" si="142">IF(I483="已计入",IF(Q483=0,"",S483/Q483),"")</f>
        <v/>
      </c>
      <c r="U483" s="11">
        <f t="shared" si="150">IF(AA483="正常",U482+IF(AND(I483="已计入",OR(B483="买入",B483="定投",B483="转换转入")),E483,0),"")</f>
        <v>129570</v>
      </c>
      <c r="V483" s="11">
        <f t="shared" si="151">IF(AA483="正常",V482+IF(AND(I483="已计入",OR(B483="卖出",B483="现金分红")),E483,0),"")</f>
        <v>0</v>
      </c>
      <c r="W483" s="11">
        <f t="shared" si="152">IF(AA483="正常",W482+IF(I483="已计入",N483,0),"")</f>
        <v>0</v>
      </c>
      <c r="X483" s="11">
        <f t="shared" si="153">IF(AA483="正常",X482+IF(I483="已计入",P483,0),"")</f>
        <v>0</v>
      </c>
      <c r="Y483" s="11" t="str">
        <f t="shared" si="143">IF(I483="已计入",ROUND(R483+V483-U483,2),"")</f>
        <v/>
      </c>
      <c r="Z483" s="13">
        <f t="shared" si="154">IF(AA483="正常",IF(I483="已计入",A483,Z482),"")</f>
        <v>46239</v>
      </c>
      <c r="AA483" s="10" t="str">
        <f>IF(OR($AA$134="错误",COUNTIF($G$135:G483,"待修正")&gt;0),"错误","正常")</f>
        <v>正常</v>
      </c>
      <c r="AB483" s="14">
        <f t="shared" si="155">IF(AA483="正常",IF(I483="已计入",C483,AB482),"")</f>
        <v>6.347</v>
      </c>
    </row>
    <row r="484" ht="23" customHeight="1">
      <c r="A484" s="36"/>
      <c r="B484" s="37"/>
      <c r="C484" s="38"/>
      <c r="D484" s="39"/>
      <c r="E484" s="44" t="str">
        <f t="shared" si="136">IF(AND(ISNUMBER(C484),ISNUMBER(D484),ISNUMBER(F484)),IF(OR(B484="买入",B484="定投"),ROUND(C484*D484+F484,2),IF(B484="卖出",ROUND(C484*D484-F484,2),IF(B484="红利再投",0,""))),"")</f>
        <v/>
      </c>
      <c r="F484" s="39"/>
      <c r="G484" s="45" t="str">
        <f t="shared" si="137">IF(COUNTA(A484:D484,F484)=0,"",IF(I484="已计入","已录入","待修正"))</f>
        <v/>
      </c>
      <c r="H484" s="46" t="str">
        <f t="shared" si="138">IF(COUNTA(A484:D484,F484)=0,"",IF(B484="红利再投","仅增加份额，不增加现金投入","金额由份额、净值和手续费推算"))</f>
        <v/>
      </c>
      <c r="I484" s="10" t="str">
        <f>IF(COUNTA(A484:D484,F484)=0,"",IF(NOT(ISNUMBER(A484)),"缺少有效净值日期",IF(OR(A484&lt;=0,A484&lt;&gt;INT(A484)),"净值日期无效",IF(OR(B484="转换转入",B484="现金分红"),"该类型需实际金额，五项录入不适用",IF(NOT(OR(OR(B484="买入",B484="定投"),B484="卖出",B484="红利再投")),"请选择交易类型",IF(NOT(ISNUMBER(C484)),"缺少成交净值",IF(C484&lt;=0,"成交净值须大于零",IF(NOT(ISNUMBER(D484)),"缺少确认份额",IF(D484&lt;=0,"确认份额须大于零",IF(NOT(ISNUMBER(F484)),"缺少手续费，无费用请填 0",IF(F484&lt;0,"手续费不能为负",IF(AA483="错误","前行待修正",IF(A484&lt;Z483,"日期需按成交顺序递增",IF(AND(B484="红利再投",F484&lt;&gt;0),"红利再投手续费应填 0",IF(AND(B484="红利再投",K483&lt;=0),"红利再投前须有持仓",IF(AND(B484="卖出",D484&gt;K483+0.000001),"卖出份额超过持仓",IF(AND(B484="卖出",F484&gt;=C484*D484),"赎回费不能达到赎回总额",IF(NOT(ISNUMBER(E484)),"自动金额未生成，请检查五项输入",IF(NOT(OR('持仓总览'!$C$7="利润优先",'持仓总览'!$C$7="本金优先")),"请选择卖出分配模式","已计入")))))))))))))))))))</f>
        <v/>
      </c>
      <c r="J484" s="11">
        <f t="shared" si="139">IF(AA484="正常",IF(I484="已计入",IF(OR(OR(B484="买入",B484="定投",B484="转换转入"),B484="红利再投"),D484,IF(B484="卖出",-D484,0)),0),"")</f>
        <v>0</v>
      </c>
      <c r="K484" s="11">
        <f t="shared" si="144">IF(AA484="正常",ROUND(K483+J484,6),"")</f>
        <v>25721.6</v>
      </c>
      <c r="L484" s="11" t="str">
        <f t="shared" si="145">IF(I484="已计入",ROUND(K483*C484,2),"")</f>
        <v/>
      </c>
      <c r="M484" s="11" t="str">
        <f t="shared" si="146">IF(I484="已计入",IF(B484="卖出",MAX(0,L484-Q483-F484),IF(B484="现金分红",MAX(0,L484+E484-Q483),0)),"")</f>
        <v/>
      </c>
      <c r="N484" s="11" t="str">
        <f>IF(I484="已计入",IF(AND(B484="卖出",'持仓总览'!$C$7="本金优先"),MAX(0,E484-Q483),IF(OR(B484="卖出",B484="现金分红"),MIN(E484,M484),0)),"")</f>
        <v/>
      </c>
      <c r="O484" s="11" t="str">
        <f t="shared" si="147">IF(I484="已计入",IF(OR(B484="卖出",B484="现金分红"),MIN(Q483,MAX(0,E484-N484)),0),"")</f>
        <v/>
      </c>
      <c r="P484" s="11" t="str">
        <f t="shared" si="148">IF(I484="已计入",IF(AND(B484="卖出",K484=0),MAX(0,Q483-O484),0),"")</f>
        <v/>
      </c>
      <c r="Q484" s="11">
        <f t="shared" si="149">IF(AA484="正常",IF(I484="已计入",ROUND(Q483+IF(OR(B484="买入",B484="定投",B484="转换转入"),E484,0)-O484-P484,2),Q483),"")</f>
        <v>129570</v>
      </c>
      <c r="R484" s="11" t="str">
        <f t="shared" si="140">IF(I484="已计入",ROUND(K484*C484,2),"")</f>
        <v/>
      </c>
      <c r="S484" s="11" t="str">
        <f t="shared" si="141">IF(I484="已计入",ROUND(R484-Q484,2),"")</f>
        <v/>
      </c>
      <c r="T484" s="12" t="str">
        <f t="shared" si="142">IF(I484="已计入",IF(Q484=0,"",S484/Q484),"")</f>
        <v/>
      </c>
      <c r="U484" s="11">
        <f t="shared" si="150">IF(AA484="正常",U483+IF(AND(I484="已计入",OR(B484="买入",B484="定投",B484="转换转入")),E484,0),"")</f>
        <v>129570</v>
      </c>
      <c r="V484" s="11">
        <f t="shared" si="151">IF(AA484="正常",V483+IF(AND(I484="已计入",OR(B484="卖出",B484="现金分红")),E484,0),"")</f>
        <v>0</v>
      </c>
      <c r="W484" s="11">
        <f t="shared" si="152">IF(AA484="正常",W483+IF(I484="已计入",N484,0),"")</f>
        <v>0</v>
      </c>
      <c r="X484" s="11">
        <f t="shared" si="153">IF(AA484="正常",X483+IF(I484="已计入",P484,0),"")</f>
        <v>0</v>
      </c>
      <c r="Y484" s="11" t="str">
        <f t="shared" si="143">IF(I484="已计入",ROUND(R484+V484-U484,2),"")</f>
        <v/>
      </c>
      <c r="Z484" s="13">
        <f t="shared" si="154">IF(AA484="正常",IF(I484="已计入",A484,Z483),"")</f>
        <v>46239</v>
      </c>
      <c r="AA484" s="10" t="str">
        <f>IF(OR($AA$134="错误",COUNTIF($G$135:G484,"待修正")&gt;0),"错误","正常")</f>
        <v>正常</v>
      </c>
      <c r="AB484" s="14">
        <f t="shared" si="155">IF(AA484="正常",IF(I484="已计入",C484,AB483),"")</f>
        <v>6.347</v>
      </c>
    </row>
    <row r="485" ht="23" customHeight="1">
      <c r="A485" s="36"/>
      <c r="B485" s="37"/>
      <c r="C485" s="38"/>
      <c r="D485" s="39"/>
      <c r="E485" s="44" t="str">
        <f t="shared" si="136">IF(AND(ISNUMBER(C485),ISNUMBER(D485),ISNUMBER(F485)),IF(OR(B485="买入",B485="定投"),ROUND(C485*D485+F485,2),IF(B485="卖出",ROUND(C485*D485-F485,2),IF(B485="红利再投",0,""))),"")</f>
        <v/>
      </c>
      <c r="F485" s="39"/>
      <c r="G485" s="45" t="str">
        <f t="shared" si="137">IF(COUNTA(A485:D485,F485)=0,"",IF(I485="已计入","已录入","待修正"))</f>
        <v/>
      </c>
      <c r="H485" s="46" t="str">
        <f t="shared" si="138">IF(COUNTA(A485:D485,F485)=0,"",IF(B485="红利再投","仅增加份额，不增加现金投入","金额由份额、净值和手续费推算"))</f>
        <v/>
      </c>
      <c r="I485" s="10" t="str">
        <f>IF(COUNTA(A485:D485,F485)=0,"",IF(NOT(ISNUMBER(A485)),"缺少有效净值日期",IF(OR(A485&lt;=0,A485&lt;&gt;INT(A485)),"净值日期无效",IF(OR(B485="转换转入",B485="现金分红"),"该类型需实际金额，五项录入不适用",IF(NOT(OR(OR(B485="买入",B485="定投"),B485="卖出",B485="红利再投")),"请选择交易类型",IF(NOT(ISNUMBER(C485)),"缺少成交净值",IF(C485&lt;=0,"成交净值须大于零",IF(NOT(ISNUMBER(D485)),"缺少确认份额",IF(D485&lt;=0,"确认份额须大于零",IF(NOT(ISNUMBER(F485)),"缺少手续费，无费用请填 0",IF(F485&lt;0,"手续费不能为负",IF(AA484="错误","前行待修正",IF(A485&lt;Z484,"日期需按成交顺序递增",IF(AND(B485="红利再投",F485&lt;&gt;0),"红利再投手续费应填 0",IF(AND(B485="红利再投",K484&lt;=0),"红利再投前须有持仓",IF(AND(B485="卖出",D485&gt;K484+0.000001),"卖出份额超过持仓",IF(AND(B485="卖出",F485&gt;=C485*D485),"赎回费不能达到赎回总额",IF(NOT(ISNUMBER(E485)),"自动金额未生成，请检查五项输入",IF(NOT(OR('持仓总览'!$C$7="利润优先",'持仓总览'!$C$7="本金优先")),"请选择卖出分配模式","已计入")))))))))))))))))))</f>
        <v/>
      </c>
      <c r="J485" s="11">
        <f t="shared" si="139">IF(AA485="正常",IF(I485="已计入",IF(OR(OR(B485="买入",B485="定投",B485="转换转入"),B485="红利再投"),D485,IF(B485="卖出",-D485,0)),0),"")</f>
        <v>0</v>
      </c>
      <c r="K485" s="11">
        <f t="shared" si="144">IF(AA485="正常",ROUND(K484+J485,6),"")</f>
        <v>25721.6</v>
      </c>
      <c r="L485" s="11" t="str">
        <f t="shared" si="145">IF(I485="已计入",ROUND(K484*C485,2),"")</f>
        <v/>
      </c>
      <c r="M485" s="11" t="str">
        <f t="shared" si="146">IF(I485="已计入",IF(B485="卖出",MAX(0,L485-Q484-F485),IF(B485="现金分红",MAX(0,L485+E485-Q484),0)),"")</f>
        <v/>
      </c>
      <c r="N485" s="11" t="str">
        <f>IF(I485="已计入",IF(AND(B485="卖出",'持仓总览'!$C$7="本金优先"),MAX(0,E485-Q484),IF(OR(B485="卖出",B485="现金分红"),MIN(E485,M485),0)),"")</f>
        <v/>
      </c>
      <c r="O485" s="11" t="str">
        <f t="shared" si="147">IF(I485="已计入",IF(OR(B485="卖出",B485="现金分红"),MIN(Q484,MAX(0,E485-N485)),0),"")</f>
        <v/>
      </c>
      <c r="P485" s="11" t="str">
        <f t="shared" si="148">IF(I485="已计入",IF(AND(B485="卖出",K485=0),MAX(0,Q484-O485),0),"")</f>
        <v/>
      </c>
      <c r="Q485" s="11">
        <f t="shared" si="149">IF(AA485="正常",IF(I485="已计入",ROUND(Q484+IF(OR(B485="买入",B485="定投",B485="转换转入"),E485,0)-O485-P485,2),Q484),"")</f>
        <v>129570</v>
      </c>
      <c r="R485" s="11" t="str">
        <f t="shared" si="140">IF(I485="已计入",ROUND(K485*C485,2),"")</f>
        <v/>
      </c>
      <c r="S485" s="11" t="str">
        <f t="shared" si="141">IF(I485="已计入",ROUND(R485-Q485,2),"")</f>
        <v/>
      </c>
      <c r="T485" s="12" t="str">
        <f t="shared" si="142">IF(I485="已计入",IF(Q485=0,"",S485/Q485),"")</f>
        <v/>
      </c>
      <c r="U485" s="11">
        <f t="shared" si="150">IF(AA485="正常",U484+IF(AND(I485="已计入",OR(B485="买入",B485="定投",B485="转换转入")),E485,0),"")</f>
        <v>129570</v>
      </c>
      <c r="V485" s="11">
        <f t="shared" si="151">IF(AA485="正常",V484+IF(AND(I485="已计入",OR(B485="卖出",B485="现金分红")),E485,0),"")</f>
        <v>0</v>
      </c>
      <c r="W485" s="11">
        <f t="shared" si="152">IF(AA485="正常",W484+IF(I485="已计入",N485,0),"")</f>
        <v>0</v>
      </c>
      <c r="X485" s="11">
        <f t="shared" si="153">IF(AA485="正常",X484+IF(I485="已计入",P485,0),"")</f>
        <v>0</v>
      </c>
      <c r="Y485" s="11" t="str">
        <f t="shared" si="143">IF(I485="已计入",ROUND(R485+V485-U485,2),"")</f>
        <v/>
      </c>
      <c r="Z485" s="13">
        <f t="shared" si="154">IF(AA485="正常",IF(I485="已计入",A485,Z484),"")</f>
        <v>46239</v>
      </c>
      <c r="AA485" s="10" t="str">
        <f>IF(OR($AA$134="错误",COUNTIF($G$135:G485,"待修正")&gt;0),"错误","正常")</f>
        <v>正常</v>
      </c>
      <c r="AB485" s="14">
        <f t="shared" si="155">IF(AA485="正常",IF(I485="已计入",C485,AB484),"")</f>
        <v>6.347</v>
      </c>
    </row>
    <row r="486" ht="23" customHeight="1">
      <c r="A486" s="36"/>
      <c r="B486" s="37"/>
      <c r="C486" s="38"/>
      <c r="D486" s="39"/>
      <c r="E486" s="44" t="str">
        <f t="shared" si="136">IF(AND(ISNUMBER(C486),ISNUMBER(D486),ISNUMBER(F486)),IF(OR(B486="买入",B486="定投"),ROUND(C486*D486+F486,2),IF(B486="卖出",ROUND(C486*D486-F486,2),IF(B486="红利再投",0,""))),"")</f>
        <v/>
      </c>
      <c r="F486" s="39"/>
      <c r="G486" s="45" t="str">
        <f t="shared" si="137">IF(COUNTA(A486:D486,F486)=0,"",IF(I486="已计入","已录入","待修正"))</f>
        <v/>
      </c>
      <c r="H486" s="46" t="str">
        <f t="shared" si="138">IF(COUNTA(A486:D486,F486)=0,"",IF(B486="红利再投","仅增加份额，不增加现金投入","金额由份额、净值和手续费推算"))</f>
        <v/>
      </c>
      <c r="I486" s="10" t="str">
        <f>IF(COUNTA(A486:D486,F486)=0,"",IF(NOT(ISNUMBER(A486)),"缺少有效净值日期",IF(OR(A486&lt;=0,A486&lt;&gt;INT(A486)),"净值日期无效",IF(OR(B486="转换转入",B486="现金分红"),"该类型需实际金额，五项录入不适用",IF(NOT(OR(OR(B486="买入",B486="定投"),B486="卖出",B486="红利再投")),"请选择交易类型",IF(NOT(ISNUMBER(C486)),"缺少成交净值",IF(C486&lt;=0,"成交净值须大于零",IF(NOT(ISNUMBER(D486)),"缺少确认份额",IF(D486&lt;=0,"确认份额须大于零",IF(NOT(ISNUMBER(F486)),"缺少手续费，无费用请填 0",IF(F486&lt;0,"手续费不能为负",IF(AA485="错误","前行待修正",IF(A486&lt;Z485,"日期需按成交顺序递增",IF(AND(B486="红利再投",F486&lt;&gt;0),"红利再投手续费应填 0",IF(AND(B486="红利再投",K485&lt;=0),"红利再投前须有持仓",IF(AND(B486="卖出",D486&gt;K485+0.000001),"卖出份额超过持仓",IF(AND(B486="卖出",F486&gt;=C486*D486),"赎回费不能达到赎回总额",IF(NOT(ISNUMBER(E486)),"自动金额未生成，请检查五项输入",IF(NOT(OR('持仓总览'!$C$7="利润优先",'持仓总览'!$C$7="本金优先")),"请选择卖出分配模式","已计入")))))))))))))))))))</f>
        <v/>
      </c>
      <c r="J486" s="11">
        <f t="shared" si="139">IF(AA486="正常",IF(I486="已计入",IF(OR(OR(B486="买入",B486="定投",B486="转换转入"),B486="红利再投"),D486,IF(B486="卖出",-D486,0)),0),"")</f>
        <v>0</v>
      </c>
      <c r="K486" s="11">
        <f t="shared" si="144">IF(AA486="正常",ROUND(K485+J486,6),"")</f>
        <v>25721.6</v>
      </c>
      <c r="L486" s="11" t="str">
        <f t="shared" si="145">IF(I486="已计入",ROUND(K485*C486,2),"")</f>
        <v/>
      </c>
      <c r="M486" s="11" t="str">
        <f t="shared" si="146">IF(I486="已计入",IF(B486="卖出",MAX(0,L486-Q485-F486),IF(B486="现金分红",MAX(0,L486+E486-Q485),0)),"")</f>
        <v/>
      </c>
      <c r="N486" s="11" t="str">
        <f>IF(I486="已计入",IF(AND(B486="卖出",'持仓总览'!$C$7="本金优先"),MAX(0,E486-Q485),IF(OR(B486="卖出",B486="现金分红"),MIN(E486,M486),0)),"")</f>
        <v/>
      </c>
      <c r="O486" s="11" t="str">
        <f t="shared" si="147">IF(I486="已计入",IF(OR(B486="卖出",B486="现金分红"),MIN(Q485,MAX(0,E486-N486)),0),"")</f>
        <v/>
      </c>
      <c r="P486" s="11" t="str">
        <f t="shared" si="148">IF(I486="已计入",IF(AND(B486="卖出",K486=0),MAX(0,Q485-O486),0),"")</f>
        <v/>
      </c>
      <c r="Q486" s="11">
        <f t="shared" si="149">IF(AA486="正常",IF(I486="已计入",ROUND(Q485+IF(OR(B486="买入",B486="定投",B486="转换转入"),E486,0)-O486-P486,2),Q485),"")</f>
        <v>129570</v>
      </c>
      <c r="R486" s="11" t="str">
        <f t="shared" si="140">IF(I486="已计入",ROUND(K486*C486,2),"")</f>
        <v/>
      </c>
      <c r="S486" s="11" t="str">
        <f t="shared" si="141">IF(I486="已计入",ROUND(R486-Q486,2),"")</f>
        <v/>
      </c>
      <c r="T486" s="12" t="str">
        <f t="shared" si="142">IF(I486="已计入",IF(Q486=0,"",S486/Q486),"")</f>
        <v/>
      </c>
      <c r="U486" s="11">
        <f t="shared" si="150">IF(AA486="正常",U485+IF(AND(I486="已计入",OR(B486="买入",B486="定投",B486="转换转入")),E486,0),"")</f>
        <v>129570</v>
      </c>
      <c r="V486" s="11">
        <f t="shared" si="151">IF(AA486="正常",V485+IF(AND(I486="已计入",OR(B486="卖出",B486="现金分红")),E486,0),"")</f>
        <v>0</v>
      </c>
      <c r="W486" s="11">
        <f t="shared" si="152">IF(AA486="正常",W485+IF(I486="已计入",N486,0),"")</f>
        <v>0</v>
      </c>
      <c r="X486" s="11">
        <f t="shared" si="153">IF(AA486="正常",X485+IF(I486="已计入",P486,0),"")</f>
        <v>0</v>
      </c>
      <c r="Y486" s="11" t="str">
        <f t="shared" si="143">IF(I486="已计入",ROUND(R486+V486-U486,2),"")</f>
        <v/>
      </c>
      <c r="Z486" s="13">
        <f t="shared" si="154">IF(AA486="正常",IF(I486="已计入",A486,Z485),"")</f>
        <v>46239</v>
      </c>
      <c r="AA486" s="10" t="str">
        <f>IF(OR($AA$134="错误",COUNTIF($G$135:G486,"待修正")&gt;0),"错误","正常")</f>
        <v>正常</v>
      </c>
      <c r="AB486" s="14">
        <f t="shared" si="155">IF(AA486="正常",IF(I486="已计入",C486,AB485),"")</f>
        <v>6.347</v>
      </c>
    </row>
    <row r="487" ht="23" customHeight="1">
      <c r="A487" s="36"/>
      <c r="B487" s="37"/>
      <c r="C487" s="38"/>
      <c r="D487" s="39"/>
      <c r="E487" s="44" t="str">
        <f t="shared" si="136">IF(AND(ISNUMBER(C487),ISNUMBER(D487),ISNUMBER(F487)),IF(OR(B487="买入",B487="定投"),ROUND(C487*D487+F487,2),IF(B487="卖出",ROUND(C487*D487-F487,2),IF(B487="红利再投",0,""))),"")</f>
        <v/>
      </c>
      <c r="F487" s="39"/>
      <c r="G487" s="45" t="str">
        <f t="shared" si="137">IF(COUNTA(A487:D487,F487)=0,"",IF(I487="已计入","已录入","待修正"))</f>
        <v/>
      </c>
      <c r="H487" s="46" t="str">
        <f t="shared" si="138">IF(COUNTA(A487:D487,F487)=0,"",IF(B487="红利再投","仅增加份额，不增加现金投入","金额由份额、净值和手续费推算"))</f>
        <v/>
      </c>
      <c r="I487" s="10" t="str">
        <f>IF(COUNTA(A487:D487,F487)=0,"",IF(NOT(ISNUMBER(A487)),"缺少有效净值日期",IF(OR(A487&lt;=0,A487&lt;&gt;INT(A487)),"净值日期无效",IF(OR(B487="转换转入",B487="现金分红"),"该类型需实际金额，五项录入不适用",IF(NOT(OR(OR(B487="买入",B487="定投"),B487="卖出",B487="红利再投")),"请选择交易类型",IF(NOT(ISNUMBER(C487)),"缺少成交净值",IF(C487&lt;=0,"成交净值须大于零",IF(NOT(ISNUMBER(D487)),"缺少确认份额",IF(D487&lt;=0,"确认份额须大于零",IF(NOT(ISNUMBER(F487)),"缺少手续费，无费用请填 0",IF(F487&lt;0,"手续费不能为负",IF(AA486="错误","前行待修正",IF(A487&lt;Z486,"日期需按成交顺序递增",IF(AND(B487="红利再投",F487&lt;&gt;0),"红利再投手续费应填 0",IF(AND(B487="红利再投",K486&lt;=0),"红利再投前须有持仓",IF(AND(B487="卖出",D487&gt;K486+0.000001),"卖出份额超过持仓",IF(AND(B487="卖出",F487&gt;=C487*D487),"赎回费不能达到赎回总额",IF(NOT(ISNUMBER(E487)),"自动金额未生成，请检查五项输入",IF(NOT(OR('持仓总览'!$C$7="利润优先",'持仓总览'!$C$7="本金优先")),"请选择卖出分配模式","已计入")))))))))))))))))))</f>
        <v/>
      </c>
      <c r="J487" s="11">
        <f t="shared" si="139">IF(AA487="正常",IF(I487="已计入",IF(OR(OR(B487="买入",B487="定投",B487="转换转入"),B487="红利再投"),D487,IF(B487="卖出",-D487,0)),0),"")</f>
        <v>0</v>
      </c>
      <c r="K487" s="11">
        <f t="shared" si="144">IF(AA487="正常",ROUND(K486+J487,6),"")</f>
        <v>25721.6</v>
      </c>
      <c r="L487" s="11" t="str">
        <f t="shared" si="145">IF(I487="已计入",ROUND(K486*C487,2),"")</f>
        <v/>
      </c>
      <c r="M487" s="11" t="str">
        <f t="shared" si="146">IF(I487="已计入",IF(B487="卖出",MAX(0,L487-Q486-F487),IF(B487="现金分红",MAX(0,L487+E487-Q486),0)),"")</f>
        <v/>
      </c>
      <c r="N487" s="11" t="str">
        <f>IF(I487="已计入",IF(AND(B487="卖出",'持仓总览'!$C$7="本金优先"),MAX(0,E487-Q486),IF(OR(B487="卖出",B487="现金分红"),MIN(E487,M487),0)),"")</f>
        <v/>
      </c>
      <c r="O487" s="11" t="str">
        <f t="shared" si="147">IF(I487="已计入",IF(OR(B487="卖出",B487="现金分红"),MIN(Q486,MAX(0,E487-N487)),0),"")</f>
        <v/>
      </c>
      <c r="P487" s="11" t="str">
        <f t="shared" si="148">IF(I487="已计入",IF(AND(B487="卖出",K487=0),MAX(0,Q486-O487),0),"")</f>
        <v/>
      </c>
      <c r="Q487" s="11">
        <f t="shared" si="149">IF(AA487="正常",IF(I487="已计入",ROUND(Q486+IF(OR(B487="买入",B487="定投",B487="转换转入"),E487,0)-O487-P487,2),Q486),"")</f>
        <v>129570</v>
      </c>
      <c r="R487" s="11" t="str">
        <f t="shared" si="140">IF(I487="已计入",ROUND(K487*C487,2),"")</f>
        <v/>
      </c>
      <c r="S487" s="11" t="str">
        <f t="shared" si="141">IF(I487="已计入",ROUND(R487-Q487,2),"")</f>
        <v/>
      </c>
      <c r="T487" s="12" t="str">
        <f t="shared" si="142">IF(I487="已计入",IF(Q487=0,"",S487/Q487),"")</f>
        <v/>
      </c>
      <c r="U487" s="11">
        <f t="shared" si="150">IF(AA487="正常",U486+IF(AND(I487="已计入",OR(B487="买入",B487="定投",B487="转换转入")),E487,0),"")</f>
        <v>129570</v>
      </c>
      <c r="V487" s="11">
        <f t="shared" si="151">IF(AA487="正常",V486+IF(AND(I487="已计入",OR(B487="卖出",B487="现金分红")),E487,0),"")</f>
        <v>0</v>
      </c>
      <c r="W487" s="11">
        <f t="shared" si="152">IF(AA487="正常",W486+IF(I487="已计入",N487,0),"")</f>
        <v>0</v>
      </c>
      <c r="X487" s="11">
        <f t="shared" si="153">IF(AA487="正常",X486+IF(I487="已计入",P487,0),"")</f>
        <v>0</v>
      </c>
      <c r="Y487" s="11" t="str">
        <f t="shared" si="143">IF(I487="已计入",ROUND(R487+V487-U487,2),"")</f>
        <v/>
      </c>
      <c r="Z487" s="13">
        <f t="shared" si="154">IF(AA487="正常",IF(I487="已计入",A487,Z486),"")</f>
        <v>46239</v>
      </c>
      <c r="AA487" s="10" t="str">
        <f>IF(OR($AA$134="错误",COUNTIF($G$135:G487,"待修正")&gt;0),"错误","正常")</f>
        <v>正常</v>
      </c>
      <c r="AB487" s="14">
        <f t="shared" si="155">IF(AA487="正常",IF(I487="已计入",C487,AB486),"")</f>
        <v>6.347</v>
      </c>
    </row>
    <row r="488" ht="23" customHeight="1">
      <c r="A488" s="36"/>
      <c r="B488" s="37"/>
      <c r="C488" s="38"/>
      <c r="D488" s="39"/>
      <c r="E488" s="44" t="str">
        <f t="shared" si="136">IF(AND(ISNUMBER(C488),ISNUMBER(D488),ISNUMBER(F488)),IF(OR(B488="买入",B488="定投"),ROUND(C488*D488+F488,2),IF(B488="卖出",ROUND(C488*D488-F488,2),IF(B488="红利再投",0,""))),"")</f>
        <v/>
      </c>
      <c r="F488" s="39"/>
      <c r="G488" s="45" t="str">
        <f t="shared" si="137">IF(COUNTA(A488:D488,F488)=0,"",IF(I488="已计入","已录入","待修正"))</f>
        <v/>
      </c>
      <c r="H488" s="46" t="str">
        <f t="shared" si="138">IF(COUNTA(A488:D488,F488)=0,"",IF(B488="红利再投","仅增加份额，不增加现金投入","金额由份额、净值和手续费推算"))</f>
        <v/>
      </c>
      <c r="I488" s="10" t="str">
        <f>IF(COUNTA(A488:D488,F488)=0,"",IF(NOT(ISNUMBER(A488)),"缺少有效净值日期",IF(OR(A488&lt;=0,A488&lt;&gt;INT(A488)),"净值日期无效",IF(OR(B488="转换转入",B488="现金分红"),"该类型需实际金额，五项录入不适用",IF(NOT(OR(OR(B488="买入",B488="定投"),B488="卖出",B488="红利再投")),"请选择交易类型",IF(NOT(ISNUMBER(C488)),"缺少成交净值",IF(C488&lt;=0,"成交净值须大于零",IF(NOT(ISNUMBER(D488)),"缺少确认份额",IF(D488&lt;=0,"确认份额须大于零",IF(NOT(ISNUMBER(F488)),"缺少手续费，无费用请填 0",IF(F488&lt;0,"手续费不能为负",IF(AA487="错误","前行待修正",IF(A488&lt;Z487,"日期需按成交顺序递增",IF(AND(B488="红利再投",F488&lt;&gt;0),"红利再投手续费应填 0",IF(AND(B488="红利再投",K487&lt;=0),"红利再投前须有持仓",IF(AND(B488="卖出",D488&gt;K487+0.000001),"卖出份额超过持仓",IF(AND(B488="卖出",F488&gt;=C488*D488),"赎回费不能达到赎回总额",IF(NOT(ISNUMBER(E488)),"自动金额未生成，请检查五项输入",IF(NOT(OR('持仓总览'!$C$7="利润优先",'持仓总览'!$C$7="本金优先")),"请选择卖出分配模式","已计入")))))))))))))))))))</f>
        <v/>
      </c>
      <c r="J488" s="11">
        <f t="shared" si="139">IF(AA488="正常",IF(I488="已计入",IF(OR(OR(B488="买入",B488="定投",B488="转换转入"),B488="红利再投"),D488,IF(B488="卖出",-D488,0)),0),"")</f>
        <v>0</v>
      </c>
      <c r="K488" s="11">
        <f t="shared" si="144">IF(AA488="正常",ROUND(K487+J488,6),"")</f>
        <v>25721.6</v>
      </c>
      <c r="L488" s="11" t="str">
        <f t="shared" si="145">IF(I488="已计入",ROUND(K487*C488,2),"")</f>
        <v/>
      </c>
      <c r="M488" s="11" t="str">
        <f t="shared" si="146">IF(I488="已计入",IF(B488="卖出",MAX(0,L488-Q487-F488),IF(B488="现金分红",MAX(0,L488+E488-Q487),0)),"")</f>
        <v/>
      </c>
      <c r="N488" s="11" t="str">
        <f>IF(I488="已计入",IF(AND(B488="卖出",'持仓总览'!$C$7="本金优先"),MAX(0,E488-Q487),IF(OR(B488="卖出",B488="现金分红"),MIN(E488,M488),0)),"")</f>
        <v/>
      </c>
      <c r="O488" s="11" t="str">
        <f t="shared" si="147">IF(I488="已计入",IF(OR(B488="卖出",B488="现金分红"),MIN(Q487,MAX(0,E488-N488)),0),"")</f>
        <v/>
      </c>
      <c r="P488" s="11" t="str">
        <f t="shared" si="148">IF(I488="已计入",IF(AND(B488="卖出",K488=0),MAX(0,Q487-O488),0),"")</f>
        <v/>
      </c>
      <c r="Q488" s="11">
        <f t="shared" si="149">IF(AA488="正常",IF(I488="已计入",ROUND(Q487+IF(OR(B488="买入",B488="定投",B488="转换转入"),E488,0)-O488-P488,2),Q487),"")</f>
        <v>129570</v>
      </c>
      <c r="R488" s="11" t="str">
        <f t="shared" si="140">IF(I488="已计入",ROUND(K488*C488,2),"")</f>
        <v/>
      </c>
      <c r="S488" s="11" t="str">
        <f t="shared" si="141">IF(I488="已计入",ROUND(R488-Q488,2),"")</f>
        <v/>
      </c>
      <c r="T488" s="12" t="str">
        <f t="shared" si="142">IF(I488="已计入",IF(Q488=0,"",S488/Q488),"")</f>
        <v/>
      </c>
      <c r="U488" s="11">
        <f t="shared" si="150">IF(AA488="正常",U487+IF(AND(I488="已计入",OR(B488="买入",B488="定投",B488="转换转入")),E488,0),"")</f>
        <v>129570</v>
      </c>
      <c r="V488" s="11">
        <f t="shared" si="151">IF(AA488="正常",V487+IF(AND(I488="已计入",OR(B488="卖出",B488="现金分红")),E488,0),"")</f>
        <v>0</v>
      </c>
      <c r="W488" s="11">
        <f t="shared" si="152">IF(AA488="正常",W487+IF(I488="已计入",N488,0),"")</f>
        <v>0</v>
      </c>
      <c r="X488" s="11">
        <f t="shared" si="153">IF(AA488="正常",X487+IF(I488="已计入",P488,0),"")</f>
        <v>0</v>
      </c>
      <c r="Y488" s="11" t="str">
        <f t="shared" si="143">IF(I488="已计入",ROUND(R488+V488-U488,2),"")</f>
        <v/>
      </c>
      <c r="Z488" s="13">
        <f t="shared" si="154">IF(AA488="正常",IF(I488="已计入",A488,Z487),"")</f>
        <v>46239</v>
      </c>
      <c r="AA488" s="10" t="str">
        <f>IF(OR($AA$134="错误",COUNTIF($G$135:G488,"待修正")&gt;0),"错误","正常")</f>
        <v>正常</v>
      </c>
      <c r="AB488" s="14">
        <f t="shared" si="155">IF(AA488="正常",IF(I488="已计入",C488,AB487),"")</f>
        <v>6.347</v>
      </c>
    </row>
    <row r="489" ht="23" customHeight="1">
      <c r="A489" s="36"/>
      <c r="B489" s="37"/>
      <c r="C489" s="38"/>
      <c r="D489" s="39"/>
      <c r="E489" s="44" t="str">
        <f t="shared" si="136">IF(AND(ISNUMBER(C489),ISNUMBER(D489),ISNUMBER(F489)),IF(OR(B489="买入",B489="定投"),ROUND(C489*D489+F489,2),IF(B489="卖出",ROUND(C489*D489-F489,2),IF(B489="红利再投",0,""))),"")</f>
        <v/>
      </c>
      <c r="F489" s="39"/>
      <c r="G489" s="45" t="str">
        <f t="shared" si="137">IF(COUNTA(A489:D489,F489)=0,"",IF(I489="已计入","已录入","待修正"))</f>
        <v/>
      </c>
      <c r="H489" s="46" t="str">
        <f t="shared" si="138">IF(COUNTA(A489:D489,F489)=0,"",IF(B489="红利再投","仅增加份额，不增加现金投入","金额由份额、净值和手续费推算"))</f>
        <v/>
      </c>
      <c r="I489" s="10" t="str">
        <f>IF(COUNTA(A489:D489,F489)=0,"",IF(NOT(ISNUMBER(A489)),"缺少有效净值日期",IF(OR(A489&lt;=0,A489&lt;&gt;INT(A489)),"净值日期无效",IF(OR(B489="转换转入",B489="现金分红"),"该类型需实际金额，五项录入不适用",IF(NOT(OR(OR(B489="买入",B489="定投"),B489="卖出",B489="红利再投")),"请选择交易类型",IF(NOT(ISNUMBER(C489)),"缺少成交净值",IF(C489&lt;=0,"成交净值须大于零",IF(NOT(ISNUMBER(D489)),"缺少确认份额",IF(D489&lt;=0,"确认份额须大于零",IF(NOT(ISNUMBER(F489)),"缺少手续费，无费用请填 0",IF(F489&lt;0,"手续费不能为负",IF(AA488="错误","前行待修正",IF(A489&lt;Z488,"日期需按成交顺序递增",IF(AND(B489="红利再投",F489&lt;&gt;0),"红利再投手续费应填 0",IF(AND(B489="红利再投",K488&lt;=0),"红利再投前须有持仓",IF(AND(B489="卖出",D489&gt;K488+0.000001),"卖出份额超过持仓",IF(AND(B489="卖出",F489&gt;=C489*D489),"赎回费不能达到赎回总额",IF(NOT(ISNUMBER(E489)),"自动金额未生成，请检查五项输入",IF(NOT(OR('持仓总览'!$C$7="利润优先",'持仓总览'!$C$7="本金优先")),"请选择卖出分配模式","已计入")))))))))))))))))))</f>
        <v/>
      </c>
      <c r="J489" s="11">
        <f t="shared" si="139">IF(AA489="正常",IF(I489="已计入",IF(OR(OR(B489="买入",B489="定投",B489="转换转入"),B489="红利再投"),D489,IF(B489="卖出",-D489,0)),0),"")</f>
        <v>0</v>
      </c>
      <c r="K489" s="11">
        <f t="shared" si="144">IF(AA489="正常",ROUND(K488+J489,6),"")</f>
        <v>25721.6</v>
      </c>
      <c r="L489" s="11" t="str">
        <f t="shared" si="145">IF(I489="已计入",ROUND(K488*C489,2),"")</f>
        <v/>
      </c>
      <c r="M489" s="11" t="str">
        <f t="shared" si="146">IF(I489="已计入",IF(B489="卖出",MAX(0,L489-Q488-F489),IF(B489="现金分红",MAX(0,L489+E489-Q488),0)),"")</f>
        <v/>
      </c>
      <c r="N489" s="11" t="str">
        <f>IF(I489="已计入",IF(AND(B489="卖出",'持仓总览'!$C$7="本金优先"),MAX(0,E489-Q488),IF(OR(B489="卖出",B489="现金分红"),MIN(E489,M489),0)),"")</f>
        <v/>
      </c>
      <c r="O489" s="11" t="str">
        <f t="shared" si="147">IF(I489="已计入",IF(OR(B489="卖出",B489="现金分红"),MIN(Q488,MAX(0,E489-N489)),0),"")</f>
        <v/>
      </c>
      <c r="P489" s="11" t="str">
        <f t="shared" si="148">IF(I489="已计入",IF(AND(B489="卖出",K489=0),MAX(0,Q488-O489),0),"")</f>
        <v/>
      </c>
      <c r="Q489" s="11">
        <f t="shared" si="149">IF(AA489="正常",IF(I489="已计入",ROUND(Q488+IF(OR(B489="买入",B489="定投",B489="转换转入"),E489,0)-O489-P489,2),Q488),"")</f>
        <v>129570</v>
      </c>
      <c r="R489" s="11" t="str">
        <f t="shared" si="140">IF(I489="已计入",ROUND(K489*C489,2),"")</f>
        <v/>
      </c>
      <c r="S489" s="11" t="str">
        <f t="shared" si="141">IF(I489="已计入",ROUND(R489-Q489,2),"")</f>
        <v/>
      </c>
      <c r="T489" s="12" t="str">
        <f t="shared" si="142">IF(I489="已计入",IF(Q489=0,"",S489/Q489),"")</f>
        <v/>
      </c>
      <c r="U489" s="11">
        <f t="shared" si="150">IF(AA489="正常",U488+IF(AND(I489="已计入",OR(B489="买入",B489="定投",B489="转换转入")),E489,0),"")</f>
        <v>129570</v>
      </c>
      <c r="V489" s="11">
        <f t="shared" si="151">IF(AA489="正常",V488+IF(AND(I489="已计入",OR(B489="卖出",B489="现金分红")),E489,0),"")</f>
        <v>0</v>
      </c>
      <c r="W489" s="11">
        <f t="shared" si="152">IF(AA489="正常",W488+IF(I489="已计入",N489,0),"")</f>
        <v>0</v>
      </c>
      <c r="X489" s="11">
        <f t="shared" si="153">IF(AA489="正常",X488+IF(I489="已计入",P489,0),"")</f>
        <v>0</v>
      </c>
      <c r="Y489" s="11" t="str">
        <f t="shared" si="143">IF(I489="已计入",ROUND(R489+V489-U489,2),"")</f>
        <v/>
      </c>
      <c r="Z489" s="13">
        <f t="shared" si="154">IF(AA489="正常",IF(I489="已计入",A489,Z488),"")</f>
        <v>46239</v>
      </c>
      <c r="AA489" s="10" t="str">
        <f>IF(OR($AA$134="错误",COUNTIF($G$135:G489,"待修正")&gt;0),"错误","正常")</f>
        <v>正常</v>
      </c>
      <c r="AB489" s="14">
        <f t="shared" si="155">IF(AA489="正常",IF(I489="已计入",C489,AB488),"")</f>
        <v>6.347</v>
      </c>
    </row>
    <row r="490" ht="23" customHeight="1">
      <c r="A490" s="36"/>
      <c r="B490" s="37"/>
      <c r="C490" s="38"/>
      <c r="D490" s="39"/>
      <c r="E490" s="44" t="str">
        <f t="shared" si="136">IF(AND(ISNUMBER(C490),ISNUMBER(D490),ISNUMBER(F490)),IF(OR(B490="买入",B490="定投"),ROUND(C490*D490+F490,2),IF(B490="卖出",ROUND(C490*D490-F490,2),IF(B490="红利再投",0,""))),"")</f>
        <v/>
      </c>
      <c r="F490" s="39"/>
      <c r="G490" s="45" t="str">
        <f t="shared" si="137">IF(COUNTA(A490:D490,F490)=0,"",IF(I490="已计入","已录入","待修正"))</f>
        <v/>
      </c>
      <c r="H490" s="46" t="str">
        <f t="shared" si="138">IF(COUNTA(A490:D490,F490)=0,"",IF(B490="红利再投","仅增加份额，不增加现金投入","金额由份额、净值和手续费推算"))</f>
        <v/>
      </c>
      <c r="I490" s="10" t="str">
        <f>IF(COUNTA(A490:D490,F490)=0,"",IF(NOT(ISNUMBER(A490)),"缺少有效净值日期",IF(OR(A490&lt;=0,A490&lt;&gt;INT(A490)),"净值日期无效",IF(OR(B490="转换转入",B490="现金分红"),"该类型需实际金额，五项录入不适用",IF(NOT(OR(OR(B490="买入",B490="定投"),B490="卖出",B490="红利再投")),"请选择交易类型",IF(NOT(ISNUMBER(C490)),"缺少成交净值",IF(C490&lt;=0,"成交净值须大于零",IF(NOT(ISNUMBER(D490)),"缺少确认份额",IF(D490&lt;=0,"确认份额须大于零",IF(NOT(ISNUMBER(F490)),"缺少手续费，无费用请填 0",IF(F490&lt;0,"手续费不能为负",IF(AA489="错误","前行待修正",IF(A490&lt;Z489,"日期需按成交顺序递增",IF(AND(B490="红利再投",F490&lt;&gt;0),"红利再投手续费应填 0",IF(AND(B490="红利再投",K489&lt;=0),"红利再投前须有持仓",IF(AND(B490="卖出",D490&gt;K489+0.000001),"卖出份额超过持仓",IF(AND(B490="卖出",F490&gt;=C490*D490),"赎回费不能达到赎回总额",IF(NOT(ISNUMBER(E490)),"自动金额未生成，请检查五项输入",IF(NOT(OR('持仓总览'!$C$7="利润优先",'持仓总览'!$C$7="本金优先")),"请选择卖出分配模式","已计入")))))))))))))))))))</f>
        <v/>
      </c>
      <c r="J490" s="11">
        <f t="shared" si="139">IF(AA490="正常",IF(I490="已计入",IF(OR(OR(B490="买入",B490="定投",B490="转换转入"),B490="红利再投"),D490,IF(B490="卖出",-D490,0)),0),"")</f>
        <v>0</v>
      </c>
      <c r="K490" s="11">
        <f t="shared" si="144">IF(AA490="正常",ROUND(K489+J490,6),"")</f>
        <v>25721.6</v>
      </c>
      <c r="L490" s="11" t="str">
        <f t="shared" si="145">IF(I490="已计入",ROUND(K489*C490,2),"")</f>
        <v/>
      </c>
      <c r="M490" s="11" t="str">
        <f t="shared" si="146">IF(I490="已计入",IF(B490="卖出",MAX(0,L490-Q489-F490),IF(B490="现金分红",MAX(0,L490+E490-Q489),0)),"")</f>
        <v/>
      </c>
      <c r="N490" s="11" t="str">
        <f>IF(I490="已计入",IF(AND(B490="卖出",'持仓总览'!$C$7="本金优先"),MAX(0,E490-Q489),IF(OR(B490="卖出",B490="现金分红"),MIN(E490,M490),0)),"")</f>
        <v/>
      </c>
      <c r="O490" s="11" t="str">
        <f t="shared" si="147">IF(I490="已计入",IF(OR(B490="卖出",B490="现金分红"),MIN(Q489,MAX(0,E490-N490)),0),"")</f>
        <v/>
      </c>
      <c r="P490" s="11" t="str">
        <f t="shared" si="148">IF(I490="已计入",IF(AND(B490="卖出",K490=0),MAX(0,Q489-O490),0),"")</f>
        <v/>
      </c>
      <c r="Q490" s="11">
        <f t="shared" si="149">IF(AA490="正常",IF(I490="已计入",ROUND(Q489+IF(OR(B490="买入",B490="定投",B490="转换转入"),E490,0)-O490-P490,2),Q489),"")</f>
        <v>129570</v>
      </c>
      <c r="R490" s="11" t="str">
        <f t="shared" si="140">IF(I490="已计入",ROUND(K490*C490,2),"")</f>
        <v/>
      </c>
      <c r="S490" s="11" t="str">
        <f t="shared" si="141">IF(I490="已计入",ROUND(R490-Q490,2),"")</f>
        <v/>
      </c>
      <c r="T490" s="12" t="str">
        <f t="shared" si="142">IF(I490="已计入",IF(Q490=0,"",S490/Q490),"")</f>
        <v/>
      </c>
      <c r="U490" s="11">
        <f t="shared" si="150">IF(AA490="正常",U489+IF(AND(I490="已计入",OR(B490="买入",B490="定投",B490="转换转入")),E490,0),"")</f>
        <v>129570</v>
      </c>
      <c r="V490" s="11">
        <f t="shared" si="151">IF(AA490="正常",V489+IF(AND(I490="已计入",OR(B490="卖出",B490="现金分红")),E490,0),"")</f>
        <v>0</v>
      </c>
      <c r="W490" s="11">
        <f t="shared" si="152">IF(AA490="正常",W489+IF(I490="已计入",N490,0),"")</f>
        <v>0</v>
      </c>
      <c r="X490" s="11">
        <f t="shared" si="153">IF(AA490="正常",X489+IF(I490="已计入",P490,0),"")</f>
        <v>0</v>
      </c>
      <c r="Y490" s="11" t="str">
        <f t="shared" si="143">IF(I490="已计入",ROUND(R490+V490-U490,2),"")</f>
        <v/>
      </c>
      <c r="Z490" s="13">
        <f t="shared" si="154">IF(AA490="正常",IF(I490="已计入",A490,Z489),"")</f>
        <v>46239</v>
      </c>
      <c r="AA490" s="10" t="str">
        <f>IF(OR($AA$134="错误",COUNTIF($G$135:G490,"待修正")&gt;0),"错误","正常")</f>
        <v>正常</v>
      </c>
      <c r="AB490" s="14">
        <f t="shared" si="155">IF(AA490="正常",IF(I490="已计入",C490,AB489),"")</f>
        <v>6.347</v>
      </c>
    </row>
    <row r="491" ht="23" customHeight="1">
      <c r="A491" s="36"/>
      <c r="B491" s="37"/>
      <c r="C491" s="38"/>
      <c r="D491" s="39"/>
      <c r="E491" s="44" t="str">
        <f t="shared" si="136">IF(AND(ISNUMBER(C491),ISNUMBER(D491),ISNUMBER(F491)),IF(OR(B491="买入",B491="定投"),ROUND(C491*D491+F491,2),IF(B491="卖出",ROUND(C491*D491-F491,2),IF(B491="红利再投",0,""))),"")</f>
        <v/>
      </c>
      <c r="F491" s="39"/>
      <c r="G491" s="45" t="str">
        <f t="shared" si="137">IF(COUNTA(A491:D491,F491)=0,"",IF(I491="已计入","已录入","待修正"))</f>
        <v/>
      </c>
      <c r="H491" s="46" t="str">
        <f t="shared" si="138">IF(COUNTA(A491:D491,F491)=0,"",IF(B491="红利再投","仅增加份额，不增加现金投入","金额由份额、净值和手续费推算"))</f>
        <v/>
      </c>
      <c r="I491" s="10" t="str">
        <f>IF(COUNTA(A491:D491,F491)=0,"",IF(NOT(ISNUMBER(A491)),"缺少有效净值日期",IF(OR(A491&lt;=0,A491&lt;&gt;INT(A491)),"净值日期无效",IF(OR(B491="转换转入",B491="现金分红"),"该类型需实际金额，五项录入不适用",IF(NOT(OR(OR(B491="买入",B491="定投"),B491="卖出",B491="红利再投")),"请选择交易类型",IF(NOT(ISNUMBER(C491)),"缺少成交净值",IF(C491&lt;=0,"成交净值须大于零",IF(NOT(ISNUMBER(D491)),"缺少确认份额",IF(D491&lt;=0,"确认份额须大于零",IF(NOT(ISNUMBER(F491)),"缺少手续费，无费用请填 0",IF(F491&lt;0,"手续费不能为负",IF(AA490="错误","前行待修正",IF(A491&lt;Z490,"日期需按成交顺序递增",IF(AND(B491="红利再投",F491&lt;&gt;0),"红利再投手续费应填 0",IF(AND(B491="红利再投",K490&lt;=0),"红利再投前须有持仓",IF(AND(B491="卖出",D491&gt;K490+0.000001),"卖出份额超过持仓",IF(AND(B491="卖出",F491&gt;=C491*D491),"赎回费不能达到赎回总额",IF(NOT(ISNUMBER(E491)),"自动金额未生成，请检查五项输入",IF(NOT(OR('持仓总览'!$C$7="利润优先",'持仓总览'!$C$7="本金优先")),"请选择卖出分配模式","已计入")))))))))))))))))))</f>
        <v/>
      </c>
      <c r="J491" s="11">
        <f t="shared" si="139">IF(AA491="正常",IF(I491="已计入",IF(OR(OR(B491="买入",B491="定投",B491="转换转入"),B491="红利再投"),D491,IF(B491="卖出",-D491,0)),0),"")</f>
        <v>0</v>
      </c>
      <c r="K491" s="11">
        <f t="shared" si="144">IF(AA491="正常",ROUND(K490+J491,6),"")</f>
        <v>25721.6</v>
      </c>
      <c r="L491" s="11" t="str">
        <f t="shared" si="145">IF(I491="已计入",ROUND(K490*C491,2),"")</f>
        <v/>
      </c>
      <c r="M491" s="11" t="str">
        <f t="shared" si="146">IF(I491="已计入",IF(B491="卖出",MAX(0,L491-Q490-F491),IF(B491="现金分红",MAX(0,L491+E491-Q490),0)),"")</f>
        <v/>
      </c>
      <c r="N491" s="11" t="str">
        <f>IF(I491="已计入",IF(AND(B491="卖出",'持仓总览'!$C$7="本金优先"),MAX(0,E491-Q490),IF(OR(B491="卖出",B491="现金分红"),MIN(E491,M491),0)),"")</f>
        <v/>
      </c>
      <c r="O491" s="11" t="str">
        <f t="shared" si="147">IF(I491="已计入",IF(OR(B491="卖出",B491="现金分红"),MIN(Q490,MAX(0,E491-N491)),0),"")</f>
        <v/>
      </c>
      <c r="P491" s="11" t="str">
        <f t="shared" si="148">IF(I491="已计入",IF(AND(B491="卖出",K491=0),MAX(0,Q490-O491),0),"")</f>
        <v/>
      </c>
      <c r="Q491" s="11">
        <f t="shared" si="149">IF(AA491="正常",IF(I491="已计入",ROUND(Q490+IF(OR(B491="买入",B491="定投",B491="转换转入"),E491,0)-O491-P491,2),Q490),"")</f>
        <v>129570</v>
      </c>
      <c r="R491" s="11" t="str">
        <f t="shared" si="140">IF(I491="已计入",ROUND(K491*C491,2),"")</f>
        <v/>
      </c>
      <c r="S491" s="11" t="str">
        <f t="shared" si="141">IF(I491="已计入",ROUND(R491-Q491,2),"")</f>
        <v/>
      </c>
      <c r="T491" s="12" t="str">
        <f t="shared" si="142">IF(I491="已计入",IF(Q491=0,"",S491/Q491),"")</f>
        <v/>
      </c>
      <c r="U491" s="11">
        <f t="shared" si="150">IF(AA491="正常",U490+IF(AND(I491="已计入",OR(B491="买入",B491="定投",B491="转换转入")),E491,0),"")</f>
        <v>129570</v>
      </c>
      <c r="V491" s="11">
        <f t="shared" si="151">IF(AA491="正常",V490+IF(AND(I491="已计入",OR(B491="卖出",B491="现金分红")),E491,0),"")</f>
        <v>0</v>
      </c>
      <c r="W491" s="11">
        <f t="shared" si="152">IF(AA491="正常",W490+IF(I491="已计入",N491,0),"")</f>
        <v>0</v>
      </c>
      <c r="X491" s="11">
        <f t="shared" si="153">IF(AA491="正常",X490+IF(I491="已计入",P491,0),"")</f>
        <v>0</v>
      </c>
      <c r="Y491" s="11" t="str">
        <f t="shared" si="143">IF(I491="已计入",ROUND(R491+V491-U491,2),"")</f>
        <v/>
      </c>
      <c r="Z491" s="13">
        <f t="shared" si="154">IF(AA491="正常",IF(I491="已计入",A491,Z490),"")</f>
        <v>46239</v>
      </c>
      <c r="AA491" s="10" t="str">
        <f>IF(OR($AA$134="错误",COUNTIF($G$135:G491,"待修正")&gt;0),"错误","正常")</f>
        <v>正常</v>
      </c>
      <c r="AB491" s="14">
        <f t="shared" si="155">IF(AA491="正常",IF(I491="已计入",C491,AB490),"")</f>
        <v>6.347</v>
      </c>
    </row>
    <row r="492" ht="23" customHeight="1">
      <c r="A492" s="36"/>
      <c r="B492" s="37"/>
      <c r="C492" s="38"/>
      <c r="D492" s="39"/>
      <c r="E492" s="44" t="str">
        <f t="shared" si="136">IF(AND(ISNUMBER(C492),ISNUMBER(D492),ISNUMBER(F492)),IF(OR(B492="买入",B492="定投"),ROUND(C492*D492+F492,2),IF(B492="卖出",ROUND(C492*D492-F492,2),IF(B492="红利再投",0,""))),"")</f>
        <v/>
      </c>
      <c r="F492" s="39"/>
      <c r="G492" s="45" t="str">
        <f t="shared" si="137">IF(COUNTA(A492:D492,F492)=0,"",IF(I492="已计入","已录入","待修正"))</f>
        <v/>
      </c>
      <c r="H492" s="46" t="str">
        <f t="shared" si="138">IF(COUNTA(A492:D492,F492)=0,"",IF(B492="红利再投","仅增加份额，不增加现金投入","金额由份额、净值和手续费推算"))</f>
        <v/>
      </c>
      <c r="I492" s="10" t="str">
        <f>IF(COUNTA(A492:D492,F492)=0,"",IF(NOT(ISNUMBER(A492)),"缺少有效净值日期",IF(OR(A492&lt;=0,A492&lt;&gt;INT(A492)),"净值日期无效",IF(OR(B492="转换转入",B492="现金分红"),"该类型需实际金额，五项录入不适用",IF(NOT(OR(OR(B492="买入",B492="定投"),B492="卖出",B492="红利再投")),"请选择交易类型",IF(NOT(ISNUMBER(C492)),"缺少成交净值",IF(C492&lt;=0,"成交净值须大于零",IF(NOT(ISNUMBER(D492)),"缺少确认份额",IF(D492&lt;=0,"确认份额须大于零",IF(NOT(ISNUMBER(F492)),"缺少手续费，无费用请填 0",IF(F492&lt;0,"手续费不能为负",IF(AA491="错误","前行待修正",IF(A492&lt;Z491,"日期需按成交顺序递增",IF(AND(B492="红利再投",F492&lt;&gt;0),"红利再投手续费应填 0",IF(AND(B492="红利再投",K491&lt;=0),"红利再投前须有持仓",IF(AND(B492="卖出",D492&gt;K491+0.000001),"卖出份额超过持仓",IF(AND(B492="卖出",F492&gt;=C492*D492),"赎回费不能达到赎回总额",IF(NOT(ISNUMBER(E492)),"自动金额未生成，请检查五项输入",IF(NOT(OR('持仓总览'!$C$7="利润优先",'持仓总览'!$C$7="本金优先")),"请选择卖出分配模式","已计入")))))))))))))))))))</f>
        <v/>
      </c>
      <c r="J492" s="11">
        <f t="shared" si="139">IF(AA492="正常",IF(I492="已计入",IF(OR(OR(B492="买入",B492="定投",B492="转换转入"),B492="红利再投"),D492,IF(B492="卖出",-D492,0)),0),"")</f>
        <v>0</v>
      </c>
      <c r="K492" s="11">
        <f t="shared" si="144">IF(AA492="正常",ROUND(K491+J492,6),"")</f>
        <v>25721.6</v>
      </c>
      <c r="L492" s="11" t="str">
        <f t="shared" si="145">IF(I492="已计入",ROUND(K491*C492,2),"")</f>
        <v/>
      </c>
      <c r="M492" s="11" t="str">
        <f t="shared" si="146">IF(I492="已计入",IF(B492="卖出",MAX(0,L492-Q491-F492),IF(B492="现金分红",MAX(0,L492+E492-Q491),0)),"")</f>
        <v/>
      </c>
      <c r="N492" s="11" t="str">
        <f>IF(I492="已计入",IF(AND(B492="卖出",'持仓总览'!$C$7="本金优先"),MAX(0,E492-Q491),IF(OR(B492="卖出",B492="现金分红"),MIN(E492,M492),0)),"")</f>
        <v/>
      </c>
      <c r="O492" s="11" t="str">
        <f t="shared" si="147">IF(I492="已计入",IF(OR(B492="卖出",B492="现金分红"),MIN(Q491,MAX(0,E492-N492)),0),"")</f>
        <v/>
      </c>
      <c r="P492" s="11" t="str">
        <f t="shared" si="148">IF(I492="已计入",IF(AND(B492="卖出",K492=0),MAX(0,Q491-O492),0),"")</f>
        <v/>
      </c>
      <c r="Q492" s="11">
        <f t="shared" si="149">IF(AA492="正常",IF(I492="已计入",ROUND(Q491+IF(OR(B492="买入",B492="定投",B492="转换转入"),E492,0)-O492-P492,2),Q491),"")</f>
        <v>129570</v>
      </c>
      <c r="R492" s="11" t="str">
        <f t="shared" si="140">IF(I492="已计入",ROUND(K492*C492,2),"")</f>
        <v/>
      </c>
      <c r="S492" s="11" t="str">
        <f t="shared" si="141">IF(I492="已计入",ROUND(R492-Q492,2),"")</f>
        <v/>
      </c>
      <c r="T492" s="12" t="str">
        <f t="shared" si="142">IF(I492="已计入",IF(Q492=0,"",S492/Q492),"")</f>
        <v/>
      </c>
      <c r="U492" s="11">
        <f t="shared" si="150">IF(AA492="正常",U491+IF(AND(I492="已计入",OR(B492="买入",B492="定投",B492="转换转入")),E492,0),"")</f>
        <v>129570</v>
      </c>
      <c r="V492" s="11">
        <f t="shared" si="151">IF(AA492="正常",V491+IF(AND(I492="已计入",OR(B492="卖出",B492="现金分红")),E492,0),"")</f>
        <v>0</v>
      </c>
      <c r="W492" s="11">
        <f t="shared" si="152">IF(AA492="正常",W491+IF(I492="已计入",N492,0),"")</f>
        <v>0</v>
      </c>
      <c r="X492" s="11">
        <f t="shared" si="153">IF(AA492="正常",X491+IF(I492="已计入",P492,0),"")</f>
        <v>0</v>
      </c>
      <c r="Y492" s="11" t="str">
        <f t="shared" si="143">IF(I492="已计入",ROUND(R492+V492-U492,2),"")</f>
        <v/>
      </c>
      <c r="Z492" s="13">
        <f t="shared" si="154">IF(AA492="正常",IF(I492="已计入",A492,Z491),"")</f>
        <v>46239</v>
      </c>
      <c r="AA492" s="10" t="str">
        <f>IF(OR($AA$134="错误",COUNTIF($G$135:G492,"待修正")&gt;0),"错误","正常")</f>
        <v>正常</v>
      </c>
      <c r="AB492" s="14">
        <f t="shared" si="155">IF(AA492="正常",IF(I492="已计入",C492,AB491),"")</f>
        <v>6.347</v>
      </c>
    </row>
    <row r="493" ht="23" customHeight="1">
      <c r="A493" s="36"/>
      <c r="B493" s="37"/>
      <c r="C493" s="38"/>
      <c r="D493" s="39"/>
      <c r="E493" s="44" t="str">
        <f t="shared" si="136">IF(AND(ISNUMBER(C493),ISNUMBER(D493),ISNUMBER(F493)),IF(OR(B493="买入",B493="定投"),ROUND(C493*D493+F493,2),IF(B493="卖出",ROUND(C493*D493-F493,2),IF(B493="红利再投",0,""))),"")</f>
        <v/>
      </c>
      <c r="F493" s="39"/>
      <c r="G493" s="45" t="str">
        <f t="shared" si="137">IF(COUNTA(A493:D493,F493)=0,"",IF(I493="已计入","已录入","待修正"))</f>
        <v/>
      </c>
      <c r="H493" s="46" t="str">
        <f t="shared" si="138">IF(COUNTA(A493:D493,F493)=0,"",IF(B493="红利再投","仅增加份额，不增加现金投入","金额由份额、净值和手续费推算"))</f>
        <v/>
      </c>
      <c r="I493" s="10" t="str">
        <f>IF(COUNTA(A493:D493,F493)=0,"",IF(NOT(ISNUMBER(A493)),"缺少有效净值日期",IF(OR(A493&lt;=0,A493&lt;&gt;INT(A493)),"净值日期无效",IF(OR(B493="转换转入",B493="现金分红"),"该类型需实际金额，五项录入不适用",IF(NOT(OR(OR(B493="买入",B493="定投"),B493="卖出",B493="红利再投")),"请选择交易类型",IF(NOT(ISNUMBER(C493)),"缺少成交净值",IF(C493&lt;=0,"成交净值须大于零",IF(NOT(ISNUMBER(D493)),"缺少确认份额",IF(D493&lt;=0,"确认份额须大于零",IF(NOT(ISNUMBER(F493)),"缺少手续费，无费用请填 0",IF(F493&lt;0,"手续费不能为负",IF(AA492="错误","前行待修正",IF(A493&lt;Z492,"日期需按成交顺序递增",IF(AND(B493="红利再投",F493&lt;&gt;0),"红利再投手续费应填 0",IF(AND(B493="红利再投",K492&lt;=0),"红利再投前须有持仓",IF(AND(B493="卖出",D493&gt;K492+0.000001),"卖出份额超过持仓",IF(AND(B493="卖出",F493&gt;=C493*D493),"赎回费不能达到赎回总额",IF(NOT(ISNUMBER(E493)),"自动金额未生成，请检查五项输入",IF(NOT(OR('持仓总览'!$C$7="利润优先",'持仓总览'!$C$7="本金优先")),"请选择卖出分配模式","已计入")))))))))))))))))))</f>
        <v/>
      </c>
      <c r="J493" s="11">
        <f t="shared" si="139">IF(AA493="正常",IF(I493="已计入",IF(OR(OR(B493="买入",B493="定投",B493="转换转入"),B493="红利再投"),D493,IF(B493="卖出",-D493,0)),0),"")</f>
        <v>0</v>
      </c>
      <c r="K493" s="11">
        <f t="shared" si="144">IF(AA493="正常",ROUND(K492+J493,6),"")</f>
        <v>25721.6</v>
      </c>
      <c r="L493" s="11" t="str">
        <f t="shared" si="145">IF(I493="已计入",ROUND(K492*C493,2),"")</f>
        <v/>
      </c>
      <c r="M493" s="11" t="str">
        <f t="shared" si="146">IF(I493="已计入",IF(B493="卖出",MAX(0,L493-Q492-F493),IF(B493="现金分红",MAX(0,L493+E493-Q492),0)),"")</f>
        <v/>
      </c>
      <c r="N493" s="11" t="str">
        <f>IF(I493="已计入",IF(AND(B493="卖出",'持仓总览'!$C$7="本金优先"),MAX(0,E493-Q492),IF(OR(B493="卖出",B493="现金分红"),MIN(E493,M493),0)),"")</f>
        <v/>
      </c>
      <c r="O493" s="11" t="str">
        <f t="shared" si="147">IF(I493="已计入",IF(OR(B493="卖出",B493="现金分红"),MIN(Q492,MAX(0,E493-N493)),0),"")</f>
        <v/>
      </c>
      <c r="P493" s="11" t="str">
        <f t="shared" si="148">IF(I493="已计入",IF(AND(B493="卖出",K493=0),MAX(0,Q492-O493),0),"")</f>
        <v/>
      </c>
      <c r="Q493" s="11">
        <f t="shared" si="149">IF(AA493="正常",IF(I493="已计入",ROUND(Q492+IF(OR(B493="买入",B493="定投",B493="转换转入"),E493,0)-O493-P493,2),Q492),"")</f>
        <v>129570</v>
      </c>
      <c r="R493" s="11" t="str">
        <f t="shared" si="140">IF(I493="已计入",ROUND(K493*C493,2),"")</f>
        <v/>
      </c>
      <c r="S493" s="11" t="str">
        <f t="shared" si="141">IF(I493="已计入",ROUND(R493-Q493,2),"")</f>
        <v/>
      </c>
      <c r="T493" s="12" t="str">
        <f t="shared" si="142">IF(I493="已计入",IF(Q493=0,"",S493/Q493),"")</f>
        <v/>
      </c>
      <c r="U493" s="11">
        <f t="shared" si="150">IF(AA493="正常",U492+IF(AND(I493="已计入",OR(B493="买入",B493="定投",B493="转换转入")),E493,0),"")</f>
        <v>129570</v>
      </c>
      <c r="V493" s="11">
        <f t="shared" si="151">IF(AA493="正常",V492+IF(AND(I493="已计入",OR(B493="卖出",B493="现金分红")),E493,0),"")</f>
        <v>0</v>
      </c>
      <c r="W493" s="11">
        <f t="shared" si="152">IF(AA493="正常",W492+IF(I493="已计入",N493,0),"")</f>
        <v>0</v>
      </c>
      <c r="X493" s="11">
        <f t="shared" si="153">IF(AA493="正常",X492+IF(I493="已计入",P493,0),"")</f>
        <v>0</v>
      </c>
      <c r="Y493" s="11" t="str">
        <f t="shared" si="143">IF(I493="已计入",ROUND(R493+V493-U493,2),"")</f>
        <v/>
      </c>
      <c r="Z493" s="13">
        <f t="shared" si="154">IF(AA493="正常",IF(I493="已计入",A493,Z492),"")</f>
        <v>46239</v>
      </c>
      <c r="AA493" s="10" t="str">
        <f>IF(OR($AA$134="错误",COUNTIF($G$135:G493,"待修正")&gt;0),"错误","正常")</f>
        <v>正常</v>
      </c>
      <c r="AB493" s="14">
        <f t="shared" si="155">IF(AA493="正常",IF(I493="已计入",C493,AB492),"")</f>
        <v>6.347</v>
      </c>
    </row>
    <row r="494" ht="23" customHeight="1">
      <c r="A494" s="36"/>
      <c r="B494" s="37"/>
      <c r="C494" s="38"/>
      <c r="D494" s="39"/>
      <c r="E494" s="44" t="str">
        <f t="shared" si="136">IF(AND(ISNUMBER(C494),ISNUMBER(D494),ISNUMBER(F494)),IF(OR(B494="买入",B494="定投"),ROUND(C494*D494+F494,2),IF(B494="卖出",ROUND(C494*D494-F494,2),IF(B494="红利再投",0,""))),"")</f>
        <v/>
      </c>
      <c r="F494" s="39"/>
      <c r="G494" s="45" t="str">
        <f t="shared" si="137">IF(COUNTA(A494:D494,F494)=0,"",IF(I494="已计入","已录入","待修正"))</f>
        <v/>
      </c>
      <c r="H494" s="46" t="str">
        <f t="shared" si="138">IF(COUNTA(A494:D494,F494)=0,"",IF(B494="红利再投","仅增加份额，不增加现金投入","金额由份额、净值和手续费推算"))</f>
        <v/>
      </c>
      <c r="I494" s="10" t="str">
        <f>IF(COUNTA(A494:D494,F494)=0,"",IF(NOT(ISNUMBER(A494)),"缺少有效净值日期",IF(OR(A494&lt;=0,A494&lt;&gt;INT(A494)),"净值日期无效",IF(OR(B494="转换转入",B494="现金分红"),"该类型需实际金额，五项录入不适用",IF(NOT(OR(OR(B494="买入",B494="定投"),B494="卖出",B494="红利再投")),"请选择交易类型",IF(NOT(ISNUMBER(C494)),"缺少成交净值",IF(C494&lt;=0,"成交净值须大于零",IF(NOT(ISNUMBER(D494)),"缺少确认份额",IF(D494&lt;=0,"确认份额须大于零",IF(NOT(ISNUMBER(F494)),"缺少手续费，无费用请填 0",IF(F494&lt;0,"手续费不能为负",IF(AA493="错误","前行待修正",IF(A494&lt;Z493,"日期需按成交顺序递增",IF(AND(B494="红利再投",F494&lt;&gt;0),"红利再投手续费应填 0",IF(AND(B494="红利再投",K493&lt;=0),"红利再投前须有持仓",IF(AND(B494="卖出",D494&gt;K493+0.000001),"卖出份额超过持仓",IF(AND(B494="卖出",F494&gt;=C494*D494),"赎回费不能达到赎回总额",IF(NOT(ISNUMBER(E494)),"自动金额未生成，请检查五项输入",IF(NOT(OR('持仓总览'!$C$7="利润优先",'持仓总览'!$C$7="本金优先")),"请选择卖出分配模式","已计入")))))))))))))))))))</f>
        <v/>
      </c>
      <c r="J494" s="11">
        <f t="shared" si="139">IF(AA494="正常",IF(I494="已计入",IF(OR(OR(B494="买入",B494="定投",B494="转换转入"),B494="红利再投"),D494,IF(B494="卖出",-D494,0)),0),"")</f>
        <v>0</v>
      </c>
      <c r="K494" s="11">
        <f t="shared" si="144">IF(AA494="正常",ROUND(K493+J494,6),"")</f>
        <v>25721.6</v>
      </c>
      <c r="L494" s="11" t="str">
        <f t="shared" si="145">IF(I494="已计入",ROUND(K493*C494,2),"")</f>
        <v/>
      </c>
      <c r="M494" s="11" t="str">
        <f t="shared" si="146">IF(I494="已计入",IF(B494="卖出",MAX(0,L494-Q493-F494),IF(B494="现金分红",MAX(0,L494+E494-Q493),0)),"")</f>
        <v/>
      </c>
      <c r="N494" s="11" t="str">
        <f>IF(I494="已计入",IF(AND(B494="卖出",'持仓总览'!$C$7="本金优先"),MAX(0,E494-Q493),IF(OR(B494="卖出",B494="现金分红"),MIN(E494,M494),0)),"")</f>
        <v/>
      </c>
      <c r="O494" s="11" t="str">
        <f t="shared" si="147">IF(I494="已计入",IF(OR(B494="卖出",B494="现金分红"),MIN(Q493,MAX(0,E494-N494)),0),"")</f>
        <v/>
      </c>
      <c r="P494" s="11" t="str">
        <f t="shared" si="148">IF(I494="已计入",IF(AND(B494="卖出",K494=0),MAX(0,Q493-O494),0),"")</f>
        <v/>
      </c>
      <c r="Q494" s="11">
        <f t="shared" si="149">IF(AA494="正常",IF(I494="已计入",ROUND(Q493+IF(OR(B494="买入",B494="定投",B494="转换转入"),E494,0)-O494-P494,2),Q493),"")</f>
        <v>129570</v>
      </c>
      <c r="R494" s="11" t="str">
        <f t="shared" si="140">IF(I494="已计入",ROUND(K494*C494,2),"")</f>
        <v/>
      </c>
      <c r="S494" s="11" t="str">
        <f t="shared" si="141">IF(I494="已计入",ROUND(R494-Q494,2),"")</f>
        <v/>
      </c>
      <c r="T494" s="12" t="str">
        <f t="shared" si="142">IF(I494="已计入",IF(Q494=0,"",S494/Q494),"")</f>
        <v/>
      </c>
      <c r="U494" s="11">
        <f t="shared" si="150">IF(AA494="正常",U493+IF(AND(I494="已计入",OR(B494="买入",B494="定投",B494="转换转入")),E494,0),"")</f>
        <v>129570</v>
      </c>
      <c r="V494" s="11">
        <f t="shared" si="151">IF(AA494="正常",V493+IF(AND(I494="已计入",OR(B494="卖出",B494="现金分红")),E494,0),"")</f>
        <v>0</v>
      </c>
      <c r="W494" s="11">
        <f t="shared" si="152">IF(AA494="正常",W493+IF(I494="已计入",N494,0),"")</f>
        <v>0</v>
      </c>
      <c r="X494" s="11">
        <f t="shared" si="153">IF(AA494="正常",X493+IF(I494="已计入",P494,0),"")</f>
        <v>0</v>
      </c>
      <c r="Y494" s="11" t="str">
        <f t="shared" si="143">IF(I494="已计入",ROUND(R494+V494-U494,2),"")</f>
        <v/>
      </c>
      <c r="Z494" s="13">
        <f t="shared" si="154">IF(AA494="正常",IF(I494="已计入",A494,Z493),"")</f>
        <v>46239</v>
      </c>
      <c r="AA494" s="10" t="str">
        <f>IF(OR($AA$134="错误",COUNTIF($G$135:G494,"待修正")&gt;0),"错误","正常")</f>
        <v>正常</v>
      </c>
      <c r="AB494" s="14">
        <f t="shared" si="155">IF(AA494="正常",IF(I494="已计入",C494,AB493),"")</f>
        <v>6.347</v>
      </c>
    </row>
    <row r="495" ht="23" customHeight="1">
      <c r="A495" s="36"/>
      <c r="B495" s="37"/>
      <c r="C495" s="38"/>
      <c r="D495" s="39"/>
      <c r="E495" s="44" t="str">
        <f t="shared" si="136">IF(AND(ISNUMBER(C495),ISNUMBER(D495),ISNUMBER(F495)),IF(OR(B495="买入",B495="定投"),ROUND(C495*D495+F495,2),IF(B495="卖出",ROUND(C495*D495-F495,2),IF(B495="红利再投",0,""))),"")</f>
        <v/>
      </c>
      <c r="F495" s="39"/>
      <c r="G495" s="45" t="str">
        <f t="shared" si="137">IF(COUNTA(A495:D495,F495)=0,"",IF(I495="已计入","已录入","待修正"))</f>
        <v/>
      </c>
      <c r="H495" s="46" t="str">
        <f t="shared" si="138">IF(COUNTA(A495:D495,F495)=0,"",IF(B495="红利再投","仅增加份额，不增加现金投入","金额由份额、净值和手续费推算"))</f>
        <v/>
      </c>
      <c r="I495" s="10" t="str">
        <f>IF(COUNTA(A495:D495,F495)=0,"",IF(NOT(ISNUMBER(A495)),"缺少有效净值日期",IF(OR(A495&lt;=0,A495&lt;&gt;INT(A495)),"净值日期无效",IF(OR(B495="转换转入",B495="现金分红"),"该类型需实际金额，五项录入不适用",IF(NOT(OR(OR(B495="买入",B495="定投"),B495="卖出",B495="红利再投")),"请选择交易类型",IF(NOT(ISNUMBER(C495)),"缺少成交净值",IF(C495&lt;=0,"成交净值须大于零",IF(NOT(ISNUMBER(D495)),"缺少确认份额",IF(D495&lt;=0,"确认份额须大于零",IF(NOT(ISNUMBER(F495)),"缺少手续费，无费用请填 0",IF(F495&lt;0,"手续费不能为负",IF(AA494="错误","前行待修正",IF(A495&lt;Z494,"日期需按成交顺序递增",IF(AND(B495="红利再投",F495&lt;&gt;0),"红利再投手续费应填 0",IF(AND(B495="红利再投",K494&lt;=0),"红利再投前须有持仓",IF(AND(B495="卖出",D495&gt;K494+0.000001),"卖出份额超过持仓",IF(AND(B495="卖出",F495&gt;=C495*D495),"赎回费不能达到赎回总额",IF(NOT(ISNUMBER(E495)),"自动金额未生成，请检查五项输入",IF(NOT(OR('持仓总览'!$C$7="利润优先",'持仓总览'!$C$7="本金优先")),"请选择卖出分配模式","已计入")))))))))))))))))))</f>
        <v/>
      </c>
      <c r="J495" s="11">
        <f t="shared" si="139">IF(AA495="正常",IF(I495="已计入",IF(OR(OR(B495="买入",B495="定投",B495="转换转入"),B495="红利再投"),D495,IF(B495="卖出",-D495,0)),0),"")</f>
        <v>0</v>
      </c>
      <c r="K495" s="11">
        <f t="shared" si="144">IF(AA495="正常",ROUND(K494+J495,6),"")</f>
        <v>25721.6</v>
      </c>
      <c r="L495" s="11" t="str">
        <f t="shared" si="145">IF(I495="已计入",ROUND(K494*C495,2),"")</f>
        <v/>
      </c>
      <c r="M495" s="11" t="str">
        <f t="shared" si="146">IF(I495="已计入",IF(B495="卖出",MAX(0,L495-Q494-F495),IF(B495="现金分红",MAX(0,L495+E495-Q494),0)),"")</f>
        <v/>
      </c>
      <c r="N495" s="11" t="str">
        <f>IF(I495="已计入",IF(AND(B495="卖出",'持仓总览'!$C$7="本金优先"),MAX(0,E495-Q494),IF(OR(B495="卖出",B495="现金分红"),MIN(E495,M495),0)),"")</f>
        <v/>
      </c>
      <c r="O495" s="11" t="str">
        <f t="shared" si="147">IF(I495="已计入",IF(OR(B495="卖出",B495="现金分红"),MIN(Q494,MAX(0,E495-N495)),0),"")</f>
        <v/>
      </c>
      <c r="P495" s="11" t="str">
        <f t="shared" si="148">IF(I495="已计入",IF(AND(B495="卖出",K495=0),MAX(0,Q494-O495),0),"")</f>
        <v/>
      </c>
      <c r="Q495" s="11">
        <f t="shared" si="149">IF(AA495="正常",IF(I495="已计入",ROUND(Q494+IF(OR(B495="买入",B495="定投",B495="转换转入"),E495,0)-O495-P495,2),Q494),"")</f>
        <v>129570</v>
      </c>
      <c r="R495" s="11" t="str">
        <f t="shared" si="140">IF(I495="已计入",ROUND(K495*C495,2),"")</f>
        <v/>
      </c>
      <c r="S495" s="11" t="str">
        <f t="shared" si="141">IF(I495="已计入",ROUND(R495-Q495,2),"")</f>
        <v/>
      </c>
      <c r="T495" s="12" t="str">
        <f t="shared" si="142">IF(I495="已计入",IF(Q495=0,"",S495/Q495),"")</f>
        <v/>
      </c>
      <c r="U495" s="11">
        <f t="shared" si="150">IF(AA495="正常",U494+IF(AND(I495="已计入",OR(B495="买入",B495="定投",B495="转换转入")),E495,0),"")</f>
        <v>129570</v>
      </c>
      <c r="V495" s="11">
        <f t="shared" si="151">IF(AA495="正常",V494+IF(AND(I495="已计入",OR(B495="卖出",B495="现金分红")),E495,0),"")</f>
        <v>0</v>
      </c>
      <c r="W495" s="11">
        <f t="shared" si="152">IF(AA495="正常",W494+IF(I495="已计入",N495,0),"")</f>
        <v>0</v>
      </c>
      <c r="X495" s="11">
        <f t="shared" si="153">IF(AA495="正常",X494+IF(I495="已计入",P495,0),"")</f>
        <v>0</v>
      </c>
      <c r="Y495" s="11" t="str">
        <f t="shared" si="143">IF(I495="已计入",ROUND(R495+V495-U495,2),"")</f>
        <v/>
      </c>
      <c r="Z495" s="13">
        <f t="shared" si="154">IF(AA495="正常",IF(I495="已计入",A495,Z494),"")</f>
        <v>46239</v>
      </c>
      <c r="AA495" s="10" t="str">
        <f>IF(OR($AA$134="错误",COUNTIF($G$135:G495,"待修正")&gt;0),"错误","正常")</f>
        <v>正常</v>
      </c>
      <c r="AB495" s="14">
        <f t="shared" si="155">IF(AA495="正常",IF(I495="已计入",C495,AB494),"")</f>
        <v>6.347</v>
      </c>
    </row>
    <row r="496" ht="23" customHeight="1">
      <c r="A496" s="36"/>
      <c r="B496" s="37"/>
      <c r="C496" s="38"/>
      <c r="D496" s="39"/>
      <c r="E496" s="44" t="str">
        <f t="shared" si="136">IF(AND(ISNUMBER(C496),ISNUMBER(D496),ISNUMBER(F496)),IF(OR(B496="买入",B496="定投"),ROUND(C496*D496+F496,2),IF(B496="卖出",ROUND(C496*D496-F496,2),IF(B496="红利再投",0,""))),"")</f>
        <v/>
      </c>
      <c r="F496" s="39"/>
      <c r="G496" s="45" t="str">
        <f t="shared" si="137">IF(COUNTA(A496:D496,F496)=0,"",IF(I496="已计入","已录入","待修正"))</f>
        <v/>
      </c>
      <c r="H496" s="46" t="str">
        <f t="shared" si="138">IF(COUNTA(A496:D496,F496)=0,"",IF(B496="红利再投","仅增加份额，不增加现金投入","金额由份额、净值和手续费推算"))</f>
        <v/>
      </c>
      <c r="I496" s="10" t="str">
        <f>IF(COUNTA(A496:D496,F496)=0,"",IF(NOT(ISNUMBER(A496)),"缺少有效净值日期",IF(OR(A496&lt;=0,A496&lt;&gt;INT(A496)),"净值日期无效",IF(OR(B496="转换转入",B496="现金分红"),"该类型需实际金额，五项录入不适用",IF(NOT(OR(OR(B496="买入",B496="定投"),B496="卖出",B496="红利再投")),"请选择交易类型",IF(NOT(ISNUMBER(C496)),"缺少成交净值",IF(C496&lt;=0,"成交净值须大于零",IF(NOT(ISNUMBER(D496)),"缺少确认份额",IF(D496&lt;=0,"确认份额须大于零",IF(NOT(ISNUMBER(F496)),"缺少手续费，无费用请填 0",IF(F496&lt;0,"手续费不能为负",IF(AA495="错误","前行待修正",IF(A496&lt;Z495,"日期需按成交顺序递增",IF(AND(B496="红利再投",F496&lt;&gt;0),"红利再投手续费应填 0",IF(AND(B496="红利再投",K495&lt;=0),"红利再投前须有持仓",IF(AND(B496="卖出",D496&gt;K495+0.000001),"卖出份额超过持仓",IF(AND(B496="卖出",F496&gt;=C496*D496),"赎回费不能达到赎回总额",IF(NOT(ISNUMBER(E496)),"自动金额未生成，请检查五项输入",IF(NOT(OR('持仓总览'!$C$7="利润优先",'持仓总览'!$C$7="本金优先")),"请选择卖出分配模式","已计入")))))))))))))))))))</f>
        <v/>
      </c>
      <c r="J496" s="11">
        <f t="shared" si="139">IF(AA496="正常",IF(I496="已计入",IF(OR(OR(B496="买入",B496="定投",B496="转换转入"),B496="红利再投"),D496,IF(B496="卖出",-D496,0)),0),"")</f>
        <v>0</v>
      </c>
      <c r="K496" s="11">
        <f t="shared" si="144">IF(AA496="正常",ROUND(K495+J496,6),"")</f>
        <v>25721.6</v>
      </c>
      <c r="L496" s="11" t="str">
        <f t="shared" si="145">IF(I496="已计入",ROUND(K495*C496,2),"")</f>
        <v/>
      </c>
      <c r="M496" s="11" t="str">
        <f t="shared" si="146">IF(I496="已计入",IF(B496="卖出",MAX(0,L496-Q495-F496),IF(B496="现金分红",MAX(0,L496+E496-Q495),0)),"")</f>
        <v/>
      </c>
      <c r="N496" s="11" t="str">
        <f>IF(I496="已计入",IF(AND(B496="卖出",'持仓总览'!$C$7="本金优先"),MAX(0,E496-Q495),IF(OR(B496="卖出",B496="现金分红"),MIN(E496,M496),0)),"")</f>
        <v/>
      </c>
      <c r="O496" s="11" t="str">
        <f t="shared" si="147">IF(I496="已计入",IF(OR(B496="卖出",B496="现金分红"),MIN(Q495,MAX(0,E496-N496)),0),"")</f>
        <v/>
      </c>
      <c r="P496" s="11" t="str">
        <f t="shared" si="148">IF(I496="已计入",IF(AND(B496="卖出",K496=0),MAX(0,Q495-O496),0),"")</f>
        <v/>
      </c>
      <c r="Q496" s="11">
        <f t="shared" si="149">IF(AA496="正常",IF(I496="已计入",ROUND(Q495+IF(OR(B496="买入",B496="定投",B496="转换转入"),E496,0)-O496-P496,2),Q495),"")</f>
        <v>129570</v>
      </c>
      <c r="R496" s="11" t="str">
        <f t="shared" si="140">IF(I496="已计入",ROUND(K496*C496,2),"")</f>
        <v/>
      </c>
      <c r="S496" s="11" t="str">
        <f t="shared" si="141">IF(I496="已计入",ROUND(R496-Q496,2),"")</f>
        <v/>
      </c>
      <c r="T496" s="12" t="str">
        <f t="shared" si="142">IF(I496="已计入",IF(Q496=0,"",S496/Q496),"")</f>
        <v/>
      </c>
      <c r="U496" s="11">
        <f t="shared" si="150">IF(AA496="正常",U495+IF(AND(I496="已计入",OR(B496="买入",B496="定投",B496="转换转入")),E496,0),"")</f>
        <v>129570</v>
      </c>
      <c r="V496" s="11">
        <f t="shared" si="151">IF(AA496="正常",V495+IF(AND(I496="已计入",OR(B496="卖出",B496="现金分红")),E496,0),"")</f>
        <v>0</v>
      </c>
      <c r="W496" s="11">
        <f t="shared" si="152">IF(AA496="正常",W495+IF(I496="已计入",N496,0),"")</f>
        <v>0</v>
      </c>
      <c r="X496" s="11">
        <f t="shared" si="153">IF(AA496="正常",X495+IF(I496="已计入",P496,0),"")</f>
        <v>0</v>
      </c>
      <c r="Y496" s="11" t="str">
        <f t="shared" si="143">IF(I496="已计入",ROUND(R496+V496-U496,2),"")</f>
        <v/>
      </c>
      <c r="Z496" s="13">
        <f t="shared" si="154">IF(AA496="正常",IF(I496="已计入",A496,Z495),"")</f>
        <v>46239</v>
      </c>
      <c r="AA496" s="10" t="str">
        <f>IF(OR($AA$134="错误",COUNTIF($G$135:G496,"待修正")&gt;0),"错误","正常")</f>
        <v>正常</v>
      </c>
      <c r="AB496" s="14">
        <f t="shared" si="155">IF(AA496="正常",IF(I496="已计入",C496,AB495),"")</f>
        <v>6.347</v>
      </c>
    </row>
    <row r="497" ht="23" customHeight="1">
      <c r="A497" s="36"/>
      <c r="B497" s="37"/>
      <c r="C497" s="38"/>
      <c r="D497" s="39"/>
      <c r="E497" s="44" t="str">
        <f t="shared" si="136">IF(AND(ISNUMBER(C497),ISNUMBER(D497),ISNUMBER(F497)),IF(OR(B497="买入",B497="定投"),ROUND(C497*D497+F497,2),IF(B497="卖出",ROUND(C497*D497-F497,2),IF(B497="红利再投",0,""))),"")</f>
        <v/>
      </c>
      <c r="F497" s="39"/>
      <c r="G497" s="45" t="str">
        <f t="shared" si="137">IF(COUNTA(A497:D497,F497)=0,"",IF(I497="已计入","已录入","待修正"))</f>
        <v/>
      </c>
      <c r="H497" s="46" t="str">
        <f t="shared" si="138">IF(COUNTA(A497:D497,F497)=0,"",IF(B497="红利再投","仅增加份额，不增加现金投入","金额由份额、净值和手续费推算"))</f>
        <v/>
      </c>
      <c r="I497" s="10" t="str">
        <f>IF(COUNTA(A497:D497,F497)=0,"",IF(NOT(ISNUMBER(A497)),"缺少有效净值日期",IF(OR(A497&lt;=0,A497&lt;&gt;INT(A497)),"净值日期无效",IF(OR(B497="转换转入",B497="现金分红"),"该类型需实际金额，五项录入不适用",IF(NOT(OR(OR(B497="买入",B497="定投"),B497="卖出",B497="红利再投")),"请选择交易类型",IF(NOT(ISNUMBER(C497)),"缺少成交净值",IF(C497&lt;=0,"成交净值须大于零",IF(NOT(ISNUMBER(D497)),"缺少确认份额",IF(D497&lt;=0,"确认份额须大于零",IF(NOT(ISNUMBER(F497)),"缺少手续费，无费用请填 0",IF(F497&lt;0,"手续费不能为负",IF(AA496="错误","前行待修正",IF(A497&lt;Z496,"日期需按成交顺序递增",IF(AND(B497="红利再投",F497&lt;&gt;0),"红利再投手续费应填 0",IF(AND(B497="红利再投",K496&lt;=0),"红利再投前须有持仓",IF(AND(B497="卖出",D497&gt;K496+0.000001),"卖出份额超过持仓",IF(AND(B497="卖出",F497&gt;=C497*D497),"赎回费不能达到赎回总额",IF(NOT(ISNUMBER(E497)),"自动金额未生成，请检查五项输入",IF(NOT(OR('持仓总览'!$C$7="利润优先",'持仓总览'!$C$7="本金优先")),"请选择卖出分配模式","已计入")))))))))))))))))))</f>
        <v/>
      </c>
      <c r="J497" s="11">
        <f t="shared" si="139">IF(AA497="正常",IF(I497="已计入",IF(OR(OR(B497="买入",B497="定投",B497="转换转入"),B497="红利再投"),D497,IF(B497="卖出",-D497,0)),0),"")</f>
        <v>0</v>
      </c>
      <c r="K497" s="11">
        <f t="shared" si="144">IF(AA497="正常",ROUND(K496+J497,6),"")</f>
        <v>25721.6</v>
      </c>
      <c r="L497" s="11" t="str">
        <f t="shared" si="145">IF(I497="已计入",ROUND(K496*C497,2),"")</f>
        <v/>
      </c>
      <c r="M497" s="11" t="str">
        <f t="shared" si="146">IF(I497="已计入",IF(B497="卖出",MAX(0,L497-Q496-F497),IF(B497="现金分红",MAX(0,L497+E497-Q496),0)),"")</f>
        <v/>
      </c>
      <c r="N497" s="11" t="str">
        <f>IF(I497="已计入",IF(AND(B497="卖出",'持仓总览'!$C$7="本金优先"),MAX(0,E497-Q496),IF(OR(B497="卖出",B497="现金分红"),MIN(E497,M497),0)),"")</f>
        <v/>
      </c>
      <c r="O497" s="11" t="str">
        <f t="shared" si="147">IF(I497="已计入",IF(OR(B497="卖出",B497="现金分红"),MIN(Q496,MAX(0,E497-N497)),0),"")</f>
        <v/>
      </c>
      <c r="P497" s="11" t="str">
        <f t="shared" si="148">IF(I497="已计入",IF(AND(B497="卖出",K497=0),MAX(0,Q496-O497),0),"")</f>
        <v/>
      </c>
      <c r="Q497" s="11">
        <f t="shared" si="149">IF(AA497="正常",IF(I497="已计入",ROUND(Q496+IF(OR(B497="买入",B497="定投",B497="转换转入"),E497,0)-O497-P497,2),Q496),"")</f>
        <v>129570</v>
      </c>
      <c r="R497" s="11" t="str">
        <f t="shared" si="140">IF(I497="已计入",ROUND(K497*C497,2),"")</f>
        <v/>
      </c>
      <c r="S497" s="11" t="str">
        <f t="shared" si="141">IF(I497="已计入",ROUND(R497-Q497,2),"")</f>
        <v/>
      </c>
      <c r="T497" s="12" t="str">
        <f t="shared" si="142">IF(I497="已计入",IF(Q497=0,"",S497/Q497),"")</f>
        <v/>
      </c>
      <c r="U497" s="11">
        <f t="shared" si="150">IF(AA497="正常",U496+IF(AND(I497="已计入",OR(B497="买入",B497="定投",B497="转换转入")),E497,0),"")</f>
        <v>129570</v>
      </c>
      <c r="V497" s="11">
        <f t="shared" si="151">IF(AA497="正常",V496+IF(AND(I497="已计入",OR(B497="卖出",B497="现金分红")),E497,0),"")</f>
        <v>0</v>
      </c>
      <c r="W497" s="11">
        <f t="shared" si="152">IF(AA497="正常",W496+IF(I497="已计入",N497,0),"")</f>
        <v>0</v>
      </c>
      <c r="X497" s="11">
        <f t="shared" si="153">IF(AA497="正常",X496+IF(I497="已计入",P497,0),"")</f>
        <v>0</v>
      </c>
      <c r="Y497" s="11" t="str">
        <f t="shared" si="143">IF(I497="已计入",ROUND(R497+V497-U497,2),"")</f>
        <v/>
      </c>
      <c r="Z497" s="13">
        <f t="shared" si="154">IF(AA497="正常",IF(I497="已计入",A497,Z496),"")</f>
        <v>46239</v>
      </c>
      <c r="AA497" s="10" t="str">
        <f>IF(OR($AA$134="错误",COUNTIF($G$135:G497,"待修正")&gt;0),"错误","正常")</f>
        <v>正常</v>
      </c>
      <c r="AB497" s="14">
        <f t="shared" si="155">IF(AA497="正常",IF(I497="已计入",C497,AB496),"")</f>
        <v>6.347</v>
      </c>
    </row>
    <row r="498" ht="23" customHeight="1">
      <c r="A498" s="36"/>
      <c r="B498" s="37"/>
      <c r="C498" s="38"/>
      <c r="D498" s="39"/>
      <c r="E498" s="44" t="str">
        <f t="shared" si="136">IF(AND(ISNUMBER(C498),ISNUMBER(D498),ISNUMBER(F498)),IF(OR(B498="买入",B498="定投"),ROUND(C498*D498+F498,2),IF(B498="卖出",ROUND(C498*D498-F498,2),IF(B498="红利再投",0,""))),"")</f>
        <v/>
      </c>
      <c r="F498" s="39"/>
      <c r="G498" s="45" t="str">
        <f t="shared" si="137">IF(COUNTA(A498:D498,F498)=0,"",IF(I498="已计入","已录入","待修正"))</f>
        <v/>
      </c>
      <c r="H498" s="46" t="str">
        <f t="shared" si="138">IF(COUNTA(A498:D498,F498)=0,"",IF(B498="红利再投","仅增加份额，不增加现金投入","金额由份额、净值和手续费推算"))</f>
        <v/>
      </c>
      <c r="I498" s="10" t="str">
        <f>IF(COUNTA(A498:D498,F498)=0,"",IF(NOT(ISNUMBER(A498)),"缺少有效净值日期",IF(OR(A498&lt;=0,A498&lt;&gt;INT(A498)),"净值日期无效",IF(OR(B498="转换转入",B498="现金分红"),"该类型需实际金额，五项录入不适用",IF(NOT(OR(OR(B498="买入",B498="定投"),B498="卖出",B498="红利再投")),"请选择交易类型",IF(NOT(ISNUMBER(C498)),"缺少成交净值",IF(C498&lt;=0,"成交净值须大于零",IF(NOT(ISNUMBER(D498)),"缺少确认份额",IF(D498&lt;=0,"确认份额须大于零",IF(NOT(ISNUMBER(F498)),"缺少手续费，无费用请填 0",IF(F498&lt;0,"手续费不能为负",IF(AA497="错误","前行待修正",IF(A498&lt;Z497,"日期需按成交顺序递增",IF(AND(B498="红利再投",F498&lt;&gt;0),"红利再投手续费应填 0",IF(AND(B498="红利再投",K497&lt;=0),"红利再投前须有持仓",IF(AND(B498="卖出",D498&gt;K497+0.000001),"卖出份额超过持仓",IF(AND(B498="卖出",F498&gt;=C498*D498),"赎回费不能达到赎回总额",IF(NOT(ISNUMBER(E498)),"自动金额未生成，请检查五项输入",IF(NOT(OR('持仓总览'!$C$7="利润优先",'持仓总览'!$C$7="本金优先")),"请选择卖出分配模式","已计入")))))))))))))))))))</f>
        <v/>
      </c>
      <c r="J498" s="11">
        <f t="shared" si="139">IF(AA498="正常",IF(I498="已计入",IF(OR(OR(B498="买入",B498="定投",B498="转换转入"),B498="红利再投"),D498,IF(B498="卖出",-D498,0)),0),"")</f>
        <v>0</v>
      </c>
      <c r="K498" s="11">
        <f t="shared" si="144">IF(AA498="正常",ROUND(K497+J498,6),"")</f>
        <v>25721.6</v>
      </c>
      <c r="L498" s="11" t="str">
        <f t="shared" si="145">IF(I498="已计入",ROUND(K497*C498,2),"")</f>
        <v/>
      </c>
      <c r="M498" s="11" t="str">
        <f t="shared" si="146">IF(I498="已计入",IF(B498="卖出",MAX(0,L498-Q497-F498),IF(B498="现金分红",MAX(0,L498+E498-Q497),0)),"")</f>
        <v/>
      </c>
      <c r="N498" s="11" t="str">
        <f>IF(I498="已计入",IF(AND(B498="卖出",'持仓总览'!$C$7="本金优先"),MAX(0,E498-Q497),IF(OR(B498="卖出",B498="现金分红"),MIN(E498,M498),0)),"")</f>
        <v/>
      </c>
      <c r="O498" s="11" t="str">
        <f t="shared" si="147">IF(I498="已计入",IF(OR(B498="卖出",B498="现金分红"),MIN(Q497,MAX(0,E498-N498)),0),"")</f>
        <v/>
      </c>
      <c r="P498" s="11" t="str">
        <f t="shared" si="148">IF(I498="已计入",IF(AND(B498="卖出",K498=0),MAX(0,Q497-O498),0),"")</f>
        <v/>
      </c>
      <c r="Q498" s="11">
        <f t="shared" si="149">IF(AA498="正常",IF(I498="已计入",ROUND(Q497+IF(OR(B498="买入",B498="定投",B498="转换转入"),E498,0)-O498-P498,2),Q497),"")</f>
        <v>129570</v>
      </c>
      <c r="R498" s="11" t="str">
        <f t="shared" si="140">IF(I498="已计入",ROUND(K498*C498,2),"")</f>
        <v/>
      </c>
      <c r="S498" s="11" t="str">
        <f t="shared" si="141">IF(I498="已计入",ROUND(R498-Q498,2),"")</f>
        <v/>
      </c>
      <c r="T498" s="12" t="str">
        <f t="shared" si="142">IF(I498="已计入",IF(Q498=0,"",S498/Q498),"")</f>
        <v/>
      </c>
      <c r="U498" s="11">
        <f t="shared" si="150">IF(AA498="正常",U497+IF(AND(I498="已计入",OR(B498="买入",B498="定投",B498="转换转入")),E498,0),"")</f>
        <v>129570</v>
      </c>
      <c r="V498" s="11">
        <f t="shared" si="151">IF(AA498="正常",V497+IF(AND(I498="已计入",OR(B498="卖出",B498="现金分红")),E498,0),"")</f>
        <v>0</v>
      </c>
      <c r="W498" s="11">
        <f t="shared" si="152">IF(AA498="正常",W497+IF(I498="已计入",N498,0),"")</f>
        <v>0</v>
      </c>
      <c r="X498" s="11">
        <f t="shared" si="153">IF(AA498="正常",X497+IF(I498="已计入",P498,0),"")</f>
        <v>0</v>
      </c>
      <c r="Y498" s="11" t="str">
        <f t="shared" si="143">IF(I498="已计入",ROUND(R498+V498-U498,2),"")</f>
        <v/>
      </c>
      <c r="Z498" s="13">
        <f t="shared" si="154">IF(AA498="正常",IF(I498="已计入",A498,Z497),"")</f>
        <v>46239</v>
      </c>
      <c r="AA498" s="10" t="str">
        <f>IF(OR($AA$134="错误",COUNTIF($G$135:G498,"待修正")&gt;0),"错误","正常")</f>
        <v>正常</v>
      </c>
      <c r="AB498" s="14">
        <f t="shared" si="155">IF(AA498="正常",IF(I498="已计入",C498,AB497),"")</f>
        <v>6.347</v>
      </c>
    </row>
    <row r="499" ht="23" customHeight="1">
      <c r="A499" s="36"/>
      <c r="B499" s="37"/>
      <c r="C499" s="38"/>
      <c r="D499" s="39"/>
      <c r="E499" s="44" t="str">
        <f t="shared" si="136">IF(AND(ISNUMBER(C499),ISNUMBER(D499),ISNUMBER(F499)),IF(OR(B499="买入",B499="定投"),ROUND(C499*D499+F499,2),IF(B499="卖出",ROUND(C499*D499-F499,2),IF(B499="红利再投",0,""))),"")</f>
        <v/>
      </c>
      <c r="F499" s="39"/>
      <c r="G499" s="45" t="str">
        <f t="shared" si="137">IF(COUNTA(A499:D499,F499)=0,"",IF(I499="已计入","已录入","待修正"))</f>
        <v/>
      </c>
      <c r="H499" s="46" t="str">
        <f t="shared" si="138">IF(COUNTA(A499:D499,F499)=0,"",IF(B499="红利再投","仅增加份额，不增加现金投入","金额由份额、净值和手续费推算"))</f>
        <v/>
      </c>
      <c r="I499" s="10" t="str">
        <f>IF(COUNTA(A499:D499,F499)=0,"",IF(NOT(ISNUMBER(A499)),"缺少有效净值日期",IF(OR(A499&lt;=0,A499&lt;&gt;INT(A499)),"净值日期无效",IF(OR(B499="转换转入",B499="现金分红"),"该类型需实际金额，五项录入不适用",IF(NOT(OR(OR(B499="买入",B499="定投"),B499="卖出",B499="红利再投")),"请选择交易类型",IF(NOT(ISNUMBER(C499)),"缺少成交净值",IF(C499&lt;=0,"成交净值须大于零",IF(NOT(ISNUMBER(D499)),"缺少确认份额",IF(D499&lt;=0,"确认份额须大于零",IF(NOT(ISNUMBER(F499)),"缺少手续费，无费用请填 0",IF(F499&lt;0,"手续费不能为负",IF(AA498="错误","前行待修正",IF(A499&lt;Z498,"日期需按成交顺序递增",IF(AND(B499="红利再投",F499&lt;&gt;0),"红利再投手续费应填 0",IF(AND(B499="红利再投",K498&lt;=0),"红利再投前须有持仓",IF(AND(B499="卖出",D499&gt;K498+0.000001),"卖出份额超过持仓",IF(AND(B499="卖出",F499&gt;=C499*D499),"赎回费不能达到赎回总额",IF(NOT(ISNUMBER(E499)),"自动金额未生成，请检查五项输入",IF(NOT(OR('持仓总览'!$C$7="利润优先",'持仓总览'!$C$7="本金优先")),"请选择卖出分配模式","已计入")))))))))))))))))))</f>
        <v/>
      </c>
      <c r="J499" s="11">
        <f t="shared" si="139">IF(AA499="正常",IF(I499="已计入",IF(OR(OR(B499="买入",B499="定投",B499="转换转入"),B499="红利再投"),D499,IF(B499="卖出",-D499,0)),0),"")</f>
        <v>0</v>
      </c>
      <c r="K499" s="11">
        <f t="shared" si="144">IF(AA499="正常",ROUND(K498+J499,6),"")</f>
        <v>25721.6</v>
      </c>
      <c r="L499" s="11" t="str">
        <f t="shared" si="145">IF(I499="已计入",ROUND(K498*C499,2),"")</f>
        <v/>
      </c>
      <c r="M499" s="11" t="str">
        <f t="shared" si="146">IF(I499="已计入",IF(B499="卖出",MAX(0,L499-Q498-F499),IF(B499="现金分红",MAX(0,L499+E499-Q498),0)),"")</f>
        <v/>
      </c>
      <c r="N499" s="11" t="str">
        <f>IF(I499="已计入",IF(AND(B499="卖出",'持仓总览'!$C$7="本金优先"),MAX(0,E499-Q498),IF(OR(B499="卖出",B499="现金分红"),MIN(E499,M499),0)),"")</f>
        <v/>
      </c>
      <c r="O499" s="11" t="str">
        <f t="shared" si="147">IF(I499="已计入",IF(OR(B499="卖出",B499="现金分红"),MIN(Q498,MAX(0,E499-N499)),0),"")</f>
        <v/>
      </c>
      <c r="P499" s="11" t="str">
        <f t="shared" si="148">IF(I499="已计入",IF(AND(B499="卖出",K499=0),MAX(0,Q498-O499),0),"")</f>
        <v/>
      </c>
      <c r="Q499" s="11">
        <f t="shared" si="149">IF(AA499="正常",IF(I499="已计入",ROUND(Q498+IF(OR(B499="买入",B499="定投",B499="转换转入"),E499,0)-O499-P499,2),Q498),"")</f>
        <v>129570</v>
      </c>
      <c r="R499" s="11" t="str">
        <f t="shared" si="140">IF(I499="已计入",ROUND(K499*C499,2),"")</f>
        <v/>
      </c>
      <c r="S499" s="11" t="str">
        <f t="shared" si="141">IF(I499="已计入",ROUND(R499-Q499,2),"")</f>
        <v/>
      </c>
      <c r="T499" s="12" t="str">
        <f t="shared" si="142">IF(I499="已计入",IF(Q499=0,"",S499/Q499),"")</f>
        <v/>
      </c>
      <c r="U499" s="11">
        <f t="shared" si="150">IF(AA499="正常",U498+IF(AND(I499="已计入",OR(B499="买入",B499="定投",B499="转换转入")),E499,0),"")</f>
        <v>129570</v>
      </c>
      <c r="V499" s="11">
        <f t="shared" si="151">IF(AA499="正常",V498+IF(AND(I499="已计入",OR(B499="卖出",B499="现金分红")),E499,0),"")</f>
        <v>0</v>
      </c>
      <c r="W499" s="11">
        <f t="shared" si="152">IF(AA499="正常",W498+IF(I499="已计入",N499,0),"")</f>
        <v>0</v>
      </c>
      <c r="X499" s="11">
        <f t="shared" si="153">IF(AA499="正常",X498+IF(I499="已计入",P499,0),"")</f>
        <v>0</v>
      </c>
      <c r="Y499" s="11" t="str">
        <f t="shared" si="143">IF(I499="已计入",ROUND(R499+V499-U499,2),"")</f>
        <v/>
      </c>
      <c r="Z499" s="13">
        <f t="shared" si="154">IF(AA499="正常",IF(I499="已计入",A499,Z498),"")</f>
        <v>46239</v>
      </c>
      <c r="AA499" s="10" t="str">
        <f>IF(OR($AA$134="错误",COUNTIF($G$135:G499,"待修正")&gt;0),"错误","正常")</f>
        <v>正常</v>
      </c>
      <c r="AB499" s="14">
        <f t="shared" si="155">IF(AA499="正常",IF(I499="已计入",C499,AB498),"")</f>
        <v>6.347</v>
      </c>
    </row>
    <row r="500" ht="23" customHeight="1">
      <c r="A500" s="36"/>
      <c r="B500" s="37"/>
      <c r="C500" s="38"/>
      <c r="D500" s="39"/>
      <c r="E500" s="44" t="str">
        <f t="shared" si="136">IF(AND(ISNUMBER(C500),ISNUMBER(D500),ISNUMBER(F500)),IF(OR(B500="买入",B500="定投"),ROUND(C500*D500+F500,2),IF(B500="卖出",ROUND(C500*D500-F500,2),IF(B500="红利再投",0,""))),"")</f>
        <v/>
      </c>
      <c r="F500" s="39"/>
      <c r="G500" s="45" t="str">
        <f t="shared" si="137">IF(COUNTA(A500:D500,F500)=0,"",IF(I500="已计入","已录入","待修正"))</f>
        <v/>
      </c>
      <c r="H500" s="46" t="str">
        <f t="shared" si="138">IF(COUNTA(A500:D500,F500)=0,"",IF(B500="红利再投","仅增加份额，不增加现金投入","金额由份额、净值和手续费推算"))</f>
        <v/>
      </c>
      <c r="I500" s="10" t="str">
        <f>IF(COUNTA(A500:D500,F500)=0,"",IF(NOT(ISNUMBER(A500)),"缺少有效净值日期",IF(OR(A500&lt;=0,A500&lt;&gt;INT(A500)),"净值日期无效",IF(OR(B500="转换转入",B500="现金分红"),"该类型需实际金额，五项录入不适用",IF(NOT(OR(OR(B500="买入",B500="定投"),B500="卖出",B500="红利再投")),"请选择交易类型",IF(NOT(ISNUMBER(C500)),"缺少成交净值",IF(C500&lt;=0,"成交净值须大于零",IF(NOT(ISNUMBER(D500)),"缺少确认份额",IF(D500&lt;=0,"确认份额须大于零",IF(NOT(ISNUMBER(F500)),"缺少手续费，无费用请填 0",IF(F500&lt;0,"手续费不能为负",IF(AA499="错误","前行待修正",IF(A500&lt;Z499,"日期需按成交顺序递增",IF(AND(B500="红利再投",F500&lt;&gt;0),"红利再投手续费应填 0",IF(AND(B500="红利再投",K499&lt;=0),"红利再投前须有持仓",IF(AND(B500="卖出",D500&gt;K499+0.000001),"卖出份额超过持仓",IF(AND(B500="卖出",F500&gt;=C500*D500),"赎回费不能达到赎回总额",IF(NOT(ISNUMBER(E500)),"自动金额未生成，请检查五项输入",IF(NOT(OR('持仓总览'!$C$7="利润优先",'持仓总览'!$C$7="本金优先")),"请选择卖出分配模式","已计入")))))))))))))))))))</f>
        <v/>
      </c>
      <c r="J500" s="11">
        <f t="shared" si="139">IF(AA500="正常",IF(I500="已计入",IF(OR(OR(B500="买入",B500="定投",B500="转换转入"),B500="红利再投"),D500,IF(B500="卖出",-D500,0)),0),"")</f>
        <v>0</v>
      </c>
      <c r="K500" s="11">
        <f t="shared" si="144">IF(AA500="正常",ROUND(K499+J500,6),"")</f>
        <v>25721.6</v>
      </c>
      <c r="L500" s="11" t="str">
        <f t="shared" si="145">IF(I500="已计入",ROUND(K499*C500,2),"")</f>
        <v/>
      </c>
      <c r="M500" s="11" t="str">
        <f t="shared" si="146">IF(I500="已计入",IF(B500="卖出",MAX(0,L500-Q499-F500),IF(B500="现金分红",MAX(0,L500+E500-Q499),0)),"")</f>
        <v/>
      </c>
      <c r="N500" s="11" t="str">
        <f>IF(I500="已计入",IF(AND(B500="卖出",'持仓总览'!$C$7="本金优先"),MAX(0,E500-Q499),IF(OR(B500="卖出",B500="现金分红"),MIN(E500,M500),0)),"")</f>
        <v/>
      </c>
      <c r="O500" s="11" t="str">
        <f t="shared" si="147">IF(I500="已计入",IF(OR(B500="卖出",B500="现金分红"),MIN(Q499,MAX(0,E500-N500)),0),"")</f>
        <v/>
      </c>
      <c r="P500" s="11" t="str">
        <f t="shared" si="148">IF(I500="已计入",IF(AND(B500="卖出",K500=0),MAX(0,Q499-O500),0),"")</f>
        <v/>
      </c>
      <c r="Q500" s="11">
        <f t="shared" si="149">IF(AA500="正常",IF(I500="已计入",ROUND(Q499+IF(OR(B500="买入",B500="定投",B500="转换转入"),E500,0)-O500-P500,2),Q499),"")</f>
        <v>129570</v>
      </c>
      <c r="R500" s="11" t="str">
        <f t="shared" si="140">IF(I500="已计入",ROUND(K500*C500,2),"")</f>
        <v/>
      </c>
      <c r="S500" s="11" t="str">
        <f t="shared" si="141">IF(I500="已计入",ROUND(R500-Q500,2),"")</f>
        <v/>
      </c>
      <c r="T500" s="12" t="str">
        <f t="shared" si="142">IF(I500="已计入",IF(Q500=0,"",S500/Q500),"")</f>
        <v/>
      </c>
      <c r="U500" s="11">
        <f t="shared" si="150">IF(AA500="正常",U499+IF(AND(I500="已计入",OR(B500="买入",B500="定投",B500="转换转入")),E500,0),"")</f>
        <v>129570</v>
      </c>
      <c r="V500" s="11">
        <f t="shared" si="151">IF(AA500="正常",V499+IF(AND(I500="已计入",OR(B500="卖出",B500="现金分红")),E500,0),"")</f>
        <v>0</v>
      </c>
      <c r="W500" s="11">
        <f t="shared" si="152">IF(AA500="正常",W499+IF(I500="已计入",N500,0),"")</f>
        <v>0</v>
      </c>
      <c r="X500" s="11">
        <f t="shared" si="153">IF(AA500="正常",X499+IF(I500="已计入",P500,0),"")</f>
        <v>0</v>
      </c>
      <c r="Y500" s="11" t="str">
        <f t="shared" si="143">IF(I500="已计入",ROUND(R500+V500-U500,2),"")</f>
        <v/>
      </c>
      <c r="Z500" s="13">
        <f t="shared" si="154">IF(AA500="正常",IF(I500="已计入",A500,Z499),"")</f>
        <v>46239</v>
      </c>
      <c r="AA500" s="10" t="str">
        <f>IF(OR($AA$134="错误",COUNTIF($G$135:G500,"待修正")&gt;0),"错误","正常")</f>
        <v>正常</v>
      </c>
      <c r="AB500" s="14">
        <f t="shared" si="155">IF(AA500="正常",IF(I500="已计入",C500,AB499),"")</f>
        <v>6.347</v>
      </c>
    </row>
    <row r="501" ht="23" customHeight="1">
      <c r="A501" s="36"/>
      <c r="B501" s="37"/>
      <c r="C501" s="38"/>
      <c r="D501" s="39"/>
      <c r="E501" s="44" t="str">
        <f t="shared" ref="E501:E506" si="156">IF(AND(ISNUMBER(C501),ISNUMBER(D501),ISNUMBER(F501)),IF(OR(B501="买入",B501="定投"),ROUND(C501*D501+F501,2),IF(B501="卖出",ROUND(C501*D501-F501,2),IF(B501="红利再投",0,""))),"")</f>
        <v/>
      </c>
      <c r="F501" s="39"/>
      <c r="G501" s="45" t="str">
        <f t="shared" ref="G501:G506" si="157">IF(COUNTA(A501:D501,F501)=0,"",IF(I501="已计入","已录入","待修正"))</f>
        <v/>
      </c>
      <c r="H501" s="46" t="str">
        <f t="shared" ref="H501:H506" si="158">IF(COUNTA(A501:D501,F501)=0,"",IF(B501="红利再投","仅增加份额，不增加现金投入","金额由份额、净值和手续费推算"))</f>
        <v/>
      </c>
      <c r="I501" s="10" t="str">
        <f>IF(COUNTA(A501:D501,F501)=0,"",IF(NOT(ISNUMBER(A501)),"缺少有效净值日期",IF(OR(A501&lt;=0,A501&lt;&gt;INT(A501)),"净值日期无效",IF(OR(B501="转换转入",B501="现金分红"),"该类型需实际金额，五项录入不适用",IF(NOT(OR(OR(B501="买入",B501="定投"),B501="卖出",B501="红利再投")),"请选择交易类型",IF(NOT(ISNUMBER(C501)),"缺少成交净值",IF(C501&lt;=0,"成交净值须大于零",IF(NOT(ISNUMBER(D501)),"缺少确认份额",IF(D501&lt;=0,"确认份额须大于零",IF(NOT(ISNUMBER(F501)),"缺少手续费，无费用请填 0",IF(F501&lt;0,"手续费不能为负",IF(AA500="错误","前行待修正",IF(A501&lt;Z500,"日期需按成交顺序递增",IF(AND(B501="红利再投",F501&lt;&gt;0),"红利再投手续费应填 0",IF(AND(B501="红利再投",K500&lt;=0),"红利再投前须有持仓",IF(AND(B501="卖出",D501&gt;K500+0.000001),"卖出份额超过持仓",IF(AND(B501="卖出",F501&gt;=C501*D501),"赎回费不能达到赎回总额",IF(NOT(ISNUMBER(E501)),"自动金额未生成，请检查五项输入",IF(NOT(OR('持仓总览'!$C$7="利润优先",'持仓总览'!$C$7="本金优先")),"请选择卖出分配模式","已计入")))))))))))))))))))</f>
        <v/>
      </c>
      <c r="J501" s="11">
        <f t="shared" si="139">IF(AA501="正常",IF(I501="已计入",IF(OR(OR(B501="买入",B501="定投",B501="转换转入"),B501="红利再投"),D501,IF(B501="卖出",-D501,0)),0),"")</f>
        <v>0</v>
      </c>
      <c r="K501" s="11">
        <f t="shared" si="144">IF(AA501="正常",ROUND(K500+J501,6),"")</f>
        <v>25721.6</v>
      </c>
      <c r="L501" s="11" t="str">
        <f t="shared" si="145">IF(I501="已计入",ROUND(K500*C501,2),"")</f>
        <v/>
      </c>
      <c r="M501" s="11" t="str">
        <f t="shared" si="146">IF(I501="已计入",IF(B501="卖出",MAX(0,L501-Q500-F501),IF(B501="现金分红",MAX(0,L501+E501-Q500),0)),"")</f>
        <v/>
      </c>
      <c r="N501" s="11" t="str">
        <f>IF(I501="已计入",IF(AND(B501="卖出",'持仓总览'!$C$7="本金优先"),MAX(0,E501-Q500),IF(OR(B501="卖出",B501="现金分红"),MIN(E501,M501),0)),"")</f>
        <v/>
      </c>
      <c r="O501" s="11" t="str">
        <f t="shared" si="147">IF(I501="已计入",IF(OR(B501="卖出",B501="现金分红"),MIN(Q500,MAX(0,E501-N501)),0),"")</f>
        <v/>
      </c>
      <c r="P501" s="11" t="str">
        <f t="shared" si="148">IF(I501="已计入",IF(AND(B501="卖出",K501=0),MAX(0,Q500-O501),0),"")</f>
        <v/>
      </c>
      <c r="Q501" s="11">
        <f t="shared" si="149">IF(AA501="正常",IF(I501="已计入",ROUND(Q500+IF(OR(B501="买入",B501="定投",B501="转换转入"),E501,0)-O501-P501,2),Q500),"")</f>
        <v>129570</v>
      </c>
      <c r="R501" s="11" t="str">
        <f t="shared" si="140">IF(I501="已计入",ROUND(K501*C501,2),"")</f>
        <v/>
      </c>
      <c r="S501" s="11" t="str">
        <f t="shared" si="141">IF(I501="已计入",ROUND(R501-Q501,2),"")</f>
        <v/>
      </c>
      <c r="T501" s="12" t="str">
        <f t="shared" si="142">IF(I501="已计入",IF(Q501=0,"",S501/Q501),"")</f>
        <v/>
      </c>
      <c r="U501" s="11">
        <f t="shared" si="150">IF(AA501="正常",U500+IF(AND(I501="已计入",OR(B501="买入",B501="定投",B501="转换转入")),E501,0),"")</f>
        <v>129570</v>
      </c>
      <c r="V501" s="11">
        <f t="shared" si="151">IF(AA501="正常",V500+IF(AND(I501="已计入",OR(B501="卖出",B501="现金分红")),E501,0),"")</f>
        <v>0</v>
      </c>
      <c r="W501" s="11">
        <f t="shared" si="152">IF(AA501="正常",W500+IF(I501="已计入",N501,0),"")</f>
        <v>0</v>
      </c>
      <c r="X501" s="11">
        <f t="shared" si="153">IF(AA501="正常",X500+IF(I501="已计入",P501,0),"")</f>
        <v>0</v>
      </c>
      <c r="Y501" s="11" t="str">
        <f t="shared" si="143">IF(I501="已计入",ROUND(R501+V501-U501,2),"")</f>
        <v/>
      </c>
      <c r="Z501" s="13">
        <f t="shared" si="154">IF(AA501="正常",IF(I501="已计入",A501,Z500),"")</f>
        <v>46239</v>
      </c>
      <c r="AA501" s="10" t="str">
        <f>IF(OR($AA$134="错误",COUNTIF($G$135:G501,"待修正")&gt;0),"错误","正常")</f>
        <v>正常</v>
      </c>
      <c r="AB501" s="14">
        <f t="shared" si="155">IF(AA501="正常",IF(I501="已计入",C501,AB500),"")</f>
        <v>6.347</v>
      </c>
    </row>
    <row r="502" ht="23" customHeight="1">
      <c r="A502" s="36"/>
      <c r="B502" s="37"/>
      <c r="C502" s="38"/>
      <c r="D502" s="39"/>
      <c r="E502" s="44" t="str">
        <f t="shared" si="156">IF(AND(ISNUMBER(C502),ISNUMBER(D502),ISNUMBER(F502)),IF(OR(B502="买入",B502="定投"),ROUND(C502*D502+F502,2),IF(B502="卖出",ROUND(C502*D502-F502,2),IF(B502="红利再投",0,""))),"")</f>
        <v/>
      </c>
      <c r="F502" s="39"/>
      <c r="G502" s="45" t="str">
        <f t="shared" si="157">IF(COUNTA(A502:D502,F502)=0,"",IF(I502="已计入","已录入","待修正"))</f>
        <v/>
      </c>
      <c r="H502" s="46" t="str">
        <f t="shared" si="158">IF(COUNTA(A502:D502,F502)=0,"",IF(B502="红利再投","仅增加份额，不增加现金投入","金额由份额、净值和手续费推算"))</f>
        <v/>
      </c>
      <c r="I502" s="10" t="str">
        <f>IF(COUNTA(A502:D502,F502)=0,"",IF(NOT(ISNUMBER(A502)),"缺少有效净值日期",IF(OR(A502&lt;=0,A502&lt;&gt;INT(A502)),"净值日期无效",IF(OR(B502="转换转入",B502="现金分红"),"该类型需实际金额，五项录入不适用",IF(NOT(OR(OR(B502="买入",B502="定投"),B502="卖出",B502="红利再投")),"请选择交易类型",IF(NOT(ISNUMBER(C502)),"缺少成交净值",IF(C502&lt;=0,"成交净值须大于零",IF(NOT(ISNUMBER(D502)),"缺少确认份额",IF(D502&lt;=0,"确认份额须大于零",IF(NOT(ISNUMBER(F502)),"缺少手续费，无费用请填 0",IF(F502&lt;0,"手续费不能为负",IF(AA501="错误","前行待修正",IF(A502&lt;Z501,"日期需按成交顺序递增",IF(AND(B502="红利再投",F502&lt;&gt;0),"红利再投手续费应填 0",IF(AND(B502="红利再投",K501&lt;=0),"红利再投前须有持仓",IF(AND(B502="卖出",D502&gt;K501+0.000001),"卖出份额超过持仓",IF(AND(B502="卖出",F502&gt;=C502*D502),"赎回费不能达到赎回总额",IF(NOT(ISNUMBER(E502)),"自动金额未生成，请检查五项输入",IF(NOT(OR('持仓总览'!$C$7="利润优先",'持仓总览'!$C$7="本金优先")),"请选择卖出分配模式","已计入")))))))))))))))))))</f>
        <v/>
      </c>
      <c r="J502" s="11">
        <f t="shared" si="139">IF(AA502="正常",IF(I502="已计入",IF(OR(OR(B502="买入",B502="定投",B502="转换转入"),B502="红利再投"),D502,IF(B502="卖出",-D502,0)),0),"")</f>
        <v>0</v>
      </c>
      <c r="K502" s="11">
        <f t="shared" si="144">IF(AA502="正常",ROUND(K501+J502,6),"")</f>
        <v>25721.6</v>
      </c>
      <c r="L502" s="11" t="str">
        <f t="shared" si="145">IF(I502="已计入",ROUND(K501*C502,2),"")</f>
        <v/>
      </c>
      <c r="M502" s="11" t="str">
        <f t="shared" si="146">IF(I502="已计入",IF(B502="卖出",MAX(0,L502-Q501-F502),IF(B502="现金分红",MAX(0,L502+E502-Q501),0)),"")</f>
        <v/>
      </c>
      <c r="N502" s="11" t="str">
        <f>IF(I502="已计入",IF(AND(B502="卖出",'持仓总览'!$C$7="本金优先"),MAX(0,E502-Q501),IF(OR(B502="卖出",B502="现金分红"),MIN(E502,M502),0)),"")</f>
        <v/>
      </c>
      <c r="O502" s="11" t="str">
        <f t="shared" si="147">IF(I502="已计入",IF(OR(B502="卖出",B502="现金分红"),MIN(Q501,MAX(0,E502-N502)),0),"")</f>
        <v/>
      </c>
      <c r="P502" s="11" t="str">
        <f t="shared" si="148">IF(I502="已计入",IF(AND(B502="卖出",K502=0),MAX(0,Q501-O502),0),"")</f>
        <v/>
      </c>
      <c r="Q502" s="11">
        <f t="shared" si="149">IF(AA502="正常",IF(I502="已计入",ROUND(Q501+IF(OR(B502="买入",B502="定投",B502="转换转入"),E502,0)-O502-P502,2),Q501),"")</f>
        <v>129570</v>
      </c>
      <c r="R502" s="11" t="str">
        <f t="shared" si="140">IF(I502="已计入",ROUND(K502*C502,2),"")</f>
        <v/>
      </c>
      <c r="S502" s="11" t="str">
        <f t="shared" si="141">IF(I502="已计入",ROUND(R502-Q502,2),"")</f>
        <v/>
      </c>
      <c r="T502" s="12" t="str">
        <f t="shared" si="142">IF(I502="已计入",IF(Q502=0,"",S502/Q502),"")</f>
        <v/>
      </c>
      <c r="U502" s="11">
        <f t="shared" si="150">IF(AA502="正常",U501+IF(AND(I502="已计入",OR(B502="买入",B502="定投",B502="转换转入")),E502,0),"")</f>
        <v>129570</v>
      </c>
      <c r="V502" s="11">
        <f t="shared" si="151">IF(AA502="正常",V501+IF(AND(I502="已计入",OR(B502="卖出",B502="现金分红")),E502,0),"")</f>
        <v>0</v>
      </c>
      <c r="W502" s="11">
        <f t="shared" si="152">IF(AA502="正常",W501+IF(I502="已计入",N502,0),"")</f>
        <v>0</v>
      </c>
      <c r="X502" s="11">
        <f t="shared" si="153">IF(AA502="正常",X501+IF(I502="已计入",P502,0),"")</f>
        <v>0</v>
      </c>
      <c r="Y502" s="11" t="str">
        <f t="shared" si="143">IF(I502="已计入",ROUND(R502+V502-U502,2),"")</f>
        <v/>
      </c>
      <c r="Z502" s="13">
        <f t="shared" si="154">IF(AA502="正常",IF(I502="已计入",A502,Z501),"")</f>
        <v>46239</v>
      </c>
      <c r="AA502" s="10" t="str">
        <f>IF(OR($AA$134="错误",COUNTIF($G$135:G502,"待修正")&gt;0),"错误","正常")</f>
        <v>正常</v>
      </c>
      <c r="AB502" s="14">
        <f t="shared" si="155">IF(AA502="正常",IF(I502="已计入",C502,AB501),"")</f>
        <v>6.347</v>
      </c>
    </row>
    <row r="503" ht="23" customHeight="1">
      <c r="A503" s="36"/>
      <c r="B503" s="37"/>
      <c r="C503" s="38"/>
      <c r="D503" s="39"/>
      <c r="E503" s="44" t="str">
        <f t="shared" si="156">IF(AND(ISNUMBER(C503),ISNUMBER(D503),ISNUMBER(F503)),IF(OR(B503="买入",B503="定投"),ROUND(C503*D503+F503,2),IF(B503="卖出",ROUND(C503*D503-F503,2),IF(B503="红利再投",0,""))),"")</f>
        <v/>
      </c>
      <c r="F503" s="39"/>
      <c r="G503" s="45" t="str">
        <f t="shared" si="157">IF(COUNTA(A503:D503,F503)=0,"",IF(I503="已计入","已录入","待修正"))</f>
        <v/>
      </c>
      <c r="H503" s="46" t="str">
        <f t="shared" si="158">IF(COUNTA(A503:D503,F503)=0,"",IF(B503="红利再投","仅增加份额，不增加现金投入","金额由份额、净值和手续费推算"))</f>
        <v/>
      </c>
      <c r="I503" s="10" t="str">
        <f>IF(COUNTA(A503:D503,F503)=0,"",IF(NOT(ISNUMBER(A503)),"缺少有效净值日期",IF(OR(A503&lt;=0,A503&lt;&gt;INT(A503)),"净值日期无效",IF(OR(B503="转换转入",B503="现金分红"),"该类型需实际金额，五项录入不适用",IF(NOT(OR(OR(B503="买入",B503="定投"),B503="卖出",B503="红利再投")),"请选择交易类型",IF(NOT(ISNUMBER(C503)),"缺少成交净值",IF(C503&lt;=0,"成交净值须大于零",IF(NOT(ISNUMBER(D503)),"缺少确认份额",IF(D503&lt;=0,"确认份额须大于零",IF(NOT(ISNUMBER(F503)),"缺少手续费，无费用请填 0",IF(F503&lt;0,"手续费不能为负",IF(AA502="错误","前行待修正",IF(A503&lt;Z502,"日期需按成交顺序递增",IF(AND(B503="红利再投",F503&lt;&gt;0),"红利再投手续费应填 0",IF(AND(B503="红利再投",K502&lt;=0),"红利再投前须有持仓",IF(AND(B503="卖出",D503&gt;K502+0.000001),"卖出份额超过持仓",IF(AND(B503="卖出",F503&gt;=C503*D503),"赎回费不能达到赎回总额",IF(NOT(ISNUMBER(E503)),"自动金额未生成，请检查五项输入",IF(NOT(OR('持仓总览'!$C$7="利润优先",'持仓总览'!$C$7="本金优先")),"请选择卖出分配模式","已计入")))))))))))))))))))</f>
        <v/>
      </c>
      <c r="J503" s="11">
        <f t="shared" si="139">IF(AA503="正常",IF(I503="已计入",IF(OR(OR(B503="买入",B503="定投",B503="转换转入"),B503="红利再投"),D503,IF(B503="卖出",-D503,0)),0),"")</f>
        <v>0</v>
      </c>
      <c r="K503" s="11">
        <f t="shared" si="144">IF(AA503="正常",ROUND(K502+J503,6),"")</f>
        <v>25721.6</v>
      </c>
      <c r="L503" s="11" t="str">
        <f t="shared" si="145">IF(I503="已计入",ROUND(K502*C503,2),"")</f>
        <v/>
      </c>
      <c r="M503" s="11" t="str">
        <f t="shared" si="146">IF(I503="已计入",IF(B503="卖出",MAX(0,L503-Q502-F503),IF(B503="现金分红",MAX(0,L503+E503-Q502),0)),"")</f>
        <v/>
      </c>
      <c r="N503" s="11" t="str">
        <f>IF(I503="已计入",IF(AND(B503="卖出",'持仓总览'!$C$7="本金优先"),MAX(0,E503-Q502),IF(OR(B503="卖出",B503="现金分红"),MIN(E503,M503),0)),"")</f>
        <v/>
      </c>
      <c r="O503" s="11" t="str">
        <f t="shared" si="147">IF(I503="已计入",IF(OR(B503="卖出",B503="现金分红"),MIN(Q502,MAX(0,E503-N503)),0),"")</f>
        <v/>
      </c>
      <c r="P503" s="11" t="str">
        <f t="shared" si="148">IF(I503="已计入",IF(AND(B503="卖出",K503=0),MAX(0,Q502-O503),0),"")</f>
        <v/>
      </c>
      <c r="Q503" s="11">
        <f t="shared" si="149">IF(AA503="正常",IF(I503="已计入",ROUND(Q502+IF(OR(B503="买入",B503="定投",B503="转换转入"),E503,0)-O503-P503,2),Q502),"")</f>
        <v>129570</v>
      </c>
      <c r="R503" s="11" t="str">
        <f t="shared" si="140">IF(I503="已计入",ROUND(K503*C503,2),"")</f>
        <v/>
      </c>
      <c r="S503" s="11" t="str">
        <f t="shared" si="141">IF(I503="已计入",ROUND(R503-Q503,2),"")</f>
        <v/>
      </c>
      <c r="T503" s="12" t="str">
        <f t="shared" si="142">IF(I503="已计入",IF(Q503=0,"",S503/Q503),"")</f>
        <v/>
      </c>
      <c r="U503" s="11">
        <f t="shared" si="150">IF(AA503="正常",U502+IF(AND(I503="已计入",OR(B503="买入",B503="定投",B503="转换转入")),E503,0),"")</f>
        <v>129570</v>
      </c>
      <c r="V503" s="11">
        <f t="shared" si="151">IF(AA503="正常",V502+IF(AND(I503="已计入",OR(B503="卖出",B503="现金分红")),E503,0),"")</f>
        <v>0</v>
      </c>
      <c r="W503" s="11">
        <f t="shared" si="152">IF(AA503="正常",W502+IF(I503="已计入",N503,0),"")</f>
        <v>0</v>
      </c>
      <c r="X503" s="11">
        <f t="shared" si="153">IF(AA503="正常",X502+IF(I503="已计入",P503,0),"")</f>
        <v>0</v>
      </c>
      <c r="Y503" s="11" t="str">
        <f t="shared" si="143">IF(I503="已计入",ROUND(R503+V503-U503,2),"")</f>
        <v/>
      </c>
      <c r="Z503" s="13">
        <f t="shared" si="154">IF(AA503="正常",IF(I503="已计入",A503,Z502),"")</f>
        <v>46239</v>
      </c>
      <c r="AA503" s="10" t="str">
        <f>IF(OR($AA$134="错误",COUNTIF($G$135:G503,"待修正")&gt;0),"错误","正常")</f>
        <v>正常</v>
      </c>
      <c r="AB503" s="14">
        <f t="shared" si="155">IF(AA503="正常",IF(I503="已计入",C503,AB502),"")</f>
        <v>6.347</v>
      </c>
    </row>
    <row r="504" ht="23" customHeight="1">
      <c r="A504" s="36"/>
      <c r="B504" s="37"/>
      <c r="C504" s="38"/>
      <c r="D504" s="39"/>
      <c r="E504" s="44" t="str">
        <f t="shared" si="156">IF(AND(ISNUMBER(C504),ISNUMBER(D504),ISNUMBER(F504)),IF(OR(B504="买入",B504="定投"),ROUND(C504*D504+F504,2),IF(B504="卖出",ROUND(C504*D504-F504,2),IF(B504="红利再投",0,""))),"")</f>
        <v/>
      </c>
      <c r="F504" s="39"/>
      <c r="G504" s="45" t="str">
        <f t="shared" si="157">IF(COUNTA(A504:D504,F504)=0,"",IF(I504="已计入","已录入","待修正"))</f>
        <v/>
      </c>
      <c r="H504" s="46" t="str">
        <f t="shared" si="158">IF(COUNTA(A504:D504,F504)=0,"",IF(B504="红利再投","仅增加份额，不增加现金投入","金额由份额、净值和手续费推算"))</f>
        <v/>
      </c>
      <c r="I504" s="10" t="str">
        <f>IF(COUNTA(A504:D504,F504)=0,"",IF(NOT(ISNUMBER(A504)),"缺少有效净值日期",IF(OR(A504&lt;=0,A504&lt;&gt;INT(A504)),"净值日期无效",IF(OR(B504="转换转入",B504="现金分红"),"该类型需实际金额，五项录入不适用",IF(NOT(OR(OR(B504="买入",B504="定投"),B504="卖出",B504="红利再投")),"请选择交易类型",IF(NOT(ISNUMBER(C504)),"缺少成交净值",IF(C504&lt;=0,"成交净值须大于零",IF(NOT(ISNUMBER(D504)),"缺少确认份额",IF(D504&lt;=0,"确认份额须大于零",IF(NOT(ISNUMBER(F504)),"缺少手续费，无费用请填 0",IF(F504&lt;0,"手续费不能为负",IF(AA503="错误","前行待修正",IF(A504&lt;Z503,"日期需按成交顺序递增",IF(AND(B504="红利再投",F504&lt;&gt;0),"红利再投手续费应填 0",IF(AND(B504="红利再投",K503&lt;=0),"红利再投前须有持仓",IF(AND(B504="卖出",D504&gt;K503+0.000001),"卖出份额超过持仓",IF(AND(B504="卖出",F504&gt;=C504*D504),"赎回费不能达到赎回总额",IF(NOT(ISNUMBER(E504)),"自动金额未生成，请检查五项输入",IF(NOT(OR('持仓总览'!$C$7="利润优先",'持仓总览'!$C$7="本金优先")),"请选择卖出分配模式","已计入")))))))))))))))))))</f>
        <v/>
      </c>
      <c r="J504" s="11">
        <f t="shared" si="139">IF(AA504="正常",IF(I504="已计入",IF(OR(OR(B504="买入",B504="定投",B504="转换转入"),B504="红利再投"),D504,IF(B504="卖出",-D504,0)),0),"")</f>
        <v>0</v>
      </c>
      <c r="K504" s="11">
        <f t="shared" si="144">IF(AA504="正常",ROUND(K503+J504,6),"")</f>
        <v>25721.6</v>
      </c>
      <c r="L504" s="11" t="str">
        <f t="shared" si="145">IF(I504="已计入",ROUND(K503*C504,2),"")</f>
        <v/>
      </c>
      <c r="M504" s="11" t="str">
        <f t="shared" si="146">IF(I504="已计入",IF(B504="卖出",MAX(0,L504-Q503-F504),IF(B504="现金分红",MAX(0,L504+E504-Q503),0)),"")</f>
        <v/>
      </c>
      <c r="N504" s="11" t="str">
        <f>IF(I504="已计入",IF(AND(B504="卖出",'持仓总览'!$C$7="本金优先"),MAX(0,E504-Q503),IF(OR(B504="卖出",B504="现金分红"),MIN(E504,M504),0)),"")</f>
        <v/>
      </c>
      <c r="O504" s="11" t="str">
        <f t="shared" si="147">IF(I504="已计入",IF(OR(B504="卖出",B504="现金分红"),MIN(Q503,MAX(0,E504-N504)),0),"")</f>
        <v/>
      </c>
      <c r="P504" s="11" t="str">
        <f t="shared" si="148">IF(I504="已计入",IF(AND(B504="卖出",K504=0),MAX(0,Q503-O504),0),"")</f>
        <v/>
      </c>
      <c r="Q504" s="11">
        <f t="shared" si="149">IF(AA504="正常",IF(I504="已计入",ROUND(Q503+IF(OR(B504="买入",B504="定投",B504="转换转入"),E504,0)-O504-P504,2),Q503),"")</f>
        <v>129570</v>
      </c>
      <c r="R504" s="11" t="str">
        <f t="shared" si="140">IF(I504="已计入",ROUND(K504*C504,2),"")</f>
        <v/>
      </c>
      <c r="S504" s="11" t="str">
        <f t="shared" si="141">IF(I504="已计入",ROUND(R504-Q504,2),"")</f>
        <v/>
      </c>
      <c r="T504" s="12" t="str">
        <f t="shared" si="142">IF(I504="已计入",IF(Q504=0,"",S504/Q504),"")</f>
        <v/>
      </c>
      <c r="U504" s="11">
        <f t="shared" si="150">IF(AA504="正常",U503+IF(AND(I504="已计入",OR(B504="买入",B504="定投",B504="转换转入")),E504,0),"")</f>
        <v>129570</v>
      </c>
      <c r="V504" s="11">
        <f t="shared" si="151">IF(AA504="正常",V503+IF(AND(I504="已计入",OR(B504="卖出",B504="现金分红")),E504,0),"")</f>
        <v>0</v>
      </c>
      <c r="W504" s="11">
        <f t="shared" si="152">IF(AA504="正常",W503+IF(I504="已计入",N504,0),"")</f>
        <v>0</v>
      </c>
      <c r="X504" s="11">
        <f t="shared" si="153">IF(AA504="正常",X503+IF(I504="已计入",P504,0),"")</f>
        <v>0</v>
      </c>
      <c r="Y504" s="11" t="str">
        <f t="shared" si="143">IF(I504="已计入",ROUND(R504+V504-U504,2),"")</f>
        <v/>
      </c>
      <c r="Z504" s="13">
        <f t="shared" si="154">IF(AA504="正常",IF(I504="已计入",A504,Z503),"")</f>
        <v>46239</v>
      </c>
      <c r="AA504" s="10" t="str">
        <f>IF(OR($AA$134="错误",COUNTIF($G$135:G504,"待修正")&gt;0),"错误","正常")</f>
        <v>正常</v>
      </c>
      <c r="AB504" s="14">
        <f t="shared" si="155">IF(AA504="正常",IF(I504="已计入",C504,AB503),"")</f>
        <v>6.347</v>
      </c>
    </row>
    <row r="505" ht="23" customHeight="1">
      <c r="A505" s="36"/>
      <c r="B505" s="37"/>
      <c r="C505" s="38"/>
      <c r="D505" s="39"/>
      <c r="E505" s="44" t="str">
        <f t="shared" si="156">IF(AND(ISNUMBER(C505),ISNUMBER(D505),ISNUMBER(F505)),IF(OR(B505="买入",B505="定投"),ROUND(C505*D505+F505,2),IF(B505="卖出",ROUND(C505*D505-F505,2),IF(B505="红利再投",0,""))),"")</f>
        <v/>
      </c>
      <c r="F505" s="39"/>
      <c r="G505" s="45" t="str">
        <f t="shared" si="157">IF(COUNTA(A505:D505,F505)=0,"",IF(I505="已计入","已录入","待修正"))</f>
        <v/>
      </c>
      <c r="H505" s="46" t="str">
        <f t="shared" si="158">IF(COUNTA(A505:D505,F505)=0,"",IF(B505="红利再投","仅增加份额，不增加现金投入","金额由份额、净值和手续费推算"))</f>
        <v/>
      </c>
      <c r="I505" s="10" t="str">
        <f>IF(COUNTA(A505:D505,F505)=0,"",IF(NOT(ISNUMBER(A505)),"缺少有效净值日期",IF(OR(A505&lt;=0,A505&lt;&gt;INT(A505)),"净值日期无效",IF(OR(B505="转换转入",B505="现金分红"),"该类型需实际金额，五项录入不适用",IF(NOT(OR(OR(B505="��入",B505="定投"),B505="卖出",B505="红利再投")),"请选择交易类型",IF(NOT(ISNUMBER(C505)),"缺少成交净值",IF(C505&lt;=0,"成交净值须大于零",IF(NOT(ISNUMBER(D505)),"缺少确认份额",IF(D505&lt;=0,"确认份额须大于零",IF(NOT(ISNUMBER(F505)),"缺少手续费，无费用请填 0",IF(F505&lt;0,"手续费不能为负",IF(AA504="错误","前行待修正",IF(A505&lt;Z504,"日期需按成交顺序递增",IF(AND(B505="红利再投",F505&lt;&gt;0),"红利再投手续费应填 0",IF(AND(B505="红利再投",K504&lt;=0),"红利再投前须有持仓",IF(AND(B505="卖出",D505&gt;K504+0.000001),"卖出份额超过持仓",IF(AND(B505="卖出",F505&gt;=C505*D505),"赎回费不能达到赎回总额",IF(NOT(ISNUMBER(E505)),"自动金额未生成，请检查五项输入",IF(NOT(OR('持仓总览'!$C$7="利润优先",'持仓总览'!$C$7="本金优先")),"请选择卖出分配模式","已计入")))))))))))))))))))</f>
        <v/>
      </c>
      <c r="J505" s="11">
        <f t="shared" si="139">IF(AA505="正常",IF(I505="已计入",IF(OR(OR(B505="买入",B505="定投",B505="转换转入"),B505="红利再投"),D505,IF(B505="卖出",-D505,0)),0),"")</f>
        <v>0</v>
      </c>
      <c r="K505" s="11">
        <f t="shared" si="144">IF(AA505="正常",ROUND(K504+J505,6),"")</f>
        <v>25721.6</v>
      </c>
      <c r="L505" s="11" t="str">
        <f t="shared" si="145">IF(I505="已计入",ROUND(K504*C505,2),"")</f>
        <v/>
      </c>
      <c r="M505" s="11" t="str">
        <f t="shared" si="146">IF(I505="已计入",IF(B505="卖出",MAX(0,L505-Q504-F505),IF(B505="现金分红",MAX(0,L505+E505-Q504),0)),"")</f>
        <v/>
      </c>
      <c r="N505" s="11" t="str">
        <f>IF(I505="已计入",IF(AND(B505="卖出",'持仓总览'!$C$7="本金优先"),MAX(0,E505-Q504),IF(OR(B505="卖出",B505="现金分红"),MIN(E505,M505),0)),"")</f>
        <v/>
      </c>
      <c r="O505" s="11" t="str">
        <f t="shared" si="147">IF(I505="已计入",IF(OR(B505="卖出",B505="现金分红"),MIN(Q504,MAX(0,E505-N505)),0),"")</f>
        <v/>
      </c>
      <c r="P505" s="11" t="str">
        <f t="shared" si="148">IF(I505="已计入",IF(AND(B505="卖出",K505=0),MAX(0,Q504-O505),0),"")</f>
        <v/>
      </c>
      <c r="Q505" s="11">
        <f t="shared" si="149">IF(AA505="正常",IF(I505="已计入",ROUND(Q504+IF(OR(B505="买入",B505="定投",B505="转换转入"),E505,0)-O505-P505,2),Q504),"")</f>
        <v>129570</v>
      </c>
      <c r="R505" s="11" t="str">
        <f t="shared" si="140">IF(I505="已计入",ROUND(K505*C505,2),"")</f>
        <v/>
      </c>
      <c r="S505" s="11" t="str">
        <f t="shared" si="141">IF(I505="已计入",ROUND(R505-Q505,2),"")</f>
        <v/>
      </c>
      <c r="T505" s="12" t="str">
        <f t="shared" si="142">IF(I505="已计入",IF(Q505=0,"",S505/Q505),"")</f>
        <v/>
      </c>
      <c r="U505" s="11">
        <f t="shared" si="150">IF(AA505="正常",U504+IF(AND(I505="已计入",OR(B505="买入",B505="定投",B505="转换转入")),E505,0),"")</f>
        <v>129570</v>
      </c>
      <c r="V505" s="11">
        <f t="shared" si="151">IF(AA505="正常",V504+IF(AND(I505="已计入",OR(B505="卖出",B505="现金分红")),E505,0),"")</f>
        <v>0</v>
      </c>
      <c r="W505" s="11">
        <f t="shared" si="152">IF(AA505="正常",W504+IF(I505="已计入",N505,0),"")</f>
        <v>0</v>
      </c>
      <c r="X505" s="11">
        <f t="shared" si="153">IF(AA505="正常",X504+IF(I505="已计入",P505,0),"")</f>
        <v>0</v>
      </c>
      <c r="Y505" s="11" t="str">
        <f t="shared" si="143">IF(I505="已计入",ROUND(R505+V505-U505,2),"")</f>
        <v/>
      </c>
      <c r="Z505" s="13">
        <f t="shared" si="154">IF(AA505="正常",IF(I505="已计入",A505,Z504),"")</f>
        <v>46239</v>
      </c>
      <c r="AA505" s="10" t="str">
        <f>IF(OR($AA$134="错误",COUNTIF($G$135:G505,"待修正")&gt;0),"错误","正常")</f>
        <v>正常</v>
      </c>
      <c r="AB505" s="14">
        <f t="shared" si="155">IF(AA505="正常",IF(I505="已计入",C505,AB504),"")</f>
        <v>6.347</v>
      </c>
    </row>
    <row r="506" ht="23" customHeight="1">
      <c r="A506" s="36"/>
      <c r="B506" s="37"/>
      <c r="C506" s="38"/>
      <c r="D506" s="39"/>
      <c r="E506" s="44" t="str">
        <f t="shared" si="156">IF(AND(ISNUMBER(C506),ISNUMBER(D506),ISNUMBER(F506)),IF(OR(B506="买入",B506="定投"),ROUND(C506*D506+F506,2),IF(B506="卖出",ROUND(C506*D506-F506,2),IF(B506="红利再投",0,""))),"")</f>
        <v/>
      </c>
      <c r="F506" s="39"/>
      <c r="G506" s="45" t="str">
        <f t="shared" si="157">IF(COUNTA(A506:D506,F506)=0,"",IF(I506="已计入","已录入","待修正"))</f>
        <v/>
      </c>
      <c r="H506" s="46" t="str">
        <f t="shared" si="158">IF(COUNTA(A506:D506,F506)=0,"",IF(B506="红利再投","仅增加份额，不增加现金投入","金额由份额、净值和手续费推算"))</f>
        <v/>
      </c>
      <c r="I506" s="10" t="str">
        <f>IF(COUNTA(A506:D506,F506)=0,"",IF(NOT(ISNUMBER(A506)),"缺少有效净值日期",IF(OR(A506&lt;=0,A506&lt;&gt;INT(A506)),"净值日期无效",IF(OR(B506="转换转入",B506="现金分红"),"该类型需实际金额，五项录入不适用",IF(NOT(OR(OR(B506="买入",B506="定投"),B506="卖出",B506="红利再投")),"请选择交易类型",IF(NOT(ISNUMBER(C506)),"缺少成交净值",IF(C506&lt;=0,"成交净值须大于零",IF(NOT(ISNUMBER(D506)),"缺少确认份额",IF(D506&lt;=0,"确认份额须大于零",IF(NOT(ISNUMBER(F506)),"缺少手续费，无费用请填 0",IF(F506&lt;0,"手续费不能为负",IF(AA505="错误","前行待修正",IF(A506&lt;Z505,"日期需按成交顺序递增",IF(AND(B506="红利再投",F506&lt;&gt;0),"红利再投手续费应填 0",IF(AND(B506="红利再投",K505&lt;=0),"红利再投前须有持仓",IF(AND(B506="卖出",D506&gt;K505+0.000001),"卖出份额超过持仓",IF(AND(B506="卖出",F506&gt;=C506*D506),"赎回费不能达到赎回总额",IF(NOT(ISNUMBER(E506)),"自动金额未生成，请检查五项输入",IF(NOT(OR('持仓总览'!$C$7="利润优先",'持仓总览'!$C$7="本金优先")),"请选择卖出分配模式","已计入")))))))))))))))))))</f>
        <v/>
      </c>
      <c r="J506" s="11">
        <f t="shared" si="139">IF(AA506="正常",IF(I506="已计入",IF(OR(OR(B506="买入",B506="定投",B506="转换转入"),B506="红利再投"),D506,IF(B506="卖出",-D506,0)),0),"")</f>
        <v>0</v>
      </c>
      <c r="K506" s="11">
        <f t="shared" si="144">IF(AA506="正常",ROUND(K505+J506,6),"")</f>
        <v>25721.6</v>
      </c>
      <c r="L506" s="11" t="str">
        <f t="shared" si="145">IF(I506="已计入",ROUND(K505*C506,2),"")</f>
        <v/>
      </c>
      <c r="M506" s="11" t="str">
        <f t="shared" si="146">IF(I506="已计入",IF(B506="卖出",MAX(0,L506-Q505-F506),IF(B506="现金分红",MAX(0,L506+E506-Q505),0)),"")</f>
        <v/>
      </c>
      <c r="N506" s="11" t="str">
        <f>IF(I506="已计入",IF(AND(B506="卖出",'持仓总览'!$C$7="本金优先"),MAX(0,E506-Q505),IF(OR(B506="卖出",B506="现金分红"),MIN(E506,M506),0)),"")</f>
        <v/>
      </c>
      <c r="O506" s="11" t="str">
        <f t="shared" si="147">IF(I506="已计入",IF(OR(B506="卖出",B506="现金分红"),MIN(Q505,MAX(0,E506-N506)),0),"")</f>
        <v/>
      </c>
      <c r="P506" s="11" t="str">
        <f t="shared" si="148">IF(I506="已计入",IF(AND(B506="卖出",K506=0),MAX(0,Q505-O506),0),"")</f>
        <v/>
      </c>
      <c r="Q506" s="11">
        <f t="shared" si="149">IF(AA506="正常",IF(I506="已计入",ROUND(Q505+IF(OR(B506="买入",B506="定投",B506="转换转入"),E506,0)-O506-P506,2),Q505),"")</f>
        <v>129570</v>
      </c>
      <c r="R506" s="11" t="str">
        <f t="shared" si="140">IF(I506="已计入",ROUND(K506*C506,2),"")</f>
        <v/>
      </c>
      <c r="S506" s="11" t="str">
        <f t="shared" si="141">IF(I506="已计入",ROUND(R506-Q506,2),"")</f>
        <v/>
      </c>
      <c r="T506" s="12" t="str">
        <f t="shared" si="142">IF(I506="已计入",IF(Q506=0,"",S506/Q506),"")</f>
        <v/>
      </c>
      <c r="U506" s="11">
        <f t="shared" si="150">IF(AA506="正常",U505+IF(AND(I506="已计入",OR(B506="买入",B506="定投",B506="转换转入")),E506,0),"")</f>
        <v>129570</v>
      </c>
      <c r="V506" s="11">
        <f t="shared" si="151">IF(AA506="正常",V505+IF(AND(I506="已计入",OR(B506="卖出",B506="现金分红")),E506,0),"")</f>
        <v>0</v>
      </c>
      <c r="W506" s="11">
        <f t="shared" si="152">IF(AA506="正常",W505+IF(I506="已计入",N506,0),"")</f>
        <v>0</v>
      </c>
      <c r="X506" s="11">
        <f t="shared" si="153">IF(AA506="正常",X505+IF(I506="已计入",P506,0),"")</f>
        <v>0</v>
      </c>
      <c r="Y506" s="11" t="str">
        <f t="shared" si="143">IF(I506="已计入",ROUND(R506+V506-U506,2),"")</f>
        <v/>
      </c>
      <c r="Z506" s="13">
        <f t="shared" si="154">IF(AA506="正常",IF(I506="已计入",A506,Z505),"")</f>
        <v>46239</v>
      </c>
      <c r="AA506" s="10" t="str">
        <f>IF(OR($AA$134="错误",COUNTIF($G$135:G506,"待修正")&gt;0),"错误","正常")</f>
        <v>正常</v>
      </c>
      <c r="AB506" s="14">
        <f t="shared" si="155">IF(AA506="正常",IF(I506="已计入",C506,AB505),"")</f>
        <v>6.347</v>
      </c>
    </row>
  </sheetData>
  <mergeCells>
    <mergeCell ref="A2:I2"/>
    <mergeCell ref="J2:T2"/>
    <mergeCell ref="A3:I3"/>
    <mergeCell ref="J3:T3"/>
    <mergeCell ref="A4:I4"/>
  </mergeCells>
  <conditionalFormatting sqref="I7:I506">
    <cfRule type="expression" dxfId="2" priority="2">
      <formula>AND($I7&lt;&gt;"",$I7&lt;&gt;"已计入",$I7&lt;&gt;"已排除",$I7&lt;&gt;"待确认")</formula>
    </cfRule>
  </conditionalFormatting>
  <conditionalFormatting sqref="J7:AA506">
    <cfRule type="expression" dxfId="3" priority="1">
      <formula>$I7&lt;&gt;"已计入"</formula>
    </cfRule>
  </conditionalFormatting>
  <conditionalFormatting sqref="S7:T506">
    <cfRule type="cellIs" dxfId="0" priority="3" operator="greaterThan">
      <formula>0</formula>
    </cfRule>
    <cfRule type="cellIs" dxfId="1" priority="4" operator="lessThan">
      <formula>0</formula>
    </cfRule>
  </conditionalFormatting>
  <dataValidations count="3">
    <dataValidation type="list" sqref="B7:B506">
      <formula1>"买入,定投,转换转入,卖出,现金分红,红利再投"</formula1>
    </dataValidation>
    <dataValidation type="list" sqref="G7:G506">
      <formula1>"已确认,历史估算,待确认,撤单,交易失败,交易关闭"</formula1>
    </dataValidation>
    <dataValidation type="list" sqref="B135:B506">
      <formula1>"买入,定投,卖出,红利再投"</formula1>
    </dataValidation>
  </dataValidations>
  <pageMargins left="0.7" right="0.7" top="0.75" bottom="0.75" header="0.3" footer="0.3"/>
  <tableParts count="1">
    <tablePart ns1:id="Ra1d090391e9742af"/>
  </tableParts>
</worksheet>
</file>
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300375941146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摘要" sheetId="1" r:id="R76a5567b9446421d"/>
    <x:sheet xmlns:r="http://schemas.openxmlformats.org/officeDocument/2006/relationships" name="净值数据" sheetId="2" r:id="Rc6688eb919a5450e"/>
    <x:sheet xmlns:r="http://schemas.openxmlformats.org/officeDocument/2006/relationships" name="来源与校验" sheetId="3" r:id="R9ebdccd8c2b64b97"/>
  </x:sheets>
</x:workbook>
</file>

<file path=xl/comments1.xml><?xml version="1.0" encoding="utf-8"?>
<x:comments xmlns:x="http://schemas.openxmlformats.org/spreadsheetml/2006/main">
  <x:authors>
    <x:author>tc={6B87A014-AE7D-4D22-B8AA-A6C3871AD72A}</x:author>
  </x:authors>
  <x:commentList>
    <x:comment ref="B4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https://api.fund.eastmoney.com/f10/lsjz?fundCode=720001&amp;pageIndex=1&amp;pageSize=20&amp;startDate=2024-09-02&amp;endDate=2026-09-02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000000"/>
    <x:numFmt numFmtId="202" formatCode="0.0000"/>
    <x:numFmt numFmtId="203" formatCode="0.00%;[Red](0.00%)"/>
    <x:numFmt numFmtId="204" formatCode="#,##0"/>
  </x:numFmts>
  <x:fonts count="1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667085"/>
      <x:name val="Carlito"/>
    </x:font>
    <x:font>
      <x:b/>
      <x:sz val="11"/>
      <x:color rgb="FF12304A"/>
      <x:name val="Carlito"/>
    </x:font>
    <x:font>
      <x:b/>
      <x:sz val="12"/>
      <x:color rgb="FF111827"/>
      <x:name val="Carlito"/>
    </x:font>
    <x:font>
      <x:b/>
      <x:sz val="16"/>
      <x:color rgb="FFFFFFFF"/>
      <x:name val="Aptos"/>
    </x:font>
    <x:font>
      <x:sz val="11"/>
      <x:name val="Aptos"/>
    </x:font>
    <x:font>
      <x:b/>
      <x:sz val="11"/>
      <x:color rgb="FF12304A"/>
      <x:name val="Aptos"/>
    </x:font>
    <x:font>
      <x:b/>
      <x:sz val="12"/>
      <x:color rgb="FF111827"/>
      <x:name val="Aptos"/>
    </x:font>
    <x:font>
      <x:i/>
      <x:sz val="11"/>
      <x:color rgb="FF667085"/>
      <x:name val="Aptos"/>
    </x:font>
    <x:font>
      <x:sz val="11"/>
      <x:color rgb="FF667085"/>
      <x:name val="Carlito"/>
    </x:font>
    <x:font>
      <x:b/>
      <x:sz val="11"/>
      <x:color rgb="FFFFFFFF"/>
      <x:name val="Aptos"/>
    </x:font>
    <x:font>
      <x:b/>
      <x:sz val="11"/>
      <x:color rgb="FFFFFFFF"/>
      <x:name val="Carlito"/>
    </x:font>
    <x:font>
      <x:sz val="11"/>
      <x:color rgb="FFB42318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12304A"/>
      </x:patternFill>
    </x:fill>
    <x:fill>
      <x:patternFill patternType="solid">
        <x:fgColor rgb="FFF8FAFC"/>
      </x:patternFill>
    </x:fill>
    <x:fill>
      <x:patternFill patternType="solid">
        <x:fgColor rgb="FFEAF2F8"/>
      </x:patternFill>
    </x:fill>
    <x:fill>
      <x:patternFill patternType="solid">
        <x:fgColor rgb="FF0E7490"/>
      </x:patternFill>
    </x:fill>
  </x:fills>
  <x:borders count="4">
    <x:border/>
    <x:border>
      <x:left style="thin">
        <x:color rgb="FF0E7490"/>
      </x:left>
      <x:top style="thin">
        <x:color rgb="FF0E7490"/>
      </x:top>
      <x:bottom style="thin">
        <x:color rgb="FF0E7490"/>
      </x:bottom>
    </x:border>
    <x:border>
      <x:top style="thin">
        <x:color rgb="FF0E7490"/>
      </x:top>
      <x:bottom style="thin">
        <x:color rgb="FF0E7490"/>
      </x:bottom>
    </x:border>
    <x:border>
      <x:right style="thin">
        <x:color rgb="FF0E7490"/>
      </x:right>
      <x:top style="thin">
        <x:color rgb="FF0E7490"/>
      </x:top>
      <x:bottom style="thin">
        <x:color rgb="FF0E7490"/>
      </x:bottom>
    </x:border>
  </x:borders>
  <x:cellStyleXfs count="1">
    <x:xf numFmtId="0" fontId="0" fillId="0" borderId="0"/>
  </x:cellStyleXfs>
  <x:cellXfs count="6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20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3" fillId="4" borderId="0" xfId="0" applyNumberFormat="1" applyFont="1" applyFill="1" applyBorder="1" applyAlignment="1">
      <x:alignment horizontal="left"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right"/>
    </x:xf>
    <x:xf numFmtId="0" fontId="4" fillId="0" borderId="0" xfId="0" applyNumberFormat="1" applyFont="1" applyFill="1" applyBorder="1" applyAlignment="1">
      <x:alignment horizontal="right" vertical="center"/>
    </x:xf>
    <x:xf numFmtId="200" fontId="4" fillId="0" borderId="0" xfId="0" applyNumberFormat="1" applyFont="1" applyFill="1" applyBorder="1"/>
    <x:xf numFmtId="200" fontId="4" fillId="0" borderId="0" xfId="0" applyNumberFormat="1" applyFont="1" applyFill="1" applyBorder="1" applyAlignment="1">
      <x:alignment horizontal="right"/>
    </x:xf>
    <x:xf numFmtId="200" fontId="4" fillId="0" borderId="0" xfId="0" applyNumberFormat="1" applyFont="1" applyFill="1" applyBorder="1" applyAlignment="1">
      <x:alignment horizontal="right" vertical="center"/>
    </x:xf>
    <x:xf numFmtId="201" fontId="4" fillId="0" borderId="0" xfId="0" applyNumberFormat="1" applyFont="1" applyFill="1" applyBorder="1" applyAlignment="1">
      <x:alignment horizontal="right" vertical="center"/>
    </x:xf>
    <x:xf numFmtId="0" fontId="4" fillId="0" borderId="0" xfId="0" applyNumberFormat="1" applyFont="1" applyFill="1" applyBorder="1" applyAlignment="1">
      <x:alignment horizontal="left" vertical="center"/>
    </x:xf>
    <x:xf numFmtId="202" fontId="4" fillId="0" borderId="0" xfId="0" applyNumberFormat="1" applyFont="1" applyFill="1" applyBorder="1" applyAlignment="1">
      <x:alignment horizontal="right" vertical="center"/>
    </x:xf>
    <x:xf numFmtId="203" fontId="4" fillId="0" borderId="0" xfId="0" applyNumberFormat="1" applyFont="1" applyFill="1" applyBorder="1" applyAlignment="1">
      <x:alignment horizontal="right" vertical="center"/>
    </x:xf>
    <x:xf numFmtId="204" fontId="4" fillId="0" borderId="0" xfId="0" applyNumberFormat="1" applyFont="1" applyFill="1" applyBorder="1" applyAlignment="1">
      <x:alignment horizontal="right" vertical="center"/>
    </x:xf>
    <x:xf numFmtId="0" fontId="5" fillId="2" borderId="0" xfId="0" applyNumberFormat="1" applyFont="1" applyFill="1" applyBorder="1" applyAlignment="1">
      <x:alignment horizontal="left" vertical="center"/>
    </x:xf>
    <x:xf numFmtId="0" fontId="6" fillId="0" borderId="0" xfId="0" applyNumberFormat="1" applyFont="1" applyFill="1" applyBorder="1"/>
    <x:xf numFmtId="0" fontId="7" fillId="4" borderId="0" xfId="0" applyNumberFormat="1" applyFont="1" applyFill="1" applyBorder="1" applyAlignment="1">
      <x:alignment horizontal="left" vertical="center"/>
    </x:xf>
    <x:xf numFmtId="201" fontId="8" fillId="0" borderId="0" xfId="0" applyNumberFormat="1" applyFont="1" applyFill="1" applyBorder="1" applyAlignment="1">
      <x:alignment horizontal="right" vertical="center"/>
    </x:xf>
    <x:xf numFmtId="0" fontId="8" fillId="0" borderId="0" xfId="0" applyNumberFormat="1" applyFont="1" applyFill="1" applyBorder="1" applyAlignment="1">
      <x:alignment horizontal="left" vertical="center"/>
    </x:xf>
    <x:xf numFmtId="200" fontId="8" fillId="0" borderId="0" xfId="0" applyNumberFormat="1" applyFont="1" applyFill="1" applyBorder="1" applyAlignment="1">
      <x:alignment horizontal="right" vertical="center"/>
    </x:xf>
    <x:xf numFmtId="202" fontId="8" fillId="0" borderId="0" xfId="0" applyNumberFormat="1" applyFont="1" applyFill="1" applyBorder="1" applyAlignment="1">
      <x:alignment horizontal="right" vertical="center"/>
    </x:xf>
    <x:xf numFmtId="203" fontId="8" fillId="0" borderId="0" xfId="0" applyNumberFormat="1" applyFont="1" applyFill="1" applyBorder="1" applyAlignment="1">
      <x:alignment horizontal="right" vertical="center"/>
    </x:xf>
    <x:xf numFmtId="204" fontId="8" fillId="0" borderId="0" xfId="0" applyNumberFormat="1" applyFont="1" applyFill="1" applyBorder="1" applyAlignment="1">
      <x:alignment horizontal="right" vertical="center"/>
    </x:xf>
    <x:xf numFmtId="0" fontId="8" fillId="0" borderId="0" xfId="0" applyNumberFormat="1" applyFont="1" applyFill="1" applyBorder="1" applyAlignment="1">
      <x:alignment horizontal="right" vertical="center"/>
    </x:xf>
    <x:xf numFmtId="0" fontId="9" fillId="3" borderId="0" xfId="0" applyNumberFormat="1" applyFont="1" applyFill="1" applyBorder="1" applyAlignment="1">
      <x:alignment vertical="center" wrapText="1"/>
    </x:xf>
    <x:xf numFmtId="0" fontId="10" fillId="3" borderId="0" xfId="0" applyNumberFormat="1" applyFont="1" applyFill="1" applyBorder="1"/>
    <x:xf numFmtId="0" fontId="10" fillId="3" borderId="0" xfId="0" applyNumberFormat="1" applyFont="1" applyFill="1" applyBorder="1" applyAlignment="1">
      <x:alignment vertical="center"/>
    </x:xf>
    <x:xf numFmtId="0" fontId="6" fillId="5" borderId="0" xfId="0" applyNumberFormat="1" applyFont="1" applyFill="1" applyBorder="1"/>
    <x:xf numFmtId="0" fontId="11" fillId="5" borderId="0" xfId="0" applyNumberFormat="1" applyFont="1" applyFill="1" applyBorder="1"/>
    <x:xf numFmtId="0" fontId="11" fillId="5" borderId="1" xfId="0" applyNumberFormat="1" applyFont="1" applyFill="1" applyBorder="1"/>
    <x:xf numFmtId="0" fontId="11" fillId="5" borderId="2" xfId="0" applyNumberFormat="1" applyFont="1" applyFill="1" applyBorder="1"/>
    <x:xf numFmtId="0" fontId="11" fillId="5" borderId="3" xfId="0" applyNumberFormat="1" applyFont="1" applyFill="1" applyBorder="1"/>
    <x:xf numFmtId="0" fontId="11" fillId="5" borderId="1" xfId="0" applyNumberFormat="1" applyFont="1" applyFill="1" applyBorder="1" applyAlignment="1">
      <x:alignment horizontal="center"/>
    </x:xf>
    <x:xf numFmtId="0" fontId="11" fillId="5" borderId="2" xfId="0" applyNumberFormat="1" applyFont="1" applyFill="1" applyBorder="1" applyAlignment="1">
      <x:alignment horizontal="center"/>
    </x:xf>
    <x:xf numFmtId="0" fontId="11" fillId="5" borderId="3" xfId="0" applyNumberFormat="1" applyFont="1" applyFill="1" applyBorder="1" applyAlignment="1">
      <x:alignment horizontal="center"/>
    </x:xf>
    <x:xf numFmtId="0" fontId="11" fillId="5" borderId="1" xfId="0" applyNumberFormat="1" applyFont="1" applyFill="1" applyBorder="1" applyAlignment="1">
      <x:alignment horizontal="center" vertical="center"/>
    </x:xf>
    <x:xf numFmtId="0" fontId="11" fillId="5" borderId="2" xfId="0" applyNumberFormat="1" applyFont="1" applyFill="1" applyBorder="1" applyAlignment="1">
      <x:alignment horizontal="center" vertical="center"/>
    </x:xf>
    <x:xf numFmtId="0" fontId="11" fillId="5" borderId="3" xfId="0" applyNumberFormat="1" applyFont="1" applyFill="1" applyBorder="1" applyAlignment="1">
      <x:alignment horizontal="center" vertical="center"/>
    </x:xf>
    <x:xf numFmtId="200" fontId="6" fillId="0" borderId="0" xfId="0" applyNumberFormat="1" applyFont="1" applyFill="1" applyBorder="1"/>
    <x:xf numFmtId="202" fontId="6" fillId="0" borderId="0" xfId="0" applyNumberFormat="1" applyFont="1" applyFill="1" applyBorder="1"/>
    <x:xf numFmtId="203" fontId="6" fillId="0" borderId="0" xfId="0" applyNumberFormat="1" applyFont="1" applyFill="1" applyBorder="1"/>
    <x:xf numFmtId="202" fontId="6" fillId="0" borderId="0" xfId="0" applyNumberFormat="1" applyFont="1" applyFill="1" applyBorder="1" applyAlignment="1">
      <x:alignment horizontal="right"/>
    </x:xf>
    <x:xf numFmtId="203" fontId="6" fillId="0" borderId="0" xfId="0" applyNumberFormat="1" applyFont="1" applyFill="1" applyBorder="1" applyAlignment="1">
      <x:alignment horizontal="right"/>
    </x:xf>
    <x:xf numFmtId="0" fontId="6" fillId="0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12" fillId="5" borderId="0" xfId="0" applyNumberFormat="1" applyFont="1" applyFill="1" applyBorder="1"/>
    <x:xf numFmtId="0" fontId="12" fillId="5" borderId="0" xfId="0" applyNumberFormat="1" applyFont="1" applyFill="1" applyBorder="1" applyAlignment="1">
      <x:alignment horizontal="center"/>
    </x:xf>
    <x:xf numFmtId="0" fontId="12" fillId="5" borderId="0" xfId="0" applyNumberFormat="1" applyFont="1" applyFill="1" applyBorder="1" applyAlignment="1">
      <x:alignment horizontal="center" vertical="center"/>
    </x:xf>
    <x:xf numFmtId="0" fontId="13" fillId="0" borderId="0" xfId="0" applyNumberFormat="1" applyFont="1" applyFill="1" applyBorder="1"/>
    <x:xf numFmtId="204" fontId="6" fillId="0" borderId="0" xfId="0" applyNumberFormat="1" applyFont="1" applyFill="1" applyBorder="1"/>
    <x:xf numFmtId="0" fontId="12" fillId="5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 applyAlignment="1">
      <x:alignment wrapText="1"/>
    </x:xf>
    <x:xf numFmtId="0" fontId="13" fillId="0" borderId="0" xfId="0" applyNumberFormat="1" applyFont="1" applyFill="1" applyBorder="1" applyAlignment="1">
      <x:alignment wrapText="1"/>
    </x:xf>
    <x:xf numFmtId="204" fontId="6" fillId="0" borderId="0" xfId="0" applyNumberFormat="1" applyFont="1" applyFill="1" applyBorder="1" applyAlignment="1">
      <x:alignment wrapText="1"/>
    </x:xf>
    <x:xf numFmtId="200" fontId="6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6">
    <x:dxf>
      <x:font>
        <x:b/>
        <x:color rgb="FF14804A"/>
      </x:font>
      <x:fill>
        <x:patternFill patternType="solid">
          <x:bgColor rgb="FFE6F4EA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color rgb="FF14804A"/>
      </x:font>
    </x:dxf>
    <x:dxf>
      <x:font>
        <x:color rgb="FFB42318"/>
      </x:font>
    </x:dxf>
    <x:dxf>
      <x:font>
        <x:b/>
        <x:color rgb="FF14804A"/>
      </x:font>
      <x:fill>
        <x:patternFill patternType="solid">
          <x:bgColor rgb="FFE6F4EA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977796729f4980" /><Relationship Type="http://schemas.openxmlformats.org/officeDocument/2006/relationships/theme" Target="/xl/theme/theme1.xml" Id="R3a45b4f5f8064d91" /><Relationship Type="http://schemas.openxmlformats.org/officeDocument/2006/relationships/sharedStrings" Target="/xl/sharedStrings.xml" Id="Rd032ef49dc5a4301" /><Relationship Type="http://schemas.openxmlformats.org/officeDocument/2006/relationships/worksheet" Target="/xl/worksheets/sheet1.xml" Id="R76a5567b9446421d" /><Relationship Type="http://schemas.openxmlformats.org/officeDocument/2006/relationships/worksheet" Target="/xl/worksheets/sheet2.xml" Id="Rc6688eb919a5450e" /><Relationship Type="http://schemas.openxmlformats.org/officeDocument/2006/relationships/worksheet" Target="/xl/worksheets/sheet3.xml" Id="R9ebdccd8c2b64b97" /><Relationship Type="http://schemas.microsoft.com/office/2017/10/relationships/person" Target="/xl/persons/person.xml" Id="R282effa65edc4d9e" /></Relationships>
</file>

<file path=xl/persons/person.xml><?xml version="1.0" encoding="utf-8"?>
<xltc:personList xmlns:xltc="http://schemas.microsoft.com/office/spreadsheetml/2018/threadedcomments">
  <xltc:person displayName="User" id="{4C3A56D3-D30C-4F56-8E67-06AC8F6F43C0}"/>
</xltc:personList>
</file>

<file path=xl/tables/table1.xml><?xml version="1.0" encoding="utf-8"?>
<x:table xmlns:x="http://schemas.openxmlformats.org/spreadsheetml/2006/main" id="1" name="NavData720001" displayName="NavData720001" ref="A4:G488" headerRowCount="1" totalsRowCount="0" totalsRowShown="0">
  <x:autoFilter ref="A4:G488"/>
  <x:tableColumns count="7">
    <x:tableColumn id="1" name="净值日期"/>
    <x:tableColumn id="2" name="单位净值"/>
    <x:tableColumn id="3" name="累计净值"/>
    <x:tableColumn id="4" name="日增长率"/>
    <x:tableColumn id="5" name="区间累计收益"/>
    <x:tableColumn id="6" name="申购状态"/>
    <x:tableColumn id="7" name="赎回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B4" dT="2026-09-02T08:50:15.274" personId="{4C3A56D3-D30C-4F56-8E67-06AC8F6F43C0}" id="{6B87A014-AE7D-4D22-B8AA-A6C3871AD72A}">
    <xltc:text>Source: https://api.fund.eastmoney.com/f10/lsjz?fundCode=720001&amp;pageIndex=1&amp;pageSize=20&amp;startDate=2024-09-02&amp;endDate=2026-09-02</xltc:text>
  </xltc:threadedComment>
</xltc:ThreadedComment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b0a6604591aa40c1" /><Relationship Type="http://schemas.openxmlformats.org/officeDocument/2006/relationships/vmlDrawing" Target="/xl/drawings/vmldrawing.vml" Id="R7462eb72c2054f8d" /><Relationship Type="http://schemas.microsoft.com/office/2017/10/relationships/threadedComment" Target="/xl/threadedcomments/threadedcomment.xml" Id="Rdb1ef44fde6441f1" /><Relationship Type="http://schemas.openxmlformats.org/officeDocument/2006/relationships/table" Target="/xl/tables/table1.xml" Id="R4f30b21722c247a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9" hidden="0" customWidth="1"/>
  </x:cols>
  <x:sheetData>
    <x:row r="1" ht="32" customHeight="1">
      <x:c r="A1" s="25" t="str">
        <x:v>720001 财通价值动量混合A｜最近两年净值</x:v>
      </x:c>
      <x:c r="B1" s="25" t="str">
        <x:v>720001 财通价值动量混合A｜最近两年净值</x:v>
      </x:c>
      <x:c r="C1" s="25" t="str">
        <x:v>720001 财通价值动量混合A｜最近两年净值</x:v>
      </x:c>
      <x:c r="D1" s="25" t="str">
        <x:v>720001 财通价值动量混合A｜最近两年净值</x:v>
      </x:c>
      <x:c r="E1" s="25" t="str">
        <x:v>720001 财通价值动量混合A｜最近两年净值</x:v>
      </x:c>
      <x:c r="F1" s="25" t="str">
        <x:v>720001 财通价值动量混合A｜最近两年净值</x:v>
      </x:c>
    </x:row>
    <x:row r="2" ht="23" customHeight="1">
      <x:c r="A2" s="26"/>
      <x:c r="B2" s="26"/>
      <x:c r="C2" s="26"/>
      <x:c r="D2" s="26"/>
      <x:c r="E2" s="26"/>
      <x:c r="F2" s="26"/>
    </x:row>
    <x:row r="3" ht="23" customHeight="1">
      <x:c r="A3" s="27" t="str">
        <x:v>基金代码</x:v>
      </x:c>
      <x:c r="B3" s="28" t="n">
        <x:v>720001</x:v>
      </x:c>
      <x:c r="C3" s="26"/>
      <x:c r="D3" s="26"/>
      <x:c r="E3" s="26"/>
      <x:c r="F3" s="26"/>
    </x:row>
    <x:row r="4" ht="23" customHeight="1">
      <x:c r="A4" s="27" t="str">
        <x:v>基金名称</x:v>
      </x:c>
      <x:c r="B4" s="29" t="str">
        <x:v>财通价值动量混合A</x:v>
      </x:c>
      <x:c r="C4" s="29" t="str">
        <x:v>财通价值动量混合A</x:v>
      </x:c>
      <x:c r="D4" s="29" t="str">
        <x:v>财通价值动量混合A</x:v>
      </x:c>
      <x:c r="E4" s="29" t="str">
        <x:v>财通价值动量混合A</x:v>
      </x:c>
      <x:c r="F4" s="29" t="str">
        <x:v>财通价值动量混合A</x:v>
      </x:c>
    </x:row>
    <x:row r="5" ht="23" customHeight="1">
      <x:c r="A5" s="26"/>
      <x:c r="B5" s="26"/>
      <x:c r="C5" s="26"/>
      <x:c r="D5" s="26"/>
      <x:c r="E5" s="26"/>
      <x:c r="F5" s="26"/>
    </x:row>
    <x:row r="6" ht="23" customHeight="1">
      <x:c r="A6" s="27" t="str">
        <x:v>统计区间</x:v>
      </x:c>
      <x:c r="B6" s="30" t="n">
        <x:f>'净值数据'!A488</x:f>
        <x:v>45537</x:v>
      </x:c>
      <x:c r="C6" s="27" t="str">
        <x:v>至</x:v>
      </x:c>
      <x:c r="D6" s="30" t="n">
        <x:f>'净值数据'!A5</x:f>
        <x:v>46266</x:v>
      </x:c>
      <x:c r="E6" s="26"/>
      <x:c r="F6" s="26"/>
    </x:row>
    <x:row r="7" ht="23" customHeight="1">
      <x:c r="A7" s="26"/>
      <x:c r="B7" s="26"/>
      <x:c r="C7" s="26"/>
      <x:c r="D7" s="26"/>
      <x:c r="E7" s="26"/>
      <x:c r="F7" s="26"/>
    </x:row>
    <x:row r="8" ht="23" customHeight="1">
      <x:c r="A8" s="27" t="str">
        <x:v>最新单位净值</x:v>
      </x:c>
      <x:c r="B8" s="31" t="n">
        <x:f>'净值数据'!B5</x:f>
        <x:v>14.081</x:v>
      </x:c>
      <x:c r="C8" s="27" t="str">
        <x:v>区间起始净值</x:v>
      </x:c>
      <x:c r="D8" s="31" t="n">
        <x:f>'净值数据'!B488</x:f>
        <x:v>3.062</x:v>
      </x:c>
      <x:c r="E8" s="27" t="str">
        <x:v>区间累计变化</x:v>
      </x:c>
      <x:c r="F8" s="32" t="n">
        <x:f>IFERROR(B8/D8-1,"")</x:f>
        <x:v>3.5986283474853042</x:v>
      </x:c>
    </x:row>
    <x:row r="9" ht="23" customHeight="1">
      <x:c r="A9" s="26"/>
      <x:c r="B9" s="26"/>
      <x:c r="C9" s="26"/>
      <x:c r="D9" s="26"/>
      <x:c r="E9" s="26"/>
      <x:c r="F9" s="26"/>
    </x:row>
    <x:row r="10" ht="23" customHeight="1">
      <x:c r="A10" s="27" t="str">
        <x:v>区间最高净值</x:v>
      </x:c>
      <x:c r="B10" s="31" t="n">
        <x:f>MAX('净值数据'!B5:B488)</x:f>
        <x:v>19.313</x:v>
      </x:c>
      <x:c r="C10" s="27" t="str">
        <x:v>区间最低净值</x:v>
      </x:c>
      <x:c r="D10" s="31" t="n">
        <x:f>MIN('净值数据'!B5:B488)</x:f>
        <x:v>2.957</x:v>
      </x:c>
      <x:c r="E10" s="27" t="str">
        <x:v>净值记录数</x:v>
      </x:c>
      <x:c r="F10" s="33" t="n">
        <x:f>COUNTA('净值数据'!A5:A488)</x:f>
        <x:v>484</x:v>
      </x:c>
    </x:row>
    <x:row r="11" ht="23" customHeight="1">
      <x:c r="A11" s="26"/>
      <x:c r="B11" s="26"/>
      <x:c r="C11" s="26"/>
      <x:c r="D11" s="26"/>
      <x:c r="E11" s="26"/>
      <x:c r="F11" s="26"/>
    </x:row>
    <x:row r="12" ht="23" customHeight="1">
      <x:c r="A12" s="27" t="str">
        <x:v>单日最大涨幅</x:v>
      </x:c>
      <x:c r="B12" s="32" t="n">
        <x:f>MAX('净值数据'!D5:D488)</x:f>
        <x:v>0.1189</x:v>
      </x:c>
      <x:c r="C12" s="27" t="str">
        <x:v>单日最大跌幅</x:v>
      </x:c>
      <x:c r="D12" s="32" t="n">
        <x:f>MIN('净值数据'!D5:D488)</x:f>
        <x:v>-0.09759999999999999</x:v>
      </x:c>
      <x:c r="E12" s="27" t="str">
        <x:v>数据状态</x:v>
      </x:c>
      <x:c r="F12" s="34" t="str">
        <x:f>'来源与校验'!E15</x:f>
        <x:v>OK</x:v>
      </x:c>
    </x:row>
    <x:row r="13" ht="23" customHeight="1">
      <x:c r="A13" s="26"/>
      <x:c r="B13" s="26"/>
      <x:c r="C13" s="26"/>
      <x:c r="D13" s="26"/>
      <x:c r="E13" s="26"/>
      <x:c r="F13" s="26"/>
    </x:row>
    <x:row r="14" ht="30" customHeight="1">
      <x:c r="A14" s="35" t="str">
        <x:v>数据截至 2026-09-01。表内按净值日期倒序排列；非交易日通常不发布基金净值。</x:v>
      </x:c>
      <x:c r="B14" s="35" t="str">
        <x:v>数据截至 2026-09-01。表内按净值日期倒序排列；非交易日通常不发布基金净值。</x:v>
      </x:c>
      <x:c r="C14" s="35" t="str">
        <x:v>数据截至 2026-09-01。表内按净值日期倒序排列；非交易日通常不发布基金净值。</x:v>
      </x:c>
      <x:c r="D14" s="35" t="str">
        <x:v>数据截至 2026-09-01。表内按净值日期倒序排列；非交易日通常不发布基金净值。</x:v>
      </x:c>
      <x:c r="E14" s="35" t="str">
        <x:v>数据截至 2026-09-01。表内按净值日期倒序排列；非交易日通常不发布基金净值。</x:v>
      </x:c>
      <x:c r="F14" s="35" t="str">
        <x:v>数据截至 2026-09-01。表内按净值日期倒序排列；非交易日通常不发布基金净值。</x:v>
      </x:c>
    </x:row>
    <x:row r="15" ht="30" customHeight="1">
      <x:c r="A15" s="35" t="str">
        <x:v>数据截至 2026-09-01。表内按净值日期倒序排列；非交易日通常不发布基金净值。</x:v>
      </x:c>
      <x:c r="B15" s="35" t="str">
        <x:v>数据截至 2026-09-01。表内按净值日期倒序排列；非交易日通常不发布基金净值。</x:v>
      </x:c>
      <x:c r="C15" s="35" t="str">
        <x:v>数据截至 2026-09-01。表内按净值日期倒序排列；非交易日通常不发布基金净值。</x:v>
      </x:c>
      <x:c r="D15" s="35" t="str">
        <x:v>数据截至 2026-09-01。表内按净值日期倒序排列；非交易日通常不发布基金净值。</x:v>
      </x:c>
      <x:c r="E15" s="35" t="str">
        <x:v>数据截至 2026-09-01。表内按净值日期倒序排列；非交易日通常不发布基金净值。</x:v>
      </x:c>
      <x:c r="F15" s="35" t="str">
        <x:v>数据截至 2026-09-01。表内按净值日期倒序排列；非交易日通常不发布基金净值。</x:v>
      </x:c>
    </x:row>
  </x:sheetData>
  <x:mergeCells>
    <x:mergeCell ref="A1:F1"/>
    <x:mergeCell ref="B4:F4"/>
    <x:mergeCell ref="A14:F15"/>
  </x:mergeCells>
  <x:conditionalFormatting sqref="F12:F12">
    <x:cfRule type="containsText" dxfId="0" priority="1" operator="containsText" text="OK"/>
    <x:cfRule type="notContainsText" dxfId="1" priority="2" text="OK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3" hidden="0" customWidth="1"/>
    <x:col min="3" max="3" width="13" hidden="0" customWidth="1"/>
    <x:col min="4" max="4" width="15" hidden="0" customWidth="1"/>
    <x:col min="5" max="5" width="15" hidden="0" customWidth="1"/>
    <x:col min="6" max="6" width="14" hidden="0" customWidth="1"/>
    <x:col min="7" max="7" width="14" hidden="0" customWidth="1"/>
  </x:cols>
  <x:sheetData>
    <x:row r="1" ht="26" customHeight="1">
      <x:c r="A1" s="4" t="str">
        <x:v>720001 财通价值动量混合A｜净值明细</x:v>
      </x:c>
      <x:c r="B1" s="4" t="str">
        <x:v>720001 财通价值动量混合A｜净值明细</x:v>
      </x:c>
      <x:c r="C1" s="4" t="str">
        <x:v>720001 财通价值动量混合A｜净值明细</x:v>
      </x:c>
      <x:c r="D1" s="4" t="str">
        <x:v>720001 财通价值动量混合A｜净值明细</x:v>
      </x:c>
      <x:c r="E1" s="4" t="str">
        <x:v>720001 财通价值动量混合A｜净值明细</x:v>
      </x:c>
      <x:c r="F1" s="4" t="str">
        <x:v>720001 财通价值动量混合A｜净值明细</x:v>
      </x:c>
      <x:c r="G1" s="4" t="str">
        <x:v>720001 财通价值动量混合A｜净值明细</x:v>
      </x:c>
    </x:row>
    <x:row r="2" ht="26" customHeight="1">
      <x:c r="A2" s="37" t="str">
        <x:v>区间：2024-09-02 至 2026-09-01｜共 484 条｜最新记录在前</x:v>
      </x:c>
      <x:c r="B2" s="37" t="str">
        <x:v>区间：2024-09-02 至 2026-09-01｜共 484 条｜最新记录在前</x:v>
      </x:c>
      <x:c r="C2" s="37" t="str">
        <x:v>区间：2024-09-02 至 2026-09-01｜共 484 条｜最新记录在前</x:v>
      </x:c>
      <x:c r="D2" s="37" t="str">
        <x:v>区间：2024-09-02 至 2026-09-01｜共 484 条｜最新记录在前</x:v>
      </x:c>
      <x:c r="E2" s="37" t="str">
        <x:v>区间：2024-09-02 至 2026-09-01｜共 484 条｜最新记录在前</x:v>
      </x:c>
      <x:c r="F2" s="37" t="str">
        <x:v>区间：2024-09-02 至 2026-09-01｜共 484 条｜最新记录在前</x:v>
      </x:c>
      <x:c r="G2" s="37" t="str">
        <x:v>区间：2024-09-02 至 2026-09-01｜共 484 条｜最新记录在前</x:v>
      </x:c>
    </x:row>
    <x:row r="4" ht="25" customHeight="1">
      <x:c r="A4" s="46" t="str">
        <x:v>净值日期</x:v>
      </x:c>
      <x:c r="B4" s="47" t="str">
        <x:v>单位净值</x:v>
      </x:c>
      <x:c r="C4" s="47" t="str">
        <x:v>累计净值</x:v>
      </x:c>
      <x:c r="D4" s="47" t="str">
        <x:v>日增长率</x:v>
      </x:c>
      <x:c r="E4" s="47" t="str">
        <x:v>区间累计收益</x:v>
      </x:c>
      <x:c r="F4" s="47" t="str">
        <x:v>申购状态</x:v>
      </x:c>
      <x:c r="G4" s="48" t="str">
        <x:v>赎回状态</x:v>
      </x:c>
    </x:row>
    <x:row r="5">
      <x:c r="A5" s="49" t="n">
        <x:v>46266</x:v>
      </x:c>
      <x:c r="B5" s="52" t="n">
        <x:v>14.081</x:v>
      </x:c>
      <x:c r="C5" s="52" t="n">
        <x:v>14.552</x:v>
      </x:c>
      <x:c r="D5" s="53" t="n">
        <x:v>-0.0344</x:v>
      </x:c>
      <x:c r="E5" s="53" t="n">
        <x:f>IFERROR(B5/$B$488-1,"")</x:f>
        <x:v>3.5986283474853042</x:v>
      </x:c>
      <x:c r="F5" s="54" t="str">
        <x:v>开放申购</x:v>
      </x:c>
      <x:c r="G5" s="54" t="str">
        <x:v>开放赎回</x:v>
      </x:c>
    </x:row>
    <x:row r="6">
      <x:c r="A6" s="49" t="n">
        <x:v>46265</x:v>
      </x:c>
      <x:c r="B6" s="52" t="n">
        <x:v>14.582</x:v>
      </x:c>
      <x:c r="C6" s="52" t="n">
        <x:v>15.053</x:v>
      </x:c>
      <x:c r="D6" s="53" t="n">
        <x:v>0.018600000000000002</x:v>
      </x:c>
      <x:c r="E6" s="53" t="n">
        <x:f>IFERROR(B6/$B$488-1,"")</x:f>
        <x:v>3.7622468974526457</x:v>
      </x:c>
      <x:c r="F6" s="54" t="str">
        <x:v>开放申购</x:v>
      </x:c>
      <x:c r="G6" s="54" t="str">
        <x:v>开放赎回</x:v>
      </x:c>
    </x:row>
    <x:row r="7">
      <x:c r="A7" s="49" t="n">
        <x:v>46262</x:v>
      </x:c>
      <x:c r="B7" s="52" t="n">
        <x:v>14.316</x:v>
      </x:c>
      <x:c r="C7" s="52" t="n">
        <x:v>14.787</x:v>
      </x:c>
      <x:c r="D7" s="53" t="n">
        <x:v>-0.015300000000000001</x:v>
      </x:c>
      <x:c r="E7" s="53" t="n">
        <x:f>IFERROR(B7/$B$488-1,"")</x:f>
        <x:v>3.675375571521881</x:v>
      </x:c>
      <x:c r="F7" s="54" t="str">
        <x:v>开放申购</x:v>
      </x:c>
      <x:c r="G7" s="54" t="str">
        <x:v>开放赎回</x:v>
      </x:c>
    </x:row>
    <x:row r="8">
      <x:c r="A8" s="49" t="n">
        <x:v>46261</x:v>
      </x:c>
      <x:c r="B8" s="52" t="n">
        <x:v>14.539</x:v>
      </x:c>
      <x:c r="C8" s="52" t="n">
        <x:v>15.01</x:v>
      </x:c>
      <x:c r="D8" s="53" t="n">
        <x:v>0.0381</x:v>
      </x:c>
      <x:c r="E8" s="53" t="n">
        <x:f>IFERROR(B8/$B$488-1,"")</x:f>
        <x:v>3.748203788373612</x:v>
      </x:c>
      <x:c r="F8" s="54" t="str">
        <x:v>开放申购</x:v>
      </x:c>
      <x:c r="G8" s="54" t="str">
        <x:v>开放赎回</x:v>
      </x:c>
    </x:row>
    <x:row r="9">
      <x:c r="A9" s="49" t="n">
        <x:v>46260</x:v>
      </x:c>
      <x:c r="B9" s="52" t="n">
        <x:v>14.005</x:v>
      </x:c>
      <x:c r="C9" s="52" t="n">
        <x:v>14.476</x:v>
      </x:c>
      <x:c r="D9" s="53" t="n">
        <x:v>-0.0048</x:v>
      </x:c>
      <x:c r="E9" s="53" t="n">
        <x:f>IFERROR(B9/$B$488-1,"")</x:f>
        <x:v>3.5738079686479427</x:v>
      </x:c>
      <x:c r="F9" s="54" t="str">
        <x:v>开放申购</x:v>
      </x:c>
      <x:c r="G9" s="54" t="str">
        <x:v>开放赎回</x:v>
      </x:c>
    </x:row>
    <x:row r="10">
      <x:c r="A10" s="49" t="n">
        <x:v>46259</x:v>
      </x:c>
      <x:c r="B10" s="52" t="n">
        <x:v>14.072</x:v>
      </x:c>
      <x:c r="C10" s="52" t="n">
        <x:v>14.543</x:v>
      </x:c>
      <x:c r="D10" s="53" t="n">
        <x:v>-0.0023</x:v>
      </x:c>
      <x:c r="E10" s="53" t="n">
        <x:f>IFERROR(B10/$B$488-1,"")</x:f>
        <x:v>3.595689092096669</x:v>
      </x:c>
      <x:c r="F10" s="54" t="str">
        <x:v>开放申购</x:v>
      </x:c>
      <x:c r="G10" s="54" t="str">
        <x:v>开放赎回</x:v>
      </x:c>
    </x:row>
    <x:row r="11">
      <x:c r="A11" s="49" t="n">
        <x:v>46258</x:v>
      </x:c>
      <x:c r="B11" s="52" t="n">
        <x:v>14.105</x:v>
      </x:c>
      <x:c r="C11" s="52" t="n">
        <x:v>14.576</x:v>
      </x:c>
      <x:c r="D11" s="53" t="n">
        <x:v>-0.042800000000000005</x:v>
      </x:c>
      <x:c r="E11" s="53" t="n">
        <x:f>IFERROR(B11/$B$488-1,"")</x:f>
        <x:v>3.606466361854997</x:v>
      </x:c>
      <x:c r="F11" s="54" t="str">
        <x:v>开放申购</x:v>
      </x:c>
      <x:c r="G11" s="54" t="str">
        <x:v>开放赎回</x:v>
      </x:c>
    </x:row>
    <x:row r="12">
      <x:c r="A12" s="49" t="n">
        <x:v>46255</x:v>
      </x:c>
      <x:c r="B12" s="52" t="n">
        <x:v>14.736</x:v>
      </x:c>
      <x:c r="C12" s="52" t="n">
        <x:v>15.207</x:v>
      </x:c>
      <x:c r="D12" s="53" t="n">
        <x:v>0.016200000000000003</x:v>
      </x:c>
      <x:c r="E12" s="53" t="n">
        <x:f>IFERROR(B12/$B$488-1,"")</x:f>
        <x:v>3.812540822991509</x:v>
      </x:c>
      <x:c r="F12" s="54" t="str">
        <x:v>开放申购</x:v>
      </x:c>
      <x:c r="G12" s="54" t="str">
        <x:v>开放赎回</x:v>
      </x:c>
    </x:row>
    <x:row r="13">
      <x:c r="A13" s="49" t="n">
        <x:v>46254</x:v>
      </x:c>
      <x:c r="B13" s="52" t="n">
        <x:v>14.501</x:v>
      </x:c>
      <x:c r="C13" s="52" t="n">
        <x:v>14.972</x:v>
      </x:c>
      <x:c r="D13" s="53" t="n">
        <x:v>0.0012</x:v>
      </x:c>
      <x:c r="E13" s="53" t="n">
        <x:f>IFERROR(B13/$B$488-1,"")</x:f>
        <x:v>3.735793598954931</x:v>
      </x:c>
      <x:c r="F13" s="54" t="str">
        <x:v>开放申购</x:v>
      </x:c>
      <x:c r="G13" s="54" t="str">
        <x:v>开放赎回</x:v>
      </x:c>
    </x:row>
    <x:row r="14">
      <x:c r="A14" s="49" t="n">
        <x:v>46253</x:v>
      </x:c>
      <x:c r="B14" s="52" t="n">
        <x:v>14.484</x:v>
      </x:c>
      <x:c r="C14" s="52" t="n">
        <x:v>14.955</x:v>
      </x:c>
      <x:c r="D14" s="53" t="n">
        <x:v>-0.0737</x:v>
      </x:c>
      <x:c r="E14" s="53" t="n">
        <x:f>IFERROR(B14/$B$488-1,"")</x:f>
        <x:v>3.7302416721097327</x:v>
      </x:c>
      <x:c r="F14" s="54" t="str">
        <x:v>开放申购</x:v>
      </x:c>
      <x:c r="G14" s="54" t="str">
        <x:v>开放赎回</x:v>
      </x:c>
    </x:row>
    <x:row r="15">
      <x:c r="A15" s="49" t="n">
        <x:v>46252</x:v>
      </x:c>
      <x:c r="B15" s="52" t="n">
        <x:v>15.636</x:v>
      </x:c>
      <x:c r="C15" s="52" t="n">
        <x:v>16.107</x:v>
      </x:c>
      <x:c r="D15" s="53" t="n">
        <x:v>-0.009000000000000001</x:v>
      </x:c>
      <x:c r="E15" s="53" t="n">
        <x:f>IFERROR(B15/$B$488-1,"")</x:f>
        <x:v>4.106466361854997</x:v>
      </x:c>
      <x:c r="F15" s="54" t="str">
        <x:v>开放申购</x:v>
      </x:c>
      <x:c r="G15" s="54" t="str">
        <x:v>开放赎回</x:v>
      </x:c>
    </x:row>
    <x:row r="16">
      <x:c r="A16" s="49" t="n">
        <x:v>46251</x:v>
      </x:c>
      <x:c r="B16" s="52" t="n">
        <x:v>15.778</x:v>
      </x:c>
      <x:c r="C16" s="52" t="n">
        <x:v>16.249</x:v>
      </x:c>
      <x:c r="D16" s="53" t="n">
        <x:v>0.0336</x:v>
      </x:c>
      <x:c r="E16" s="53" t="n">
        <x:f>IFERROR(B16/$B$488-1,"")</x:f>
        <x:v>4.152841280209014</x:v>
      </x:c>
      <x:c r="F16" s="54" t="str">
        <x:v>开放申购</x:v>
      </x:c>
      <x:c r="G16" s="54" t="str">
        <x:v>开放赎回</x:v>
      </x:c>
    </x:row>
    <x:row r="17">
      <x:c r="A17" s="49" t="n">
        <x:v>46248</x:v>
      </x:c>
      <x:c r="B17" s="52" t="n">
        <x:v>15.265</x:v>
      </x:c>
      <x:c r="C17" s="52" t="n">
        <x:v>15.736</x:v>
      </x:c>
      <x:c r="D17" s="53" t="n">
        <x:v>0.020499999999999997</x:v>
      </x:c>
      <x:c r="E17" s="53" t="n">
        <x:f>IFERROR(B17/$B$488-1,"")</x:f>
        <x:v>3.985303723056826</x:v>
      </x:c>
      <x:c r="F17" s="54" t="str">
        <x:v>开放申购</x:v>
      </x:c>
      <x:c r="G17" s="54" t="str">
        <x:v>开放赎回</x:v>
      </x:c>
    </x:row>
    <x:row r="18">
      <x:c r="A18" s="49" t="n">
        <x:v>46247</x:v>
      </x:c>
      <x:c r="B18" s="52" t="n">
        <x:v>14.958</x:v>
      </x:c>
      <x:c r="C18" s="52" t="n">
        <x:v>15.429</x:v>
      </x:c>
      <x:c r="D18" s="53" t="n">
        <x:v>-0.0045000000000000005</x:v>
      </x:c>
      <x:c r="E18" s="53" t="n">
        <x:f>IFERROR(B18/$B$488-1,"")</x:f>
        <x:v>3.8850424559111696</x:v>
      </x:c>
      <x:c r="F18" s="54" t="str">
        <x:v>开放申购</x:v>
      </x:c>
      <x:c r="G18" s="54" t="str">
        <x:v>开放赎回</x:v>
      </x:c>
    </x:row>
    <x:row r="19">
      <x:c r="A19" s="49" t="n">
        <x:v>46246</x:v>
      </x:c>
      <x:c r="B19" s="52" t="n">
        <x:v>15.026</x:v>
      </x:c>
      <x:c r="C19" s="52" t="n">
        <x:v>15.497</x:v>
      </x:c>
      <x:c r="D19" s="53" t="n">
        <x:v>0.022099999999999998</x:v>
      </x:c>
      <x:c r="E19" s="53" t="n">
        <x:f>IFERROR(B19/$B$488-1,"")</x:f>
        <x:v>3.907250163291966</x:v>
      </x:c>
      <x:c r="F19" s="54" t="str">
        <x:v>开放申购</x:v>
      </x:c>
      <x:c r="G19" s="54" t="str">
        <x:v>开放赎回</x:v>
      </x:c>
    </x:row>
    <x:row r="20">
      <x:c r="A20" s="49" t="n">
        <x:v>46245</x:v>
      </x:c>
      <x:c r="B20" s="52" t="n">
        <x:v>14.701</x:v>
      </x:c>
      <x:c r="C20" s="52" t="n">
        <x:v>15.172</x:v>
      </x:c>
      <x:c r="D20" s="53" t="n">
        <x:v>-0.0026</x:v>
      </x:c>
      <x:c r="E20" s="53" t="n">
        <x:f>IFERROR(B20/$B$488-1,"")</x:f>
        <x:v>3.8011103853690402</x:v>
      </x:c>
      <x:c r="F20" s="54" t="str">
        <x:v>开放申购</x:v>
      </x:c>
      <x:c r="G20" s="54" t="str">
        <x:v>开放赎回</x:v>
      </x:c>
    </x:row>
    <x:row r="21">
      <x:c r="A21" s="49" t="n">
        <x:v>46244</x:v>
      </x:c>
      <x:c r="B21" s="52" t="n">
        <x:v>14.74</x:v>
      </x:c>
      <x:c r="C21" s="52" t="n">
        <x:v>15.211</x:v>
      </x:c>
      <x:c r="D21" s="53" t="n">
        <x:v>-0.0052</x:v>
      </x:c>
      <x:c r="E21" s="53" t="n">
        <x:f>IFERROR(B21/$B$488-1,"")</x:f>
        <x:v>3.813847158719791</x:v>
      </x:c>
      <x:c r="F21" s="54" t="str">
        <x:v>开放申购</x:v>
      </x:c>
      <x:c r="G21" s="54" t="str">
        <x:v>开放赎回</x:v>
      </x:c>
    </x:row>
    <x:row r="22">
      <x:c r="A22" s="49" t="n">
        <x:v>46241</x:v>
      </x:c>
      <x:c r="B22" s="52" t="n">
        <x:v>14.817</x:v>
      </x:c>
      <x:c r="C22" s="52" t="n">
        <x:v>15.288</x:v>
      </x:c>
      <x:c r="D22" s="53" t="n">
        <x:v>0.0315</x:v>
      </x:c>
      <x:c r="E22" s="53" t="n">
        <x:f>IFERROR(B22/$B$488-1,"")</x:f>
        <x:v>3.8389941214892227</x:v>
      </x:c>
      <x:c r="F22" s="54" t="str">
        <x:v>开放申购</x:v>
      </x:c>
      <x:c r="G22" s="54" t="str">
        <x:v>开放赎回</x:v>
      </x:c>
    </x:row>
    <x:row r="23">
      <x:c r="A23" s="49" t="n">
        <x:v>46240</x:v>
      </x:c>
      <x:c r="B23" s="52" t="n">
        <x:v>14.364</x:v>
      </x:c>
      <x:c r="C23" s="52" t="n">
        <x:v>14.835</x:v>
      </x:c>
      <x:c r="D23" s="53" t="n">
        <x:v>0.0139</x:v>
      </x:c>
      <x:c r="E23" s="53" t="n">
        <x:f>IFERROR(B23/$B$488-1,"")</x:f>
        <x:v>3.691051600261267</x:v>
      </x:c>
      <x:c r="F23" s="54" t="str">
        <x:v>开放申购</x:v>
      </x:c>
      <x:c r="G23" s="54" t="str">
        <x:v>开放赎回</x:v>
      </x:c>
    </x:row>
    <x:row r="24">
      <x:c r="A24" s="49" t="n">
        <x:v>46239</x:v>
      </x:c>
      <x:c r="B24" s="52" t="n">
        <x:v>14.167</x:v>
      </x:c>
      <x:c r="C24" s="52" t="n">
        <x:v>14.638</x:v>
      </x:c>
      <x:c r="D24" s="53" t="n">
        <x:v>0.0346</x:v>
      </x:c>
      <x:c r="E24" s="53" t="n">
        <x:f>IFERROR(B24/$B$488-1,"")</x:f>
        <x:v>3.62671456564337</x:v>
      </x:c>
      <x:c r="F24" s="54" t="str">
        <x:v>开放申购</x:v>
      </x:c>
      <x:c r="G24" s="54" t="str">
        <x:v>开放赎回</x:v>
      </x:c>
    </x:row>
    <x:row r="25">
      <x:c r="A25" s="49" t="n">
        <x:v>46238</x:v>
      </x:c>
      <x:c r="B25" s="52" t="n">
        <x:v>13.693</x:v>
      </x:c>
      <x:c r="C25" s="52" t="n">
        <x:v>14.164</x:v>
      </x:c>
      <x:c r="D25" s="53" t="n">
        <x:v>0.0837</x:v>
      </x:c>
      <x:c r="E25" s="53" t="n">
        <x:f>IFERROR(B25/$B$488-1,"")</x:f>
        <x:v>3.471913781841933</x:v>
      </x:c>
      <x:c r="F25" s="54" t="str">
        <x:v>开放申购</x:v>
      </x:c>
      <x:c r="G25" s="54" t="str">
        <x:v>开放赎回</x:v>
      </x:c>
    </x:row>
    <x:row r="26">
      <x:c r="A26" s="49" t="n">
        <x:v>46237</x:v>
      </x:c>
      <x:c r="B26" s="52" t="n">
        <x:v>12.635</x:v>
      </x:c>
      <x:c r="C26" s="52" t="n">
        <x:v>13.106</x:v>
      </x:c>
      <x:c r="D26" s="53" t="n">
        <x:v>-0.0103</x:v>
      </x:c>
      <x:c r="E26" s="53" t="n">
        <x:f>IFERROR(B26/$B$488-1,"")</x:f>
        <x:v>3.1263879817113</x:v>
      </x:c>
      <x:c r="F26" s="54" t="str">
        <x:v>开放申购</x:v>
      </x:c>
      <x:c r="G26" s="54" t="str">
        <x:v>开放赎回</x:v>
      </x:c>
    </x:row>
    <x:row r="27">
      <x:c r="A27" s="49" t="n">
        <x:v>46234</x:v>
      </x:c>
      <x:c r="B27" s="52" t="n">
        <x:v>12.766</x:v>
      </x:c>
      <x:c r="C27" s="52" t="n">
        <x:v>13.237</x:v>
      </x:c>
      <x:c r="D27" s="53" t="n">
        <x:v>0.039</x:v>
      </x:c>
      <x:c r="E27" s="53" t="n">
        <x:f>IFERROR(B27/$B$488-1,"")</x:f>
        <x:v>3.169170476812541</x:v>
      </x:c>
      <x:c r="F27" s="54" t="str">
        <x:v>开放申购</x:v>
      </x:c>
      <x:c r="G27" s="54" t="str">
        <x:v>开放赎回</x:v>
      </x:c>
    </x:row>
    <x:row r="28">
      <x:c r="A28" s="49" t="n">
        <x:v>46233</x:v>
      </x:c>
      <x:c r="B28" s="52" t="n">
        <x:v>12.287</x:v>
      </x:c>
      <x:c r="C28" s="52" t="n">
        <x:v>12.758</x:v>
      </x:c>
      <x:c r="D28" s="53" t="n">
        <x:v>-0.0575</x:v>
      </x:c>
      <x:c r="E28" s="53" t="n">
        <x:f>IFERROR(B28/$B$488-1,"")</x:f>
        <x:v>3.0127367733507517</x:v>
      </x:c>
      <x:c r="F28" s="54" t="str">
        <x:v>开放申购</x:v>
      </x:c>
      <x:c r="G28" s="54" t="str">
        <x:v>开放赎回</x:v>
      </x:c>
    </x:row>
    <x:row r="29">
      <x:c r="A29" s="49" t="n">
        <x:v>46232</x:v>
      </x:c>
      <x:c r="B29" s="52" t="n">
        <x:v>13.037</x:v>
      </x:c>
      <x:c r="C29" s="52" t="n">
        <x:v>13.508</x:v>
      </x:c>
      <x:c r="D29" s="53" t="n">
        <x:v>0.0172</x:v>
      </x:c>
      <x:c r="E29" s="53" t="n">
        <x:f>IFERROR(B29/$B$488-1,"")</x:f>
        <x:v>3.2576747224036584</x:v>
      </x:c>
      <x:c r="F29" s="54" t="str">
        <x:v>开放申购</x:v>
      </x:c>
      <x:c r="G29" s="54" t="str">
        <x:v>开放赎回</x:v>
      </x:c>
    </x:row>
    <x:row r="30">
      <x:c r="A30" s="49" t="n">
        <x:v>46231</x:v>
      </x:c>
      <x:c r="B30" s="52" t="n">
        <x:v>12.817</x:v>
      </x:c>
      <x:c r="C30" s="52" t="n">
        <x:v>13.288</x:v>
      </x:c>
      <x:c r="D30" s="53" t="n">
        <x:v>-0.0955</x:v>
      </x:c>
      <x:c r="E30" s="53" t="n">
        <x:f>IFERROR(B30/$B$488-1,"")</x:f>
        <x:v>3.185826257348139</x:v>
      </x:c>
      <x:c r="F30" s="54" t="str">
        <x:v>开放申购</x:v>
      </x:c>
      <x:c r="G30" s="54" t="str">
        <x:v>开放赎回</x:v>
      </x:c>
    </x:row>
    <x:row r="31">
      <x:c r="A31" s="49" t="n">
        <x:v>46230</x:v>
      </x:c>
      <x:c r="B31" s="52" t="n">
        <x:v>14.17</x:v>
      </x:c>
      <x:c r="C31" s="52" t="n">
        <x:v>14.641</x:v>
      </x:c>
      <x:c r="D31" s="53" t="n">
        <x:v>0.0499</x:v>
      </x:c>
      <x:c r="E31" s="53" t="n">
        <x:f>IFERROR(B31/$B$488-1,"")</x:f>
        <x:v>3.627694317439582</x:v>
      </x:c>
      <x:c r="F31" s="54" t="str">
        <x:v>开放申购</x:v>
      </x:c>
      <x:c r="G31" s="54" t="str">
        <x:v>开放赎回</x:v>
      </x:c>
    </x:row>
    <x:row r="32">
      <x:c r="A32" s="49" t="n">
        <x:v>46227</x:v>
      </x:c>
      <x:c r="B32" s="52" t="n">
        <x:v>13.497</x:v>
      </x:c>
      <x:c r="C32" s="52" t="n">
        <x:v>13.968</x:v>
      </x:c>
      <x:c r="D32" s="53" t="n">
        <x:v>-0.0241</x:v>
      </x:c>
      <x:c r="E32" s="53" t="n">
        <x:f>IFERROR(B32/$B$488-1,"")</x:f>
        <x:v>3.407903331156107</x:v>
      </x:c>
      <x:c r="F32" s="54" t="str">
        <x:v>开放申购</x:v>
      </x:c>
      <x:c r="G32" s="54" t="str">
        <x:v>开放赎回</x:v>
      </x:c>
    </x:row>
    <x:row r="33">
      <x:c r="A33" s="49" t="n">
        <x:v>46226</x:v>
      </x:c>
      <x:c r="B33" s="52" t="n">
        <x:v>13.83</x:v>
      </x:c>
      <x:c r="C33" s="52" t="n">
        <x:v>14.301</x:v>
      </x:c>
      <x:c r="D33" s="53" t="n">
        <x:v>0.005699999999999999</x:v>
      </x:c>
      <x:c r="E33" s="53" t="n">
        <x:f>IFERROR(B33/$B$488-1,"")</x:f>
        <x:v>3.516655780535598</x:v>
      </x:c>
      <x:c r="F33" s="54" t="str">
        <x:v>开放申购</x:v>
      </x:c>
      <x:c r="G33" s="54" t="str">
        <x:v>开放赎回</x:v>
      </x:c>
    </x:row>
    <x:row r="34">
      <x:c r="A34" s="49" t="n">
        <x:v>46225</x:v>
      </x:c>
      <x:c r="B34" s="52" t="n">
        <x:v>13.752</x:v>
      </x:c>
      <x:c r="C34" s="52" t="n">
        <x:v>14.223</x:v>
      </x:c>
      <x:c r="D34" s="53" t="n">
        <x:v>-0.0473</x:v>
      </x:c>
      <x:c r="E34" s="53" t="n">
        <x:f>IFERROR(B34/$B$488-1,"")</x:f>
        <x:v>3.4911822338340954</x:v>
      </x:c>
      <x:c r="F34" s="54" t="str">
        <x:v>开放申购</x:v>
      </x:c>
      <x:c r="G34" s="54" t="str">
        <x:v>开放赎回</x:v>
      </x:c>
    </x:row>
    <x:row r="35">
      <x:c r="A35" s="49" t="n">
        <x:v>46224</x:v>
      </x:c>
      <x:c r="B35" s="52" t="n">
        <x:v>14.435</x:v>
      </x:c>
      <x:c r="C35" s="52" t="n">
        <x:v>14.906</x:v>
      </x:c>
      <x:c r="D35" s="53" t="n">
        <x:v>0.0908</x:v>
      </x:c>
      <x:c r="E35" s="53" t="n">
        <x:f>IFERROR(B35/$B$488-1,"")</x:f>
        <x:v>3.7142390594382757</x:v>
      </x:c>
      <x:c r="F35" s="54" t="str">
        <x:v>限制大额申购</x:v>
      </x:c>
      <x:c r="G35" s="54" t="str">
        <x:v>开放赎回</x:v>
      </x:c>
    </x:row>
    <x:row r="36">
      <x:c r="A36" s="49" t="n">
        <x:v>46223</x:v>
      </x:c>
      <x:c r="B36" s="52" t="n">
        <x:v>13.234</x:v>
      </x:c>
      <x:c r="C36" s="52" t="n">
        <x:v>13.705</x:v>
      </x:c>
      <x:c r="D36" s="53" t="n">
        <x:v>-0.077</x:v>
      </x:c>
      <x:c r="E36" s="53" t="n">
        <x:f>IFERROR(B36/$B$488-1,"")</x:f>
        <x:v>3.3220117570215546</x:v>
      </x:c>
      <x:c r="F36" s="54" t="str">
        <x:v>限制大额申购</x:v>
      </x:c>
      <x:c r="G36" s="54" t="str">
        <x:v>开放赎回</x:v>
      </x:c>
    </x:row>
    <x:row r="37">
      <x:c r="A37" s="49" t="n">
        <x:v>46220</x:v>
      </x:c>
      <x:c r="B37" s="52" t="n">
        <x:v>14.338</x:v>
      </x:c>
      <x:c r="C37" s="52" t="n">
        <x:v>14.809</x:v>
      </x:c>
      <x:c r="D37" s="53" t="n">
        <x:v>-0.0849</x:v>
      </x:c>
      <x:c r="E37" s="53" t="n">
        <x:f>IFERROR(B37/$B$488-1,"")</x:f>
        <x:v>3.6825604180274327</x:v>
      </x:c>
      <x:c r="F37" s="54" t="str">
        <x:v>限制大额申购</x:v>
      </x:c>
      <x:c r="G37" s="54" t="str">
        <x:v>开放赎回</x:v>
      </x:c>
    </x:row>
    <x:row r="38">
      <x:c r="A38" s="49" t="n">
        <x:v>46219</x:v>
      </x:c>
      <x:c r="B38" s="52" t="n">
        <x:v>15.668</x:v>
      </x:c>
      <x:c r="C38" s="52" t="n">
        <x:v>16.139</x:v>
      </x:c>
      <x:c r="D38" s="53" t="n">
        <x:v>-0.0313</x:v>
      </x:c>
      <x:c r="E38" s="53" t="n">
        <x:f>IFERROR(B38/$B$488-1,"")</x:f>
        <x:v>4.116917047681254</x:v>
      </x:c>
      <x:c r="F38" s="54" t="str">
        <x:v>限制大额申购</x:v>
      </x:c>
      <x:c r="G38" s="54" t="str">
        <x:v>开放赎回</x:v>
      </x:c>
    </x:row>
    <x:row r="39">
      <x:c r="A39" s="49" t="n">
        <x:v>46218</x:v>
      </x:c>
      <x:c r="B39" s="52" t="n">
        <x:v>16.174</x:v>
      </x:c>
      <x:c r="C39" s="52" t="n">
        <x:v>16.645</x:v>
      </x:c>
      <x:c r="D39" s="53" t="n">
        <x:v>-0.0317</x:v>
      </x:c>
      <x:c r="E39" s="53" t="n">
        <x:f>IFERROR(B39/$B$488-1,"")</x:f>
        <x:v>4.282168517308948</x:v>
      </x:c>
      <x:c r="F39" s="54" t="str">
        <x:v>限制大额申购</x:v>
      </x:c>
      <x:c r="G39" s="54" t="str">
        <x:v>开放赎回</x:v>
      </x:c>
    </x:row>
    <x:row r="40">
      <x:c r="A40" s="49" t="n">
        <x:v>46217</x:v>
      </x:c>
      <x:c r="B40" s="52" t="n">
        <x:v>16.703</x:v>
      </x:c>
      <x:c r="C40" s="52" t="n">
        <x:v>17.174</x:v>
      </x:c>
      <x:c r="D40" s="53" t="n">
        <x:v>0.0901</x:v>
      </x:c>
      <x:c r="E40" s="53" t="n">
        <x:f>IFERROR(B40/$B$488-1,"")</x:f>
        <x:v>4.454931417374265</x:v>
      </x:c>
      <x:c r="F40" s="54" t="str">
        <x:v>限制大额申购</x:v>
      </x:c>
      <x:c r="G40" s="54" t="str">
        <x:v>开放赎回</x:v>
      </x:c>
    </x:row>
    <x:row r="41">
      <x:c r="A41" s="49" t="n">
        <x:v>46216</x:v>
      </x:c>
      <x:c r="B41" s="52" t="n">
        <x:v>15.322</x:v>
      </x:c>
      <x:c r="C41" s="52" t="n">
        <x:v>15.793</x:v>
      </x:c>
      <x:c r="D41" s="53" t="n">
        <x:v>-0.0558</x:v>
      </x:c>
      <x:c r="E41" s="53" t="n">
        <x:f>IFERROR(B41/$B$488-1,"")</x:f>
        <x:v>4.003919007184846</x:v>
      </x:c>
      <x:c r="F41" s="54" t="str">
        <x:v>限制大额申购</x:v>
      </x:c>
      <x:c r="G41" s="54" t="str">
        <x:v>开放赎回</x:v>
      </x:c>
    </x:row>
    <x:row r="42">
      <x:c r="A42" s="49" t="n">
        <x:v>46213</x:v>
      </x:c>
      <x:c r="B42" s="52" t="n">
        <x:v>16.228</x:v>
      </x:c>
      <x:c r="C42" s="52" t="n">
        <x:v>16.699</x:v>
      </x:c>
      <x:c r="D42" s="53" t="n">
        <x:v>-0.039900000000000005</x:v>
      </x:c>
      <x:c r="E42" s="53" t="n">
        <x:f>IFERROR(B42/$B$488-1,"")</x:f>
        <x:v>4.299804049640758</x:v>
      </x:c>
      <x:c r="F42" s="54" t="str">
        <x:v>限制大额申购</x:v>
      </x:c>
      <x:c r="G42" s="54" t="str">
        <x:v>开放赎回</x:v>
      </x:c>
    </x:row>
    <x:row r="43">
      <x:c r="A43" s="49" t="n">
        <x:v>46212</x:v>
      </x:c>
      <x:c r="B43" s="52" t="n">
        <x:v>16.902</x:v>
      </x:c>
      <x:c r="C43" s="52" t="n">
        <x:v>17.373</x:v>
      </x:c>
      <x:c r="D43" s="53" t="n">
        <x:v>0.0435</x:v>
      </x:c>
      <x:c r="E43" s="53" t="n">
        <x:f>IFERROR(B43/$B$488-1,"")</x:f>
        <x:v>4.519921619856304</x:v>
      </x:c>
      <x:c r="F43" s="54" t="str">
        <x:v>限制大额申购</x:v>
      </x:c>
      <x:c r="G43" s="54" t="str">
        <x:v>开放赎回</x:v>
      </x:c>
    </x:row>
    <x:row r="44">
      <x:c r="A44" s="49" t="n">
        <x:v>46211</x:v>
      </x:c>
      <x:c r="B44" s="52" t="n">
        <x:v>16.198</x:v>
      </x:c>
      <x:c r="C44" s="52" t="n">
        <x:v>16.669</x:v>
      </x:c>
      <x:c r="D44" s="53" t="n">
        <x:v>-0.032799999999999996</x:v>
      </x:c>
      <x:c r="E44" s="53" t="n">
        <x:f>IFERROR(B44/$B$488-1,"")</x:f>
        <x:v>4.2900065316786415</x:v>
      </x:c>
      <x:c r="F44" s="54" t="str">
        <x:v>限制大额申购</x:v>
      </x:c>
      <x:c r="G44" s="54" t="str">
        <x:v>开放赎回</x:v>
      </x:c>
    </x:row>
    <x:row r="45">
      <x:c r="A45" s="49" t="n">
        <x:v>46210</x:v>
      </x:c>
      <x:c r="B45" s="52" t="n">
        <x:v>16.748</x:v>
      </x:c>
      <x:c r="C45" s="52" t="n">
        <x:v>17.219</x:v>
      </x:c>
      <x:c r="D45" s="53" t="n">
        <x:v>0</x:v>
      </x:c>
      <x:c r="E45" s="53" t="n">
        <x:f>IFERROR(B45/$B$488-1,"")</x:f>
        <x:v>4.46962769431744</x:v>
      </x:c>
      <x:c r="F45" s="54" t="str">
        <x:v>限制大额申购</x:v>
      </x:c>
      <x:c r="G45" s="54" t="str">
        <x:v>开放赎回</x:v>
      </x:c>
    </x:row>
    <x:row r="46">
      <x:c r="A46" s="49" t="n">
        <x:v>46209</x:v>
      </x:c>
      <x:c r="B46" s="52" t="n">
        <x:v>16.748</x:v>
      </x:c>
      <x:c r="C46" s="52" t="n">
        <x:v>17.219</x:v>
      </x:c>
      <x:c r="D46" s="53" t="n">
        <x:v>-0.044500000000000005</x:v>
      </x:c>
      <x:c r="E46" s="53" t="n">
        <x:f>IFERROR(B46/$B$488-1,"")</x:f>
        <x:v>4.46962769431744</x:v>
      </x:c>
      <x:c r="F46" s="54" t="str">
        <x:v>限制大额申购</x:v>
      </x:c>
      <x:c r="G46" s="54" t="str">
        <x:v>开放赎回</x:v>
      </x:c>
    </x:row>
    <x:row r="47">
      <x:c r="A47" s="49" t="n">
        <x:v>46206</x:v>
      </x:c>
      <x:c r="B47" s="52" t="n">
        <x:v>17.528</x:v>
      </x:c>
      <x:c r="C47" s="52" t="n">
        <x:v>17.999</x:v>
      </x:c>
      <x:c r="D47" s="53" t="n">
        <x:v>0.001</x:v>
      </x:c>
      <x:c r="E47" s="53" t="n">
        <x:f>IFERROR(B47/$B$488-1,"")</x:f>
        <x:v>4.724363161332462</x:v>
      </x:c>
      <x:c r="F47" s="54" t="str">
        <x:v>限制大额申购</x:v>
      </x:c>
      <x:c r="G47" s="54" t="str">
        <x:v>开放赎回</x:v>
      </x:c>
    </x:row>
    <x:row r="48">
      <x:c r="A48" s="49" t="n">
        <x:v>46205</x:v>
      </x:c>
      <x:c r="B48" s="52" t="n">
        <x:v>17.511</x:v>
      </x:c>
      <x:c r="C48" s="52" t="n">
        <x:v>17.982</x:v>
      </x:c>
      <x:c r="D48" s="53" t="n">
        <x:v>-0.060899999999999996</x:v>
      </x:c>
      <x:c r="E48" s="53" t="n">
        <x:f>IFERROR(B48/$B$488-1,"")</x:f>
        <x:v>4.718811234487263</x:v>
      </x:c>
      <x:c r="F48" s="54" t="str">
        <x:v>限制大额申购</x:v>
      </x:c>
      <x:c r="G48" s="54" t="str">
        <x:v>开放赎回</x:v>
      </x:c>
    </x:row>
    <x:row r="49">
      <x:c r="A49" s="49" t="n">
        <x:v>46204</x:v>
      </x:c>
      <x:c r="B49" s="52" t="n">
        <x:v>18.647</x:v>
      </x:c>
      <x:c r="C49" s="52" t="n">
        <x:v>19.118</x:v>
      </x:c>
      <x:c r="D49" s="53" t="n">
        <x:v>-0.005</x:v>
      </x:c>
      <x:c r="E49" s="53" t="n">
        <x:f>IFERROR(B49/$B$488-1,"")</x:f>
        <x:v>5.089810581319399</x:v>
      </x:c>
      <x:c r="F49" s="54" t="str">
        <x:v>限制大额申购</x:v>
      </x:c>
      <x:c r="G49" s="54" t="str">
        <x:v>开放赎回</x:v>
      </x:c>
    </x:row>
    <x:row r="50">
      <x:c r="A50" s="49" t="n">
        <x:v>46203</x:v>
      </x:c>
      <x:c r="B50" s="52" t="n">
        <x:v>18.741</x:v>
      </x:c>
      <x:c r="C50" s="52" t="n">
        <x:v>19.212</x:v>
      </x:c>
      <x:c r="D50" s="53" t="n">
        <x:v>0.0147</x:v>
      </x:c>
      <x:c r="E50" s="53" t="n">
        <x:f>IFERROR(B50/$B$488-1,"")</x:f>
        <x:v>5.120509470934031</x:v>
      </x:c>
      <x:c r="F50" s="54" t="str">
        <x:v>限制大额申购</x:v>
      </x:c>
      <x:c r="G50" s="54" t="str">
        <x:v>开放赎回</x:v>
      </x:c>
    </x:row>
    <x:row r="51">
      <x:c r="A51" s="49" t="n">
        <x:v>46202</x:v>
      </x:c>
      <x:c r="B51" s="52" t="n">
        <x:v>18.469</x:v>
      </x:c>
      <x:c r="C51" s="52" t="n">
        <x:v>18.94</x:v>
      </x:c>
      <x:c r="D51" s="53" t="n">
        <x:v>-0.026000000000000002</x:v>
      </x:c>
      <x:c r="E51" s="53" t="n">
        <x:f>IFERROR(B51/$B$488-1,"")</x:f>
        <x:v>5.031678641410843</x:v>
      </x:c>
      <x:c r="F51" s="54" t="str">
        <x:v>限制大额申购</x:v>
      </x:c>
      <x:c r="G51" s="54" t="str">
        <x:v>开放赎回</x:v>
      </x:c>
    </x:row>
    <x:row r="52">
      <x:c r="A52" s="49" t="n">
        <x:v>46199</x:v>
      </x:c>
      <x:c r="B52" s="52" t="n">
        <x:v>18.962</x:v>
      </x:c>
      <x:c r="C52" s="52" t="n">
        <x:v>19.433</x:v>
      </x:c>
      <x:c r="D52" s="53" t="n">
        <x:v>-0.0182</x:v>
      </x:c>
      <x:c r="E52" s="53" t="n">
        <x:f>IFERROR(B52/$B$488-1,"")</x:f>
        <x:v>5.19268451992162</x:v>
      </x:c>
      <x:c r="F52" s="54" t="str">
        <x:v>限制大额申购</x:v>
      </x:c>
      <x:c r="G52" s="54" t="str">
        <x:v>开放赎回</x:v>
      </x:c>
    </x:row>
    <x:row r="53">
      <x:c r="A53" s="49" t="n">
        <x:v>46198</x:v>
      </x:c>
      <x:c r="B53" s="52" t="n">
        <x:v>19.313</x:v>
      </x:c>
      <x:c r="C53" s="52" t="n">
        <x:v>19.784</x:v>
      </x:c>
      <x:c r="D53" s="53" t="n">
        <x:v>0.0454</x:v>
      </x:c>
      <x:c r="E53" s="53" t="n">
        <x:f>IFERROR(B53/$B$488-1,"")</x:f>
        <x:v>5.30731548007838</x:v>
      </x:c>
      <x:c r="F53" s="54" t="str">
        <x:v>限制大额申购</x:v>
      </x:c>
      <x:c r="G53" s="54" t="str">
        <x:v>开放赎回</x:v>
      </x:c>
    </x:row>
    <x:row r="54">
      <x:c r="A54" s="49" t="n">
        <x:v>46197</x:v>
      </x:c>
      <x:c r="B54" s="52" t="n">
        <x:v>18.474</x:v>
      </x:c>
      <x:c r="C54" s="52" t="n">
        <x:v>18.945</x:v>
      </x:c>
      <x:c r="D54" s="53" t="n">
        <x:v>0.0223</x:v>
      </x:c>
      <x:c r="E54" s="53" t="n">
        <x:f>IFERROR(B54/$B$488-1,"")</x:f>
        <x:v>5.033311561071196</x:v>
      </x:c>
      <x:c r="F54" s="54" t="str">
        <x:v>限制大额申购</x:v>
      </x:c>
      <x:c r="G54" s="54" t="str">
        <x:v>开放赎回</x:v>
      </x:c>
    </x:row>
    <x:row r="55">
      <x:c r="A55" s="49" t="n">
        <x:v>46196</x:v>
      </x:c>
      <x:c r="B55" s="52" t="n">
        <x:v>18.071</x:v>
      </x:c>
      <x:c r="C55" s="52" t="n">
        <x:v>18.542</x:v>
      </x:c>
      <x:c r="D55" s="53" t="n">
        <x:v>-0.0574</x:v>
      </x:c>
      <x:c r="E55" s="53" t="n">
        <x:f>IFERROR(B55/$B$488-1,"")</x:f>
        <x:v>4.901698236446768</x:v>
      </x:c>
      <x:c r="F55" s="54" t="str">
        <x:v>限制大额申购</x:v>
      </x:c>
      <x:c r="G55" s="54" t="str">
        <x:v>开放赎回</x:v>
      </x:c>
    </x:row>
    <x:row r="56">
      <x:c r="A56" s="49" t="n">
        <x:v>46195</x:v>
      </x:c>
      <x:c r="B56" s="52" t="n">
        <x:v>19.171</x:v>
      </x:c>
      <x:c r="C56" s="52" t="n">
        <x:v>19.642</x:v>
      </x:c>
      <x:c r="D56" s="53" t="n">
        <x:v>0.0087</x:v>
      </x:c>
      <x:c r="E56" s="53" t="n">
        <x:f>IFERROR(B56/$B$488-1,"")</x:f>
        <x:v>5.260940561724364</x:v>
      </x:c>
      <x:c r="F56" s="54" t="str">
        <x:v>限制大额申购</x:v>
      </x:c>
      <x:c r="G56" s="54" t="str">
        <x:v>开放赎回</x:v>
      </x:c>
    </x:row>
    <x:row r="57">
      <x:c r="A57" s="49" t="n">
        <x:v>46191</x:v>
      </x:c>
      <x:c r="B57" s="52" t="n">
        <x:v>19.005</x:v>
      </x:c>
      <x:c r="C57" s="52" t="n">
        <x:v>19.476</x:v>
      </x:c>
      <x:c r="D57" s="53" t="n">
        <x:v>0.0313</x:v>
      </x:c>
      <x:c r="E57" s="53" t="n">
        <x:f>IFERROR(B57/$B$488-1,"")</x:f>
        <x:v>5.206727629000653</x:v>
      </x:c>
      <x:c r="F57" s="54" t="str">
        <x:v>限制大额申购</x:v>
      </x:c>
      <x:c r="G57" s="54" t="str">
        <x:v>开放赎回</x:v>
      </x:c>
    </x:row>
    <x:row r="58">
      <x:c r="A58" s="49" t="n">
        <x:v>46190</x:v>
      </x:c>
      <x:c r="B58" s="52" t="n">
        <x:v>18.429</x:v>
      </x:c>
      <x:c r="C58" s="52" t="n">
        <x:v>18.9</x:v>
      </x:c>
      <x:c r="D58" s="53" t="n">
        <x:v>0.024</x:v>
      </x:c>
      <x:c r="E58" s="53" t="n">
        <x:f>IFERROR(B58/$B$488-1,"")</x:f>
        <x:v>5.018615284128021</x:v>
      </x:c>
      <x:c r="F58" s="54" t="str">
        <x:v>限制大额申购</x:v>
      </x:c>
      <x:c r="G58" s="54" t="str">
        <x:v>开放赎回</x:v>
      </x:c>
    </x:row>
    <x:row r="59">
      <x:c r="A59" s="49" t="n">
        <x:v>46189</x:v>
      </x:c>
      <x:c r="B59" s="52" t="n">
        <x:v>17.997</x:v>
      </x:c>
      <x:c r="C59" s="52" t="n">
        <x:v>18.468</x:v>
      </x:c>
      <x:c r="D59" s="53" t="n">
        <x:v>0.0337</x:v>
      </x:c>
      <x:c r="E59" s="53" t="n">
        <x:f>IFERROR(B59/$B$488-1,"")</x:f>
        <x:v>4.877531025473547</x:v>
      </x:c>
      <x:c r="F59" s="54" t="str">
        <x:v>限制大额申购</x:v>
      </x:c>
      <x:c r="G59" s="54" t="str">
        <x:v>开放赎回</x:v>
      </x:c>
    </x:row>
    <x:row r="60">
      <x:c r="A60" s="49" t="n">
        <x:v>46188</x:v>
      </x:c>
      <x:c r="B60" s="52" t="n">
        <x:v>17.411</x:v>
      </x:c>
      <x:c r="C60" s="52" t="n">
        <x:v>17.882</x:v>
      </x:c>
      <x:c r="D60" s="53" t="n">
        <x:v>0.10640000000000001</x:v>
      </x:c>
      <x:c r="E60" s="53" t="n">
        <x:f>IFERROR(B60/$B$488-1,"")</x:f>
        <x:v>4.68615284128021</x:v>
      </x:c>
      <x:c r="F60" s="54" t="str">
        <x:v>限制大额申购</x:v>
      </x:c>
      <x:c r="G60" s="54" t="str">
        <x:v>开放赎回</x:v>
      </x:c>
    </x:row>
    <x:row r="61">
      <x:c r="A61" s="49" t="n">
        <x:v>46185</x:v>
      </x:c>
      <x:c r="B61" s="52" t="n">
        <x:v>15.737</x:v>
      </x:c>
      <x:c r="C61" s="52" t="n">
        <x:v>16.208</x:v>
      </x:c>
      <x:c r="D61" s="53" t="n">
        <x:v>0.009399999999999999</x:v>
      </x:c>
      <x:c r="E61" s="53" t="n">
        <x:f>IFERROR(B61/$B$488-1,"")</x:f>
        <x:v>4.139451338994122</x:v>
      </x:c>
      <x:c r="F61" s="54" t="str">
        <x:v>限制大额申购</x:v>
      </x:c>
      <x:c r="G61" s="54" t="str">
        <x:v>开放赎回</x:v>
      </x:c>
    </x:row>
    <x:row r="62">
      <x:c r="A62" s="49" t="n">
        <x:v>46184</x:v>
      </x:c>
      <x:c r="B62" s="52" t="n">
        <x:v>15.59</x:v>
      </x:c>
      <x:c r="C62" s="52" t="n">
        <x:v>16.061</x:v>
      </x:c>
      <x:c r="D62" s="53" t="n">
        <x:v>-0.0006</x:v>
      </x:c>
      <x:c r="E62" s="53" t="n">
        <x:f>IFERROR(B62/$B$488-1,"")</x:f>
        <x:v>4.091443500979752</x:v>
      </x:c>
      <x:c r="F62" s="54" t="str">
        <x:v>限制大额申购</x:v>
      </x:c>
      <x:c r="G62" s="54" t="str">
        <x:v>开放赎回</x:v>
      </x:c>
    </x:row>
    <x:row r="63">
      <x:c r="A63" s="49" t="n">
        <x:v>46183</x:v>
      </x:c>
      <x:c r="B63" s="52" t="n">
        <x:v>15.599</x:v>
      </x:c>
      <x:c r="C63" s="52" t="n">
        <x:v>16.07</x:v>
      </x:c>
      <x:c r="D63" s="53" t="n">
        <x:v>-0.023</x:v>
      </x:c>
      <x:c r="E63" s="53" t="n">
        <x:f>IFERROR(B63/$B$488-1,"")</x:f>
        <x:v>4.094382756368387</x:v>
      </x:c>
      <x:c r="F63" s="54" t="str">
        <x:v>限制大额申购</x:v>
      </x:c>
      <x:c r="G63" s="54" t="str">
        <x:v>开放赎回</x:v>
      </x:c>
    </x:row>
    <x:row r="64">
      <x:c r="A64" s="49" t="n">
        <x:v>46182</x:v>
      </x:c>
      <x:c r="B64" s="52" t="n">
        <x:v>15.966</x:v>
      </x:c>
      <x:c r="C64" s="52" t="n">
        <x:v>16.437</x:v>
      </x:c>
      <x:c r="D64" s="53" t="n">
        <x:v>0.0713</x:v>
      </x:c>
      <x:c r="E64" s="53" t="n">
        <x:f>IFERROR(B64/$B$488-1,"")</x:f>
        <x:v>4.214239059438276</x:v>
      </x:c>
      <x:c r="F64" s="54" t="str">
        <x:v>限制大额申购</x:v>
      </x:c>
      <x:c r="G64" s="54" t="str">
        <x:v>开放赎回</x:v>
      </x:c>
    </x:row>
    <x:row r="65">
      <x:c r="A65" s="49" t="n">
        <x:v>46181</x:v>
      </x:c>
      <x:c r="B65" s="52" t="n">
        <x:v>14.904</x:v>
      </x:c>
      <x:c r="C65" s="52" t="n">
        <x:v>15.375</x:v>
      </x:c>
      <x:c r="D65" s="53" t="n">
        <x:v>-0.0033</x:v>
      </x:c>
      <x:c r="E65" s="53" t="n">
        <x:f>IFERROR(B65/$B$488-1,"")</x:f>
        <x:v>3.8674069235793604</x:v>
      </x:c>
      <x:c r="F65" s="54" t="str">
        <x:v>限制大额申购</x:v>
      </x:c>
      <x:c r="G65" s="54" t="str">
        <x:v>开放赎回</x:v>
      </x:c>
    </x:row>
    <x:row r="66">
      <x:c r="A66" s="49" t="n">
        <x:v>46178</x:v>
      </x:c>
      <x:c r="B66" s="52" t="n">
        <x:v>14.954</x:v>
      </x:c>
      <x:c r="C66" s="52" t="n">
        <x:v>15.425</x:v>
      </x:c>
      <x:c r="D66" s="53" t="n">
        <x:v>-0.0335</x:v>
      </x:c>
      <x:c r="E66" s="53" t="n">
        <x:f>IFERROR(B66/$B$488-1,"")</x:f>
        <x:v>3.8837361201828875</x:v>
      </x:c>
      <x:c r="F66" s="54" t="str">
        <x:v>限制大额申购</x:v>
      </x:c>
      <x:c r="G66" s="54" t="str">
        <x:v>开放赎回</x:v>
      </x:c>
    </x:row>
    <x:row r="67">
      <x:c r="A67" s="49" t="n">
        <x:v>46177</x:v>
      </x:c>
      <x:c r="B67" s="52" t="n">
        <x:v>15.472</x:v>
      </x:c>
      <x:c r="C67" s="52" t="n">
        <x:v>15.943</x:v>
      </x:c>
      <x:c r="D67" s="53" t="n">
        <x:v>0.0194</x:v>
      </x:c>
      <x:c r="E67" s="53" t="n">
        <x:f>IFERROR(B67/$B$488-1,"")</x:f>
        <x:v>4.052906596995428</x:v>
      </x:c>
      <x:c r="F67" s="54" t="str">
        <x:v>限制大额申购</x:v>
      </x:c>
      <x:c r="G67" s="54" t="str">
        <x:v>开放赎回</x:v>
      </x:c>
    </x:row>
    <x:row r="68">
      <x:c r="A68" s="49" t="n">
        <x:v>46176</x:v>
      </x:c>
      <x:c r="B68" s="52" t="n">
        <x:v>15.177</x:v>
      </x:c>
      <x:c r="C68" s="52" t="n">
        <x:v>15.648</x:v>
      </x:c>
      <x:c r="D68" s="53" t="n">
        <x:v>0.030699999999999998</x:v>
      </x:c>
      <x:c r="E68" s="53" t="n">
        <x:f>IFERROR(B68/$B$488-1,"")</x:f>
        <x:v>3.956564337034618</x:v>
      </x:c>
      <x:c r="F68" s="54" t="str">
        <x:v>限制大额申购</x:v>
      </x:c>
      <x:c r="G68" s="54" t="str">
        <x:v>开放赎回</x:v>
      </x:c>
    </x:row>
    <x:row r="69">
      <x:c r="A69" s="49" t="n">
        <x:v>46175</x:v>
      </x:c>
      <x:c r="B69" s="52" t="n">
        <x:v>14.725</x:v>
      </x:c>
      <x:c r="C69" s="52" t="n">
        <x:v>15.196</x:v>
      </x:c>
      <x:c r="D69" s="53" t="n">
        <x:v>0.0461</x:v>
      </x:c>
      <x:c r="E69" s="53" t="n">
        <x:f>IFERROR(B69/$B$488-1,"")</x:f>
        <x:v>3.808948399738733</x:v>
      </x:c>
      <x:c r="F69" s="54" t="str">
        <x:v>限制大额申购</x:v>
      </x:c>
      <x:c r="G69" s="54" t="str">
        <x:v>开放赎回</x:v>
      </x:c>
    </x:row>
    <x:row r="70">
      <x:c r="A70" s="49" t="n">
        <x:v>46174</x:v>
      </x:c>
      <x:c r="B70" s="52" t="n">
        <x:v>14.076</x:v>
      </x:c>
      <x:c r="C70" s="52" t="n">
        <x:v>14.547</x:v>
      </x:c>
      <x:c r="D70" s="53" t="n">
        <x:v>-0.0318</x:v>
      </x:c>
      <x:c r="E70" s="53" t="n">
        <x:f>IFERROR(B70/$B$488-1,"")</x:f>
        <x:v>3.596995427824951</x:v>
      </x:c>
      <x:c r="F70" s="54" t="str">
        <x:v>限制大额申购</x:v>
      </x:c>
      <x:c r="G70" s="54" t="str">
        <x:v>开放赎回</x:v>
      </x:c>
    </x:row>
    <x:row r="71">
      <x:c r="A71" s="49" t="n">
        <x:v>46171</x:v>
      </x:c>
      <x:c r="B71" s="52" t="n">
        <x:v>14.539</x:v>
      </x:c>
      <x:c r="C71" s="52" t="n">
        <x:v>15.01</x:v>
      </x:c>
      <x:c r="D71" s="53" t="n">
        <x:v>-0.024</x:v>
      </x:c>
      <x:c r="E71" s="53" t="n">
        <x:f>IFERROR(B71/$B$488-1,"")</x:f>
        <x:v>3.748203788373612</x:v>
      </x:c>
      <x:c r="F71" s="54" t="str">
        <x:v>开放申购</x:v>
      </x:c>
      <x:c r="G71" s="54" t="str">
        <x:v>开放赎回</x:v>
      </x:c>
    </x:row>
    <x:row r="72">
      <x:c r="A72" s="49" t="n">
        <x:v>46170</x:v>
      </x:c>
      <x:c r="B72" s="52" t="n">
        <x:v>14.896</x:v>
      </x:c>
      <x:c r="C72" s="52" t="n">
        <x:v>15.367</x:v>
      </x:c>
      <x:c r="D72" s="53" t="n">
        <x:v>0.0461</x:v>
      </x:c>
      <x:c r="E72" s="53" t="n">
        <x:f>IFERROR(B72/$B$488-1,"")</x:f>
        <x:v>3.8647942521227963</x:v>
      </x:c>
      <x:c r="F72" s="54" t="str">
        <x:v>开放申购</x:v>
      </x:c>
      <x:c r="G72" s="54" t="str">
        <x:v>开放赎回</x:v>
      </x:c>
    </x:row>
    <x:row r="73">
      <x:c r="A73" s="49" t="n">
        <x:v>46169</x:v>
      </x:c>
      <x:c r="B73" s="52" t="n">
        <x:v>14.239</x:v>
      </x:c>
      <x:c r="C73" s="52" t="n">
        <x:v>14.71</x:v>
      </x:c>
      <x:c r="D73" s="53" t="n">
        <x:v>0.0265</x:v>
      </x:c>
      <x:c r="E73" s="53" t="n">
        <x:f>IFERROR(B73/$B$488-1,"")</x:f>
        <x:v>3.6502286087524496</x:v>
      </x:c>
      <x:c r="F73" s="54" t="str">
        <x:v>开放申购</x:v>
      </x:c>
      <x:c r="G73" s="54" t="str">
        <x:v>开放赎回</x:v>
      </x:c>
    </x:row>
    <x:row r="74">
      <x:c r="A74" s="49" t="n">
        <x:v>46168</x:v>
      </x:c>
      <x:c r="B74" s="52" t="n">
        <x:v>13.871</x:v>
      </x:c>
      <x:c r="C74" s="52" t="n">
        <x:v>14.342</x:v>
      </x:c>
      <x:c r="D74" s="53" t="n">
        <x:v>0.0060999999999999995</x:v>
      </x:c>
      <x:c r="E74" s="53" t="n">
        <x:f>IFERROR(B74/$B$488-1,"")</x:f>
        <x:v>3.53004572175049</x:v>
      </x:c>
      <x:c r="F74" s="54" t="str">
        <x:v>开放申购</x:v>
      </x:c>
      <x:c r="G74" s="54" t="str">
        <x:v>开放赎回</x:v>
      </x:c>
    </x:row>
    <x:row r="75">
      <x:c r="A75" s="49" t="n">
        <x:v>46167</x:v>
      </x:c>
      <x:c r="B75" s="52" t="n">
        <x:v>13.787</x:v>
      </x:c>
      <x:c r="C75" s="52" t="n">
        <x:v>14.258</x:v>
      </x:c>
      <x:c r="D75" s="53" t="n">
        <x:v>0.0349</x:v>
      </x:c>
      <x:c r="E75" s="53" t="n">
        <x:f>IFERROR(B75/$B$488-1,"")</x:f>
        <x:v>3.502612671456565</x:v>
      </x:c>
      <x:c r="F75" s="54" t="str">
        <x:v>开放申购</x:v>
      </x:c>
      <x:c r="G75" s="54" t="str">
        <x:v>开放赎回</x:v>
      </x:c>
    </x:row>
    <x:row r="76">
      <x:c r="A76" s="49" t="n">
        <x:v>46164</x:v>
      </x:c>
      <x:c r="B76" s="52" t="n">
        <x:v>13.322</x:v>
      </x:c>
      <x:c r="C76" s="52" t="n">
        <x:v>13.793</x:v>
      </x:c>
      <x:c r="D76" s="53" t="n">
        <x:v>0.0827</x:v>
      </x:c>
      <x:c r="E76" s="53" t="n">
        <x:f>IFERROR(B76/$B$488-1,"")</x:f>
        <x:v>3.3507511430437624</x:v>
      </x:c>
      <x:c r="F76" s="54" t="str">
        <x:v>开放申购</x:v>
      </x:c>
      <x:c r="G76" s="54" t="str">
        <x:v>开放赎回</x:v>
      </x:c>
    </x:row>
    <x:row r="77">
      <x:c r="A77" s="49" t="n">
        <x:v>46163</x:v>
      </x:c>
      <x:c r="B77" s="52" t="n">
        <x:v>12.304</x:v>
      </x:c>
      <x:c r="C77" s="52" t="n">
        <x:v>12.775</x:v>
      </x:c>
      <x:c r="D77" s="53" t="n">
        <x:v>-0.005699999999999999</x:v>
      </x:c>
      <x:c r="E77" s="53" t="n">
        <x:f>IFERROR(B77/$B$488-1,"")</x:f>
        <x:v>3.018288700195951</x:v>
      </x:c>
      <x:c r="F77" s="54" t="str">
        <x:v>开放申购</x:v>
      </x:c>
      <x:c r="G77" s="54" t="str">
        <x:v>开放赎回</x:v>
      </x:c>
    </x:row>
    <x:row r="78">
      <x:c r="A78" s="49" t="n">
        <x:v>46162</x:v>
      </x:c>
      <x:c r="B78" s="52" t="n">
        <x:v>12.375</x:v>
      </x:c>
      <x:c r="C78" s="52" t="n">
        <x:v>12.846</x:v>
      </x:c>
      <x:c r="D78" s="53" t="n">
        <x:v>0.0161</x:v>
      </x:c>
      <x:c r="E78" s="53" t="n">
        <x:f>IFERROR(B78/$B$488-1,"")</x:f>
        <x:v>3.0414761593729587</x:v>
      </x:c>
      <x:c r="F78" s="54" t="str">
        <x:v>开放申购</x:v>
      </x:c>
      <x:c r="G78" s="54" t="str">
        <x:v>开放赎回</x:v>
      </x:c>
    </x:row>
    <x:row r="79">
      <x:c r="A79" s="49" t="n">
        <x:v>46161</x:v>
      </x:c>
      <x:c r="B79" s="52" t="n">
        <x:v>12.179</x:v>
      </x:c>
      <x:c r="C79" s="52" t="n">
        <x:v>12.65</x:v>
      </x:c>
      <x:c r="D79" s="53" t="n">
        <x:v>0.0077</x:v>
      </x:c>
      <x:c r="E79" s="53" t="n">
        <x:f>IFERROR(B79/$B$488-1,"")</x:f>
        <x:v>2.977465708687133</x:v>
      </x:c>
      <x:c r="F79" s="54" t="str">
        <x:v>开放申购</x:v>
      </x:c>
      <x:c r="G79" s="54" t="str">
        <x:v>开放赎回</x:v>
      </x:c>
    </x:row>
    <x:row r="80">
      <x:c r="A80" s="49" t="n">
        <x:v>46160</x:v>
      </x:c>
      <x:c r="B80" s="52" t="n">
        <x:v>12.086</x:v>
      </x:c>
      <x:c r="C80" s="52" t="n">
        <x:v>12.557</x:v>
      </x:c>
      <x:c r="D80" s="53" t="n">
        <x:v>0.0022</x:v>
      </x:c>
      <x:c r="E80" s="53" t="n">
        <x:f>IFERROR(B80/$B$488-1,"")</x:f>
        <x:v>2.9470934030045726</x:v>
      </x:c>
      <x:c r="F80" s="54" t="str">
        <x:v>开放申购</x:v>
      </x:c>
      <x:c r="G80" s="54" t="str">
        <x:v>开放赎回</x:v>
      </x:c>
    </x:row>
    <x:row r="81">
      <x:c r="A81" s="49" t="n">
        <x:v>46157</x:v>
      </x:c>
      <x:c r="B81" s="52" t="n">
        <x:v>12.059</x:v>
      </x:c>
      <x:c r="C81" s="52" t="n">
        <x:v>12.53</x:v>
      </x:c>
      <x:c r="D81" s="53" t="n">
        <x:v>-0.0048</x:v>
      </x:c>
      <x:c r="E81" s="53" t="n">
        <x:f>IFERROR(B81/$B$488-1,"")</x:f>
        <x:v>2.9382756368386675</x:v>
      </x:c>
      <x:c r="F81" s="54" t="str">
        <x:v>开放申购</x:v>
      </x:c>
      <x:c r="G81" s="54" t="str">
        <x:v>开放赎回</x:v>
      </x:c>
    </x:row>
    <x:row r="82">
      <x:c r="A82" s="49" t="n">
        <x:v>46156</x:v>
      </x:c>
      <x:c r="B82" s="52" t="n">
        <x:v>12.117</x:v>
      </x:c>
      <x:c r="C82" s="52" t="n">
        <x:v>12.588</x:v>
      </x:c>
      <x:c r="D82" s="53" t="n">
        <x:v>-0.0353</x:v>
      </x:c>
      <x:c r="E82" s="53" t="n">
        <x:f>IFERROR(B82/$B$488-1,"")</x:f>
        <x:v>2.9572175048987597</x:v>
      </x:c>
      <x:c r="F82" s="54" t="str">
        <x:v>开放申购</x:v>
      </x:c>
      <x:c r="G82" s="54" t="str">
        <x:v>开放赎回</x:v>
      </x:c>
    </x:row>
    <x:row r="83">
      <x:c r="A83" s="49" t="n">
        <x:v>46155</x:v>
      </x:c>
      <x:c r="B83" s="52" t="n">
        <x:v>12.561</x:v>
      </x:c>
      <x:c r="C83" s="52" t="n">
        <x:v>13.032</x:v>
      </x:c>
      <x:c r="D83" s="53" t="n">
        <x:v>0.0262</x:v>
      </x:c>
      <x:c r="E83" s="53" t="n">
        <x:f>IFERROR(B83/$B$488-1,"")</x:f>
        <x:v>3.1022207707380796</x:v>
      </x:c>
      <x:c r="F83" s="54" t="str">
        <x:v>开放申购</x:v>
      </x:c>
      <x:c r="G83" s="54" t="str">
        <x:v>开放赎回</x:v>
      </x:c>
    </x:row>
    <x:row r="84">
      <x:c r="A84" s="49" t="n">
        <x:v>46154</x:v>
      </x:c>
      <x:c r="B84" s="52" t="n">
        <x:v>12.24</x:v>
      </x:c>
      <x:c r="C84" s="52" t="n">
        <x:v>12.711</x:v>
      </x:c>
      <x:c r="D84" s="53" t="n">
        <x:v>0.032</x:v>
      </x:c>
      <x:c r="E84" s="53" t="n">
        <x:f>IFERROR(B84/$B$488-1,"")</x:f>
        <x:v>2.997387328543436</x:v>
      </x:c>
      <x:c r="F84" s="54" t="str">
        <x:v>开放申购</x:v>
      </x:c>
      <x:c r="G84" s="54" t="str">
        <x:v>开放赎回</x:v>
      </x:c>
    </x:row>
    <x:row r="85">
      <x:c r="A85" s="49" t="n">
        <x:v>46153</x:v>
      </x:c>
      <x:c r="B85" s="52" t="n">
        <x:v>11.861</x:v>
      </x:c>
      <x:c r="C85" s="52" t="n">
        <x:v>12.332</x:v>
      </x:c>
      <x:c r="D85" s="53" t="n">
        <x:v>0.0232</x:v>
      </x:c>
      <x:c r="E85" s="53" t="n">
        <x:f>IFERROR(B85/$B$488-1,"")</x:f>
        <x:v>2.873612018288701</x:v>
      </x:c>
      <x:c r="F85" s="54" t="str">
        <x:v>开放申购</x:v>
      </x:c>
      <x:c r="G85" s="54" t="str">
        <x:v>开放赎回</x:v>
      </x:c>
    </x:row>
    <x:row r="86">
      <x:c r="A86" s="49" t="n">
        <x:v>46150</x:v>
      </x:c>
      <x:c r="B86" s="52" t="n">
        <x:v>11.592</x:v>
      </x:c>
      <x:c r="C86" s="52" t="n">
        <x:v>12.063</x:v>
      </x:c>
      <x:c r="D86" s="53" t="n">
        <x:v>-0.0079</x:v>
      </x:c>
      <x:c r="E86" s="53" t="n">
        <x:f>IFERROR(B86/$B$488-1,"")</x:f>
        <x:v>2.7857609405617247</x:v>
      </x:c>
      <x:c r="F86" s="54" t="str">
        <x:v>开放申购</x:v>
      </x:c>
      <x:c r="G86" s="54" t="str">
        <x:v>开放赎回</x:v>
      </x:c>
    </x:row>
    <x:row r="87">
      <x:c r="A87" s="49" t="n">
        <x:v>46149</x:v>
      </x:c>
      <x:c r="B87" s="52" t="n">
        <x:v>11.684</x:v>
      </x:c>
      <x:c r="C87" s="52" t="n">
        <x:v>12.155</x:v>
      </x:c>
      <x:c r="D87" s="53" t="n">
        <x:v>0.0264</x:v>
      </x:c>
      <x:c r="E87" s="53" t="n">
        <x:f>IFERROR(B87/$B$488-1,"")</x:f>
        <x:v>2.815806662312214</x:v>
      </x:c>
      <x:c r="F87" s="54" t="str">
        <x:v>开放申购</x:v>
      </x:c>
      <x:c r="G87" s="54" t="str">
        <x:v>开放赎回</x:v>
      </x:c>
    </x:row>
    <x:row r="88">
      <x:c r="A88" s="49" t="n">
        <x:v>46148</x:v>
      </x:c>
      <x:c r="B88" s="52" t="n">
        <x:v>11.383</x:v>
      </x:c>
      <x:c r="C88" s="52" t="n">
        <x:v>11.854</x:v>
      </x:c>
      <x:c r="D88" s="53" t="n">
        <x:v>0.0097</x:v>
      </x:c>
      <x:c r="E88" s="53" t="n">
        <x:f>IFERROR(B88/$B$488-1,"")</x:f>
        <x:v>2.717504898758981</x:v>
      </x:c>
      <x:c r="F88" s="54" t="str">
        <x:v>开放申购</x:v>
      </x:c>
      <x:c r="G88" s="54" t="str">
        <x:v>开放赎回</x:v>
      </x:c>
    </x:row>
    <x:row r="89">
      <x:c r="A89" s="49" t="n">
        <x:v>46142</x:v>
      </x:c>
      <x:c r="B89" s="52" t="n">
        <x:v>11.274</x:v>
      </x:c>
      <x:c r="C89" s="52" t="n">
        <x:v>11.745</x:v>
      </x:c>
      <x:c r="D89" s="53" t="n">
        <x:v>0.0062</x:v>
      </x:c>
      <x:c r="E89" s="53" t="n">
        <x:f>IFERROR(B89/$B$488-1,"")</x:f>
        <x:v>2.6819072501632917</x:v>
      </x:c>
      <x:c r="F89" s="54" t="str">
        <x:v>开放申购</x:v>
      </x:c>
      <x:c r="G89" s="54" t="str">
        <x:v>开放赎回</x:v>
      </x:c>
    </x:row>
    <x:row r="90">
      <x:c r="A90" s="49" t="n">
        <x:v>46141</x:v>
      </x:c>
      <x:c r="B90" s="52" t="n">
        <x:v>11.204</x:v>
      </x:c>
      <x:c r="C90" s="52" t="n">
        <x:v>11.675</x:v>
      </x:c>
      <x:c r="D90" s="53" t="n">
        <x:v>0.0095</x:v>
      </x:c>
      <x:c r="E90" s="53" t="n">
        <x:f>IFERROR(B90/$B$488-1,"")</x:f>
        <x:v>2.6590463749183546</x:v>
      </x:c>
      <x:c r="F90" s="54" t="str">
        <x:v>开放申购</x:v>
      </x:c>
      <x:c r="G90" s="54" t="str">
        <x:v>开放赎回</x:v>
      </x:c>
    </x:row>
    <x:row r="91">
      <x:c r="A91" s="49" t="n">
        <x:v>46140</x:v>
      </x:c>
      <x:c r="B91" s="52" t="n">
        <x:v>11.099</x:v>
      </x:c>
      <x:c r="C91" s="52" t="n">
        <x:v>11.57</x:v>
      </x:c>
      <x:c r="D91" s="53" t="n">
        <x:v>-0.021400000000000002</x:v>
      </x:c>
      <x:c r="E91" s="53" t="n">
        <x:f>IFERROR(B91/$B$488-1,"")</x:f>
        <x:v>2.6247550620509474</x:v>
      </x:c>
      <x:c r="F91" s="54" t="str">
        <x:v>开放申购</x:v>
      </x:c>
      <x:c r="G91" s="54" t="str">
        <x:v>开放赎回</x:v>
      </x:c>
    </x:row>
    <x:row r="92">
      <x:c r="A92" s="49" t="n">
        <x:v>46139</x:v>
      </x:c>
      <x:c r="B92" s="52" t="n">
        <x:v>11.342</x:v>
      </x:c>
      <x:c r="C92" s="52" t="n">
        <x:v>11.813</x:v>
      </x:c>
      <x:c r="D92" s="53" t="n">
        <x:v>0.0141</x:v>
      </x:c>
      <x:c r="E92" s="53" t="n">
        <x:f>IFERROR(B92/$B$488-1,"")</x:f>
        <x:v>2.704114957544089</x:v>
      </x:c>
      <x:c r="F92" s="54" t="str">
        <x:v>开放申购</x:v>
      </x:c>
      <x:c r="G92" s="54" t="str">
        <x:v>开放赎回</x:v>
      </x:c>
    </x:row>
    <x:row r="93">
      <x:c r="A93" s="49" t="n">
        <x:v>46136</x:v>
      </x:c>
      <x:c r="B93" s="52" t="n">
        <x:v>11.184</x:v>
      </x:c>
      <x:c r="C93" s="52" t="n">
        <x:v>11.655</x:v>
      </x:c>
      <x:c r="D93" s="53" t="n">
        <x:v>-0.020499999999999997</x:v>
      </x:c>
      <x:c r="E93" s="53" t="n">
        <x:f>IFERROR(B93/$B$488-1,"")</x:f>
        <x:v>2.6525146962769433</x:v>
      </x:c>
      <x:c r="F93" s="54" t="str">
        <x:v>开放申购</x:v>
      </x:c>
      <x:c r="G93" s="54" t="str">
        <x:v>开放赎回</x:v>
      </x:c>
    </x:row>
    <x:row r="94">
      <x:c r="A94" s="49" t="n">
        <x:v>46135</x:v>
      </x:c>
      <x:c r="B94" s="52" t="n">
        <x:v>11.418</x:v>
      </x:c>
      <x:c r="C94" s="52" t="n">
        <x:v>11.889</x:v>
      </x:c>
      <x:c r="D94" s="53" t="n">
        <x:v>-0.0175</x:v>
      </x:c>
      <x:c r="E94" s="53" t="n">
        <x:f>IFERROR(B94/$B$488-1,"")</x:f>
        <x:v>2.72893533638145</x:v>
      </x:c>
      <x:c r="F94" s="54" t="str">
        <x:v>开放申购</x:v>
      </x:c>
      <x:c r="G94" s="54" t="str">
        <x:v>开放赎回</x:v>
      </x:c>
    </x:row>
    <x:row r="95">
      <x:c r="A95" s="49" t="n">
        <x:v>46134</x:v>
      </x:c>
      <x:c r="B95" s="52" t="n">
        <x:v>11.621</x:v>
      </x:c>
      <x:c r="C95" s="52" t="n">
        <x:v>12.092</x:v>
      </x:c>
      <x:c r="D95" s="53" t="n">
        <x:v>0.035699999999999996</x:v>
      </x:c>
      <x:c r="E95" s="53" t="n">
        <x:f>IFERROR(B95/$B$488-1,"")</x:f>
        <x:v>2.7952318745917704</x:v>
      </x:c>
      <x:c r="F95" s="54" t="str">
        <x:v>开放申购</x:v>
      </x:c>
      <x:c r="G95" s="54" t="str">
        <x:v>开放赎回</x:v>
      </x:c>
    </x:row>
    <x:row r="96">
      <x:c r="A96" s="49" t="n">
        <x:v>46133</x:v>
      </x:c>
      <x:c r="B96" s="52" t="n">
        <x:v>11.22</x:v>
      </x:c>
      <x:c r="C96" s="52" t="n">
        <x:v>11.691</x:v>
      </x:c>
      <x:c r="D96" s="53" t="n">
        <x:v>0.0097</x:v>
      </x:c>
      <x:c r="E96" s="53" t="n">
        <x:f>IFERROR(B96/$B$488-1,"")</x:f>
        <x:v>2.664271717831483</x:v>
      </x:c>
      <x:c r="F96" s="54" t="str">
        <x:v>开放申购</x:v>
      </x:c>
      <x:c r="G96" s="54" t="str">
        <x:v>开放赎回</x:v>
      </x:c>
    </x:row>
    <x:row r="97">
      <x:c r="A97" s="49" t="n">
        <x:v>46132</x:v>
      </x:c>
      <x:c r="B97" s="52" t="n">
        <x:v>11.112</x:v>
      </x:c>
      <x:c r="C97" s="52" t="n">
        <x:v>11.583</x:v>
      </x:c>
      <x:c r="D97" s="53" t="n">
        <x:v>-0.0045000000000000005</x:v>
      </x:c>
      <x:c r="E97" s="53" t="n">
        <x:f>IFERROR(B97/$B$488-1,"")</x:f>
        <x:v>2.6290006531678642</x:v>
      </x:c>
      <x:c r="F97" s="54" t="str">
        <x:v>开放申购</x:v>
      </x:c>
      <x:c r="G97" s="54" t="str">
        <x:v>开放赎回</x:v>
      </x:c>
    </x:row>
    <x:row r="98">
      <x:c r="A98" s="49" t="n">
        <x:v>46129</x:v>
      </x:c>
      <x:c r="B98" s="52" t="n">
        <x:v>11.162</x:v>
      </x:c>
      <x:c r="C98" s="52" t="n">
        <x:v>11.633</x:v>
      </x:c>
      <x:c r="D98" s="53" t="n">
        <x:v>0.0489</x:v>
      </x:c>
      <x:c r="E98" s="53" t="n">
        <x:f>IFERROR(B98/$B$488-1,"")</x:f>
        <x:v>2.6453298497713917</x:v>
      </x:c>
      <x:c r="F98" s="54" t="str">
        <x:v>开放申购</x:v>
      </x:c>
      <x:c r="G98" s="54" t="str">
        <x:v>开放赎回</x:v>
      </x:c>
    </x:row>
    <x:row r="99">
      <x:c r="A99" s="49" t="n">
        <x:v>46128</x:v>
      </x:c>
      <x:c r="B99" s="52" t="n">
        <x:v>10.642</x:v>
      </x:c>
      <x:c r="C99" s="52" t="n">
        <x:v>11.113</x:v>
      </x:c>
      <x:c r="D99" s="53" t="n">
        <x:v>0.025</x:v>
      </x:c>
      <x:c r="E99" s="53" t="n">
        <x:f>IFERROR(B99/$B$488-1,"")</x:f>
        <x:v>2.4755062050947094</x:v>
      </x:c>
      <x:c r="F99" s="54" t="str">
        <x:v>开放申购</x:v>
      </x:c>
      <x:c r="G99" s="54" t="str">
        <x:v>开放赎回</x:v>
      </x:c>
    </x:row>
    <x:row r="100">
      <x:c r="A100" s="49" t="n">
        <x:v>46127</x:v>
      </x:c>
      <x:c r="B100" s="52" t="n">
        <x:v>10.382</x:v>
      </x:c>
      <x:c r="C100" s="52" t="n">
        <x:v>10.853</x:v>
      </x:c>
      <x:c r="D100" s="53" t="n">
        <x:v>-0.0125</x:v>
      </x:c>
      <x:c r="E100" s="53" t="n">
        <x:f>IFERROR(B100/$B$488-1,"")</x:f>
        <x:v>2.3905943827563685</x:v>
      </x:c>
      <x:c r="F100" s="54" t="str">
        <x:v>开放申购</x:v>
      </x:c>
      <x:c r="G100" s="54" t="str">
        <x:v>开放赎回</x:v>
      </x:c>
    </x:row>
    <x:row r="101">
      <x:c r="A101" s="49" t="n">
        <x:v>46126</x:v>
      </x:c>
      <x:c r="B101" s="52" t="n">
        <x:v>10.513</x:v>
      </x:c>
      <x:c r="C101" s="52" t="n">
        <x:v>10.984</x:v>
      </x:c>
      <x:c r="D101" s="53" t="n">
        <x:v>0.0195</x:v>
      </x:c>
      <x:c r="E101" s="53" t="n">
        <x:f>IFERROR(B101/$B$488-1,"")</x:f>
        <x:v>2.4333768778576097</x:v>
      </x:c>
      <x:c r="F101" s="54" t="str">
        <x:v>开放申购</x:v>
      </x:c>
      <x:c r="G101" s="54" t="str">
        <x:v>开放赎回</x:v>
      </x:c>
    </x:row>
    <x:row r="102">
      <x:c r="A102" s="49" t="n">
        <x:v>46125</x:v>
      </x:c>
      <x:c r="B102" s="52" t="n">
        <x:v>10.312</x:v>
      </x:c>
      <x:c r="C102" s="52" t="n">
        <x:v>10.783</x:v>
      </x:c>
      <x:c r="D102" s="53" t="n">
        <x:v>0.0187</x:v>
      </x:c>
      <x:c r="E102" s="53" t="n">
        <x:f>IFERROR(B102/$B$488-1,"")</x:f>
        <x:v>2.3677335075114305</x:v>
      </x:c>
      <x:c r="F102" s="54" t="str">
        <x:v>开放申购</x:v>
      </x:c>
      <x:c r="G102" s="54" t="str">
        <x:v>开放赎回</x:v>
      </x:c>
    </x:row>
    <x:row r="103">
      <x:c r="A103" s="49" t="n">
        <x:v>46122</x:v>
      </x:c>
      <x:c r="B103" s="52" t="n">
        <x:v>10.123</x:v>
      </x:c>
      <x:c r="C103" s="52" t="n">
        <x:v>10.594</x:v>
      </x:c>
      <x:c r="D103" s="53" t="n">
        <x:v>0.0373</x:v>
      </x:c>
      <x:c r="E103" s="53" t="n">
        <x:f>IFERROR(B103/$B$488-1,"")</x:f>
        <x:v>2.306009144350098</x:v>
      </x:c>
      <x:c r="F103" s="54" t="str">
        <x:v>开放申购</x:v>
      </x:c>
      <x:c r="G103" s="54" t="str">
        <x:v>开放赎回</x:v>
      </x:c>
    </x:row>
    <x:row r="104">
      <x:c r="A104" s="49" t="n">
        <x:v>46121</x:v>
      </x:c>
      <x:c r="B104" s="52" t="n">
        <x:v>9.759</x:v>
      </x:c>
      <x:c r="C104" s="52" t="n">
        <x:v>10.23</x:v>
      </x:c>
      <x:c r="D104" s="53" t="n">
        <x:v>0.0078000000000000005</x:v>
      </x:c>
      <x:c r="E104" s="53" t="n">
        <x:f>IFERROR(B104/$B$488-1,"")</x:f>
        <x:v>2.187132593076421</x:v>
      </x:c>
      <x:c r="F104" s="54" t="str">
        <x:v>开放申购</x:v>
      </x:c>
      <x:c r="G104" s="54" t="str">
        <x:v>开放赎回</x:v>
      </x:c>
    </x:row>
    <x:row r="105">
      <x:c r="A105" s="49" t="n">
        <x:v>46120</x:v>
      </x:c>
      <x:c r="B105" s="52" t="n">
        <x:v>9.683</x:v>
      </x:c>
      <x:c r="C105" s="52" t="n">
        <x:v>10.154</x:v>
      </x:c>
      <x:c r="D105" s="53" t="n">
        <x:v>0.07400000000000001</x:v>
      </x:c>
      <x:c r="E105" s="53" t="n">
        <x:f>IFERROR(B105/$B$488-1,"")</x:f>
        <x:v>2.1623122142390594</x:v>
      </x:c>
      <x:c r="F105" s="54" t="str">
        <x:v>开放申购</x:v>
      </x:c>
      <x:c r="G105" s="54" t="str">
        <x:v>开放赎回</x:v>
      </x:c>
    </x:row>
    <x:row r="106">
      <x:c r="A106" s="49" t="n">
        <x:v>46119</x:v>
      </x:c>
      <x:c r="B106" s="52" t="n">
        <x:v>9.016</x:v>
      </x:c>
      <x:c r="C106" s="52" t="n">
        <x:v>9.487</x:v>
      </x:c>
      <x:c r="D106" s="53" t="n">
        <x:v>-0.005699999999999999</x:v>
      </x:c>
      <x:c r="E106" s="53" t="n">
        <x:f>IFERROR(B106/$B$488-1,"")</x:f>
        <x:v>1.944480731548008</x:v>
      </x:c>
      <x:c r="F106" s="54" t="str">
        <x:v>开放申购</x:v>
      </x:c>
      <x:c r="G106" s="54" t="str">
        <x:v>开放赎回</x:v>
      </x:c>
    </x:row>
    <x:row r="107">
      <x:c r="A107" s="49" t="n">
        <x:v>46115</x:v>
      </x:c>
      <x:c r="B107" s="52" t="n">
        <x:v>9.068</x:v>
      </x:c>
      <x:c r="C107" s="52" t="n">
        <x:v>9.539</x:v>
      </x:c>
      <x:c r="D107" s="53" t="n">
        <x:v>0.0258</x:v>
      </x:c>
      <x:c r="E107" s="53" t="n">
        <x:f>IFERROR(B107/$B$488-1,"")</x:f>
        <x:v>1.961463096015676</x:v>
      </x:c>
      <x:c r="F107" s="54" t="str">
        <x:v>开放申购</x:v>
      </x:c>
      <x:c r="G107" s="54" t="str">
        <x:v>开放赎回</x:v>
      </x:c>
    </x:row>
    <x:row r="108">
      <x:c r="A108" s="49" t="n">
        <x:v>46114</x:v>
      </x:c>
      <x:c r="B108" s="52" t="n">
        <x:v>8.84</x:v>
      </x:c>
      <x:c r="C108" s="52" t="n">
        <x:v>9.311</x:v>
      </x:c>
      <x:c r="D108" s="53" t="n">
        <x:v>-0.0217</x:v>
      </x:c>
      <x:c r="E108" s="53" t="n">
        <x:f>IFERROR(B108/$B$488-1,"")</x:f>
        <x:v>1.8870019595035927</x:v>
      </x:c>
      <x:c r="F108" s="54" t="str">
        <x:v>开放申购</x:v>
      </x:c>
      <x:c r="G108" s="54" t="str">
        <x:v>开放赎回</x:v>
      </x:c>
    </x:row>
    <x:row r="109">
      <x:c r="A109" s="49" t="n">
        <x:v>46113</x:v>
      </x:c>
      <x:c r="B109" s="52" t="n">
        <x:v>9.036</x:v>
      </x:c>
      <x:c r="C109" s="52" t="n">
        <x:v>9.507</x:v>
      </x:c>
      <x:c r="D109" s="53" t="n">
        <x:v>0.024399999999999998</x:v>
      </x:c>
      <x:c r="E109" s="53" t="n">
        <x:f>IFERROR(B109/$B$488-1,"")</x:f>
        <x:v>1.9510124101894188</x:v>
      </x:c>
      <x:c r="F109" s="54" t="str">
        <x:v>开放申购</x:v>
      </x:c>
      <x:c r="G109" s="54" t="str">
        <x:v>开放赎回</x:v>
      </x:c>
    </x:row>
    <x:row r="110">
      <x:c r="A110" s="49" t="n">
        <x:v>46112</x:v>
      </x:c>
      <x:c r="B110" s="52" t="n">
        <x:v>8.821</x:v>
      </x:c>
      <x:c r="C110" s="52" t="n">
        <x:v>9.292</x:v>
      </x:c>
      <x:c r="D110" s="53" t="n">
        <x:v>-0.023</x:v>
      </x:c>
      <x:c r="E110" s="53" t="n">
        <x:f>IFERROR(B110/$B$488-1,"")</x:f>
        <x:v>1.8807968647942523</x:v>
      </x:c>
      <x:c r="F110" s="54" t="str">
        <x:v>开放申购</x:v>
      </x:c>
      <x:c r="G110" s="54" t="str">
        <x:v>开放赎回</x:v>
      </x:c>
    </x:row>
    <x:row r="111">
      <x:c r="A111" s="49" t="n">
        <x:v>46111</x:v>
      </x:c>
      <x:c r="B111" s="52" t="n">
        <x:v>9.029</x:v>
      </x:c>
      <x:c r="C111" s="52" t="n">
        <x:v>9.5</x:v>
      </x:c>
      <x:c r="D111" s="53" t="n">
        <x:v>0.015600000000000001</x:v>
      </x:c>
      <x:c r="E111" s="53" t="n">
        <x:f>IFERROR(B111/$B$488-1,"")</x:f>
        <x:v>1.9487263226649252</x:v>
      </x:c>
      <x:c r="F111" s="54" t="str">
        <x:v>开放申购</x:v>
      </x:c>
      <x:c r="G111" s="54" t="str">
        <x:v>开放赎回</x:v>
      </x:c>
    </x:row>
    <x:row r="112">
      <x:c r="A112" s="49" t="n">
        <x:v>46108</x:v>
      </x:c>
      <x:c r="B112" s="52" t="n">
        <x:v>8.89</x:v>
      </x:c>
      <x:c r="C112" s="52" t="n">
        <x:v>9.361</x:v>
      </x:c>
      <x:c r="D112" s="53" t="n">
        <x:v>-0.0060999999999999995</x:v>
      </x:c>
      <x:c r="E112" s="53" t="n">
        <x:f>IFERROR(B112/$B$488-1,"")</x:f>
        <x:v>1.9033311561071198</x:v>
      </x:c>
      <x:c r="F112" s="54" t="str">
        <x:v>开放申购</x:v>
      </x:c>
      <x:c r="G112" s="54" t="str">
        <x:v>开放赎回</x:v>
      </x:c>
    </x:row>
    <x:row r="113">
      <x:c r="A113" s="49" t="n">
        <x:v>46107</x:v>
      </x:c>
      <x:c r="B113" s="52" t="n">
        <x:v>8.945</x:v>
      </x:c>
      <x:c r="C113" s="52" t="n">
        <x:v>9.416</x:v>
      </x:c>
      <x:c r="D113" s="53" t="n">
        <x:v>-0.0176</x:v>
      </x:c>
      <x:c r="E113" s="53" t="n">
        <x:f>IFERROR(B113/$B$488-1,"")</x:f>
        <x:v>1.9212932723709994</x:v>
      </x:c>
      <x:c r="F113" s="54" t="str">
        <x:v>开放申购</x:v>
      </x:c>
      <x:c r="G113" s="54" t="str">
        <x:v>开放赎回</x:v>
      </x:c>
    </x:row>
    <x:row r="114">
      <x:c r="A114" s="49" t="n">
        <x:v>46106</x:v>
      </x:c>
      <x:c r="B114" s="52" t="n">
        <x:v>9.105</x:v>
      </x:c>
      <x:c r="C114" s="52" t="n">
        <x:v>9.576</x:v>
      </x:c>
      <x:c r="D114" s="53" t="n">
        <x:v>0.0263</x:v>
      </x:c>
      <x:c r="E114" s="53" t="n">
        <x:f>IFERROR(B114/$B$488-1,"")</x:f>
        <x:v>1.9735467015022863</x:v>
      </x:c>
      <x:c r="F114" s="54" t="str">
        <x:v>开放申购</x:v>
      </x:c>
      <x:c r="G114" s="54" t="str">
        <x:v>开放赎回</x:v>
      </x:c>
    </x:row>
    <x:row r="115">
      <x:c r="A115" s="49" t="n">
        <x:v>46105</x:v>
      </x:c>
      <x:c r="B115" s="52" t="n">
        <x:v>8.872</x:v>
      </x:c>
      <x:c r="C115" s="52" t="n">
        <x:v>9.343</x:v>
      </x:c>
      <x:c r="D115" s="53" t="n">
        <x:v>0.0327</x:v>
      </x:c>
      <x:c r="E115" s="53" t="n">
        <x:f>IFERROR(B115/$B$488-1,"")</x:f>
        <x:v>1.89745264532985</x:v>
      </x:c>
      <x:c r="F115" s="54" t="str">
        <x:v>开放申购</x:v>
      </x:c>
      <x:c r="G115" s="54" t="str">
        <x:v>开放赎回</x:v>
      </x:c>
    </x:row>
    <x:row r="116">
      <x:c r="A116" s="49" t="n">
        <x:v>46104</x:v>
      </x:c>
      <x:c r="B116" s="52" t="n">
        <x:v>8.591</x:v>
      </x:c>
      <x:c r="C116" s="52" t="n">
        <x:v>9.062</x:v>
      </x:c>
      <x:c r="D116" s="53" t="n">
        <x:v>-0.0449</x:v>
      </x:c>
      <x:c r="E116" s="53" t="n">
        <x:f>IFERROR(B116/$B$488-1,"")</x:f>
        <x:v>1.8056825604180275</x:v>
      </x:c>
      <x:c r="F116" s="54" t="str">
        <x:v>开放申购</x:v>
      </x:c>
      <x:c r="G116" s="54" t="str">
        <x:v>开放赎回</x:v>
      </x:c>
    </x:row>
    <x:row r="117">
      <x:c r="A117" s="49" t="n">
        <x:v>46101</x:v>
      </x:c>
      <x:c r="B117" s="52" t="n">
        <x:v>8.995</x:v>
      </x:c>
      <x:c r="C117" s="52" t="n">
        <x:v>9.466</x:v>
      </x:c>
      <x:c r="D117" s="53" t="n">
        <x:v>0.0421</x:v>
      </x:c>
      <x:c r="E117" s="53" t="n">
        <x:f>IFERROR(B117/$B$488-1,"")</x:f>
        <x:v>1.9376224689745265</x:v>
      </x:c>
      <x:c r="F117" s="54" t="str">
        <x:v>开放申购</x:v>
      </x:c>
      <x:c r="G117" s="54" t="str">
        <x:v>开放赎回</x:v>
      </x:c>
    </x:row>
    <x:row r="118">
      <x:c r="A118" s="49" t="n">
        <x:v>46100</x:v>
      </x:c>
      <x:c r="B118" s="52" t="n">
        <x:v>8.632</x:v>
      </x:c>
      <x:c r="C118" s="52" t="n">
        <x:v>9.103</x:v>
      </x:c>
      <x:c r="D118" s="53" t="n">
        <x:v>-0.005</x:v>
      </x:c>
      <x:c r="E118" s="53" t="n">
        <x:f>IFERROR(B118/$B$488-1,"")</x:f>
        <x:v>1.81907250163292</x:v>
      </x:c>
      <x:c r="F118" s="54" t="str">
        <x:v>开放申购</x:v>
      </x:c>
      <x:c r="G118" s="54" t="str">
        <x:v>开放赎回</x:v>
      </x:c>
    </x:row>
    <x:row r="119">
      <x:c r="A119" s="49" t="n">
        <x:v>46099</x:v>
      </x:c>
      <x:c r="B119" s="52" t="n">
        <x:v>8.675</x:v>
      </x:c>
      <x:c r="C119" s="52" t="n">
        <x:v>9.146</x:v>
      </x:c>
      <x:c r="D119" s="53" t="n">
        <x:v>0.0385</x:v>
      </x:c>
      <x:c r="E119" s="53" t="n">
        <x:f>IFERROR(B119/$B$488-1,"")</x:f>
        <x:v>1.8331156107119533</x:v>
      </x:c>
      <x:c r="F119" s="54" t="str">
        <x:v>开放申购</x:v>
      </x:c>
      <x:c r="G119" s="54" t="str">
        <x:v>开放赎回</x:v>
      </x:c>
    </x:row>
    <x:row r="120">
      <x:c r="A120" s="49" t="n">
        <x:v>46098</x:v>
      </x:c>
      <x:c r="B120" s="52" t="n">
        <x:v>8.353</x:v>
      </x:c>
      <x:c r="C120" s="52" t="n">
        <x:v>8.824</x:v>
      </x:c>
      <x:c r="D120" s="53" t="n">
        <x:v>-0.0403</x:v>
      </x:c>
      <x:c r="E120" s="53" t="n">
        <x:f>IFERROR(B120/$B$488-1,"")</x:f>
        <x:v>1.7279555845852386</x:v>
      </x:c>
      <x:c r="F120" s="54" t="str">
        <x:v>开放申购</x:v>
      </x:c>
      <x:c r="G120" s="54" t="str">
        <x:v>开放赎回</x:v>
      </x:c>
    </x:row>
    <x:row r="121">
      <x:c r="A121" s="49" t="n">
        <x:v>46097</x:v>
      </x:c>
      <x:c r="B121" s="52" t="n">
        <x:v>8.704</x:v>
      </x:c>
      <x:c r="C121" s="52" t="n">
        <x:v>9.175</x:v>
      </x:c>
      <x:c r="D121" s="53" t="n">
        <x:v>0.0273</x:v>
      </x:c>
      <x:c r="E121" s="53" t="n">
        <x:f>IFERROR(B121/$B$488-1,"")</x:f>
        <x:v>1.842586544741999</x:v>
      </x:c>
      <x:c r="F121" s="54" t="str">
        <x:v>开放申购</x:v>
      </x:c>
      <x:c r="G121" s="54" t="str">
        <x:v>开放赎回</x:v>
      </x:c>
    </x:row>
    <x:row r="122">
      <x:c r="A122" s="49" t="n">
        <x:v>46094</x:v>
      </x:c>
      <x:c r="B122" s="52" t="n">
        <x:v>8.473</x:v>
      </x:c>
      <x:c r="C122" s="52" t="n">
        <x:v>8.944</x:v>
      </x:c>
      <x:c r="D122" s="53" t="n">
        <x:v>0.0075</x:v>
      </x:c>
      <x:c r="E122" s="53" t="n">
        <x:f>IFERROR(B122/$B$488-1,"")</x:f>
        <x:v>1.767145656433704</x:v>
      </x:c>
      <x:c r="F122" s="54" t="str">
        <x:v>开放申购</x:v>
      </x:c>
      <x:c r="G122" s="54" t="str">
        <x:v>开放赎回</x:v>
      </x:c>
    </x:row>
    <x:row r="123">
      <x:c r="A123" s="49" t="n">
        <x:v>46093</x:v>
      </x:c>
      <x:c r="B123" s="52" t="n">
        <x:v>8.41</x:v>
      </x:c>
      <x:c r="C123" s="52" t="n">
        <x:v>8.881</x:v>
      </x:c>
      <x:c r="D123" s="53" t="n">
        <x:v>-0.019</x:v>
      </x:c>
      <x:c r="E123" s="53" t="n">
        <x:f>IFERROR(B123/$B$488-1,"")</x:f>
        <x:v>1.7465708687132593</x:v>
      </x:c>
      <x:c r="F123" s="54" t="str">
        <x:v>开放申购</x:v>
      </x:c>
      <x:c r="G123" s="54" t="str">
        <x:v>开放赎回</x:v>
      </x:c>
    </x:row>
    <x:row r="124">
      <x:c r="A124" s="49" t="n">
        <x:v>46092</x:v>
      </x:c>
      <x:c r="B124" s="52" t="n">
        <x:v>8.573</x:v>
      </x:c>
      <x:c r="C124" s="52" t="n">
        <x:v>9.044</x:v>
      </x:c>
      <x:c r="D124" s="53" t="n">
        <x:v>-0.006</x:v>
      </x:c>
      <x:c r="E124" s="53" t="n">
        <x:f>IFERROR(B124/$B$488-1,"")</x:f>
        <x:v>1.7998040496407581</x:v>
      </x:c>
      <x:c r="F124" s="54" t="str">
        <x:v>开放申购</x:v>
      </x:c>
      <x:c r="G124" s="54" t="str">
        <x:v>开放赎回</x:v>
      </x:c>
    </x:row>
    <x:row r="125">
      <x:c r="A125" s="49" t="n">
        <x:v>46091</x:v>
      </x:c>
      <x:c r="B125" s="52" t="n">
        <x:v>8.625</x:v>
      </x:c>
      <x:c r="C125" s="52" t="n">
        <x:v>9.096</x:v>
      </x:c>
      <x:c r="D125" s="53" t="n">
        <x:v>0.048799999999999996</x:v>
      </x:c>
      <x:c r="E125" s="53" t="n">
        <x:f>IFERROR(B125/$B$488-1,"")</x:f>
        <x:v>1.8167864141084262</x:v>
      </x:c>
      <x:c r="F125" s="54" t="str">
        <x:v>开放申购</x:v>
      </x:c>
      <x:c r="G125" s="54" t="str">
        <x:v>开放赎回</x:v>
      </x:c>
    </x:row>
    <x:row r="126">
      <x:c r="A126" s="49" t="n">
        <x:v>46090</x:v>
      </x:c>
      <x:c r="B126" s="52" t="n">
        <x:v>8.224</x:v>
      </x:c>
      <x:c r="C126" s="52" t="n">
        <x:v>8.695</x:v>
      </x:c>
      <x:c r="D126" s="53" t="n">
        <x:v>-0.029300000000000003</x:v>
      </x:c>
      <x:c r="E126" s="53" t="n">
        <x:f>IFERROR(B126/$B$488-1,"")</x:f>
        <x:v>1.6858262573481388</x:v>
      </x:c>
      <x:c r="F126" s="54" t="str">
        <x:v>开放申购</x:v>
      </x:c>
      <x:c r="G126" s="54" t="str">
        <x:v>开放赎回</x:v>
      </x:c>
    </x:row>
    <x:row r="127">
      <x:c r="A127" s="49" t="n">
        <x:v>46087</x:v>
      </x:c>
      <x:c r="B127" s="52" t="n">
        <x:v>8.472</x:v>
      </x:c>
      <x:c r="C127" s="52" t="n">
        <x:v>8.943</x:v>
      </x:c>
      <x:c r="D127" s="53" t="n">
        <x:v>-0.0070999999999999995</x:v>
      </x:c>
      <x:c r="E127" s="53" t="n">
        <x:f>IFERROR(B127/$B$488-1,"")</x:f>
        <x:v>1.766819072501633</x:v>
      </x:c>
      <x:c r="F127" s="54" t="str">
        <x:v>开放申购</x:v>
      </x:c>
      <x:c r="G127" s="54" t="str">
        <x:v>开放赎回</x:v>
      </x:c>
    </x:row>
    <x:row r="128">
      <x:c r="A128" s="49" t="n">
        <x:v>46086</x:v>
      </x:c>
      <x:c r="B128" s="52" t="n">
        <x:v>8.533</x:v>
      </x:c>
      <x:c r="C128" s="52" t="n">
        <x:v>9.004</x:v>
      </x:c>
      <x:c r="D128" s="53" t="n">
        <x:v>0.0083</x:v>
      </x:c>
      <x:c r="E128" s="53" t="n">
        <x:f>IFERROR(B128/$B$488-1,"")</x:f>
        <x:v>1.7867406923579359</x:v>
      </x:c>
      <x:c r="F128" s="54" t="str">
        <x:v>开放申购</x:v>
      </x:c>
      <x:c r="G128" s="54" t="str">
        <x:v>开放赎回</x:v>
      </x:c>
    </x:row>
    <x:row r="129">
      <x:c r="A129" s="49" t="n">
        <x:v>46085</x:v>
      </x:c>
      <x:c r="B129" s="52" t="n">
        <x:v>8.463</x:v>
      </x:c>
      <x:c r="C129" s="52" t="n">
        <x:v>8.934</x:v>
      </x:c>
      <x:c r="D129" s="53" t="n">
        <x:v>-0.0106</x:v>
      </x:c>
      <x:c r="E129" s="53" t="n">
        <x:f>IFERROR(B129/$B$488-1,"")</x:f>
        <x:v>1.763879817112998</x:v>
      </x:c>
      <x:c r="F129" s="54" t="str">
        <x:v>开放申购</x:v>
      </x:c>
      <x:c r="G129" s="54" t="str">
        <x:v>开放赎回</x:v>
      </x:c>
    </x:row>
    <x:row r="130">
      <x:c r="A130" s="49" t="n">
        <x:v>46084</x:v>
      </x:c>
      <x:c r="B130" s="52" t="n">
        <x:v>8.554</x:v>
      </x:c>
      <x:c r="C130" s="52" t="n">
        <x:v>9.025</x:v>
      </x:c>
      <x:c r="D130" s="53" t="n">
        <x:v>-0.0138</x:v>
      </x:c>
      <x:c r="E130" s="53" t="n">
        <x:f>IFERROR(B130/$B$488-1,"")</x:f>
        <x:v>1.7935989549314177</x:v>
      </x:c>
      <x:c r="F130" s="54" t="str">
        <x:v>开放申购</x:v>
      </x:c>
      <x:c r="G130" s="54" t="str">
        <x:v>开放赎回</x:v>
      </x:c>
    </x:row>
    <x:row r="131">
      <x:c r="A131" s="49" t="n">
        <x:v>46083</x:v>
      </x:c>
      <x:c r="B131" s="52" t="n">
        <x:v>8.674</x:v>
      </x:c>
      <x:c r="C131" s="52" t="n">
        <x:v>9.145</x:v>
      </x:c>
      <x:c r="D131" s="53" t="n">
        <x:v>0.0187</x:v>
      </x:c>
      <x:c r="E131" s="53" t="n">
        <x:f>IFERROR(B131/$B$488-1,"")</x:f>
        <x:v>1.8327890267798823</x:v>
      </x:c>
      <x:c r="F131" s="54" t="str">
        <x:v>开放申购</x:v>
      </x:c>
      <x:c r="G131" s="54" t="str">
        <x:v>开放赎回</x:v>
      </x:c>
    </x:row>
    <x:row r="132">
      <x:c r="A132" s="49" t="n">
        <x:v>46080</x:v>
      </x:c>
      <x:c r="B132" s="52" t="n">
        <x:v>8.515</x:v>
      </x:c>
      <x:c r="C132" s="52" t="n">
        <x:v>8.986</x:v>
      </x:c>
      <x:c r="D132" s="53" t="n">
        <x:v>-0.044800000000000006</x:v>
      </x:c>
      <x:c r="E132" s="53" t="n">
        <x:f>IFERROR(B132/$B$488-1,"")</x:f>
        <x:v>1.7808621815806664</x:v>
      </x:c>
      <x:c r="F132" s="54" t="str">
        <x:v>开放申购</x:v>
      </x:c>
      <x:c r="G132" s="54" t="str">
        <x:v>开放赎回</x:v>
      </x:c>
    </x:row>
    <x:row r="133">
      <x:c r="A133" s="49" t="n">
        <x:v>46079</x:v>
      </x:c>
      <x:c r="B133" s="52" t="n">
        <x:v>8.914</x:v>
      </x:c>
      <x:c r="C133" s="52" t="n">
        <x:v>9.385</x:v>
      </x:c>
      <x:c r="D133" s="53" t="n">
        <x:v>0.0226</x:v>
      </x:c>
      <x:c r="E133" s="53" t="n">
        <x:f>IFERROR(B133/$B$488-1,"")</x:f>
        <x:v>1.9111691704768128</x:v>
      </x:c>
      <x:c r="F133" s="54" t="str">
        <x:v>开放申购</x:v>
      </x:c>
      <x:c r="G133" s="54" t="str">
        <x:v>开放赎回</x:v>
      </x:c>
    </x:row>
    <x:row r="134">
      <x:c r="A134" s="49" t="n">
        <x:v>46078</x:v>
      </x:c>
      <x:c r="B134" s="52" t="n">
        <x:v>8.717</x:v>
      </x:c>
      <x:c r="C134" s="52" t="n">
        <x:v>9.188</x:v>
      </x:c>
      <x:c r="D134" s="53" t="n">
        <x:v>0.0318</x:v>
      </x:c>
      <x:c r="E134" s="53" t="n">
        <x:f>IFERROR(B134/$B$488-1,"")</x:f>
        <x:v>1.8468321358589161</x:v>
      </x:c>
      <x:c r="F134" s="54" t="str">
        <x:v>开放申购</x:v>
      </x:c>
      <x:c r="G134" s="54" t="str">
        <x:v>开放赎回</x:v>
      </x:c>
    </x:row>
    <x:row r="135">
      <x:c r="A135" s="49" t="n">
        <x:v>46077</x:v>
      </x:c>
      <x:c r="B135" s="52" t="n">
        <x:v>8.448</x:v>
      </x:c>
      <x:c r="C135" s="52" t="n">
        <x:v>8.919</x:v>
      </x:c>
      <x:c r="D135" s="53" t="n">
        <x:v>0.0297</x:v>
      </x:c>
      <x:c r="E135" s="53" t="n">
        <x:f>IFERROR(B135/$B$488-1,"")</x:f>
        <x:v>1.75898105813194</x:v>
      </x:c>
      <x:c r="F135" s="54" t="str">
        <x:v>开放申购</x:v>
      </x:c>
      <x:c r="G135" s="54" t="str">
        <x:v>开放赎回</x:v>
      </x:c>
    </x:row>
    <x:row r="136">
      <x:c r="A136" s="49" t="n">
        <x:v>46066</x:v>
      </x:c>
      <x:c r="B136" s="52" t="n">
        <x:v>8.204</x:v>
      </x:c>
      <x:c r="C136" s="52" t="n">
        <x:v>8.675</x:v>
      </x:c>
      <x:c r="D136" s="53" t="n">
        <x:v>-0.015</x:v>
      </x:c>
      <x:c r="E136" s="53" t="n">
        <x:f>IFERROR(B136/$B$488-1,"")</x:f>
        <x:v>1.679294578706728</x:v>
      </x:c>
      <x:c r="F136" s="54" t="str">
        <x:v>开放申购</x:v>
      </x:c>
      <x:c r="G136" s="54" t="str">
        <x:v>开放赎回</x:v>
      </x:c>
    </x:row>
    <x:row r="137">
      <x:c r="A137" s="49" t="n">
        <x:v>46065</x:v>
      </x:c>
      <x:c r="B137" s="52" t="n">
        <x:v>8.329</x:v>
      </x:c>
      <x:c r="C137" s="52" t="n">
        <x:v>8.8</x:v>
      </x:c>
      <x:c r="D137" s="53" t="n">
        <x:v>0.0051</x:v>
      </x:c>
      <x:c r="E137" s="53" t="n">
        <x:f>IFERROR(B137/$B$488-1,"")</x:f>
        <x:v>1.7201175702155456</x:v>
      </x:c>
      <x:c r="F137" s="54" t="str">
        <x:v>开放申购</x:v>
      </x:c>
      <x:c r="G137" s="54" t="str">
        <x:v>开放赎回</x:v>
      </x:c>
    </x:row>
    <x:row r="138">
      <x:c r="A138" s="49" t="n">
        <x:v>46064</x:v>
      </x:c>
      <x:c r="B138" s="52" t="n">
        <x:v>8.287</x:v>
      </x:c>
      <x:c r="C138" s="52" t="n">
        <x:v>8.758</x:v>
      </x:c>
      <x:c r="D138" s="53" t="n">
        <x:v>-0.021</x:v>
      </x:c>
      <x:c r="E138" s="53" t="n">
        <x:f>IFERROR(B138/$B$488-1,"")</x:f>
        <x:v>1.7064010450685831</x:v>
      </x:c>
      <x:c r="F138" s="54" t="str">
        <x:v>开放申购</x:v>
      </x:c>
      <x:c r="G138" s="54" t="str">
        <x:v>开放赎回</x:v>
      </x:c>
    </x:row>
    <x:row r="139">
      <x:c r="A139" s="49" t="n">
        <x:v>46063</x:v>
      </x:c>
      <x:c r="B139" s="52" t="n">
        <x:v>8.465</x:v>
      </x:c>
      <x:c r="C139" s="52" t="n">
        <x:v>8.936</x:v>
      </x:c>
      <x:c r="D139" s="53" t="n">
        <x:v>-0.0015</x:v>
      </x:c>
      <x:c r="E139" s="53" t="n">
        <x:f>IFERROR(B139/$B$488-1,"")</x:f>
        <x:v>1.7645329849771394</x:v>
      </x:c>
      <x:c r="F139" s="54" t="str">
        <x:v>开放申购</x:v>
      </x:c>
      <x:c r="G139" s="54" t="str">
        <x:v>开放赎回</x:v>
      </x:c>
    </x:row>
    <x:row r="140">
      <x:c r="A140" s="49" t="n">
        <x:v>46062</x:v>
      </x:c>
      <x:c r="B140" s="52" t="n">
        <x:v>8.478</x:v>
      </x:c>
      <x:c r="C140" s="52" t="n">
        <x:v>8.949</x:v>
      </x:c>
      <x:c r="D140" s="53" t="n">
        <x:v>0.0368</x:v>
      </x:c>
      <x:c r="E140" s="53" t="n">
        <x:f>IFERROR(B140/$B$488-1,"")</x:f>
        <x:v>1.7687785760940562</x:v>
      </x:c>
      <x:c r="F140" s="54" t="str">
        <x:v>开放申购</x:v>
      </x:c>
      <x:c r="G140" s="54" t="str">
        <x:v>开放赎回</x:v>
      </x:c>
    </x:row>
    <x:row r="141">
      <x:c r="A141" s="49" t="n">
        <x:v>46059</x:v>
      </x:c>
      <x:c r="B141" s="52" t="n">
        <x:v>8.177</x:v>
      </x:c>
      <x:c r="C141" s="52" t="n">
        <x:v>8.648</x:v>
      </x:c>
      <x:c r="D141" s="53" t="n">
        <x:v>-0.019799999999999998</x:v>
      </x:c>
      <x:c r="E141" s="53" t="n">
        <x:f>IFERROR(B141/$B$488-1,"")</x:f>
        <x:v>1.670476812540823</x:v>
      </x:c>
      <x:c r="F141" s="54" t="str">
        <x:v>开放申购</x:v>
      </x:c>
      <x:c r="G141" s="54" t="str">
        <x:v>开放赎回</x:v>
      </x:c>
    </x:row>
    <x:row r="142">
      <x:c r="A142" s="49" t="n">
        <x:v>46058</x:v>
      </x:c>
      <x:c r="B142" s="52" t="n">
        <x:v>8.342</x:v>
      </x:c>
      <x:c r="C142" s="52" t="n">
        <x:v>8.813</x:v>
      </x:c>
      <x:c r="D142" s="53" t="n">
        <x:v>-0.019299999999999998</x:v>
      </x:c>
      <x:c r="E142" s="53" t="n">
        <x:f>IFERROR(B142/$B$488-1,"")</x:f>
        <x:v>1.7243631613324628</x:v>
      </x:c>
      <x:c r="F142" s="54" t="str">
        <x:v>开放申购</x:v>
      </x:c>
      <x:c r="G142" s="54" t="str">
        <x:v>开放赎回</x:v>
      </x:c>
    </x:row>
    <x:row r="143">
      <x:c r="A143" s="49" t="n">
        <x:v>46057</x:v>
      </x:c>
      <x:c r="B143" s="52" t="n">
        <x:v>8.506</x:v>
      </x:c>
      <x:c r="C143" s="52" t="n">
        <x:v>8.977</x:v>
      </x:c>
      <x:c r="D143" s="53" t="n">
        <x:v>-0.0206</x:v>
      </x:c>
      <x:c r="E143" s="53" t="n">
        <x:f>IFERROR(B143/$B$488-1,"")</x:f>
        <x:v>1.7779229261920317</x:v>
      </x:c>
      <x:c r="F143" s="54" t="str">
        <x:v>开放申购</x:v>
      </x:c>
      <x:c r="G143" s="54" t="str">
        <x:v>开放赎回</x:v>
      </x:c>
    </x:row>
    <x:row r="144">
      <x:c r="A144" s="49" t="n">
        <x:v>46056</x:v>
      </x:c>
      <x:c r="B144" s="52" t="n">
        <x:v>8.685</x:v>
      </x:c>
      <x:c r="C144" s="52" t="n">
        <x:v>9.156</x:v>
      </x:c>
      <x:c r="D144" s="53" t="n">
        <x:v>0.0098</x:v>
      </x:c>
      <x:c r="E144" s="53" t="n">
        <x:f>IFERROR(B144/$B$488-1,"")</x:f>
        <x:v>1.8363814500326585</x:v>
      </x:c>
      <x:c r="F144" s="54" t="str">
        <x:v>开放申购</x:v>
      </x:c>
      <x:c r="G144" s="54" t="str">
        <x:v>开放赎回</x:v>
      </x:c>
    </x:row>
    <x:row r="145">
      <x:c r="A145" s="49" t="n">
        <x:v>46055</x:v>
      </x:c>
      <x:c r="B145" s="52" t="n">
        <x:v>8.601</x:v>
      </x:c>
      <x:c r="C145" s="52" t="n">
        <x:v>9.072</x:v>
      </x:c>
      <x:c r="D145" s="53" t="n">
        <x:v>-0.011899999999999999</x:v>
      </x:c>
      <x:c r="E145" s="53" t="n">
        <x:f>IFERROR(B145/$B$488-1,"")</x:f>
        <x:v>1.8089483997387332</x:v>
      </x:c>
      <x:c r="F145" s="54" t="str">
        <x:v>开放申购</x:v>
      </x:c>
      <x:c r="G145" s="54" t="str">
        <x:v>开放赎回</x:v>
      </x:c>
    </x:row>
    <x:row r="146">
      <x:c r="A146" s="49" t="n">
        <x:v>46052</x:v>
      </x:c>
      <x:c r="B146" s="52" t="n">
        <x:v>8.705</x:v>
      </x:c>
      <x:c r="C146" s="52" t="n">
        <x:v>9.176</x:v>
      </x:c>
      <x:c r="D146" s="53" t="n">
        <x:v>0.0246</x:v>
      </x:c>
      <x:c r="E146" s="53" t="n">
        <x:f>IFERROR(B146/$B$488-1,"")</x:f>
        <x:v>1.8429131286740694</x:v>
      </x:c>
      <x:c r="F146" s="54" t="str">
        <x:v>开放申购</x:v>
      </x:c>
      <x:c r="G146" s="54" t="str">
        <x:v>开放赎回</x:v>
      </x:c>
    </x:row>
    <x:row r="147">
      <x:c r="A147" s="49" t="n">
        <x:v>46051</x:v>
      </x:c>
      <x:c r="B147" s="52" t="n">
        <x:v>8.496</x:v>
      </x:c>
      <x:c r="C147" s="52" t="n">
        <x:v>8.967</x:v>
      </x:c>
      <x:c r="D147" s="53" t="n">
        <x:v>-0.0269</x:v>
      </x:c>
      <x:c r="E147" s="53" t="n">
        <x:f>IFERROR(B147/$B$488-1,"")</x:f>
        <x:v>1.774657086871326</x:v>
      </x:c>
      <x:c r="F147" s="54" t="str">
        <x:v>开放申购</x:v>
      </x:c>
      <x:c r="G147" s="54" t="str">
        <x:v>开放赎回</x:v>
      </x:c>
    </x:row>
    <x:row r="148">
      <x:c r="A148" s="49" t="n">
        <x:v>46050</x:v>
      </x:c>
      <x:c r="B148" s="52" t="n">
        <x:v>8.731</x:v>
      </x:c>
      <x:c r="C148" s="52" t="n">
        <x:v>9.202</x:v>
      </x:c>
      <x:c r="D148" s="53" t="n">
        <x:v>-0.004</x:v>
      </x:c>
      <x:c r="E148" s="53" t="n">
        <x:f>IFERROR(B148/$B$488-1,"")</x:f>
        <x:v>1.8514043109079035</x:v>
      </x:c>
      <x:c r="F148" s="54" t="str">
        <x:v>开放申购</x:v>
      </x:c>
      <x:c r="G148" s="54" t="str">
        <x:v>开放赎回</x:v>
      </x:c>
    </x:row>
    <x:row r="149">
      <x:c r="A149" s="49" t="n">
        <x:v>46049</x:v>
      </x:c>
      <x:c r="B149" s="52" t="n">
        <x:v>8.766</x:v>
      </x:c>
      <x:c r="C149" s="52" t="n">
        <x:v>9.237</x:v>
      </x:c>
      <x:c r="D149" s="53" t="n">
        <x:v>0.0255</x:v>
      </x:c>
      <x:c r="E149" s="53" t="n">
        <x:f>IFERROR(B149/$B$488-1,"")</x:f>
        <x:v>1.8628347485303727</x:v>
      </x:c>
      <x:c r="F149" s="54" t="str">
        <x:v>开放申购</x:v>
      </x:c>
      <x:c r="G149" s="54" t="str">
        <x:v>开放赎回</x:v>
      </x:c>
    </x:row>
    <x:row r="150">
      <x:c r="A150" s="49" t="n">
        <x:v>46048</x:v>
      </x:c>
      <x:c r="B150" s="52" t="n">
        <x:v>8.548</x:v>
      </x:c>
      <x:c r="C150" s="52" t="n">
        <x:v>9.019</x:v>
      </x:c>
      <x:c r="D150" s="53" t="n">
        <x:v>0.0146</x:v>
      </x:c>
      <x:c r="E150" s="53" t="n">
        <x:f>IFERROR(B150/$B$488-1,"")</x:f>
        <x:v>1.7916394513389942</x:v>
      </x:c>
      <x:c r="F150" s="54" t="str">
        <x:v>开放申购</x:v>
      </x:c>
      <x:c r="G150" s="54" t="str">
        <x:v>开放赎回</x:v>
      </x:c>
    </x:row>
    <x:row r="151">
      <x:c r="A151" s="49" t="n">
        <x:v>46045</x:v>
      </x:c>
      <x:c r="B151" s="52" t="n">
        <x:v>8.425</x:v>
      </x:c>
      <x:c r="C151" s="52" t="n">
        <x:v>8.896</x:v>
      </x:c>
      <x:c r="D151" s="53" t="n">
        <x:v>-0.0398</x:v>
      </x:c>
      <x:c r="E151" s="53" t="n">
        <x:f>IFERROR(B151/$B$488-1,"")</x:f>
        <x:v>1.751469627694318</x:v>
      </x:c>
      <x:c r="F151" s="54" t="str">
        <x:v>开放申购</x:v>
      </x:c>
      <x:c r="G151" s="54" t="str">
        <x:v>开放赎回</x:v>
      </x:c>
    </x:row>
    <x:row r="152">
      <x:c r="A152" s="49" t="n">
        <x:v>46044</x:v>
      </x:c>
      <x:c r="B152" s="52" t="n">
        <x:v>8.774</x:v>
      </x:c>
      <x:c r="C152" s="52" t="n">
        <x:v>9.245</x:v>
      </x:c>
      <x:c r="D152" s="53" t="n">
        <x:v>0.048</x:v>
      </x:c>
      <x:c r="E152" s="53" t="n">
        <x:f>IFERROR(B152/$B$488-1,"")</x:f>
        <x:v>1.8654474199869364</x:v>
      </x:c>
      <x:c r="F152" s="54" t="str">
        <x:v>开放申购</x:v>
      </x:c>
      <x:c r="G152" s="54" t="str">
        <x:v>开放赎回</x:v>
      </x:c>
    </x:row>
    <x:row r="153">
      <x:c r="A153" s="49" t="n">
        <x:v>46043</x:v>
      </x:c>
      <x:c r="B153" s="52" t="n">
        <x:v>8.372</x:v>
      </x:c>
      <x:c r="C153" s="52" t="n">
        <x:v>8.843</x:v>
      </x:c>
      <x:c r="D153" s="53" t="n">
        <x:v>0.026600000000000002</x:v>
      </x:c>
      <x:c r="E153" s="53" t="n">
        <x:f>IFERROR(B153/$B$488-1,"")</x:f>
        <x:v>1.734160679294579</x:v>
      </x:c>
      <x:c r="F153" s="54" t="str">
        <x:v>开放申购</x:v>
      </x:c>
      <x:c r="G153" s="54" t="str">
        <x:v>开放赎回</x:v>
      </x:c>
    </x:row>
    <x:row r="154">
      <x:c r="A154" s="49" t="n">
        <x:v>46042</x:v>
      </x:c>
      <x:c r="B154" s="52" t="n">
        <x:v>8.155</x:v>
      </x:c>
      <x:c r="C154" s="52" t="n">
        <x:v>8.626</x:v>
      </x:c>
      <x:c r="D154" s="53" t="n">
        <x:v>-0.0338</x:v>
      </x:c>
      <x:c r="E154" s="53" t="n">
        <x:f>IFERROR(B154/$B$488-1,"")</x:f>
        <x:v>1.663291966035271</x:v>
      </x:c>
      <x:c r="F154" s="54" t="str">
        <x:v>开放申购</x:v>
      </x:c>
      <x:c r="G154" s="54" t="str">
        <x:v>开放赎回</x:v>
      </x:c>
    </x:row>
    <x:row r="155">
      <x:c r="A155" s="49" t="n">
        <x:v>46041</x:v>
      </x:c>
      <x:c r="B155" s="52" t="n">
        <x:v>8.44</x:v>
      </x:c>
      <x:c r="C155" s="52" t="n">
        <x:v>8.911</x:v>
      </x:c>
      <x:c r="D155" s="53" t="n">
        <x:v>-0.013000000000000001</x:v>
      </x:c>
      <x:c r="E155" s="53" t="n">
        <x:f>IFERROR(B155/$B$488-1,"")</x:f>
        <x:v>1.7563683866753754</x:v>
      </x:c>
      <x:c r="F155" s="54" t="str">
        <x:v>开放申购</x:v>
      </x:c>
      <x:c r="G155" s="54" t="str">
        <x:v>开放赎回</x:v>
      </x:c>
    </x:row>
    <x:row r="156">
      <x:c r="A156" s="49" t="n">
        <x:v>46038</x:v>
      </x:c>
      <x:c r="B156" s="52" t="n">
        <x:v>8.551</x:v>
      </x:c>
      <x:c r="C156" s="52" t="n">
        <x:v>9.022</x:v>
      </x:c>
      <x:c r="D156" s="53" t="n">
        <x:v>-0.0019</x:v>
      </x:c>
      <x:c r="E156" s="53" t="n">
        <x:f>IFERROR(B156/$B$488-1,"")</x:f>
        <x:v>1.7926192031352057</x:v>
      </x:c>
      <x:c r="F156" s="54" t="str">
        <x:v>开放申购</x:v>
      </x:c>
      <x:c r="G156" s="54" t="str">
        <x:v>开放赎回</x:v>
      </x:c>
    </x:row>
    <x:row r="157">
      <x:c r="A157" s="49" t="n">
        <x:v>46037</x:v>
      </x:c>
      <x:c r="B157" s="52" t="n">
        <x:v>8.567</x:v>
      </x:c>
      <x:c r="C157" s="52" t="n">
        <x:v>9.038</x:v>
      </x:c>
      <x:c r="D157" s="53" t="n">
        <x:v>0.0226</x:v>
      </x:c>
      <x:c r="E157" s="53" t="n">
        <x:f>IFERROR(B157/$B$488-1,"")</x:f>
        <x:v>1.7978445460483345</x:v>
      </x:c>
      <x:c r="F157" s="54" t="str">
        <x:v>开放申购</x:v>
      </x:c>
      <x:c r="G157" s="54" t="str">
        <x:v>开放赎回</x:v>
      </x:c>
    </x:row>
    <x:row r="158">
      <x:c r="A158" s="49" t="n">
        <x:v>46036</x:v>
      </x:c>
      <x:c r="B158" s="52" t="n">
        <x:v>8.378</x:v>
      </x:c>
      <x:c r="C158" s="52" t="n">
        <x:v>8.849</x:v>
      </x:c>
      <x:c r="D158" s="53" t="n">
        <x:v>0.0339</x:v>
      </x:c>
      <x:c r="E158" s="53" t="n">
        <x:f>IFERROR(B158/$B$488-1,"")</x:f>
        <x:v>1.736120182887002</x:v>
      </x:c>
      <x:c r="F158" s="54" t="str">
        <x:v>开放申购</x:v>
      </x:c>
      <x:c r="G158" s="54" t="str">
        <x:v>开放赎回</x:v>
      </x:c>
    </x:row>
    <x:row r="159">
      <x:c r="A159" s="49" t="n">
        <x:v>46035</x:v>
      </x:c>
      <x:c r="B159" s="52" t="n">
        <x:v>8.103</x:v>
      </x:c>
      <x:c r="C159" s="52" t="n">
        <x:v>8.574</x:v>
      </x:c>
      <x:c r="D159" s="53" t="n">
        <x:v>-0.0227</x:v>
      </x:c>
      <x:c r="E159" s="53" t="n">
        <x:f>IFERROR(B159/$B$488-1,"")</x:f>
        <x:v>1.6463096015676029</x:v>
      </x:c>
      <x:c r="F159" s="54" t="str">
        <x:v>开放申购</x:v>
      </x:c>
      <x:c r="G159" s="54" t="str">
        <x:v>开放赎回</x:v>
      </x:c>
    </x:row>
    <x:row r="160">
      <x:c r="A160" s="49" t="n">
        <x:v>46034</x:v>
      </x:c>
      <x:c r="B160" s="52" t="n">
        <x:v>8.291</x:v>
      </x:c>
      <x:c r="C160" s="52" t="n">
        <x:v>8.762</x:v>
      </x:c>
      <x:c r="D160" s="53" t="n">
        <x:v>-0.0084</x:v>
      </x:c>
      <x:c r="E160" s="53" t="n">
        <x:f>IFERROR(B160/$B$488-1,"")</x:f>
        <x:v>1.7077073807968652</x:v>
      </x:c>
      <x:c r="F160" s="54" t="str">
        <x:v>开放申购</x:v>
      </x:c>
      <x:c r="G160" s="54" t="str">
        <x:v>开放赎回</x:v>
      </x:c>
    </x:row>
    <x:row r="161">
      <x:c r="A161" s="49" t="n">
        <x:v>46031</x:v>
      </x:c>
      <x:c r="B161" s="52" t="n">
        <x:v>8.361</x:v>
      </x:c>
      <x:c r="C161" s="52" t="n">
        <x:v>8.832</x:v>
      </x:c>
      <x:c r="D161" s="53" t="n">
        <x:v>-0.0013</x:v>
      </x:c>
      <x:c r="E161" s="53" t="n">
        <x:f>IFERROR(B161/$B$488-1,"")</x:f>
        <x:v>1.7305682560418032</x:v>
      </x:c>
      <x:c r="F161" s="54" t="str">
        <x:v>开放申购</x:v>
      </x:c>
      <x:c r="G161" s="54" t="str">
        <x:v>开放赎回</x:v>
      </x:c>
    </x:row>
    <x:row r="162">
      <x:c r="A162" s="49" t="n">
        <x:v>46030</x:v>
      </x:c>
      <x:c r="B162" s="52" t="n">
        <x:v>8.372</x:v>
      </x:c>
      <x:c r="C162" s="52" t="n">
        <x:v>8.843</x:v>
      </x:c>
      <x:c r="D162" s="53" t="n">
        <x:v>-0.014499999999999999</x:v>
      </x:c>
      <x:c r="E162" s="53" t="n">
        <x:f>IFERROR(B162/$B$488-1,"")</x:f>
        <x:v>1.734160679294579</x:v>
      </x:c>
      <x:c r="F162" s="54" t="str">
        <x:v>开放申购</x:v>
      </x:c>
      <x:c r="G162" s="54" t="str">
        <x:v>开放赎回</x:v>
      </x:c>
    </x:row>
    <x:row r="163">
      <x:c r="A163" s="49" t="n">
        <x:v>46029</x:v>
      </x:c>
      <x:c r="B163" s="52" t="n">
        <x:v>8.495</x:v>
      </x:c>
      <x:c r="C163" s="52" t="n">
        <x:v>8.966</x:v>
      </x:c>
      <x:c r="D163" s="53" t="n">
        <x:v>0.016</x:v>
      </x:c>
      <x:c r="E163" s="53" t="n">
        <x:f>IFERROR(B163/$B$488-1,"")</x:f>
        <x:v>1.774330502939255</x:v>
      </x:c>
      <x:c r="F163" s="54" t="str">
        <x:v>开放申购</x:v>
      </x:c>
      <x:c r="G163" s="54" t="str">
        <x:v>开放赎回</x:v>
      </x:c>
    </x:row>
    <x:row r="164">
      <x:c r="A164" s="49" t="n">
        <x:v>46028</x:v>
      </x:c>
      <x:c r="B164" s="52" t="n">
        <x:v>8.361</x:v>
      </x:c>
      <x:c r="C164" s="52" t="n">
        <x:v>8.832</x:v>
      </x:c>
      <x:c r="D164" s="53" t="n">
        <x:v>-0.008100000000000001</x:v>
      </x:c>
      <x:c r="E164" s="53" t="n">
        <x:f>IFERROR(B164/$B$488-1,"")</x:f>
        <x:v>1.7305682560418032</x:v>
      </x:c>
      <x:c r="F164" s="54" t="str">
        <x:v>开放申购</x:v>
      </x:c>
      <x:c r="G164" s="54" t="str">
        <x:v>开放赎回</x:v>
      </x:c>
    </x:row>
    <x:row r="165">
      <x:c r="A165" s="49" t="n">
        <x:v>46027</x:v>
      </x:c>
      <x:c r="B165" s="52" t="n">
        <x:v>8.429</x:v>
      </x:c>
      <x:c r="C165" s="52" t="n">
        <x:v>8.9</x:v>
      </x:c>
      <x:c r="D165" s="53" t="n">
        <x:v>0.024700000000000003</x:v>
      </x:c>
      <x:c r="E165" s="53" t="n">
        <x:f>IFERROR(B165/$B$488-1,"")</x:f>
        <x:v>1.7527759634225997</x:v>
      </x:c>
      <x:c r="F165" s="54" t="str">
        <x:v>开放申购</x:v>
      </x:c>
      <x:c r="G165" s="54" t="str">
        <x:v>开放赎回</x:v>
      </x:c>
    </x:row>
    <x:row r="166">
      <x:c r="A166" s="49" t="n">
        <x:v>46022</x:v>
      </x:c>
      <x:c r="B166" s="52" t="n">
        <x:v>8.226</x:v>
      </x:c>
      <x:c r="C166" s="52" t="n">
        <x:v>8.697</x:v>
      </x:c>
      <x:c r="D166" s="53" t="n">
        <x:v>-0.0173</x:v>
      </x:c>
      <x:c r="E166" s="53" t="n">
        <x:f>IFERROR(B166/$B$488-1,"")</x:f>
        <x:v>1.68647942521228</x:v>
      </x:c>
      <x:c r="F166" s="54" t="str">
        <x:v>开放申购</x:v>
      </x:c>
      <x:c r="G166" s="54" t="str">
        <x:v>开放赎回</x:v>
      </x:c>
    </x:row>
    <x:row r="167">
      <x:c r="A167" s="49" t="n">
        <x:v>46021</x:v>
      </x:c>
      <x:c r="B167" s="52" t="n">
        <x:v>8.371</x:v>
      </x:c>
      <x:c r="C167" s="52" t="n">
        <x:v>8.842</x:v>
      </x:c>
      <x:c r="D167" s="53" t="n">
        <x:v>-0.0116</x:v>
      </x:c>
      <x:c r="E167" s="53" t="n">
        <x:f>IFERROR(B167/$B$488-1,"")</x:f>
        <x:v>1.7338340953625084</x:v>
      </x:c>
      <x:c r="F167" s="54" t="str">
        <x:v>开放申购</x:v>
      </x:c>
      <x:c r="G167" s="54" t="str">
        <x:v>开放赎回</x:v>
      </x:c>
    </x:row>
    <x:row r="168">
      <x:c r="A168" s="49" t="n">
        <x:v>46020</x:v>
      </x:c>
      <x:c r="B168" s="52" t="n">
        <x:v>8.469</x:v>
      </x:c>
      <x:c r="C168" s="52" t="n">
        <x:v>8.94</x:v>
      </x:c>
      <x:c r="D168" s="53" t="n">
        <x:v>0.009399999999999999</x:v>
      </x:c>
      <x:c r="E168" s="53" t="n">
        <x:f>IFERROR(B168/$B$488-1,"")</x:f>
        <x:v>1.765839320705421</x:v>
      </x:c>
      <x:c r="F168" s="54" t="str">
        <x:v>开放申购</x:v>
      </x:c>
      <x:c r="G168" s="54" t="str">
        <x:v>开放赎回</x:v>
      </x:c>
    </x:row>
    <x:row r="169">
      <x:c r="A169" s="49" t="n">
        <x:v>46017</x:v>
      </x:c>
      <x:c r="B169" s="52" t="n">
        <x:v>8.39</x:v>
      </x:c>
      <x:c r="C169" s="52" t="n">
        <x:v>8.861</x:v>
      </x:c>
      <x:c r="D169" s="53" t="n">
        <x:v>-0.0105</x:v>
      </x:c>
      <x:c r="E169" s="53" t="n">
        <x:f>IFERROR(B169/$B$488-1,"")</x:f>
        <x:v>1.7400391900718488</x:v>
      </x:c>
      <x:c r="F169" s="54" t="str">
        <x:v>开放申购</x:v>
      </x:c>
      <x:c r="G169" s="54" t="str">
        <x:v>开放赎回</x:v>
      </x:c>
    </x:row>
    <x:row r="170">
      <x:c r="A170" s="49" t="n">
        <x:v>46016</x:v>
      </x:c>
      <x:c r="B170" s="52" t="n">
        <x:v>8.479</x:v>
      </x:c>
      <x:c r="C170" s="52" t="n">
        <x:v>8.95</x:v>
      </x:c>
      <x:c r="D170" s="53" t="n">
        <x:v>0.0002</x:v>
      </x:c>
      <x:c r="E170" s="53" t="n">
        <x:f>IFERROR(B170/$B$488-1,"")</x:f>
        <x:v>1.7691051600261267</x:v>
      </x:c>
      <x:c r="F170" s="54" t="str">
        <x:v>开放申购</x:v>
      </x:c>
      <x:c r="G170" s="54" t="str">
        <x:v>开放赎回</x:v>
      </x:c>
    </x:row>
    <x:row r="171">
      <x:c r="A171" s="49" t="n">
        <x:v>46015</x:v>
      </x:c>
      <x:c r="B171" s="52" t="n">
        <x:v>8.477</x:v>
      </x:c>
      <x:c r="C171" s="52" t="n">
        <x:v>8.948</x:v>
      </x:c>
      <x:c r="D171" s="53" t="n">
        <x:v>0.011200000000000002</x:v>
      </x:c>
      <x:c r="E171" s="53" t="n">
        <x:f>IFERROR(B171/$B$488-1,"")</x:f>
        <x:v>1.7684519921619857</x:v>
      </x:c>
      <x:c r="F171" s="54" t="str">
        <x:v>开放申购</x:v>
      </x:c>
      <x:c r="G171" s="54" t="str">
        <x:v>开放赎回</x:v>
      </x:c>
    </x:row>
    <x:row r="172">
      <x:c r="A172" s="49" t="n">
        <x:v>46014</x:v>
      </x:c>
      <x:c r="B172" s="52" t="n">
        <x:v>8.383</x:v>
      </x:c>
      <x:c r="C172" s="52" t="n">
        <x:v>8.854</x:v>
      </x:c>
      <x:c r="D172" s="53" t="n">
        <x:v>0.0246</x:v>
      </x:c>
      <x:c r="E172" s="53" t="n">
        <x:f>IFERROR(B172/$B$488-1,"")</x:f>
        <x:v>1.7377531025473547</x:v>
      </x:c>
      <x:c r="F172" s="54" t="str">
        <x:v>开放申购</x:v>
      </x:c>
      <x:c r="G172" s="54" t="str">
        <x:v>开放赎回</x:v>
      </x:c>
    </x:row>
    <x:row r="173">
      <x:c r="A173" s="49" t="n">
        <x:v>46013</x:v>
      </x:c>
      <x:c r="B173" s="52" t="n">
        <x:v>8.182</x:v>
      </x:c>
      <x:c r="C173" s="52" t="n">
        <x:v>8.653</x:v>
      </x:c>
      <x:c r="D173" s="53" t="n">
        <x:v>0.0455</x:v>
      </x:c>
      <x:c r="E173" s="53" t="n">
        <x:f>IFERROR(B173/$B$488-1,"")</x:f>
        <x:v>1.672109732201176</x:v>
      </x:c>
      <x:c r="F173" s="54" t="str">
        <x:v>开放申购</x:v>
      </x:c>
      <x:c r="G173" s="54" t="str">
        <x:v>开放赎回</x:v>
      </x:c>
    </x:row>
    <x:row r="174">
      <x:c r="A174" s="49" t="n">
        <x:v>46010</x:v>
      </x:c>
      <x:c r="B174" s="52" t="n">
        <x:v>7.826</x:v>
      </x:c>
      <x:c r="C174" s="52" t="n">
        <x:v>8.297</x:v>
      </x:c>
      <x:c r="D174" s="53" t="n">
        <x:v>-0.0151</x:v>
      </x:c>
      <x:c r="E174" s="53" t="n">
        <x:f>IFERROR(B174/$B$488-1,"")</x:f>
        <x:v>1.5558458523840626</x:v>
      </x:c>
      <x:c r="F174" s="54" t="str">
        <x:v>开放申购</x:v>
      </x:c>
      <x:c r="G174" s="54" t="str">
        <x:v>开放赎回</x:v>
      </x:c>
    </x:row>
    <x:row r="175">
      <x:c r="A175" s="49" t="n">
        <x:v>46009</x:v>
      </x:c>
      <x:c r="B175" s="52" t="n">
        <x:v>7.946</x:v>
      </x:c>
      <x:c r="C175" s="52" t="n">
        <x:v>8.417</x:v>
      </x:c>
      <x:c r="D175" s="53" t="n">
        <x:v>-0.036000000000000004</x:v>
      </x:c>
      <x:c r="E175" s="53" t="n">
        <x:f>IFERROR(B175/$B$488-1,"")</x:f>
        <x:v>1.5950359242325276</x:v>
      </x:c>
      <x:c r="F175" s="54" t="str">
        <x:v>开放申购</x:v>
      </x:c>
      <x:c r="G175" s="54" t="str">
        <x:v>开放赎回</x:v>
      </x:c>
    </x:row>
    <x:row r="176">
      <x:c r="A176" s="49" t="n">
        <x:v>46008</x:v>
      </x:c>
      <x:c r="B176" s="52" t="n">
        <x:v>8.243</x:v>
      </x:c>
      <x:c r="C176" s="52" t="n">
        <x:v>8.714</x:v>
      </x:c>
      <x:c r="D176" s="53" t="n">
        <x:v>0.0553</x:v>
      </x:c>
      <x:c r="E176" s="53" t="n">
        <x:f>IFERROR(B176/$B$488-1,"")</x:f>
        <x:v>1.6920313520574792</x:v>
      </x:c>
      <x:c r="F176" s="54" t="str">
        <x:v>开放申购</x:v>
      </x:c>
      <x:c r="G176" s="54" t="str">
        <x:v>开放赎回</x:v>
      </x:c>
    </x:row>
    <x:row r="177">
      <x:c r="A177" s="49" t="n">
        <x:v>46007</x:v>
      </x:c>
      <x:c r="B177" s="52" t="n">
        <x:v>7.811</x:v>
      </x:c>
      <x:c r="C177" s="52" t="n">
        <x:v>8.282</x:v>
      </x:c>
      <x:c r="D177" s="53" t="n">
        <x:v>-0.01</x:v>
      </x:c>
      <x:c r="E177" s="53" t="n">
        <x:f>IFERROR(B177/$B$488-1,"")</x:f>
        <x:v>1.5509470934030047</x:v>
      </x:c>
      <x:c r="F177" s="54" t="str">
        <x:v>开放申购</x:v>
      </x:c>
      <x:c r="G177" s="54" t="str">
        <x:v>开放赎回</x:v>
      </x:c>
    </x:row>
    <x:row r="178">
      <x:c r="A178" s="49" t="n">
        <x:v>46006</x:v>
      </x:c>
      <x:c r="B178" s="52" t="n">
        <x:v>7.89</x:v>
      </x:c>
      <x:c r="C178" s="52" t="n">
        <x:v>8.361</x:v>
      </x:c>
      <x:c r="D178" s="53" t="n">
        <x:v>-0.034300000000000004</x:v>
      </x:c>
      <x:c r="E178" s="53" t="n">
        <x:f>IFERROR(B178/$B$488-1,"")</x:f>
        <x:v>1.5767472240365774</x:v>
      </x:c>
      <x:c r="F178" s="54" t="str">
        <x:v>开放申购</x:v>
      </x:c>
      <x:c r="G178" s="54" t="str">
        <x:v>开放赎回</x:v>
      </x:c>
    </x:row>
    <x:row r="179">
      <x:c r="A179" s="49" t="n">
        <x:v>46003</x:v>
      </x:c>
      <x:c r="B179" s="52" t="n">
        <x:v>8.17</x:v>
      </x:c>
      <x:c r="C179" s="52" t="n">
        <x:v>8.641</x:v>
      </x:c>
      <x:c r="D179" s="53" t="n">
        <x:v>0.0174</x:v>
      </x:c>
      <x:c r="E179" s="53" t="n">
        <x:f>IFERROR(B179/$B$488-1,"")</x:f>
        <x:v>1.6681907250163293</x:v>
      </x:c>
      <x:c r="F179" s="54" t="str">
        <x:v>开放申购</x:v>
      </x:c>
      <x:c r="G179" s="54" t="str">
        <x:v>开放赎回</x:v>
      </x:c>
    </x:row>
    <x:row r="180">
      <x:c r="A180" s="49" t="n">
        <x:v>46002</x:v>
      </x:c>
      <x:c r="B180" s="52" t="n">
        <x:v>8.03</x:v>
      </x:c>
      <x:c r="C180" s="52" t="n">
        <x:v>8.501</x:v>
      </x:c>
      <x:c r="D180" s="53" t="n">
        <x:v>-0.0248</x:v>
      </x:c>
      <x:c r="E180" s="53" t="n">
        <x:f>IFERROR(B180/$B$488-1,"")</x:f>
        <x:v>1.6224689745264533</x:v>
      </x:c>
      <x:c r="F180" s="54" t="str">
        <x:v>开放申购</x:v>
      </x:c>
      <x:c r="G180" s="54" t="str">
        <x:v>开放赎回</x:v>
      </x:c>
    </x:row>
    <x:row r="181">
      <x:c r="A181" s="49" t="n">
        <x:v>46001</x:v>
      </x:c>
      <x:c r="B181" s="52" t="n">
        <x:v>8.234</x:v>
      </x:c>
      <x:c r="C181" s="52" t="n">
        <x:v>8.705</x:v>
      </x:c>
      <x:c r="D181" s="53" t="n">
        <x:v>-0.004</x:v>
      </x:c>
      <x:c r="E181" s="53" t="n">
        <x:f>IFERROR(B181/$B$488-1,"")</x:f>
        <x:v>1.689092096668844</x:v>
      </x:c>
      <x:c r="F181" s="54" t="str">
        <x:v>开放申购</x:v>
      </x:c>
      <x:c r="G181" s="54" t="str">
        <x:v>开放赎回</x:v>
      </x:c>
    </x:row>
    <x:row r="182">
      <x:c r="A182" s="49" t="n">
        <x:v>46000</x:v>
      </x:c>
      <x:c r="B182" s="52" t="n">
        <x:v>8.267</x:v>
      </x:c>
      <x:c r="C182" s="52" t="n">
        <x:v>8.738</x:v>
      </x:c>
      <x:c r="D182" s="53" t="n">
        <x:v>0.054299999999999994</x:v>
      </x:c>
      <x:c r="E182" s="53" t="n">
        <x:f>IFERROR(B182/$B$488-1,"")</x:f>
        <x:v>1.6998693664271718</x:v>
      </x:c>
      <x:c r="F182" s="54" t="str">
        <x:v>开放申购</x:v>
      </x:c>
      <x:c r="G182" s="54" t="str">
        <x:v>开放赎回</x:v>
      </x:c>
    </x:row>
    <x:row r="183">
      <x:c r="A183" s="49" t="n">
        <x:v>45999</x:v>
      </x:c>
      <x:c r="B183" s="52" t="n">
        <x:v>7.841</x:v>
      </x:c>
      <x:c r="C183" s="52" t="n">
        <x:v>8.312</x:v>
      </x:c>
      <x:c r="D183" s="53" t="n">
        <x:v>0.0452</x:v>
      </x:c>
      <x:c r="E183" s="53" t="n">
        <x:f>IFERROR(B183/$B$488-1,"")</x:f>
        <x:v>1.5607446113651209</x:v>
      </x:c>
      <x:c r="F183" s="54" t="str">
        <x:v>开放申购</x:v>
      </x:c>
      <x:c r="G183" s="54" t="str">
        <x:v>开放赎回</x:v>
      </x:c>
    </x:row>
    <x:row r="184">
      <x:c r="A184" s="49" t="n">
        <x:v>45996</x:v>
      </x:c>
      <x:c r="B184" s="52" t="n">
        <x:v>7.502</x:v>
      </x:c>
      <x:c r="C184" s="52" t="n">
        <x:v>7.973</x:v>
      </x:c>
      <x:c r="D184" s="53" t="n">
        <x:v>0.005</x:v>
      </x:c>
      <x:c r="E184" s="53" t="n">
        <x:f>IFERROR(B184/$B$488-1,"")</x:f>
        <x:v>1.4500326583932073</x:v>
      </x:c>
      <x:c r="F184" s="54" t="str">
        <x:v>开放申购</x:v>
      </x:c>
      <x:c r="G184" s="54" t="str">
        <x:v>开放赎回</x:v>
      </x:c>
    </x:row>
    <x:row r="185">
      <x:c r="A185" s="49" t="n">
        <x:v>45995</x:v>
      </x:c>
      <x:c r="B185" s="52" t="n">
        <x:v>7.465</x:v>
      </x:c>
      <x:c r="C185" s="52" t="n">
        <x:v>7.936</x:v>
      </x:c>
      <x:c r="D185" s="53" t="n">
        <x:v>0.0027</x:v>
      </x:c>
      <x:c r="E185" s="53" t="n">
        <x:f>IFERROR(B185/$B$488-1,"")</x:f>
        <x:v>1.437949052906597</x:v>
      </x:c>
      <x:c r="F185" s="54" t="str">
        <x:v>开放申购</x:v>
      </x:c>
      <x:c r="G185" s="54" t="str">
        <x:v>开放赎回</x:v>
      </x:c>
    </x:row>
    <x:row r="186">
      <x:c r="A186" s="49" t="n">
        <x:v>45994</x:v>
      </x:c>
      <x:c r="B186" s="52" t="n">
        <x:v>7.445</x:v>
      </x:c>
      <x:c r="C186" s="52" t="n">
        <x:v>7.916</x:v>
      </x:c>
      <x:c r="D186" s="53" t="n">
        <x:v>-0.0019</x:v>
      </x:c>
      <x:c r="E186" s="53" t="n">
        <x:f>IFERROR(B186/$B$488-1,"")</x:f>
        <x:v>1.4314173742651866</x:v>
      </x:c>
      <x:c r="F186" s="54" t="str">
        <x:v>开放申购</x:v>
      </x:c>
      <x:c r="G186" s="54" t="str">
        <x:v>开放赎回</x:v>
      </x:c>
    </x:row>
    <x:row r="187">
      <x:c r="A187" s="49" t="n">
        <x:v>45993</x:v>
      </x:c>
      <x:c r="B187" s="52" t="n">
        <x:v>7.459</x:v>
      </x:c>
      <x:c r="C187" s="52" t="n">
        <x:v>7.93</x:v>
      </x:c>
      <x:c r="D187" s="53" t="n">
        <x:v>-0.0015</x:v>
      </x:c>
      <x:c r="E187" s="53" t="n">
        <x:f>IFERROR(B187/$B$488-1,"")</x:f>
        <x:v>1.4359895493141739</x:v>
      </x:c>
      <x:c r="F187" s="54" t="str">
        <x:v>开放申购</x:v>
      </x:c>
      <x:c r="G187" s="54" t="str">
        <x:v>开放赎回</x:v>
      </x:c>
    </x:row>
    <x:row r="188">
      <x:c r="A188" s="49" t="n">
        <x:v>45992</x:v>
      </x:c>
      <x:c r="B188" s="52" t="n">
        <x:v>7.47</x:v>
      </x:c>
      <x:c r="C188" s="52" t="n">
        <x:v>7.941</x:v>
      </x:c>
      <x:c r="D188" s="53" t="n">
        <x:v>0.0127</x:v>
      </x:c>
      <x:c r="E188" s="53" t="n">
        <x:f>IFERROR(B188/$B$488-1,"")</x:f>
        <x:v>1.4395819725669496</x:v>
      </x:c>
      <x:c r="F188" s="54" t="str">
        <x:v>开放申购</x:v>
      </x:c>
      <x:c r="G188" s="54" t="str">
        <x:v>开放赎回</x:v>
      </x:c>
    </x:row>
    <x:row r="189">
      <x:c r="A189" s="49" t="n">
        <x:v>45989</x:v>
      </x:c>
      <x:c r="B189" s="52" t="n">
        <x:v>7.376</x:v>
      </x:c>
      <x:c r="C189" s="52" t="n">
        <x:v>7.847</x:v>
      </x:c>
      <x:c r="D189" s="53" t="n">
        <x:v>-0.008199999999999999</x:v>
      </x:c>
      <x:c r="E189" s="53" t="n">
        <x:f>IFERROR(B189/$B$488-1,"")</x:f>
        <x:v>1.4088830829523191</x:v>
      </x:c>
      <x:c r="F189" s="54" t="str">
        <x:v>开放申购</x:v>
      </x:c>
      <x:c r="G189" s="54" t="str">
        <x:v>开放赎回</x:v>
      </x:c>
    </x:row>
    <x:row r="190">
      <x:c r="A190" s="49" t="n">
        <x:v>45988</x:v>
      </x:c>
      <x:c r="B190" s="52" t="n">
        <x:v>7.437</x:v>
      </x:c>
      <x:c r="C190" s="52" t="n">
        <x:v>7.908</x:v>
      </x:c>
      <x:c r="D190" s="53" t="n">
        <x:v>-0.0113</x:v>
      </x:c>
      <x:c r="E190" s="53" t="n">
        <x:f>IFERROR(B190/$B$488-1,"")</x:f>
        <x:v>1.428804702808622</x:v>
      </x:c>
      <x:c r="F190" s="54" t="str">
        <x:v>开放申购</x:v>
      </x:c>
      <x:c r="G190" s="54" t="str">
        <x:v>开放赎回</x:v>
      </x:c>
    </x:row>
    <x:row r="191">
      <x:c r="A191" s="49" t="n">
        <x:v>45987</x:v>
      </x:c>
      <x:c r="B191" s="52" t="n">
        <x:v>7.522</x:v>
      </x:c>
      <x:c r="C191" s="52" t="n">
        <x:v>7.993</x:v>
      </x:c>
      <x:c r="D191" s="53" t="n">
        <x:v>0.0466</x:v>
      </x:c>
      <x:c r="E191" s="53" t="n">
        <x:f>IFERROR(B191/$B$488-1,"")</x:f>
        <x:v>1.4565643370346182</x:v>
      </x:c>
      <x:c r="F191" s="54" t="str">
        <x:v>开放申购</x:v>
      </x:c>
      <x:c r="G191" s="54" t="str">
        <x:v>开放赎回</x:v>
      </x:c>
    </x:row>
    <x:row r="192">
      <x:c r="A192" s="49" t="n">
        <x:v>45986</x:v>
      </x:c>
      <x:c r="B192" s="52" t="n">
        <x:v>7.187</x:v>
      </x:c>
      <x:c r="C192" s="52" t="n">
        <x:v>7.658</x:v>
      </x:c>
      <x:c r="D192" s="53" t="n">
        <x:v>0.04019999999999999</x:v>
      </x:c>
      <x:c r="E192" s="53" t="n">
        <x:f>IFERROR(B192/$B$488-1,"")</x:f>
        <x:v>1.3471587197909867</x:v>
      </x:c>
      <x:c r="F192" s="54" t="str">
        <x:v>开放申购</x:v>
      </x:c>
      <x:c r="G192" s="54" t="str">
        <x:v>开放赎回</x:v>
      </x:c>
    </x:row>
    <x:row r="193">
      <x:c r="A193" s="49" t="n">
        <x:v>45985</x:v>
      </x:c>
      <x:c r="B193" s="52" t="n">
        <x:v>6.909</x:v>
      </x:c>
      <x:c r="C193" s="52" t="n">
        <x:v>7.38</x:v>
      </x:c>
      <x:c r="D193" s="53" t="n">
        <x:v>-0.0147</x:v>
      </x:c>
      <x:c r="E193" s="53" t="n">
        <x:f>IFERROR(B193/$B$488-1,"")</x:f>
        <x:v>1.2563683866753754</x:v>
      </x:c>
      <x:c r="F193" s="54" t="str">
        <x:v>开放申购</x:v>
      </x:c>
      <x:c r="G193" s="54" t="str">
        <x:v>开放赎回</x:v>
      </x:c>
    </x:row>
    <x:row r="194">
      <x:c r="A194" s="49" t="n">
        <x:v>45982</x:v>
      </x:c>
      <x:c r="B194" s="52" t="n">
        <x:v>7.012</x:v>
      </x:c>
      <x:c r="C194" s="52" t="n">
        <x:v>7.483</x:v>
      </x:c>
      <x:c r="D194" s="53" t="n">
        <x:v>-0.0558</x:v>
      </x:c>
      <x:c r="E194" s="53" t="n">
        <x:f>IFERROR(B194/$B$488-1,"")</x:f>
        <x:v>1.2900065316786415</x:v>
      </x:c>
      <x:c r="F194" s="54" t="str">
        <x:v>开放申购</x:v>
      </x:c>
      <x:c r="G194" s="54" t="str">
        <x:v>开放赎回</x:v>
      </x:c>
    </x:row>
    <x:row r="195">
      <x:c r="A195" s="49" t="n">
        <x:v>45981</x:v>
      </x:c>
      <x:c r="B195" s="52" t="n">
        <x:v>7.426</x:v>
      </x:c>
      <x:c r="C195" s="52" t="n">
        <x:v>7.897</x:v>
      </x:c>
      <x:c r="D195" s="53" t="n">
        <x:v>0.0108</x:v>
      </x:c>
      <x:c r="E195" s="53" t="n">
        <x:f>IFERROR(B195/$B$488-1,"")</x:f>
        <x:v>1.4252122795558462</x:v>
      </x:c>
      <x:c r="F195" s="54" t="str">
        <x:v>开放申购</x:v>
      </x:c>
      <x:c r="G195" s="54" t="str">
        <x:v>开放赎回</x:v>
      </x:c>
    </x:row>
    <x:row r="196">
      <x:c r="A196" s="49" t="n">
        <x:v>45980</x:v>
      </x:c>
      <x:c r="B196" s="52" t="n">
        <x:v>7.347</x:v>
      </x:c>
      <x:c r="C196" s="52" t="n">
        <x:v>7.818</x:v>
      </x:c>
      <x:c r="D196" s="53" t="n">
        <x:v>-0.0011</x:v>
      </x:c>
      <x:c r="E196" s="53" t="n">
        <x:f>IFERROR(B196/$B$488-1,"")</x:f>
        <x:v>1.3994121489222735</x:v>
      </x:c>
      <x:c r="F196" s="54" t="str">
        <x:v>开放申购</x:v>
      </x:c>
      <x:c r="G196" s="54" t="str">
        <x:v>开放赎回</x:v>
      </x:c>
    </x:row>
    <x:row r="197">
      <x:c r="A197" s="49" t="n">
        <x:v>45979</x:v>
      </x:c>
      <x:c r="B197" s="52" t="n">
        <x:v>7.355</x:v>
      </x:c>
      <x:c r="C197" s="52" t="n">
        <x:v>7.826</x:v>
      </x:c>
      <x:c r="D197" s="53" t="n">
        <x:v>-0.0015</x:v>
      </x:c>
      <x:c r="E197" s="53" t="n">
        <x:f>IFERROR(B197/$B$488-1,"")</x:f>
        <x:v>1.4020248203788377</x:v>
      </x:c>
      <x:c r="F197" s="54" t="str">
        <x:v>开放申购</x:v>
      </x:c>
      <x:c r="G197" s="54" t="str">
        <x:v>开放赎回</x:v>
      </x:c>
    </x:row>
    <x:row r="198">
      <x:c r="A198" s="49" t="n">
        <x:v>45978</x:v>
      </x:c>
      <x:c r="B198" s="52" t="n">
        <x:v>7.366</x:v>
      </x:c>
      <x:c r="C198" s="52" t="n">
        <x:v>7.837</x:v>
      </x:c>
      <x:c r="D198" s="53" t="n">
        <x:v>0.0015</x:v>
      </x:c>
      <x:c r="E198" s="53" t="n">
        <x:f>IFERROR(B198/$B$488-1,"")</x:f>
        <x:v>1.4056172436316134</x:v>
      </x:c>
      <x:c r="F198" s="54" t="str">
        <x:v>开放申购</x:v>
      </x:c>
      <x:c r="G198" s="54" t="str">
        <x:v>开放赎回</x:v>
      </x:c>
    </x:row>
    <x:row r="199">
      <x:c r="A199" s="49" t="n">
        <x:v>45975</x:v>
      </x:c>
      <x:c r="B199" s="52" t="n">
        <x:v>7.355</x:v>
      </x:c>
      <x:c r="C199" s="52" t="n">
        <x:v>7.826</x:v>
      </x:c>
      <x:c r="D199" s="53" t="n">
        <x:v>-0.0319</x:v>
      </x:c>
      <x:c r="E199" s="53" t="n">
        <x:f>IFERROR(B199/$B$488-1,"")</x:f>
        <x:v>1.4020248203788377</x:v>
      </x:c>
      <x:c r="F199" s="54" t="str">
        <x:v>开放申购</x:v>
      </x:c>
      <x:c r="G199" s="54" t="str">
        <x:v>开放赎回</x:v>
      </x:c>
    </x:row>
    <x:row r="200">
      <x:c r="A200" s="49" t="n">
        <x:v>45974</x:v>
      </x:c>
      <x:c r="B200" s="52" t="n">
        <x:v>7.597</x:v>
      </x:c>
      <x:c r="C200" s="52" t="n">
        <x:v>8.068</x:v>
      </x:c>
      <x:c r="D200" s="53" t="n">
        <x:v>0.005</x:v>
      </x:c>
      <x:c r="E200" s="53" t="n">
        <x:f>IFERROR(B200/$B$488-1,"")</x:f>
        <x:v>1.4810581319399088</x:v>
      </x:c>
      <x:c r="F200" s="54" t="str">
        <x:v>开放申购</x:v>
      </x:c>
      <x:c r="G200" s="54" t="str">
        <x:v>开放赎回</x:v>
      </x:c>
    </x:row>
    <x:row r="201">
      <x:c r="A201" s="49" t="n">
        <x:v>45973</x:v>
      </x:c>
      <x:c r="B201" s="52" t="n">
        <x:v>7.559</x:v>
      </x:c>
      <x:c r="C201" s="52" t="n">
        <x:v>8.03</x:v>
      </x:c>
      <x:c r="D201" s="53" t="n">
        <x:v>0.0075</x:v>
      </x:c>
      <x:c r="E201" s="53" t="n">
        <x:f>IFERROR(B201/$B$488-1,"")</x:f>
        <x:v>1.468647942521228</x:v>
      </x:c>
      <x:c r="F201" s="54" t="str">
        <x:v>开放申购</x:v>
      </x:c>
      <x:c r="G201" s="54" t="str">
        <x:v>开放赎回</x:v>
      </x:c>
    </x:row>
    <x:row r="202">
      <x:c r="A202" s="49" t="n">
        <x:v>45972</x:v>
      </x:c>
      <x:c r="B202" s="52" t="n">
        <x:v>7.503</x:v>
      </x:c>
      <x:c r="C202" s="52" t="n">
        <x:v>7.974</x:v>
      </x:c>
      <x:c r="D202" s="53" t="n">
        <x:v>-0.028900000000000002</x:v>
      </x:c>
      <x:c r="E202" s="53" t="n">
        <x:f>IFERROR(B202/$B$488-1,"")</x:f>
        <x:v>1.4503592423252778</x:v>
      </x:c>
      <x:c r="F202" s="54" t="str">
        <x:v>开放申购</x:v>
      </x:c>
      <x:c r="G202" s="54" t="str">
        <x:v>开放赎回</x:v>
      </x:c>
    </x:row>
    <x:row r="203">
      <x:c r="A203" s="49" t="n">
        <x:v>45971</x:v>
      </x:c>
      <x:c r="B203" s="52" t="n">
        <x:v>7.726</x:v>
      </x:c>
      <x:c r="C203" s="52" t="n">
        <x:v>8.197</x:v>
      </x:c>
      <x:c r="D203" s="53" t="n">
        <x:v>-0.0175</x:v>
      </x:c>
      <x:c r="E203" s="53" t="n">
        <x:f>IFERROR(B203/$B$488-1,"")</x:f>
        <x:v>1.5231874591770085</x:v>
      </x:c>
      <x:c r="F203" s="54" t="str">
        <x:v>开放申购</x:v>
      </x:c>
      <x:c r="G203" s="54" t="str">
        <x:v>开放赎回</x:v>
      </x:c>
    </x:row>
    <x:row r="204">
      <x:c r="A204" s="49" t="n">
        <x:v>45968</x:v>
      </x:c>
      <x:c r="B204" s="52" t="n">
        <x:v>7.864</x:v>
      </x:c>
      <x:c r="C204" s="52" t="n">
        <x:v>8.335</x:v>
      </x:c>
      <x:c r="D204" s="53" t="n">
        <x:v>-0.0215</x:v>
      </x:c>
      <x:c r="E204" s="53" t="n">
        <x:f>IFERROR(B204/$B$488-1,"")</x:f>
        <x:v>1.5682560418027434</x:v>
      </x:c>
      <x:c r="F204" s="54" t="str">
        <x:v>开放申购</x:v>
      </x:c>
      <x:c r="G204" s="54" t="str">
        <x:v>开放赎回</x:v>
      </x:c>
    </x:row>
    <x:row r="205">
      <x:c r="A205" s="49" t="n">
        <x:v>45967</x:v>
      </x:c>
      <x:c r="B205" s="52" t="n">
        <x:v>8.037</x:v>
      </x:c>
      <x:c r="C205" s="52" t="n">
        <x:v>8.508</x:v>
      </x:c>
      <x:c r="D205" s="53" t="n">
        <x:v>0.0163</x:v>
      </x:c>
      <x:c r="E205" s="53" t="n">
        <x:f>IFERROR(B205/$B$488-1,"")</x:f>
        <x:v>1.6247550620509474</x:v>
      </x:c>
      <x:c r="F205" s="54" t="str">
        <x:v>开放申购</x:v>
      </x:c>
      <x:c r="G205" s="54" t="str">
        <x:v>开放赎回</x:v>
      </x:c>
    </x:row>
    <x:row r="206">
      <x:c r="A206" s="49" t="n">
        <x:v>45966</x:v>
      </x:c>
      <x:c r="B206" s="52" t="n">
        <x:v>7.908</x:v>
      </x:c>
      <x:c r="C206" s="52" t="n">
        <x:v>8.379</x:v>
      </x:c>
      <x:c r="D206" s="53" t="n">
        <x:v>0.0053</x:v>
      </x:c>
      <x:c r="E206" s="53" t="n">
        <x:f>IFERROR(B206/$B$488-1,"")</x:f>
        <x:v>1.5826257348138473</x:v>
      </x:c>
      <x:c r="F206" s="54" t="str">
        <x:v>开放申购</x:v>
      </x:c>
      <x:c r="G206" s="54" t="str">
        <x:v>开放赎回</x:v>
      </x:c>
    </x:row>
    <x:row r="207">
      <x:c r="A207" s="49" t="n">
        <x:v>45965</x:v>
      </x:c>
      <x:c r="B207" s="52" t="n">
        <x:v>7.866</x:v>
      </x:c>
      <x:c r="C207" s="52" t="n">
        <x:v>8.337</x:v>
      </x:c>
      <x:c r="D207" s="53" t="n">
        <x:v>-0.001</x:v>
      </x:c>
      <x:c r="E207" s="53" t="n">
        <x:f>IFERROR(B207/$B$488-1,"")</x:f>
        <x:v>1.5689092096668844</x:v>
      </x:c>
      <x:c r="F207" s="54" t="str">
        <x:v>开放申购</x:v>
      </x:c>
      <x:c r="G207" s="54" t="str">
        <x:v>开放赎回</x:v>
      </x:c>
    </x:row>
    <x:row r="208">
      <x:c r="A208" s="49" t="n">
        <x:v>45964</x:v>
      </x:c>
      <x:c r="B208" s="52" t="n">
        <x:v>7.874</x:v>
      </x:c>
      <x:c r="C208" s="52" t="n">
        <x:v>8.345</x:v>
      </x:c>
      <x:c r="D208" s="53" t="n">
        <x:v>-0.0091</x:v>
      </x:c>
      <x:c r="E208" s="53" t="n">
        <x:f>IFERROR(B208/$B$488-1,"")</x:f>
        <x:v>1.5715218811234486</x:v>
      </x:c>
      <x:c r="F208" s="54" t="str">
        <x:v>开放申购</x:v>
      </x:c>
      <x:c r="G208" s="54" t="str">
        <x:v>开放赎回</x:v>
      </x:c>
    </x:row>
    <x:row r="209">
      <x:c r="A209" s="49" t="n">
        <x:v>45961</x:v>
      </x:c>
      <x:c r="B209" s="52" t="n">
        <x:v>7.946</x:v>
      </x:c>
      <x:c r="C209" s="52" t="n">
        <x:v>8.417</x:v>
      </x:c>
      <x:c r="D209" s="53" t="n">
        <x:v>-0.056299999999999996</x:v>
      </x:c>
      <x:c r="E209" s="53" t="n">
        <x:f>IFERROR(B209/$B$488-1,"")</x:f>
        <x:v>1.5950359242325276</x:v>
      </x:c>
      <x:c r="F209" s="54" t="str">
        <x:v>开放申购</x:v>
      </x:c>
      <x:c r="G209" s="54" t="str">
        <x:v>开放赎回</x:v>
      </x:c>
    </x:row>
    <x:row r="210">
      <x:c r="A210" s="49" t="n">
        <x:v>45960</x:v>
      </x:c>
      <x:c r="B210" s="52" t="n">
        <x:v>8.42</x:v>
      </x:c>
      <x:c r="C210" s="52" t="n">
        <x:v>8.891</x:v>
      </x:c>
      <x:c r="D210" s="53" t="n">
        <x:v>-0.009300000000000001</x:v>
      </x:c>
      <x:c r="E210" s="53" t="n">
        <x:f>IFERROR(B210/$B$488-1,"")</x:f>
        <x:v>1.749836708033965</x:v>
      </x:c>
      <x:c r="F210" s="54" t="str">
        <x:v>开放申购</x:v>
      </x:c>
      <x:c r="G210" s="54" t="str">
        <x:v>开放赎回</x:v>
      </x:c>
    </x:row>
    <x:row r="211">
      <x:c r="A211" s="49" t="n">
        <x:v>45959</x:v>
      </x:c>
      <x:c r="B211" s="52" t="n">
        <x:v>8.499</x:v>
      </x:c>
      <x:c r="C211" s="52" t="n">
        <x:v>8.97</x:v>
      </x:c>
      <x:c r="D211" s="53" t="n">
        <x:v>0.038900000000000004</x:v>
      </x:c>
      <x:c r="E211" s="53" t="n">
        <x:f>IFERROR(B211/$B$488-1,"")</x:f>
        <x:v>1.775636838667538</x:v>
      </x:c>
      <x:c r="F211" s="54" t="str">
        <x:v>开放申购</x:v>
      </x:c>
      <x:c r="G211" s="54" t="str">
        <x:v>开放赎回</x:v>
      </x:c>
    </x:row>
    <x:row r="212">
      <x:c r="A212" s="49" t="n">
        <x:v>45958</x:v>
      </x:c>
      <x:c r="B212" s="52" t="n">
        <x:v>8.181</x:v>
      </x:c>
      <x:c r="C212" s="52" t="n">
        <x:v>8.652</x:v>
      </x:c>
      <x:c r="D212" s="53" t="n">
        <x:v>0.030899999999999997</x:v>
      </x:c>
      <x:c r="E212" s="53" t="n">
        <x:f>IFERROR(B212/$B$488-1,"")</x:f>
        <x:v>1.671783148269105</x:v>
      </x:c>
      <x:c r="F212" s="54" t="str">
        <x:v>开放申购</x:v>
      </x:c>
      <x:c r="G212" s="54" t="str">
        <x:v>开放赎回</x:v>
      </x:c>
    </x:row>
    <x:row r="213">
      <x:c r="A213" s="49" t="n">
        <x:v>45957</x:v>
      </x:c>
      <x:c r="B213" s="52" t="n">
        <x:v>7.936</x:v>
      </x:c>
      <x:c r="C213" s="52" t="n">
        <x:v>8.407</x:v>
      </x:c>
      <x:c r="D213" s="53" t="n">
        <x:v>0.056900000000000006</x:v>
      </x:c>
      <x:c r="E213" s="53" t="n">
        <x:f>IFERROR(B213/$B$488-1,"")</x:f>
        <x:v>1.5917700849118224</x:v>
      </x:c>
      <x:c r="F213" s="54" t="str">
        <x:v>开放申购</x:v>
      </x:c>
      <x:c r="G213" s="54" t="str">
        <x:v>开放赎回</x:v>
      </x:c>
    </x:row>
    <x:row r="214">
      <x:c r="A214" s="49" t="n">
        <x:v>45954</x:v>
      </x:c>
      <x:c r="B214" s="52" t="n">
        <x:v>7.509</x:v>
      </x:c>
      <x:c r="C214" s="52" t="n">
        <x:v>7.98</x:v>
      </x:c>
      <x:c r="D214" s="53" t="n">
        <x:v>0.0666</x:v>
      </x:c>
      <x:c r="E214" s="53" t="n">
        <x:f>IFERROR(B214/$B$488-1,"")</x:f>
        <x:v>1.452318745917701</x:v>
      </x:c>
      <x:c r="F214" s="54" t="str">
        <x:v>开放申购</x:v>
      </x:c>
      <x:c r="G214" s="54" t="str">
        <x:v>开放赎回</x:v>
      </x:c>
    </x:row>
    <x:row r="215">
      <x:c r="A215" s="49" t="n">
        <x:v>45953</x:v>
      </x:c>
      <x:c r="B215" s="52" t="n">
        <x:v>7.04</x:v>
      </x:c>
      <x:c r="C215" s="52" t="n">
        <x:v>7.511</x:v>
      </x:c>
      <x:c r="D215" s="53" t="n">
        <x:v>-0.0139</x:v>
      </x:c>
      <x:c r="E215" s="53" t="n">
        <x:f>IFERROR(B215/$B$488-1,"")</x:f>
        <x:v>1.2991508817766166</x:v>
      </x:c>
      <x:c r="F215" s="54" t="str">
        <x:v>开放申购</x:v>
      </x:c>
      <x:c r="G215" s="54" t="str">
        <x:v>开放赎回</x:v>
      </x:c>
    </x:row>
    <x:row r="216">
      <x:c r="A216" s="49" t="n">
        <x:v>45952</x:v>
      </x:c>
      <x:c r="B216" s="52" t="n">
        <x:v>7.139</x:v>
      </x:c>
      <x:c r="C216" s="52" t="n">
        <x:v>7.61</x:v>
      </x:c>
      <x:c r="D216" s="53" t="n">
        <x:v>0.0070999999999999995</x:v>
      </x:c>
      <x:c r="E216" s="53" t="n">
        <x:f>IFERROR(B216/$B$488-1,"")</x:f>
        <x:v>1.3314826910516007</x:v>
      </x:c>
      <x:c r="F216" s="54" t="str">
        <x:v>开放申购</x:v>
      </x:c>
      <x:c r="G216" s="54" t="str">
        <x:v>开放赎回</x:v>
      </x:c>
    </x:row>
    <x:row r="217">
      <x:c r="A217" s="49" t="n">
        <x:v>45951</x:v>
      </x:c>
      <x:c r="B217" s="52" t="n">
        <x:v>7.089</x:v>
      </x:c>
      <x:c r="C217" s="52" t="n">
        <x:v>7.56</x:v>
      </x:c>
      <x:c r="D217" s="53" t="n">
        <x:v>0.0581</x:v>
      </x:c>
      <x:c r="E217" s="53" t="n">
        <x:f>IFERROR(B217/$B$488-1,"")</x:f>
        <x:v>1.3151534944480736</x:v>
      </x:c>
      <x:c r="F217" s="54" t="str">
        <x:v>开放申购</x:v>
      </x:c>
      <x:c r="G217" s="54" t="str">
        <x:v>开放赎回</x:v>
      </x:c>
    </x:row>
    <x:row r="218">
      <x:c r="A218" s="49" t="n">
        <x:v>45950</x:v>
      </x:c>
      <x:c r="B218" s="52" t="n">
        <x:v>6.7</x:v>
      </x:c>
      <x:c r="C218" s="52" t="n">
        <x:v>7.171</x:v>
      </x:c>
      <x:c r="D218" s="53" t="n">
        <x:v>0.030299999999999997</x:v>
      </x:c>
      <x:c r="E218" s="53" t="n">
        <x:f>IFERROR(B218/$B$488-1,"")</x:f>
        <x:v>1.1881123448726325</x:v>
      </x:c>
      <x:c r="F218" s="54" t="str">
        <x:v>开放申购</x:v>
      </x:c>
      <x:c r="G218" s="54" t="str">
        <x:v>开放赎回</x:v>
      </x:c>
    </x:row>
    <x:row r="219">
      <x:c r="A219" s="49" t="n">
        <x:v>45947</x:v>
      </x:c>
      <x:c r="B219" s="52" t="n">
        <x:v>6.503</x:v>
      </x:c>
      <x:c r="C219" s="52" t="n">
        <x:v>6.974</x:v>
      </x:c>
      <x:c r="D219" s="53" t="n">
        <x:v>-0.031400000000000004</x:v>
      </x:c>
      <x:c r="E219" s="53" t="n">
        <x:f>IFERROR(B219/$B$488-1,"")</x:f>
        <x:v>1.1237753102547354</x:v>
      </x:c>
      <x:c r="F219" s="54" t="str">
        <x:v>开放申购</x:v>
      </x:c>
      <x:c r="G219" s="54" t="str">
        <x:v>开放赎回</x:v>
      </x:c>
    </x:row>
    <x:row r="220">
      <x:c r="A220" s="49" t="n">
        <x:v>45946</x:v>
      </x:c>
      <x:c r="B220" s="52" t="n">
        <x:v>6.714</x:v>
      </x:c>
      <x:c r="C220" s="52" t="n">
        <x:v>7.185</x:v>
      </x:c>
      <x:c r="D220" s="53" t="n">
        <x:v>-0.005600000000000001</x:v>
      </x:c>
      <x:c r="E220" s="53" t="n">
        <x:f>IFERROR(B220/$B$488-1,"")</x:f>
        <x:v>1.1926845199216203</x:v>
      </x:c>
      <x:c r="F220" s="54" t="str">
        <x:v>开放申购</x:v>
      </x:c>
      <x:c r="G220" s="54" t="str">
        <x:v>开放赎回</x:v>
      </x:c>
    </x:row>
    <x:row r="221">
      <x:c r="A221" s="49" t="n">
        <x:v>45945</x:v>
      </x:c>
      <x:c r="B221" s="52" t="n">
        <x:v>6.752</x:v>
      </x:c>
      <x:c r="C221" s="52" t="n">
        <x:v>7.223</x:v>
      </x:c>
      <x:c r="D221" s="53" t="n">
        <x:v>0.038599999999999995</x:v>
      </x:c>
      <x:c r="E221" s="53" t="n">
        <x:f>IFERROR(B221/$B$488-1,"")</x:f>
        <x:v>1.2050947093403006</x:v>
      </x:c>
      <x:c r="F221" s="54" t="str">
        <x:v>开放申购</x:v>
      </x:c>
      <x:c r="G221" s="54" t="str">
        <x:v>开放赎回</x:v>
      </x:c>
    </x:row>
    <x:row r="222">
      <x:c r="A222" s="49" t="n">
        <x:v>45944</x:v>
      </x:c>
      <x:c r="B222" s="52" t="n">
        <x:v>6.501</x:v>
      </x:c>
      <x:c r="C222" s="52" t="n">
        <x:v>6.972</x:v>
      </x:c>
      <x:c r="D222" s="53" t="n">
        <x:v>-0.0478</x:v>
      </x:c>
      <x:c r="E222" s="53" t="n">
        <x:f>IFERROR(B222/$B$488-1,"")</x:f>
        <x:v>1.1231221423905948</x:v>
      </x:c>
      <x:c r="F222" s="54" t="str">
        <x:v>开放申购</x:v>
      </x:c>
      <x:c r="G222" s="54" t="str">
        <x:v>开放赎回</x:v>
      </x:c>
    </x:row>
    <x:row r="223">
      <x:c r="A223" s="49" t="n">
        <x:v>45943</x:v>
      </x:c>
      <x:c r="B223" s="52" t="n">
        <x:v>6.827</x:v>
      </x:c>
      <x:c r="C223" s="52" t="n">
        <x:v>7.298</x:v>
      </x:c>
      <x:c r="D223" s="53" t="n">
        <x:v>-0.018799999999999997</x:v>
      </x:c>
      <x:c r="E223" s="53" t="n">
        <x:f>IFERROR(B223/$B$488-1,"")</x:f>
        <x:v>1.2295885042455912</x:v>
      </x:c>
      <x:c r="F223" s="54" t="str">
        <x:v>开放申购</x:v>
      </x:c>
      <x:c r="G223" s="54" t="str">
        <x:v>开放赎回</x:v>
      </x:c>
    </x:row>
    <x:row r="224">
      <x:c r="A224" s="49" t="n">
        <x:v>45940</x:v>
      </x:c>
      <x:c r="B224" s="52" t="n">
        <x:v>6.958</x:v>
      </x:c>
      <x:c r="C224" s="52" t="n">
        <x:v>7.429</x:v>
      </x:c>
      <x:c r="D224" s="53" t="n">
        <x:v>-0.0222</x:v>
      </x:c>
      <x:c r="E224" s="53" t="n">
        <x:f>IFERROR(B224/$B$488-1,"")</x:f>
        <x:v>1.2723709993468324</x:v>
      </x:c>
      <x:c r="F224" s="54" t="str">
        <x:v>开放申购</x:v>
      </x:c>
      <x:c r="G224" s="54" t="str">
        <x:v>开放赎回</x:v>
      </x:c>
    </x:row>
    <x:row r="225">
      <x:c r="A225" s="49" t="n">
        <x:v>45939</x:v>
      </x:c>
      <x:c r="B225" s="52" t="n">
        <x:v>7.116</x:v>
      </x:c>
      <x:c r="C225" s="52" t="n">
        <x:v>7.587</x:v>
      </x:c>
      <x:c r="D225" s="53" t="n">
        <x:v>0.0072</x:v>
      </x:c>
      <x:c r="E225" s="53" t="n">
        <x:f>IFERROR(B225/$B$488-1,"")</x:f>
        <x:v>1.3239712606139777</x:v>
      </x:c>
      <x:c r="F225" s="54" t="str">
        <x:v>开放申购</x:v>
      </x:c>
      <x:c r="G225" s="54" t="str">
        <x:v>开放赎回</x:v>
      </x:c>
    </x:row>
    <x:row r="226">
      <x:c r="A226" s="49" t="n">
        <x:v>45930</x:v>
      </x:c>
      <x:c r="B226" s="52" t="n">
        <x:v>7.065</x:v>
      </x:c>
      <x:c r="C226" s="52" t="n">
        <x:v>7.536</x:v>
      </x:c>
      <x:c r="D226" s="53" t="n">
        <x:v>-0.0189</x:v>
      </x:c>
      <x:c r="E226" s="53" t="n">
        <x:f>IFERROR(B226/$B$488-1,"")</x:f>
        <x:v>1.3073154800783806</x:v>
      </x:c>
      <x:c r="F226" s="54" t="str">
        <x:v>开放申购</x:v>
      </x:c>
      <x:c r="G226" s="54" t="str">
        <x:v>开放赎回</x:v>
      </x:c>
    </x:row>
    <x:row r="227">
      <x:c r="A227" s="49" t="n">
        <x:v>45929</x:v>
      </x:c>
      <x:c r="B227" s="52" t="n">
        <x:v>7.201</x:v>
      </x:c>
      <x:c r="C227" s="52" t="n">
        <x:v>7.672</x:v>
      </x:c>
      <x:c r="D227" s="53" t="n">
        <x:v>0.022400000000000003</x:v>
      </x:c>
      <x:c r="E227" s="53" t="n">
        <x:f>IFERROR(B227/$B$488-1,"")</x:f>
        <x:v>1.351730894839974</x:v>
      </x:c>
      <x:c r="F227" s="54" t="str">
        <x:v>开放申购</x:v>
      </x:c>
      <x:c r="G227" s="54" t="str">
        <x:v>开放赎回</x:v>
      </x:c>
    </x:row>
    <x:row r="228">
      <x:c r="A228" s="49" t="n">
        <x:v>45926</x:v>
      </x:c>
      <x:c r="B228" s="52" t="n">
        <x:v>7.043</x:v>
      </x:c>
      <x:c r="C228" s="52" t="n">
        <x:v>7.514</x:v>
      </x:c>
      <x:c r="D228" s="53" t="n">
        <x:v>-0.0349</x:v>
      </x:c>
      <x:c r="E228" s="53" t="n">
        <x:f>IFERROR(B228/$B$488-1,"")</x:f>
        <x:v>1.3001306335728282</x:v>
      </x:c>
      <x:c r="F228" s="54" t="str">
        <x:v>开放申购</x:v>
      </x:c>
      <x:c r="G228" s="54" t="str">
        <x:v>开放赎回</x:v>
      </x:c>
    </x:row>
    <x:row r="229">
      <x:c r="A229" s="49" t="n">
        <x:v>45925</x:v>
      </x:c>
      <x:c r="B229" s="52" t="n">
        <x:v>7.298</x:v>
      </x:c>
      <x:c r="C229" s="52" t="n">
        <x:v>7.769</x:v>
      </x:c>
      <x:c r="D229" s="53" t="n">
        <x:v>0.0025</x:v>
      </x:c>
      <x:c r="E229" s="53" t="n">
        <x:f>IFERROR(B229/$B$488-1,"")</x:f>
        <x:v>1.3834095362508165</x:v>
      </x:c>
      <x:c r="F229" s="54" t="str">
        <x:v>开放申购</x:v>
      </x:c>
      <x:c r="G229" s="54" t="str">
        <x:v>开放赎回</x:v>
      </x:c>
    </x:row>
    <x:row r="230">
      <x:c r="A230" s="49" t="n">
        <x:v>45924</x:v>
      </x:c>
      <x:c r="B230" s="52" t="n">
        <x:v>7.28</x:v>
      </x:c>
      <x:c r="C230" s="52" t="n">
        <x:v>7.751</x:v>
      </x:c>
      <x:c r="D230" s="53" t="n">
        <x:v>-0.0187</x:v>
      </x:c>
      <x:c r="E230" s="53" t="n">
        <x:f>IFERROR(B230/$B$488-1,"")</x:f>
        <x:v>1.377531025473547</x:v>
      </x:c>
      <x:c r="F230" s="54" t="str">
        <x:v>开放申购</x:v>
      </x:c>
      <x:c r="G230" s="54" t="str">
        <x:v>开放赎回</x:v>
      </x:c>
    </x:row>
    <x:row r="231">
      <x:c r="A231" s="49" t="n">
        <x:v>45923</x:v>
      </x:c>
      <x:c r="B231" s="52" t="n">
        <x:v>7.419</x:v>
      </x:c>
      <x:c r="C231" s="52" t="n">
        <x:v>7.89</x:v>
      </x:c>
      <x:c r="D231" s="53" t="n">
        <x:v>0.005699999999999999</x:v>
      </x:c>
      <x:c r="E231" s="53" t="n">
        <x:f>IFERROR(B231/$B$488-1,"")</x:f>
        <x:v>1.422926192031352</x:v>
      </x:c>
      <x:c r="F231" s="54" t="str">
        <x:v>开放申购</x:v>
      </x:c>
      <x:c r="G231" s="54" t="str">
        <x:v>开放赎回</x:v>
      </x:c>
    </x:row>
    <x:row r="232">
      <x:c r="A232" s="49" t="n">
        <x:v>45922</x:v>
      </x:c>
      <x:c r="B232" s="52" t="n">
        <x:v>7.377</x:v>
      </x:c>
      <x:c r="C232" s="52" t="n">
        <x:v>7.848</x:v>
      </x:c>
      <x:c r="D232" s="53" t="n">
        <x:v>0.021</x:v>
      </x:c>
      <x:c r="E232" s="53" t="n">
        <x:f>IFERROR(B232/$B$488-1,"")</x:f>
        <x:v>1.4092096668843892</x:v>
      </x:c>
      <x:c r="F232" s="54" t="str">
        <x:v>开放申购</x:v>
      </x:c>
      <x:c r="G232" s="54" t="str">
        <x:v>开放赎回</x:v>
      </x:c>
    </x:row>
    <x:row r="233">
      <x:c r="A233" s="49" t="n">
        <x:v>45919</x:v>
      </x:c>
      <x:c r="B233" s="52" t="n">
        <x:v>7.225</x:v>
      </x:c>
      <x:c r="C233" s="52" t="n">
        <x:v>7.696</x:v>
      </x:c>
      <x:c r="D233" s="53" t="n">
        <x:v>-0.0006</x:v>
      </x:c>
      <x:c r="E233" s="53" t="n">
        <x:f>IFERROR(B233/$B$488-1,"")</x:f>
        <x:v>1.359568909209667</x:v>
      </x:c>
      <x:c r="F233" s="54" t="str">
        <x:v>开放申购</x:v>
      </x:c>
      <x:c r="G233" s="54" t="str">
        <x:v>开放赎回</x:v>
      </x:c>
    </x:row>
    <x:row r="234">
      <x:c r="A234" s="49" t="n">
        <x:v>45918</x:v>
      </x:c>
      <x:c r="B234" s="52" t="n">
        <x:v>7.229</x:v>
      </x:c>
      <x:c r="C234" s="52" t="n">
        <x:v>7.7</x:v>
      </x:c>
      <x:c r="D234" s="53" t="n">
        <x:v>0.015300000000000001</x:v>
      </x:c>
      <x:c r="E234" s="53" t="n">
        <x:f>IFERROR(B234/$B$488-1,"")</x:f>
        <x:v>1.360875244937949</x:v>
      </x:c>
      <x:c r="F234" s="54" t="str">
        <x:v>开放申购</x:v>
      </x:c>
      <x:c r="G234" s="54" t="str">
        <x:v>开放赎回</x:v>
      </x:c>
    </x:row>
    <x:row r="235">
      <x:c r="A235" s="49" t="n">
        <x:v>45917</x:v>
      </x:c>
      <x:c r="B235" s="52" t="n">
        <x:v>7.12</x:v>
      </x:c>
      <x:c r="C235" s="52" t="n">
        <x:v>7.591</x:v>
      </x:c>
      <x:c r="D235" s="53" t="n">
        <x:v>0.003</x:v>
      </x:c>
      <x:c r="E235" s="53" t="n">
        <x:f>IFERROR(B235/$B$488-1,"")</x:f>
        <x:v>1.3252775963422603</x:v>
      </x:c>
      <x:c r="F235" s="54" t="str">
        <x:v>开放申购</x:v>
      </x:c>
      <x:c r="G235" s="54" t="str">
        <x:v>开放赎回</x:v>
      </x:c>
    </x:row>
    <x:row r="236">
      <x:c r="A236" s="49" t="n">
        <x:v>45916</x:v>
      </x:c>
      <x:c r="B236" s="52" t="n">
        <x:v>7.099</x:v>
      </x:c>
      <x:c r="C236" s="52" t="n">
        <x:v>7.57</x:v>
      </x:c>
      <x:c r="D236" s="53" t="n">
        <x:v>0.0087</x:v>
      </x:c>
      <x:c r="E236" s="53" t="n">
        <x:f>IFERROR(B236/$B$488-1,"")</x:f>
        <x:v>1.3184193337687788</x:v>
      </x:c>
      <x:c r="F236" s="54" t="str">
        <x:v>开放申购</x:v>
      </x:c>
      <x:c r="G236" s="54" t="str">
        <x:v>开放赎回</x:v>
      </x:c>
    </x:row>
    <x:row r="237">
      <x:c r="A237" s="49" t="n">
        <x:v>45915</x:v>
      </x:c>
      <x:c r="B237" s="52" t="n">
        <x:v>7.038</x:v>
      </x:c>
      <x:c r="C237" s="52" t="n">
        <x:v>7.509</x:v>
      </x:c>
      <x:c r="D237" s="53" t="n">
        <x:v>-0.0191</x:v>
      </x:c>
      <x:c r="E237" s="53" t="n">
        <x:f>IFERROR(B237/$B$488-1,"")</x:f>
        <x:v>1.2984977139124756</x:v>
      </x:c>
      <x:c r="F237" s="54" t="str">
        <x:v>开放申购</x:v>
      </x:c>
      <x:c r="G237" s="54" t="str">
        <x:v>开放赎回</x:v>
      </x:c>
    </x:row>
    <x:row r="238">
      <x:c r="A238" s="49" t="n">
        <x:v>45912</x:v>
      </x:c>
      <x:c r="B238" s="52" t="n">
        <x:v>7.175</x:v>
      </x:c>
      <x:c r="C238" s="52" t="n">
        <x:v>7.646</x:v>
      </x:c>
      <x:c r="D238" s="53" t="n">
        <x:v>-0.0003</x:v>
      </x:c>
      <x:c r="E238" s="53" t="n">
        <x:f>IFERROR(B238/$B$488-1,"")</x:f>
        <x:v>1.34323971260614</x:v>
      </x:c>
      <x:c r="F238" s="54" t="str">
        <x:v>开放申购</x:v>
      </x:c>
      <x:c r="G238" s="54" t="str">
        <x:v>开放赎回</x:v>
      </x:c>
    </x:row>
    <x:row r="239">
      <x:c r="A239" s="49" t="n">
        <x:v>45911</x:v>
      </x:c>
      <x:c r="B239" s="52" t="n">
        <x:v>7.177</x:v>
      </x:c>
      <x:c r="C239" s="52" t="n">
        <x:v>7.648</x:v>
      </x:c>
      <x:c r="D239" s="53" t="n">
        <x:v>0.10640000000000001</x:v>
      </x:c>
      <x:c r="E239" s="53" t="n">
        <x:f>IFERROR(B239/$B$488-1,"")</x:f>
        <x:v>1.343892880470281</x:v>
      </x:c>
      <x:c r="F239" s="54" t="str">
        <x:v>开放申购</x:v>
      </x:c>
      <x:c r="G239" s="54" t="str">
        <x:v>开放赎回</x:v>
      </x:c>
    </x:row>
    <x:row r="240">
      <x:c r="A240" s="49" t="n">
        <x:v>45910</x:v>
      </x:c>
      <x:c r="B240" s="52" t="n">
        <x:v>6.487</x:v>
      </x:c>
      <x:c r="C240" s="52" t="n">
        <x:v>6.958</x:v>
      </x:c>
      <x:c r="D240" s="53" t="n">
        <x:v>0.04650000000000001</x:v>
      </x:c>
      <x:c r="E240" s="53" t="n">
        <x:f>IFERROR(B240/$B$488-1,"")</x:f>
        <x:v>1.118549967341607</x:v>
      </x:c>
      <x:c r="F240" s="54" t="str">
        <x:v>开放申购</x:v>
      </x:c>
      <x:c r="G240" s="54" t="str">
        <x:v>开放赎回</x:v>
      </x:c>
    </x:row>
    <x:row r="241">
      <x:c r="A241" s="49" t="n">
        <x:v>45909</x:v>
      </x:c>
      <x:c r="B241" s="52" t="n">
        <x:v>6.199</x:v>
      </x:c>
      <x:c r="C241" s="52" t="n">
        <x:v>6.67</x:v>
      </x:c>
      <x:c r="D241" s="53" t="n">
        <x:v>-0.026099999999999998</x:v>
      </x:c>
      <x:c r="E241" s="53" t="n">
        <x:f>IFERROR(B241/$B$488-1,"")</x:f>
        <x:v>1.0244937949052906</x:v>
      </x:c>
      <x:c r="F241" s="54" t="str">
        <x:v>开放申购</x:v>
      </x:c>
      <x:c r="G241" s="54" t="str">
        <x:v>开放赎回</x:v>
      </x:c>
    </x:row>
    <x:row r="242">
      <x:c r="A242" s="49" t="n">
        <x:v>45908</x:v>
      </x:c>
      <x:c r="B242" s="52" t="n">
        <x:v>6.365</x:v>
      </x:c>
      <x:c r="C242" s="52" t="n">
        <x:v>6.836</x:v>
      </x:c>
      <x:c r="D242" s="53" t="n">
        <x:v>-0.042699999999999995</x:v>
      </x:c>
      <x:c r="E242" s="53" t="n">
        <x:f>IFERROR(B242/$B$488-1,"")</x:f>
        <x:v>1.078706727629001</x:v>
      </x:c>
      <x:c r="F242" s="54" t="str">
        <x:v>开放申购</x:v>
      </x:c>
      <x:c r="G242" s="54" t="str">
        <x:v>开放赎回</x:v>
      </x:c>
    </x:row>
    <x:row r="243">
      <x:c r="A243" s="49" t="n">
        <x:v>45905</x:v>
      </x:c>
      <x:c r="B243" s="52" t="n">
        <x:v>6.649</x:v>
      </x:c>
      <x:c r="C243" s="52" t="n">
        <x:v>7.12</x:v>
      </x:c>
      <x:c r="D243" s="53" t="n">
        <x:v>0.0761</x:v>
      </x:c>
      <x:c r="E243" s="53" t="n">
        <x:f>IFERROR(B243/$B$488-1,"")</x:f>
        <x:v>1.171456564337035</x:v>
      </x:c>
      <x:c r="F243" s="54" t="str">
        <x:v>开放申购</x:v>
      </x:c>
      <x:c r="G243" s="54" t="str">
        <x:v>开放赎回</x:v>
      </x:c>
    </x:row>
    <x:row r="244">
      <x:c r="A244" s="49" t="n">
        <x:v>45904</x:v>
      </x:c>
      <x:c r="B244" s="52" t="n">
        <x:v>6.179</x:v>
      </x:c>
      <x:c r="C244" s="52" t="n">
        <x:v>6.65</x:v>
      </x:c>
      <x:c r="D244" s="53" t="n">
        <x:v>-0.08960000000000001</x:v>
      </x:c>
      <x:c r="E244" s="53" t="n">
        <x:f>IFERROR(B244/$B$488-1,"")</x:f>
        <x:v>1.0179621162638801</x:v>
      </x:c>
      <x:c r="F244" s="54" t="str">
        <x:v>开放申购</x:v>
      </x:c>
      <x:c r="G244" s="54" t="str">
        <x:v>开放赎回</x:v>
      </x:c>
    </x:row>
    <x:row r="245">
      <x:c r="A245" s="49" t="n">
        <x:v>45903</x:v>
      </x:c>
      <x:c r="B245" s="52" t="n">
        <x:v>6.787</x:v>
      </x:c>
      <x:c r="C245" s="52" t="n">
        <x:v>7.258</x:v>
      </x:c>
      <x:c r="D245" s="53" t="n">
        <x:v>0.0271</x:v>
      </x:c>
      <x:c r="E245" s="53" t="n">
        <x:f>IFERROR(B245/$B$488-1,"")</x:f>
        <x:v>1.2165251469627694</x:v>
      </x:c>
      <x:c r="F245" s="54" t="str">
        <x:v>开放申购</x:v>
      </x:c>
      <x:c r="G245" s="54" t="str">
        <x:v>开放赎回</x:v>
      </x:c>
    </x:row>
    <x:row r="246">
      <x:c r="A246" s="49" t="n">
        <x:v>45902</x:v>
      </x:c>
      <x:c r="B246" s="52" t="n">
        <x:v>6.608</x:v>
      </x:c>
      <x:c r="C246" s="52" t="n">
        <x:v>7.079</x:v>
      </x:c>
      <x:c r="D246" s="53" t="n">
        <x:v>-0.0571</x:v>
      </x:c>
      <x:c r="E246" s="53" t="n">
        <x:f>IFERROR(B246/$B$488-1,"")</x:f>
        <x:v>1.1580666231221426</x:v>
      </x:c>
      <x:c r="F246" s="54" t="str">
        <x:v>开放申购</x:v>
      </x:c>
      <x:c r="G246" s="54" t="str">
        <x:v>开放赎回</x:v>
      </x:c>
    </x:row>
    <x:row r="247">
      <x:c r="A247" s="49" t="n">
        <x:v>45901</x:v>
      </x:c>
      <x:c r="B247" s="52" t="n">
        <x:v>7.008</x:v>
      </x:c>
      <x:c r="C247" s="52" t="n">
        <x:v>7.479</x:v>
      </x:c>
      <x:c r="D247" s="53" t="n">
        <x:v>0.0393</x:v>
      </x:c>
      <x:c r="E247" s="53" t="n">
        <x:f>IFERROR(B247/$B$488-1,"")</x:f>
        <x:v>1.2887001959503595</x:v>
      </x:c>
      <x:c r="F247" s="54" t="str">
        <x:v>开放申购</x:v>
      </x:c>
      <x:c r="G247" s="54" t="str">
        <x:v>开放赎回</x:v>
      </x:c>
    </x:row>
    <x:row r="248">
      <x:c r="A248" s="49" t="n">
        <x:v>45898</x:v>
      </x:c>
      <x:c r="B248" s="52" t="n">
        <x:v>6.743</x:v>
      </x:c>
      <x:c r="C248" s="52" t="n">
        <x:v>7.214</x:v>
      </x:c>
      <x:c r="D248" s="53" t="n">
        <x:v>-0.0085</x:v>
      </x:c>
      <x:c r="E248" s="53" t="n">
        <x:f>IFERROR(B248/$B$488-1,"")</x:f>
        <x:v>1.202155453951666</x:v>
      </x:c>
      <x:c r="F248" s="54" t="str">
        <x:v>开放申购</x:v>
      </x:c>
      <x:c r="G248" s="54" t="str">
        <x:v>开放赎回</x:v>
      </x:c>
    </x:row>
    <x:row r="249">
      <x:c r="A249" s="49" t="n">
        <x:v>45897</x:v>
      </x:c>
      <x:c r="B249" s="52" t="n">
        <x:v>6.801</x:v>
      </x:c>
      <x:c r="C249" s="52" t="n">
        <x:v>7.272</x:v>
      </x:c>
      <x:c r="D249" s="53" t="n">
        <x:v>0.0889</x:v>
      </x:c>
      <x:c r="E249" s="53" t="n">
        <x:f>IFERROR(B249/$B$488-1,"")</x:f>
        <x:v>1.2210973220117571</x:v>
      </x:c>
      <x:c r="F249" s="54" t="str">
        <x:v>开放申购</x:v>
      </x:c>
      <x:c r="G249" s="54" t="str">
        <x:v>开放赎回</x:v>
      </x:c>
    </x:row>
    <x:row r="250">
      <x:c r="A250" s="49" t="n">
        <x:v>45896</x:v>
      </x:c>
      <x:c r="B250" s="52" t="n">
        <x:v>6.246</x:v>
      </x:c>
      <x:c r="C250" s="52" t="n">
        <x:v>6.717</x:v>
      </x:c>
      <x:c r="D250" s="53" t="n">
        <x:v>0.0322</x:v>
      </x:c>
      <x:c r="E250" s="53" t="n">
        <x:f>IFERROR(B250/$B$488-1,"")</x:f>
        <x:v>1.0398432397126065</x:v>
      </x:c>
      <x:c r="F250" s="54" t="str">
        <x:v>开放申购</x:v>
      </x:c>
      <x:c r="G250" s="54" t="str">
        <x:v>开放赎回</x:v>
      </x:c>
    </x:row>
    <x:row r="251">
      <x:c r="A251" s="49" t="n">
        <x:v>45895</x:v>
      </x:c>
      <x:c r="B251" s="52" t="n">
        <x:v>6.051</x:v>
      </x:c>
      <x:c r="C251" s="52" t="n">
        <x:v>6.522</x:v>
      </x:c>
      <x:c r="D251" s="53" t="n">
        <x:v>-0.0155</x:v>
      </x:c>
      <x:c r="E251" s="53" t="n">
        <x:f>IFERROR(B251/$B$488-1,"")</x:f>
        <x:v>0.9761593729588507</x:v>
      </x:c>
      <x:c r="F251" s="54" t="str">
        <x:v>开放申购</x:v>
      </x:c>
      <x:c r="G251" s="54" t="str">
        <x:v>开放赎回</x:v>
      </x:c>
    </x:row>
    <x:row r="252">
      <x:c r="A252" s="49" t="n">
        <x:v>45894</x:v>
      </x:c>
      <x:c r="B252" s="52" t="n">
        <x:v>6.146</x:v>
      </x:c>
      <x:c r="C252" s="52" t="n">
        <x:v>6.617</x:v>
      </x:c>
      <x:c r="D252" s="53" t="n">
        <x:v>0.0754</x:v>
      </x:c>
      <x:c r="E252" s="53" t="n">
        <x:f>IFERROR(B252/$B$488-1,"")</x:f>
        <x:v>1.007184846505552</x:v>
      </x:c>
      <x:c r="F252" s="54" t="str">
        <x:v>开放申购</x:v>
      </x:c>
      <x:c r="G252" s="54" t="str">
        <x:v>开放赎回</x:v>
      </x:c>
    </x:row>
    <x:row r="253">
      <x:c r="A253" s="49" t="n">
        <x:v>45891</x:v>
      </x:c>
      <x:c r="B253" s="52" t="n">
        <x:v>5.715</x:v>
      </x:c>
      <x:c r="C253" s="52" t="n">
        <x:v>6.186</x:v>
      </x:c>
      <x:c r="D253" s="53" t="n">
        <x:v>0.0404</x:v>
      </x:c>
      <x:c r="E253" s="53" t="n">
        <x:f>IFERROR(B253/$B$488-1,"")</x:f>
        <x:v>0.8664271717831484</x:v>
      </x:c>
      <x:c r="F253" s="54" t="str">
        <x:v>开放申购</x:v>
      </x:c>
      <x:c r="G253" s="54" t="str">
        <x:v>开放赎回</x:v>
      </x:c>
    </x:row>
    <x:row r="254">
      <x:c r="A254" s="49" t="n">
        <x:v>45890</x:v>
      </x:c>
      <x:c r="B254" s="52" t="n">
        <x:v>5.493</x:v>
      </x:c>
      <x:c r="C254" s="52" t="n">
        <x:v>5.964</x:v>
      </x:c>
      <x:c r="D254" s="53" t="n">
        <x:v>-0.018799999999999997</x:v>
      </x:c>
      <x:c r="E254" s="53" t="n">
        <x:f>IFERROR(B254/$B$488-1,"")</x:f>
        <x:v>0.793925538863488</x:v>
      </x:c>
      <x:c r="F254" s="54" t="str">
        <x:v>开放申购</x:v>
      </x:c>
      <x:c r="G254" s="54" t="str">
        <x:v>开放赎回</x:v>
      </x:c>
    </x:row>
    <x:row r="255">
      <x:c r="A255" s="49" t="n">
        <x:v>45889</x:v>
      </x:c>
      <x:c r="B255" s="52" t="n">
        <x:v>5.598</x:v>
      </x:c>
      <x:c r="C255" s="52" t="n">
        <x:v>6.069</x:v>
      </x:c>
      <x:c r="D255" s="53" t="n">
        <x:v>-0.0018</x:v>
      </x:c>
      <x:c r="E255" s="53" t="n">
        <x:f>IFERROR(B255/$B$488-1,"")</x:f>
        <x:v>0.828216851730895</x:v>
      </x:c>
      <x:c r="F255" s="54" t="str">
        <x:v>开放申购</x:v>
      </x:c>
      <x:c r="G255" s="54" t="str">
        <x:v>开放赎回</x:v>
      </x:c>
    </x:row>
    <x:row r="256">
      <x:c r="A256" s="49" t="n">
        <x:v>45888</x:v>
      </x:c>
      <x:c r="B256" s="52" t="n">
        <x:v>5.608</x:v>
      </x:c>
      <x:c r="C256" s="52" t="n">
        <x:v>6.079</x:v>
      </x:c>
      <x:c r="D256" s="53" t="n">
        <x:v>0.0296</x:v>
      </x:c>
      <x:c r="E256" s="53" t="n">
        <x:f>IFERROR(B256/$B$488-1,"")</x:f>
        <x:v>0.8314826910516002</x:v>
      </x:c>
      <x:c r="F256" s="54" t="str">
        <x:v>开放申购</x:v>
      </x:c>
      <x:c r="G256" s="54" t="str">
        <x:v>开放赎回</x:v>
      </x:c>
    </x:row>
    <x:row r="257">
      <x:c r="A257" s="49" t="n">
        <x:v>45887</x:v>
      </x:c>
      <x:c r="B257" s="52" t="n">
        <x:v>5.447</x:v>
      </x:c>
      <x:c r="C257" s="52" t="n">
        <x:v>5.918</x:v>
      </x:c>
      <x:c r="D257" s="53" t="n">
        <x:v>0.0379</x:v>
      </x:c>
      <x:c r="E257" s="53" t="n">
        <x:f>IFERROR(B257/$B$488-1,"")</x:f>
        <x:v>0.7789026779882431</x:v>
      </x:c>
      <x:c r="F257" s="54" t="str">
        <x:v>开放申购</x:v>
      </x:c>
      <x:c r="G257" s="54" t="str">
        <x:v>开放赎回</x:v>
      </x:c>
    </x:row>
    <x:row r="258">
      <x:c r="A258" s="49" t="n">
        <x:v>45884</x:v>
      </x:c>
      <x:c r="B258" s="52" t="n">
        <x:v>5.248</x:v>
      </x:c>
      <x:c r="C258" s="52" t="n">
        <x:v>5.719</x:v>
      </x:c>
      <x:c r="D258" s="53" t="n">
        <x:v>0.01</x:v>
      </x:c>
      <x:c r="E258" s="53" t="n">
        <x:f>IFERROR(B258/$B$488-1,"")</x:f>
        <x:v>0.7139124755062052</x:v>
      </x:c>
      <x:c r="F258" s="54" t="str">
        <x:v>开放申购</x:v>
      </x:c>
      <x:c r="G258" s="54" t="str">
        <x:v>开放赎回</x:v>
      </x:c>
    </x:row>
    <x:row r="259">
      <x:c r="A259" s="49" t="n">
        <x:v>45883</x:v>
      </x:c>
      <x:c r="B259" s="52" t="n">
        <x:v>5.196</x:v>
      </x:c>
      <x:c r="C259" s="52" t="n">
        <x:v>5.667</x:v>
      </x:c>
      <x:c r="D259" s="53" t="n">
        <x:v>-0.0329</x:v>
      </x:c>
      <x:c r="E259" s="53" t="n">
        <x:f>IFERROR(B259/$B$488-1,"")</x:f>
        <x:v>0.6969301110385369</x:v>
      </x:c>
      <x:c r="F259" s="54" t="str">
        <x:v>开放申购</x:v>
      </x:c>
      <x:c r="G259" s="54" t="str">
        <x:v>开放赎回</x:v>
      </x:c>
    </x:row>
    <x:row r="260">
      <x:c r="A260" s="49" t="n">
        <x:v>45882</x:v>
      </x:c>
      <x:c r="B260" s="52" t="n">
        <x:v>5.373</x:v>
      </x:c>
      <x:c r="C260" s="52" t="n">
        <x:v>5.844</x:v>
      </x:c>
      <x:c r="D260" s="53" t="n">
        <x:v>0.0735</x:v>
      </x:c>
      <x:c r="E260" s="53" t="n">
        <x:f>IFERROR(B260/$B$488-1,"")</x:f>
        <x:v>0.754735467015023</x:v>
      </x:c>
      <x:c r="F260" s="54" t="str">
        <x:v>开放申购</x:v>
      </x:c>
      <x:c r="G260" s="54" t="str">
        <x:v>开放赎回</x:v>
      </x:c>
    </x:row>
    <x:row r="261">
      <x:c r="A261" s="49" t="n">
        <x:v>45881</x:v>
      </x:c>
      <x:c r="B261" s="52" t="n">
        <x:v>5.005</x:v>
      </x:c>
      <x:c r="C261" s="52" t="n">
        <x:v>5.476</x:v>
      </x:c>
      <x:c r="D261" s="53" t="n">
        <x:v>0.0313</x:v>
      </x:c>
      <x:c r="E261" s="53" t="n">
        <x:f>IFERROR(B261/$B$488-1,"")</x:f>
        <x:v>0.6345525800130634</x:v>
      </x:c>
      <x:c r="F261" s="54" t="str">
        <x:v>开放申购</x:v>
      </x:c>
      <x:c r="G261" s="54" t="str">
        <x:v>开放赎回</x:v>
      </x:c>
    </x:row>
    <x:row r="262">
      <x:c r="A262" s="49" t="n">
        <x:v>45880</x:v>
      </x:c>
      <x:c r="B262" s="52" t="n">
        <x:v>4.853</x:v>
      </x:c>
      <x:c r="C262" s="52" t="n">
        <x:v>5.324</x:v>
      </x:c>
      <x:c r="D262" s="53" t="n">
        <x:v>0.0352</x:v>
      </x:c>
      <x:c r="E262" s="53" t="n">
        <x:f>IFERROR(B262/$B$488-1,"")</x:f>
        <x:v>0.5849118223383409</x:v>
      </x:c>
      <x:c r="F262" s="54" t="str">
        <x:v>开放申购</x:v>
      </x:c>
      <x:c r="G262" s="54" t="str">
        <x:v>开放赎回</x:v>
      </x:c>
    </x:row>
    <x:row r="263">
      <x:c r="A263" s="49" t="n">
        <x:v>45877</x:v>
      </x:c>
      <x:c r="B263" s="52" t="n">
        <x:v>4.688</x:v>
      </x:c>
      <x:c r="C263" s="52" t="n">
        <x:v>5.159</x:v>
      </x:c>
      <x:c r="D263" s="53" t="n">
        <x:v>-0.0068000000000000005</x:v>
      </x:c>
      <x:c r="E263" s="53" t="n">
        <x:f>IFERROR(B263/$B$488-1,"")</x:f>
        <x:v>0.5310254735467015</x:v>
      </x:c>
      <x:c r="F263" s="54" t="str">
        <x:v>开放申购</x:v>
      </x:c>
      <x:c r="G263" s="54" t="str">
        <x:v>开放赎回</x:v>
      </x:c>
    </x:row>
    <x:row r="264">
      <x:c r="A264" s="49" t="n">
        <x:v>45876</x:v>
      </x:c>
      <x:c r="B264" s="52" t="n">
        <x:v>4.72</x:v>
      </x:c>
      <x:c r="C264" s="52" t="n">
        <x:v>5.191</x:v>
      </x:c>
      <x:c r="D264" s="53" t="n">
        <x:v>-0.0046</x:v>
      </x:c>
      <x:c r="E264" s="53" t="n">
        <x:f>IFERROR(B264/$B$488-1,"")</x:f>
        <x:v>0.5414761593729589</x:v>
      </x:c>
      <x:c r="F264" s="54" t="str">
        <x:v>开放申购</x:v>
      </x:c>
      <x:c r="G264" s="54" t="str">
        <x:v>开放赎回</x:v>
      </x:c>
    </x:row>
    <x:row r="265">
      <x:c r="A265" s="49" t="n">
        <x:v>45875</x:v>
      </x:c>
      <x:c r="B265" s="52" t="n">
        <x:v>4.742</x:v>
      </x:c>
      <x:c r="C265" s="52" t="n">
        <x:v>5.213</x:v>
      </x:c>
      <x:c r="D265" s="53" t="n">
        <x:v>-0.0044</x:v>
      </x:c>
      <x:c r="E265" s="53" t="n">
        <x:f>IFERROR(B265/$B$488-1,"")</x:f>
        <x:v>0.5486610058785109</x:v>
      </x:c>
      <x:c r="F265" s="54" t="str">
        <x:v>开放申购</x:v>
      </x:c>
      <x:c r="G265" s="54" t="str">
        <x:v>开放赎回</x:v>
      </x:c>
    </x:row>
    <x:row r="266">
      <x:c r="A266" s="49" t="n">
        <x:v>45874</x:v>
      </x:c>
      <x:c r="B266" s="52" t="n">
        <x:v>4.763</x:v>
      </x:c>
      <x:c r="C266" s="52" t="n">
        <x:v>5.234</x:v>
      </x:c>
      <x:c r="D266" s="53" t="n">
        <x:v>0.0206</x:v>
      </x:c>
      <x:c r="E266" s="53" t="n">
        <x:f>IFERROR(B266/$B$488-1,"")</x:f>
        <x:v>0.5555192684519923</x:v>
      </x:c>
      <x:c r="F266" s="54" t="str">
        <x:v>开放申购</x:v>
      </x:c>
      <x:c r="G266" s="54" t="str">
        <x:v>开放赎回</x:v>
      </x:c>
    </x:row>
    <x:row r="267">
      <x:c r="A267" s="49" t="n">
        <x:v>45873</x:v>
      </x:c>
      <x:c r="B267" s="52" t="n">
        <x:v>4.667</x:v>
      </x:c>
      <x:c r="C267" s="52" t="n">
        <x:v>5.138</x:v>
      </x:c>
      <x:c r="D267" s="53" t="n">
        <x:v>-0.0015</x:v>
      </x:c>
      <x:c r="E267" s="53" t="n">
        <x:f>IFERROR(B267/$B$488-1,"")</x:f>
        <x:v>0.52416721097322</x:v>
      </x:c>
      <x:c r="F267" s="54" t="str">
        <x:v>开放申购</x:v>
      </x:c>
      <x:c r="G267" s="54" t="str">
        <x:v>开放赎回</x:v>
      </x:c>
    </x:row>
    <x:row r="268">
      <x:c r="A268" s="49" t="n">
        <x:v>45870</x:v>
      </x:c>
      <x:c r="B268" s="52" t="n">
        <x:v>4.674</x:v>
      </x:c>
      <x:c r="C268" s="52" t="n">
        <x:v>5.145</x:v>
      </x:c>
      <x:c r="D268" s="53" t="n">
        <x:v>-0.0172</x:v>
      </x:c>
      <x:c r="E268" s="53" t="n">
        <x:f>IFERROR(B268/$B$488-1,"")</x:f>
        <x:v>0.5264532984977142</x:v>
      </x:c>
      <x:c r="F268" s="54" t="str">
        <x:v>开放申购</x:v>
      </x:c>
      <x:c r="G268" s="54" t="str">
        <x:v>开放赎回</x:v>
      </x:c>
    </x:row>
    <x:row r="269">
      <x:c r="A269" s="49" t="n">
        <x:v>45869</x:v>
      </x:c>
      <x:c r="B269" s="52" t="n">
        <x:v>4.756</x:v>
      </x:c>
      <x:c r="C269" s="52" t="n">
        <x:v>5.227</x:v>
      </x:c>
      <x:c r="D269" s="53" t="n">
        <x:v>-0.0063</x:v>
      </x:c>
      <x:c r="E269" s="53" t="n">
        <x:f>IFERROR(B269/$B$488-1,"")</x:f>
        <x:v>0.5532331809274986</x:v>
      </x:c>
      <x:c r="F269" s="54" t="str">
        <x:v>开放申购</x:v>
      </x:c>
      <x:c r="G269" s="54" t="str">
        <x:v>开放赎回</x:v>
      </x:c>
    </x:row>
    <x:row r="270">
      <x:c r="A270" s="49" t="n">
        <x:v>45868</x:v>
      </x:c>
      <x:c r="B270" s="52" t="n">
        <x:v>4.786</x:v>
      </x:c>
      <x:c r="C270" s="52" t="n">
        <x:v>5.257</x:v>
      </x:c>
      <x:c r="D270" s="53" t="n">
        <x:v>-0.011000000000000001</x:v>
      </x:c>
      <x:c r="E270" s="53" t="n">
        <x:f>IFERROR(B270/$B$488-1,"")</x:f>
        <x:v>0.5630306988896145</x:v>
      </x:c>
      <x:c r="F270" s="54" t="str">
        <x:v>开放申购</x:v>
      </x:c>
      <x:c r="G270" s="54" t="str">
        <x:v>开放赎回</x:v>
      </x:c>
    </x:row>
    <x:row r="271">
      <x:c r="A271" s="49" t="n">
        <x:v>45867</x:v>
      </x:c>
      <x:c r="B271" s="52" t="n">
        <x:v>4.839</x:v>
      </x:c>
      <x:c r="C271" s="52" t="n">
        <x:v>5.31</x:v>
      </x:c>
      <x:c r="D271" s="53" t="n">
        <x:v>0.0554</x:v>
      </x:c>
      <x:c r="E271" s="53" t="n">
        <x:f>IFERROR(B271/$B$488-1,"")</x:f>
        <x:v>0.5803396472893536</x:v>
      </x:c>
      <x:c r="F271" s="54" t="str">
        <x:v>开放申购</x:v>
      </x:c>
      <x:c r="G271" s="54" t="str">
        <x:v>开放赎回</x:v>
      </x:c>
    </x:row>
    <x:row r="272">
      <x:c r="A272" s="49" t="n">
        <x:v>45866</x:v>
      </x:c>
      <x:c r="B272" s="52" t="n">
        <x:v>4.585</x:v>
      </x:c>
      <x:c r="C272" s="52" t="n">
        <x:v>5.056</x:v>
      </x:c>
      <x:c r="D272" s="53" t="n">
        <x:v>0.032</x:v>
      </x:c>
      <x:c r="E272" s="53" t="n">
        <x:f>IFERROR(B272/$B$488-1,"")</x:f>
        <x:v>0.4973873285434358</x:v>
      </x:c>
      <x:c r="F272" s="54" t="str">
        <x:v>开放申购</x:v>
      </x:c>
      <x:c r="G272" s="54" t="str">
        <x:v>开放赎回</x:v>
      </x:c>
    </x:row>
    <x:row r="273">
      <x:c r="A273" s="49" t="n">
        <x:v>45863</x:v>
      </x:c>
      <x:c r="B273" s="52" t="n">
        <x:v>4.443</x:v>
      </x:c>
      <x:c r="C273" s="52" t="n">
        <x:v>4.914</x:v>
      </x:c>
      <x:c r="D273" s="53" t="n">
        <x:v>0.0002</x:v>
      </x:c>
      <x:c r="E273" s="53" t="n">
        <x:f>IFERROR(B273/$B$488-1,"")</x:f>
        <x:v>0.4510124101894186</x:v>
      </x:c>
      <x:c r="F273" s="54" t="str">
        <x:v>开放申购</x:v>
      </x:c>
      <x:c r="G273" s="54" t="str">
        <x:v>开放赎回</x:v>
      </x:c>
    </x:row>
    <x:row r="274">
      <x:c r="A274" s="49" t="n">
        <x:v>45862</x:v>
      </x:c>
      <x:c r="B274" s="52" t="n">
        <x:v>4.442</x:v>
      </x:c>
      <x:c r="C274" s="52" t="n">
        <x:v>4.913</x:v>
      </x:c>
      <x:c r="D274" s="53" t="n">
        <x:v>-0.0248</x:v>
      </x:c>
      <x:c r="E274" s="53" t="n">
        <x:f>IFERROR(B274/$B$488-1,"")</x:f>
        <x:v>0.4506858262573483</x:v>
      </x:c>
      <x:c r="F274" s="54" t="str">
        <x:v>开放申购</x:v>
      </x:c>
      <x:c r="G274" s="54" t="str">
        <x:v>开放赎回</x:v>
      </x:c>
    </x:row>
    <x:row r="275">
      <x:c r="A275" s="49" t="n">
        <x:v>45861</x:v>
      </x:c>
      <x:c r="B275" s="52" t="n">
        <x:v>4.555</x:v>
      </x:c>
      <x:c r="C275" s="52" t="n">
        <x:v>5.026</x:v>
      </x:c>
      <x:c r="D275" s="53" t="n">
        <x:v>0.009300000000000001</x:v>
      </x:c>
      <x:c r="E275" s="53" t="n">
        <x:f>IFERROR(B275/$B$488-1,"")</x:f>
        <x:v>0.48758981058131945</x:v>
      </x:c>
      <x:c r="F275" s="54" t="str">
        <x:v>开放申购</x:v>
      </x:c>
      <x:c r="G275" s="54" t="str">
        <x:v>开放赎回</x:v>
      </x:c>
    </x:row>
    <x:row r="276">
      <x:c r="A276" s="49" t="n">
        <x:v>45860</x:v>
      </x:c>
      <x:c r="B276" s="52" t="n">
        <x:v>4.513</x:v>
      </x:c>
      <x:c r="C276" s="52" t="n">
        <x:v>4.984</x:v>
      </x:c>
      <x:c r="D276" s="53" t="n">
        <x:v>0.0096</x:v>
      </x:c>
      <x:c r="E276" s="53" t="n">
        <x:f>IFERROR(B276/$B$488-1,"")</x:f>
        <x:v>0.4738732854343566</x:v>
      </x:c>
      <x:c r="F276" s="54" t="str">
        <x:v>开放申购</x:v>
      </x:c>
      <x:c r="G276" s="54" t="str">
        <x:v>开放赎回</x:v>
      </x:c>
    </x:row>
    <x:row r="277">
      <x:c r="A277" s="49" t="n">
        <x:v>45859</x:v>
      </x:c>
      <x:c r="B277" s="52" t="n">
        <x:v>4.47</x:v>
      </x:c>
      <x:c r="C277" s="52" t="n">
        <x:v>4.941</x:v>
      </x:c>
      <x:c r="D277" s="53" t="n">
        <x:v>0.0016</x:v>
      </x:c>
      <x:c r="E277" s="53" t="n">
        <x:f>IFERROR(B277/$B$488-1,"")</x:f>
        <x:v>0.4598301763553234</x:v>
      </x:c>
      <x:c r="F277" s="54" t="str">
        <x:v>开放申购</x:v>
      </x:c>
      <x:c r="G277" s="54" t="str">
        <x:v>开放赎回</x:v>
      </x:c>
    </x:row>
    <x:row r="278">
      <x:c r="A278" s="49" t="n">
        <x:v>45856</x:v>
      </x:c>
      <x:c r="B278" s="52" t="n">
        <x:v>4.463</x:v>
      </x:c>
      <x:c r="C278" s="52" t="n">
        <x:v>4.934</x:v>
      </x:c>
      <x:c r="D278" s="53" t="n">
        <x:v>-0.011699999999999999</x:v>
      </x:c>
      <x:c r="E278" s="53" t="n">
        <x:f>IFERROR(B278/$B$488-1,"")</x:f>
        <x:v>0.45754408883082953</x:v>
      </x:c>
      <x:c r="F278" s="54" t="str">
        <x:v>开放申购</x:v>
      </x:c>
      <x:c r="G278" s="54" t="str">
        <x:v>开放赎回</x:v>
      </x:c>
    </x:row>
    <x:row r="279">
      <x:c r="A279" s="49" t="n">
        <x:v>45855</x:v>
      </x:c>
      <x:c r="B279" s="52" t="n">
        <x:v>4.516</x:v>
      </x:c>
      <x:c r="C279" s="52" t="n">
        <x:v>4.987</x:v>
      </x:c>
      <x:c r="D279" s="53" t="n">
        <x:v>0.0564</x:v>
      </x:c>
      <x:c r="E279" s="53" t="n">
        <x:f>IFERROR(B279/$B$488-1,"")</x:f>
        <x:v>0.4748530372305684</x:v>
      </x:c>
      <x:c r="F279" s="54" t="str">
        <x:v>开放申购</x:v>
      </x:c>
      <x:c r="G279" s="54" t="str">
        <x:v>开放赎回</x:v>
      </x:c>
    </x:row>
    <x:row r="280">
      <x:c r="A280" s="49" t="n">
        <x:v>45854</x:v>
      </x:c>
      <x:c r="B280" s="52" t="n">
        <x:v>4.275</x:v>
      </x:c>
      <x:c r="C280" s="52" t="n">
        <x:v>4.746</x:v>
      </x:c>
      <x:c r="D280" s="53" t="n">
        <x:v>-0.004699999999999999</x:v>
      </x:c>
      <x:c r="E280" s="53" t="n">
        <x:f>IFERROR(B280/$B$488-1,"")</x:f>
        <x:v>0.3961463096015678</x:v>
      </x:c>
      <x:c r="F280" s="54" t="str">
        <x:v>开放申购</x:v>
      </x:c>
      <x:c r="G280" s="54" t="str">
        <x:v>开放赎回</x:v>
      </x:c>
    </x:row>
    <x:row r="281">
      <x:c r="A281" s="49" t="n">
        <x:v>45853</x:v>
      </x:c>
      <x:c r="B281" s="52" t="n">
        <x:v>4.295</x:v>
      </x:c>
      <x:c r="C281" s="52" t="n">
        <x:v>4.766</x:v>
      </x:c>
      <x:c r="D281" s="53" t="n">
        <x:v>0.0786</x:v>
      </x:c>
      <x:c r="E281" s="53" t="n">
        <x:f>IFERROR(B281/$B$488-1,"")</x:f>
        <x:v>0.4026779882429785</x:v>
      </x:c>
      <x:c r="F281" s="54" t="str">
        <x:v>开放申购</x:v>
      </x:c>
      <x:c r="G281" s="54" t="str">
        <x:v>开放赎回</x:v>
      </x:c>
    </x:row>
    <x:row r="282">
      <x:c r="A282" s="49" t="n">
        <x:v>45852</x:v>
      </x:c>
      <x:c r="B282" s="52" t="n">
        <x:v>3.982</x:v>
      </x:c>
      <x:c r="C282" s="52" t="n">
        <x:v>4.453</x:v>
      </x:c>
      <x:c r="D282" s="53" t="n">
        <x:v>-0.0003</x:v>
      </x:c>
      <x:c r="E282" s="53" t="n">
        <x:f>IFERROR(B282/$B$488-1,"")</x:f>
        <x:v>0.30045721750489895</x:v>
      </x:c>
      <x:c r="F282" s="54" t="str">
        <x:v>开放申购</x:v>
      </x:c>
      <x:c r="G282" s="54" t="str">
        <x:v>开放赎回</x:v>
      </x:c>
    </x:row>
    <x:row r="283">
      <x:c r="A283" s="49" t="n">
        <x:v>45849</x:v>
      </x:c>
      <x:c r="B283" s="52" t="n">
        <x:v>3.983</x:v>
      </x:c>
      <x:c r="C283" s="52" t="n">
        <x:v>4.454</x:v>
      </x:c>
      <x:c r="D283" s="53" t="n">
        <x:v>0.0018</x:v>
      </x:c>
      <x:c r="E283" s="53" t="n">
        <x:f>IFERROR(B283/$B$488-1,"")</x:f>
        <x:v>0.3007838014369695</x:v>
      </x:c>
      <x:c r="F283" s="54" t="str">
        <x:v>开放申购</x:v>
      </x:c>
      <x:c r="G283" s="54" t="str">
        <x:v>开放赎回</x:v>
      </x:c>
    </x:row>
    <x:row r="284">
      <x:c r="A284" s="49" t="n">
        <x:v>45848</x:v>
      </x:c>
      <x:c r="B284" s="52" t="n">
        <x:v>3.976</x:v>
      </x:c>
      <x:c r="C284" s="52" t="n">
        <x:v>4.447</x:v>
      </x:c>
      <x:c r="D284" s="53" t="n">
        <x:v>0.0192</x:v>
      </x:c>
      <x:c r="E284" s="53" t="n">
        <x:f>IFERROR(B284/$B$488-1,"")</x:f>
        <x:v>0.2984977139124756</x:v>
      </x:c>
      <x:c r="F284" s="54" t="str">
        <x:v>开放申购</x:v>
      </x:c>
      <x:c r="G284" s="54" t="str">
        <x:v>开放赎回</x:v>
      </x:c>
    </x:row>
    <x:row r="285">
      <x:c r="A285" s="49" t="n">
        <x:v>45847</x:v>
      </x:c>
      <x:c r="B285" s="52" t="n">
        <x:v>3.901</x:v>
      </x:c>
      <x:c r="C285" s="52" t="n">
        <x:v>4.372</x:v>
      </x:c>
      <x:c r="D285" s="53" t="n">
        <x:v>0</x:v>
      </x:c>
      <x:c r="E285" s="53" t="n">
        <x:f>IFERROR(B285/$B$488-1,"")</x:f>
        <x:v>0.2740039190071848</x:v>
      </x:c>
      <x:c r="F285" s="54" t="str">
        <x:v>开放申购</x:v>
      </x:c>
      <x:c r="G285" s="54" t="str">
        <x:v>开放赎回</x:v>
      </x:c>
    </x:row>
    <x:row r="286">
      <x:c r="A286" s="49" t="n">
        <x:v>45846</x:v>
      </x:c>
      <x:c r="B286" s="52" t="n">
        <x:v>3.901</x:v>
      </x:c>
      <x:c r="C286" s="52" t="n">
        <x:v>4.372</x:v>
      </x:c>
      <x:c r="D286" s="53" t="n">
        <x:v>0.045599999999999995</x:v>
      </x:c>
      <x:c r="E286" s="53" t="n">
        <x:f>IFERROR(B286/$B$488-1,"")</x:f>
        <x:v>0.2740039190071848</x:v>
      </x:c>
      <x:c r="F286" s="54" t="str">
        <x:v>开放申购</x:v>
      </x:c>
      <x:c r="G286" s="54" t="str">
        <x:v>开放赎回</x:v>
      </x:c>
    </x:row>
    <x:row r="287">
      <x:c r="A287" s="49" t="n">
        <x:v>45845</x:v>
      </x:c>
      <x:c r="B287" s="52" t="n">
        <x:v>3.731</x:v>
      </x:c>
      <x:c r="C287" s="52" t="n">
        <x:v>4.202</x:v>
      </x:c>
      <x:c r="D287" s="53" t="n">
        <x:v>-0.0101</x:v>
      </x:c>
      <x:c r="E287" s="53" t="n">
        <x:f>IFERROR(B287/$B$488-1,"")</x:f>
        <x:v>0.21848465055519273</x:v>
      </x:c>
      <x:c r="F287" s="54" t="str">
        <x:v>开放申购</x:v>
      </x:c>
      <x:c r="G287" s="54" t="str">
        <x:v>开放赎回</x:v>
      </x:c>
    </x:row>
    <x:row r="288">
      <x:c r="A288" s="49" t="n">
        <x:v>45842</x:v>
      </x:c>
      <x:c r="B288" s="52" t="n">
        <x:v>3.769</x:v>
      </x:c>
      <x:c r="C288" s="52" t="n">
        <x:v>4.24</x:v>
      </x:c>
      <x:c r="D288" s="53" t="n">
        <x:v>-0.0123</x:v>
      </x:c>
      <x:c r="E288" s="53" t="n">
        <x:f>IFERROR(B288/$B$488-1,"")</x:f>
        <x:v>0.2308948399738735</x:v>
      </x:c>
      <x:c r="F288" s="54" t="str">
        <x:v>开放申购</x:v>
      </x:c>
      <x:c r="G288" s="54" t="str">
        <x:v>开放赎回</x:v>
      </x:c>
    </x:row>
    <x:row r="289">
      <x:c r="A289" s="49" t="n">
        <x:v>45841</x:v>
      </x:c>
      <x:c r="B289" s="52" t="n">
        <x:v>3.816</x:v>
      </x:c>
      <x:c r="C289" s="52" t="n">
        <x:v>4.287</x:v>
      </x:c>
      <x:c r="D289" s="53" t="n">
        <x:v>0.0209</x:v>
      </x:c>
      <x:c r="E289" s="53" t="n">
        <x:f>IFERROR(B289/$B$488-1,"")</x:f>
        <x:v>0.24624428478118876</x:v>
      </x:c>
      <x:c r="F289" s="54" t="str">
        <x:v>开放申购</x:v>
      </x:c>
      <x:c r="G289" s="54" t="str">
        <x:v>开放赎回</x:v>
      </x:c>
    </x:row>
    <x:row r="290">
      <x:c r="A290" s="49" t="n">
        <x:v>45840</x:v>
      </x:c>
      <x:c r="B290" s="52" t="n">
        <x:v>3.738</x:v>
      </x:c>
      <x:c r="C290" s="52" t="n">
        <x:v>4.209</x:v>
      </x:c>
      <x:c r="D290" s="53" t="n">
        <x:v>-0.0235</x:v>
      </x:c>
      <x:c r="E290" s="53" t="n">
        <x:f>IFERROR(B290/$B$488-1,"")</x:f>
        <x:v>0.2207707380796866</x:v>
      </x:c>
      <x:c r="F290" s="54" t="str">
        <x:v>开放申购</x:v>
      </x:c>
      <x:c r="G290" s="54" t="str">
        <x:v>开放赎回</x:v>
      </x:c>
    </x:row>
    <x:row r="291">
      <x:c r="A291" s="49" t="n">
        <x:v>45839</x:v>
      </x:c>
      <x:c r="B291" s="52" t="n">
        <x:v>3.828</x:v>
      </x:c>
      <x:c r="C291" s="52" t="n">
        <x:v>4.299</x:v>
      </x:c>
      <x:c r="D291" s="53" t="n">
        <x:v>-0.0044</x:v>
      </x:c>
      <x:c r="E291" s="53" t="n">
        <x:f>IFERROR(B291/$B$488-1,"")</x:f>
        <x:v>0.25016329196603526</x:v>
      </x:c>
      <x:c r="F291" s="54" t="str">
        <x:v>开放申购</x:v>
      </x:c>
      <x:c r="G291" s="54" t="str">
        <x:v>开放赎回</x:v>
      </x:c>
    </x:row>
    <x:row r="292">
      <x:c r="A292" s="49" t="n">
        <x:v>45838</x:v>
      </x:c>
      <x:c r="B292" s="52" t="n">
        <x:v>3.845</x:v>
      </x:c>
      <x:c r="C292" s="52" t="n">
        <x:v>4.316</x:v>
      </x:c>
      <x:c r="D292" s="53" t="n">
        <x:v>0.0264</x:v>
      </x:c>
      <x:c r="E292" s="53" t="n">
        <x:f>IFERROR(B292/$B$488-1,"")</x:f>
        <x:v>0.2557152188112346</x:v>
      </x:c>
      <x:c r="F292" s="54" t="str">
        <x:v>开放申购</x:v>
      </x:c>
      <x:c r="G292" s="54" t="str">
        <x:v>开放赎回</x:v>
      </x:c>
    </x:row>
    <x:row r="293">
      <x:c r="A293" s="49" t="n">
        <x:v>45835</x:v>
      </x:c>
      <x:c r="B293" s="52" t="n">
        <x:v>3.746</x:v>
      </x:c>
      <x:c r="C293" s="52" t="n">
        <x:v>4.217</x:v>
      </x:c>
      <x:c r="D293" s="53" t="n">
        <x:v>0.030299999999999997</x:v>
      </x:c>
      <x:c r="E293" s="53" t="n">
        <x:f>IFERROR(B293/$B$488-1,"")</x:f>
        <x:v>0.2233834095362508</x:v>
      </x:c>
      <x:c r="F293" s="54" t="str">
        <x:v>开放申购</x:v>
      </x:c>
      <x:c r="G293" s="54" t="str">
        <x:v>开放赎回</x:v>
      </x:c>
    </x:row>
    <x:row r="294">
      <x:c r="A294" s="49" t="n">
        <x:v>45834</x:v>
      </x:c>
      <x:c r="B294" s="52" t="n">
        <x:v>3.636</x:v>
      </x:c>
      <x:c r="C294" s="52" t="n">
        <x:v>4.107</x:v>
      </x:c>
      <x:c r="D294" s="53" t="n">
        <x:v>0.0092</x:v>
      </x:c>
      <x:c r="E294" s="53" t="n">
        <x:f>IFERROR(B294/$B$488-1,"")</x:f>
        <x:v>0.18745917700849124</x:v>
      </x:c>
      <x:c r="F294" s="54" t="str">
        <x:v>开放申购</x:v>
      </x:c>
      <x:c r="G294" s="54" t="str">
        <x:v>开放赎回</x:v>
      </x:c>
    </x:row>
    <x:row r="295">
      <x:c r="A295" s="49" t="n">
        <x:v>45833</x:v>
      </x:c>
      <x:c r="B295" s="52" t="n">
        <x:v>3.603</x:v>
      </x:c>
      <x:c r="C295" s="52" t="n">
        <x:v>4.074</x:v>
      </x:c>
      <x:c r="D295" s="53" t="n">
        <x:v>0.009000000000000001</x:v>
      </x:c>
      <x:c r="E295" s="53" t="n">
        <x:f>IFERROR(B295/$B$488-1,"")</x:f>
        <x:v>0.17668190725016353</x:v>
      </x:c>
      <x:c r="F295" s="54" t="str">
        <x:v>开放申购</x:v>
      </x:c>
      <x:c r="G295" s="54" t="str">
        <x:v>开放赎回</x:v>
      </x:c>
    </x:row>
    <x:row r="296">
      <x:c r="A296" s="49" t="n">
        <x:v>45832</x:v>
      </x:c>
      <x:c r="B296" s="52" t="n">
        <x:v>3.571</x:v>
      </x:c>
      <x:c r="C296" s="52" t="n">
        <x:v>4.042</x:v>
      </x:c>
      <x:c r="D296" s="53" t="n">
        <x:v>-0.0086</x:v>
      </x:c>
      <x:c r="E296" s="53" t="n">
        <x:f>IFERROR(B296/$B$488-1,"")</x:f>
        <x:v>0.16623122142390612</x:v>
      </x:c>
      <x:c r="F296" s="54" t="str">
        <x:v>开放申购</x:v>
      </x:c>
      <x:c r="G296" s="54" t="str">
        <x:v>开放赎回</x:v>
      </x:c>
    </x:row>
    <x:row r="297">
      <x:c r="A297" s="49" t="n">
        <x:v>45831</x:v>
      </x:c>
      <x:c r="B297" s="52" t="n">
        <x:v>3.602</x:v>
      </x:c>
      <x:c r="C297" s="52" t="n">
        <x:v>4.073</x:v>
      </x:c>
      <x:c r="D297" s="53" t="n">
        <x:v>-0.015</x:v>
      </x:c>
      <x:c r="E297" s="53" t="n">
        <x:f>IFERROR(B297/$B$488-1,"")</x:f>
        <x:v>0.17635532331809278</x:v>
      </x:c>
      <x:c r="F297" s="54" t="str">
        <x:v>开放申购</x:v>
      </x:c>
      <x:c r="G297" s="54" t="str">
        <x:v>开放赎回</x:v>
      </x:c>
    </x:row>
    <x:row r="298">
      <x:c r="A298" s="49" t="n">
        <x:v>45828</x:v>
      </x:c>
      <x:c r="B298" s="52" t="n">
        <x:v>3.657</x:v>
      </x:c>
      <x:c r="C298" s="52" t="n">
        <x:v>4.128</x:v>
      </x:c>
      <x:c r="D298" s="53" t="n">
        <x:v>-0.0138</x:v>
      </x:c>
      <x:c r="E298" s="53" t="n">
        <x:f>IFERROR(B298/$B$488-1,"")</x:f>
        <x:v>0.19431743958197267</x:v>
      </x:c>
      <x:c r="F298" s="54" t="str">
        <x:v>开放申购</x:v>
      </x:c>
      <x:c r="G298" s="54" t="str">
        <x:v>开放赎回</x:v>
      </x:c>
    </x:row>
    <x:row r="299">
      <x:c r="A299" s="49" t="n">
        <x:v>45827</x:v>
      </x:c>
      <x:c r="B299" s="52" t="n">
        <x:v>3.708</x:v>
      </x:c>
      <x:c r="C299" s="52" t="n">
        <x:v>4.179</x:v>
      </x:c>
      <x:c r="D299" s="53" t="n">
        <x:v>-0.009399999999999999</x:v>
      </x:c>
      <x:c r="E299" s="53" t="n">
        <x:f>IFERROR(B299/$B$488-1,"")</x:f>
        <x:v>0.21097322011757025</x:v>
      </x:c>
      <x:c r="F299" s="54" t="str">
        <x:v>开放申购</x:v>
      </x:c>
      <x:c r="G299" s="54" t="str">
        <x:v>开放赎回</x:v>
      </x:c>
    </x:row>
    <x:row r="300">
      <x:c r="A300" s="49" t="n">
        <x:v>45826</x:v>
      </x:c>
      <x:c r="B300" s="52" t="n">
        <x:v>3.743</x:v>
      </x:c>
      <x:c r="C300" s="52" t="n">
        <x:v>4.214</x:v>
      </x:c>
      <x:c r="D300" s="53" t="n">
        <x:v>0.0403</x:v>
      </x:c>
      <x:c r="E300" s="53" t="n">
        <x:f>IFERROR(B300/$B$488-1,"")</x:f>
        <x:v>0.22240365774003923</x:v>
      </x:c>
      <x:c r="F300" s="54" t="str">
        <x:v>开放申购</x:v>
      </x:c>
      <x:c r="G300" s="54" t="str">
        <x:v>开放赎回</x:v>
      </x:c>
    </x:row>
    <x:row r="301">
      <x:c r="A301" s="49" t="n">
        <x:v>45825</x:v>
      </x:c>
      <x:c r="B301" s="52" t="n">
        <x:v>3.598</x:v>
      </x:c>
      <x:c r="C301" s="52" t="n">
        <x:v>4.069</x:v>
      </x:c>
      <x:c r="D301" s="53" t="n">
        <x:v>-0.008</x:v>
      </x:c>
      <x:c r="E301" s="53" t="n">
        <x:f>IFERROR(B301/$B$488-1,"")</x:f>
        <x:v>0.1750489875898107</x:v>
      </x:c>
      <x:c r="F301" s="54" t="str">
        <x:v>开放申购</x:v>
      </x:c>
      <x:c r="G301" s="54" t="str">
        <x:v>开放赎回</x:v>
      </x:c>
    </x:row>
    <x:row r="302">
      <x:c r="A302" s="49" t="n">
        <x:v>45824</x:v>
      </x:c>
      <x:c r="B302" s="52" t="n">
        <x:v>3.627</x:v>
      </x:c>
      <x:c r="C302" s="52" t="n">
        <x:v>4.098</x:v>
      </x:c>
      <x:c r="D302" s="53" t="n">
        <x:v>0.0223</x:v>
      </x:c>
      <x:c r="E302" s="53" t="n">
        <x:f>IFERROR(B302/$B$488-1,"")</x:f>
        <x:v>0.1845199216198563</x:v>
      </x:c>
      <x:c r="F302" s="54" t="str">
        <x:v>开放申购</x:v>
      </x:c>
      <x:c r="G302" s="54" t="str">
        <x:v>开放赎回</x:v>
      </x:c>
    </x:row>
    <x:row r="303">
      <x:c r="A303" s="49" t="n">
        <x:v>45821</x:v>
      </x:c>
      <x:c r="B303" s="52" t="n">
        <x:v>3.548</x:v>
      </x:c>
      <x:c r="C303" s="52" t="n">
        <x:v>4.019</x:v>
      </x:c>
      <x:c r="D303" s="53" t="n">
        <x:v>-0.0034000000000000002</x:v>
      </x:c>
      <x:c r="E303" s="53" t="n">
        <x:f>IFERROR(B303/$B$488-1,"")</x:f>
        <x:v>0.15871979098628364</x:v>
      </x:c>
      <x:c r="F303" s="54" t="str">
        <x:v>开放申购</x:v>
      </x:c>
      <x:c r="G303" s="54" t="str">
        <x:v>开放赎回</x:v>
      </x:c>
    </x:row>
    <x:row r="304">
      <x:c r="A304" s="49" t="n">
        <x:v>45820</x:v>
      </x:c>
      <x:c r="B304" s="52" t="n">
        <x:v>3.56</x:v>
      </x:c>
      <x:c r="C304" s="52" t="n">
        <x:v>4.031</x:v>
      </x:c>
      <x:c r="D304" s="53" t="n">
        <x:v>0.0134</x:v>
      </x:c>
      <x:c r="E304" s="53" t="n">
        <x:f>IFERROR(B304/$B$488-1,"")</x:f>
        <x:v>0.16263879817113014</x:v>
      </x:c>
      <x:c r="F304" s="54" t="str">
        <x:v>开放申购</x:v>
      </x:c>
      <x:c r="G304" s="54" t="str">
        <x:v>开放赎回</x:v>
      </x:c>
    </x:row>
    <x:row r="305">
      <x:c r="A305" s="49" t="n">
        <x:v>45819</x:v>
      </x:c>
      <x:c r="B305" s="52" t="n">
        <x:v>3.513</x:v>
      </x:c>
      <x:c r="C305" s="52" t="n">
        <x:v>3.984</x:v>
      </x:c>
      <x:c r="D305" s="53" t="n">
        <x:v>-0.0062</x:v>
      </x:c>
      <x:c r="E305" s="53" t="n">
        <x:f>IFERROR(B305/$B$488-1,"")</x:f>
        <x:v>0.14728935336381443</x:v>
      </x:c>
      <x:c r="F305" s="54" t="str">
        <x:v>开放申购</x:v>
      </x:c>
      <x:c r="G305" s="54" t="str">
        <x:v>开放赎回</x:v>
      </x:c>
    </x:row>
    <x:row r="306">
      <x:c r="A306" s="49" t="n">
        <x:v>45818</x:v>
      </x:c>
      <x:c r="B306" s="52" t="n">
        <x:v>3.535</x:v>
      </x:c>
      <x:c r="C306" s="52" t="n">
        <x:v>4.006</x:v>
      </x:c>
      <x:c r="D306" s="53" t="n">
        <x:v>-0.0106</x:v>
      </x:c>
      <x:c r="E306" s="53" t="n">
        <x:f>IFERROR(B306/$B$488-1,"")</x:f>
        <x:v>0.1544741998693666</x:v>
      </x:c>
      <x:c r="F306" s="54" t="str">
        <x:v>开放申购</x:v>
      </x:c>
      <x:c r="G306" s="54" t="str">
        <x:v>开放赎回</x:v>
      </x:c>
    </x:row>
    <x:row r="307">
      <x:c r="A307" s="49" t="n">
        <x:v>45817</x:v>
      </x:c>
      <x:c r="B307" s="52" t="n">
        <x:v>3.573</x:v>
      </x:c>
      <x:c r="C307" s="52" t="n">
        <x:v>4.044</x:v>
      </x:c>
      <x:c r="D307" s="53" t="n">
        <x:v>0.0102</x:v>
      </x:c>
      <x:c r="E307" s="53" t="n">
        <x:f>IFERROR(B307/$B$488-1,"")</x:f>
        <x:v>0.16688438928804716</x:v>
      </x:c>
      <x:c r="F307" s="54" t="str">
        <x:v>开放申购</x:v>
      </x:c>
      <x:c r="G307" s="54" t="str">
        <x:v>开放赎回</x:v>
      </x:c>
    </x:row>
    <x:row r="308">
      <x:c r="A308" s="49" t="n">
        <x:v>45814</x:v>
      </x:c>
      <x:c r="B308" s="52" t="n">
        <x:v>3.537</x:v>
      </x:c>
      <x:c r="C308" s="52" t="n">
        <x:v>4.008</x:v>
      </x:c>
      <x:c r="D308" s="53" t="n">
        <x:v>0.01</x:v>
      </x:c>
      <x:c r="E308" s="53" t="n">
        <x:f>IFERROR(B308/$B$488-1,"")</x:f>
        <x:v>0.15512736773350766</x:v>
      </x:c>
      <x:c r="F308" s="54" t="str">
        <x:v>开放申购</x:v>
      </x:c>
      <x:c r="G308" s="54" t="str">
        <x:v>开放赎回</x:v>
      </x:c>
    </x:row>
    <x:row r="309">
      <x:c r="A309" s="49" t="n">
        <x:v>45813</x:v>
      </x:c>
      <x:c r="B309" s="52" t="n">
        <x:v>3.502</x:v>
      </x:c>
      <x:c r="C309" s="52" t="n">
        <x:v>3.973</x:v>
      </x:c>
      <x:c r="D309" s="53" t="n">
        <x:v>0.0451</x:v>
      </x:c>
      <x:c r="E309" s="53" t="n">
        <x:f>IFERROR(B309/$B$488-1,"")</x:f>
        <x:v>0.14369693011103846</x:v>
      </x:c>
      <x:c r="F309" s="54" t="str">
        <x:v>开放申购</x:v>
      </x:c>
      <x:c r="G309" s="54" t="str">
        <x:v>开放赎回</x:v>
      </x:c>
    </x:row>
    <x:row r="310">
      <x:c r="A310" s="49" t="n">
        <x:v>45812</x:v>
      </x:c>
      <x:c r="B310" s="52" t="n">
        <x:v>3.351</x:v>
      </x:c>
      <x:c r="C310" s="52" t="n">
        <x:v>3.822</x:v>
      </x:c>
      <x:c r="D310" s="53" t="n">
        <x:v>0.0301</x:v>
      </x:c>
      <x:c r="E310" s="53" t="n">
        <x:f>IFERROR(B310/$B$488-1,"")</x:f>
        <x:v>0.09438275636838678</x:v>
      </x:c>
      <x:c r="F310" s="54" t="str">
        <x:v>开放申购</x:v>
      </x:c>
      <x:c r="G310" s="54" t="str">
        <x:v>开放赎回</x:v>
      </x:c>
    </x:row>
    <x:row r="311">
      <x:c r="A311" s="49" t="n">
        <x:v>45811</x:v>
      </x:c>
      <x:c r="B311" s="52" t="n">
        <x:v>3.253</x:v>
      </x:c>
      <x:c r="C311" s="52" t="n">
        <x:v>3.724</x:v>
      </x:c>
      <x:c r="D311" s="53" t="n">
        <x:v>-0.0003</x:v>
      </x:c>
      <x:c r="E311" s="53" t="n">
        <x:f>IFERROR(B311/$B$488-1,"")</x:f>
        <x:v>0.06237753102547372</x:v>
      </x:c>
      <x:c r="F311" s="54" t="str">
        <x:v>开放申购</x:v>
      </x:c>
      <x:c r="G311" s="54" t="str">
        <x:v>开放赎回</x:v>
      </x:c>
    </x:row>
    <x:row r="312">
      <x:c r="A312" s="49" t="n">
        <x:v>45807</x:v>
      </x:c>
      <x:c r="B312" s="52" t="n">
        <x:v>3.254</x:v>
      </x:c>
      <x:c r="C312" s="52" t="n">
        <x:v>3.725</x:v>
      </x:c>
      <x:c r="D312" s="53" t="n">
        <x:v>-0.022799999999999997</x:v>
      </x:c>
      <x:c r="E312" s="53" t="n">
        <x:f>IFERROR(B312/$B$488-1,"")</x:f>
        <x:v>0.06270411495754424</x:v>
      </x:c>
      <x:c r="F312" s="54" t="str">
        <x:v>开放申购</x:v>
      </x:c>
      <x:c r="G312" s="54" t="str">
        <x:v>开放赎回</x:v>
      </x:c>
    </x:row>
    <x:row r="313">
      <x:c r="A313" s="49" t="n">
        <x:v>45806</x:v>
      </x:c>
      <x:c r="B313" s="52" t="n">
        <x:v>3.33</x:v>
      </x:c>
      <x:c r="C313" s="52" t="n">
        <x:v>3.801</x:v>
      </x:c>
      <x:c r="D313" s="53" t="n">
        <x:v>0.0048</x:v>
      </x:c>
      <x:c r="E313" s="53" t="n">
        <x:f>IFERROR(B313/$B$488-1,"")</x:f>
        <x:v>0.08752449379490534</x:v>
      </x:c>
      <x:c r="F313" s="54" t="str">
        <x:v>开放申购</x:v>
      </x:c>
      <x:c r="G313" s="54" t="str">
        <x:v>开放赎回</x:v>
      </x:c>
    </x:row>
    <x:row r="314">
      <x:c r="A314" s="49" t="n">
        <x:v>45805</x:v>
      </x:c>
      <x:c r="B314" s="52" t="n">
        <x:v>3.314</x:v>
      </x:c>
      <x:c r="C314" s="52" t="n">
        <x:v>3.785</x:v>
      </x:c>
      <x:c r="D314" s="53" t="n">
        <x:v>0.012199999999999999</x:v>
      </x:c>
      <x:c r="E314" s="53" t="n">
        <x:f>IFERROR(B314/$B$488-1,"")</x:f>
        <x:v>0.08229915088177675</x:v>
      </x:c>
      <x:c r="F314" s="54" t="str">
        <x:v>开放申购</x:v>
      </x:c>
      <x:c r="G314" s="54" t="str">
        <x:v>开放赎回</x:v>
      </x:c>
    </x:row>
    <x:row r="315">
      <x:c r="A315" s="49" t="n">
        <x:v>45804</x:v>
      </x:c>
      <x:c r="B315" s="52" t="n">
        <x:v>3.274</x:v>
      </x:c>
      <x:c r="C315" s="52" t="n">
        <x:v>3.745</x:v>
      </x:c>
      <x:c r="D315" s="53" t="n">
        <x:v>-0.0159</x:v>
      </x:c>
      <x:c r="E315" s="53" t="n">
        <x:f>IFERROR(B315/$B$488-1,"")</x:f>
        <x:v>0.06923579359895493</x:v>
      </x:c>
      <x:c r="F315" s="54" t="str">
        <x:v>开放申购</x:v>
      </x:c>
      <x:c r="G315" s="54" t="str">
        <x:v>开放赎回</x:v>
      </x:c>
    </x:row>
    <x:row r="316">
      <x:c r="A316" s="49" t="n">
        <x:v>45803</x:v>
      </x:c>
      <x:c r="B316" s="52" t="n">
        <x:v>3.327</x:v>
      </x:c>
      <x:c r="C316" s="52" t="n">
        <x:v>3.798</x:v>
      </x:c>
      <x:c r="D316" s="53" t="n">
        <x:v>0.0168</x:v>
      </x:c>
      <x:c r="E316" s="53" t="n">
        <x:f>IFERROR(B316/$B$488-1,"")</x:f>
        <x:v>0.08654474199869377</x:v>
      </x:c>
      <x:c r="F316" s="54" t="str">
        <x:v>开放申购</x:v>
      </x:c>
      <x:c r="G316" s="54" t="str">
        <x:v>开放赎回</x:v>
      </x:c>
    </x:row>
    <x:row r="317">
      <x:c r="A317" s="49" t="n">
        <x:v>45800</x:v>
      </x:c>
      <x:c r="B317" s="52" t="n">
        <x:v>3.272</x:v>
      </x:c>
      <x:c r="C317" s="52" t="n">
        <x:v>3.743</x:v>
      </x:c>
      <x:c r="D317" s="53" t="n">
        <x:v>-0.023</x:v>
      </x:c>
      <x:c r="E317" s="53" t="n">
        <x:f>IFERROR(B317/$B$488-1,"")</x:f>
        <x:v>0.06858262573481388</x:v>
      </x:c>
      <x:c r="F317" s="54" t="str">
        <x:v>开放申购</x:v>
      </x:c>
      <x:c r="G317" s="54" t="str">
        <x:v>开放赎回</x:v>
      </x:c>
    </x:row>
    <x:row r="318">
      <x:c r="A318" s="49" t="n">
        <x:v>45799</x:v>
      </x:c>
      <x:c r="B318" s="52" t="n">
        <x:v>3.349</x:v>
      </x:c>
      <x:c r="C318" s="52" t="n">
        <x:v>3.82</x:v>
      </x:c>
      <x:c r="D318" s="53" t="n">
        <x:v>-0.0074</x:v>
      </x:c>
      <x:c r="E318" s="53" t="n">
        <x:f>IFERROR(B318/$B$488-1,"")</x:f>
        <x:v>0.09372958850424573</x:v>
      </x:c>
      <x:c r="F318" s="54" t="str">
        <x:v>开放申购</x:v>
      </x:c>
      <x:c r="G318" s="54" t="str">
        <x:v>开放赎回</x:v>
      </x:c>
    </x:row>
    <x:row r="319">
      <x:c r="A319" s="49" t="n">
        <x:v>45798</x:v>
      </x:c>
      <x:c r="B319" s="52" t="n">
        <x:v>3.374</x:v>
      </x:c>
      <x:c r="C319" s="52" t="n">
        <x:v>3.845</x:v>
      </x:c>
      <x:c r="D319" s="53" t="n">
        <x:v>-0.0149</x:v>
      </x:c>
      <x:c r="E319" s="53" t="n">
        <x:f>IFERROR(B319/$B$488-1,"")</x:f>
        <x:v>0.10189418680600926</x:v>
      </x:c>
      <x:c r="F319" s="54" t="str">
        <x:v>开放申购</x:v>
      </x:c>
      <x:c r="G319" s="54" t="str">
        <x:v>开放赎回</x:v>
      </x:c>
    </x:row>
    <x:row r="320">
      <x:c r="A320" s="49" t="n">
        <x:v>45797</x:v>
      </x:c>
      <x:c r="B320" s="52" t="n">
        <x:v>3.425</x:v>
      </x:c>
      <x:c r="C320" s="52" t="n">
        <x:v>3.896</x:v>
      </x:c>
      <x:c r="D320" s="53" t="n">
        <x:v>0.0076</x:v>
      </x:c>
      <x:c r="E320" s="53" t="n">
        <x:f>IFERROR(B320/$B$488-1,"")</x:f>
        <x:v>0.11854996734160683</x:v>
      </x:c>
      <x:c r="F320" s="54" t="str">
        <x:v>开放申购</x:v>
      </x:c>
      <x:c r="G320" s="54" t="str">
        <x:v>开放赎回</x:v>
      </x:c>
    </x:row>
    <x:row r="321">
      <x:c r="A321" s="49" t="n">
        <x:v>45796</x:v>
      </x:c>
      <x:c r="B321" s="52" t="n">
        <x:v>3.399</x:v>
      </x:c>
      <x:c r="C321" s="52" t="n">
        <x:v>3.87</x:v>
      </x:c>
      <x:c r="D321" s="53" t="n">
        <x:v>-0.0116</x:v>
      </x:c>
      <x:c r="E321" s="53" t="n">
        <x:f>IFERROR(B321/$B$488-1,"")</x:f>
        <x:v>0.11005878510777278</x:v>
      </x:c>
      <x:c r="F321" s="54" t="str">
        <x:v>开放申购</x:v>
      </x:c>
      <x:c r="G321" s="54" t="str">
        <x:v>开放赎回</x:v>
      </x:c>
    </x:row>
    <x:row r="322">
      <x:c r="A322" s="49" t="n">
        <x:v>45793</x:v>
      </x:c>
      <x:c r="B322" s="52" t="n">
        <x:v>3.439</x:v>
      </x:c>
      <x:c r="C322" s="52" t="n">
        <x:v>3.91</x:v>
      </x:c>
      <x:c r="D322" s="53" t="n">
        <x:v>-0.0043</x:v>
      </x:c>
      <x:c r="E322" s="53" t="n">
        <x:f>IFERROR(B322/$B$488-1,"")</x:f>
        <x:v>0.12312214239059438</x:v>
      </x:c>
      <x:c r="F322" s="54" t="str">
        <x:v>开放申购</x:v>
      </x:c>
      <x:c r="G322" s="54" t="str">
        <x:v>开放赎回</x:v>
      </x:c>
    </x:row>
    <x:row r="323">
      <x:c r="A323" s="49" t="n">
        <x:v>45792</x:v>
      </x:c>
      <x:c r="B323" s="52" t="n">
        <x:v>3.454</x:v>
      </x:c>
      <x:c r="C323" s="52" t="n">
        <x:v>3.925</x:v>
      </x:c>
      <x:c r="D323" s="53" t="n">
        <x:v>-0.0382</x:v>
      </x:c>
      <x:c r="E323" s="53" t="n">
        <x:f>IFERROR(B323/$B$488-1,"")</x:f>
        <x:v>0.12802090137165267</x:v>
      </x:c>
      <x:c r="F323" s="54" t="str">
        <x:v>开放申购</x:v>
      </x:c>
      <x:c r="G323" s="54" t="str">
        <x:v>开放赎回</x:v>
      </x:c>
    </x:row>
    <x:row r="324">
      <x:c r="A324" s="49" t="n">
        <x:v>45791</x:v>
      </x:c>
      <x:c r="B324" s="52" t="n">
        <x:v>3.591</x:v>
      </x:c>
      <x:c r="C324" s="52" t="n">
        <x:v>4.062</x:v>
      </x:c>
      <x:c r="D324" s="53" t="n">
        <x:v>0.006999999999999999</x:v>
      </x:c>
      <x:c r="E324" s="53" t="n">
        <x:f>IFERROR(B324/$B$488-1,"")</x:f>
        <x:v>0.1727629000653168</x:v>
      </x:c>
      <x:c r="F324" s="54" t="str">
        <x:v>开放申购</x:v>
      </x:c>
      <x:c r="G324" s="54" t="str">
        <x:v>开放赎回</x:v>
      </x:c>
    </x:row>
    <x:row r="325">
      <x:c r="A325" s="49" t="n">
        <x:v>45790</x:v>
      </x:c>
      <x:c r="B325" s="52" t="n">
        <x:v>3.566</x:v>
      </x:c>
      <x:c r="C325" s="52" t="n">
        <x:v>4.037</x:v>
      </x:c>
      <x:c r="D325" s="53" t="n">
        <x:v>0.0003</x:v>
      </x:c>
      <x:c r="E325" s="53" t="n">
        <x:f>IFERROR(B325/$B$488-1,"")</x:f>
        <x:v>0.16459830176355328</x:v>
      </x:c>
      <x:c r="F325" s="54" t="str">
        <x:v>开放申购</x:v>
      </x:c>
      <x:c r="G325" s="54" t="str">
        <x:v>开放赎回</x:v>
      </x:c>
    </x:row>
    <x:row r="326">
      <x:c r="A326" s="49" t="n">
        <x:v>45789</x:v>
      </x:c>
      <x:c r="B326" s="52" t="n">
        <x:v>3.565</x:v>
      </x:c>
      <x:c r="C326" s="52" t="n">
        <x:v>4.036</x:v>
      </x:c>
      <x:c r="D326" s="53" t="n">
        <x:v>0.0116</x:v>
      </x:c>
      <x:c r="E326" s="53" t="n">
        <x:f>IFERROR(B326/$B$488-1,"")</x:f>
        <x:v>0.16427171783148276</x:v>
      </x:c>
      <x:c r="F326" s="54" t="str">
        <x:v>开放申购</x:v>
      </x:c>
      <x:c r="G326" s="54" t="str">
        <x:v>开放赎回</x:v>
      </x:c>
    </x:row>
    <x:row r="327">
      <x:c r="A327" s="49" t="n">
        <x:v>45786</x:v>
      </x:c>
      <x:c r="B327" s="52" t="n">
        <x:v>3.524</x:v>
      </x:c>
      <x:c r="C327" s="52" t="n">
        <x:v>3.995</x:v>
      </x:c>
      <x:c r="D327" s="53" t="n">
        <x:v>-0.0189</x:v>
      </x:c>
      <x:c r="E327" s="53" t="n">
        <x:f>IFERROR(B327/$B$488-1,"")</x:f>
        <x:v>0.15088177661659063</x:v>
      </x:c>
      <x:c r="F327" s="54" t="str">
        <x:v>开放申购</x:v>
      </x:c>
      <x:c r="G327" s="54" t="str">
        <x:v>开放赎回</x:v>
      </x:c>
    </x:row>
    <x:row r="328">
      <x:c r="A328" s="49" t="n">
        <x:v>45785</x:v>
      </x:c>
      <x:c r="B328" s="52" t="n">
        <x:v>3.592</x:v>
      </x:c>
      <x:c r="C328" s="52" t="n">
        <x:v>4.063</x:v>
      </x:c>
      <x:c r="D328" s="53" t="n">
        <x:v>-0.0121</x:v>
      </x:c>
      <x:c r="E328" s="53" t="n">
        <x:f>IFERROR(B328/$B$488-1,"")</x:f>
        <x:v>0.17308948399738733</x:v>
      </x:c>
      <x:c r="F328" s="54" t="str">
        <x:v>开放申购</x:v>
      </x:c>
      <x:c r="G328" s="54" t="str">
        <x:v>开放赎回</x:v>
      </x:c>
    </x:row>
    <x:row r="329">
      <x:c r="A329" s="49" t="n">
        <x:v>45784</x:v>
      </x:c>
      <x:c r="B329" s="52" t="n">
        <x:v>3.636</x:v>
      </x:c>
      <x:c r="C329" s="52" t="n">
        <x:v>4.107</x:v>
      </x:c>
      <x:c r="D329" s="53" t="n">
        <x:v>-0.0052</x:v>
      </x:c>
      <x:c r="E329" s="53" t="n">
        <x:f>IFERROR(B329/$B$488-1,"")</x:f>
        <x:v>0.18745917700849124</x:v>
      </x:c>
      <x:c r="F329" s="54" t="str">
        <x:v>开放申购</x:v>
      </x:c>
      <x:c r="G329" s="54" t="str">
        <x:v>开放赎回</x:v>
      </x:c>
    </x:row>
    <x:row r="330">
      <x:c r="A330" s="49" t="n">
        <x:v>45783</x:v>
      </x:c>
      <x:c r="B330" s="52" t="n">
        <x:v>3.655</x:v>
      </x:c>
      <x:c r="C330" s="52" t="n">
        <x:v>4.126</x:v>
      </x:c>
      <x:c r="D330" s="53" t="n">
        <x:v>0.0354</x:v>
      </x:c>
      <x:c r="E330" s="53" t="n">
        <x:f>IFERROR(B330/$B$488-1,"")</x:f>
        <x:v>0.1936642717178314</x:v>
      </x:c>
      <x:c r="F330" s="54" t="str">
        <x:v>开放申购</x:v>
      </x:c>
      <x:c r="G330" s="54" t="str">
        <x:v>开放赎回</x:v>
      </x:c>
    </x:row>
    <x:row r="331">
      <x:c r="A331" s="49" t="n">
        <x:v>45777</x:v>
      </x:c>
      <x:c r="B331" s="52" t="n">
        <x:v>3.53</x:v>
      </x:c>
      <x:c r="C331" s="52" t="n">
        <x:v>4.001</x:v>
      </x:c>
      <x:c r="D331" s="53" t="n">
        <x:v>0.028900000000000002</x:v>
      </x:c>
      <x:c r="E331" s="53" t="n">
        <x:f>IFERROR(B331/$B$488-1,"")</x:f>
        <x:v>0.15284128020901377</x:v>
      </x:c>
      <x:c r="F331" s="54" t="str">
        <x:v>开放申购</x:v>
      </x:c>
      <x:c r="G331" s="54" t="str">
        <x:v>开放赎回</x:v>
      </x:c>
    </x:row>
    <x:row r="332">
      <x:c r="A332" s="49" t="n">
        <x:v>45776</x:v>
      </x:c>
      <x:c r="B332" s="52" t="n">
        <x:v>3.431</x:v>
      </x:c>
      <x:c r="C332" s="52" t="n">
        <x:v>3.902</x:v>
      </x:c>
      <x:c r="D332" s="53" t="n">
        <x:v>0.014199999999999999</x:v>
      </x:c>
      <x:c r="E332" s="53" t="n">
        <x:f>IFERROR(B332/$B$488-1,"")</x:f>
        <x:v>0.1205094709340302</x:v>
      </x:c>
      <x:c r="F332" s="54" t="str">
        <x:v>开放申购</x:v>
      </x:c>
      <x:c r="G332" s="54" t="str">
        <x:v>开放赎回</x:v>
      </x:c>
    </x:row>
    <x:row r="333">
      <x:c r="A333" s="49" t="n">
        <x:v>45775</x:v>
      </x:c>
      <x:c r="B333" s="52" t="n">
        <x:v>3.383</x:v>
      </x:c>
      <x:c r="C333" s="52" t="n">
        <x:v>3.854</x:v>
      </x:c>
      <x:c r="D333" s="53" t="n">
        <x:v>0.011399999999999999</x:v>
      </x:c>
      <x:c r="E333" s="53" t="n">
        <x:f>IFERROR(B333/$B$488-1,"")</x:f>
        <x:v>0.10483344219464419</x:v>
      </x:c>
      <x:c r="F333" s="54" t="str">
        <x:v>开放申购</x:v>
      </x:c>
      <x:c r="G333" s="54" t="str">
        <x:v>开放赎回</x:v>
      </x:c>
    </x:row>
    <x:row r="334">
      <x:c r="A334" s="49" t="n">
        <x:v>45772</x:v>
      </x:c>
      <x:c r="B334" s="52" t="n">
        <x:v>3.345</x:v>
      </x:c>
      <x:c r="C334" s="52" t="n">
        <x:v>3.816</x:v>
      </x:c>
      <x:c r="D334" s="53" t="n">
        <x:v>0.008100000000000001</x:v>
      </x:c>
      <x:c r="E334" s="53" t="n">
        <x:f>IFERROR(B334/$B$488-1,"")</x:f>
        <x:v>0.09242325277596364</x:v>
      </x:c>
      <x:c r="F334" s="54" t="str">
        <x:v>开放申购</x:v>
      </x:c>
      <x:c r="G334" s="54" t="str">
        <x:v>开放赎回</x:v>
      </x:c>
    </x:row>
    <x:row r="335">
      <x:c r="A335" s="49" t="n">
        <x:v>45771</x:v>
      </x:c>
      <x:c r="B335" s="52" t="n">
        <x:v>3.318</x:v>
      </x:c>
      <x:c r="C335" s="52" t="n">
        <x:v>3.789</x:v>
      </x:c>
      <x:c r="D335" s="53" t="n">
        <x:v>-0.018600000000000002</x:v>
      </x:c>
      <x:c r="E335" s="53" t="n">
        <x:f>IFERROR(B335/$B$488-1,"")</x:f>
        <x:v>0.08360548661005884</x:v>
      </x:c>
      <x:c r="F335" s="54" t="str">
        <x:v>开放申购</x:v>
      </x:c>
      <x:c r="G335" s="54" t="str">
        <x:v>开放赎回</x:v>
      </x:c>
    </x:row>
    <x:row r="336">
      <x:c r="A336" s="49" t="n">
        <x:v>45770</x:v>
      </x:c>
      <x:c r="B336" s="52" t="n">
        <x:v>3.381</x:v>
      </x:c>
      <x:c r="C336" s="52" t="n">
        <x:v>3.852</x:v>
      </x:c>
      <x:c r="D336" s="53" t="n">
        <x:v>0.011699999999999999</x:v>
      </x:c>
      <x:c r="E336" s="53" t="n">
        <x:f>IFERROR(B336/$B$488-1,"")</x:f>
        <x:v>0.10418027433050292</x:v>
      </x:c>
      <x:c r="F336" s="54" t="str">
        <x:v>开放申购</x:v>
      </x:c>
      <x:c r="G336" s="54" t="str">
        <x:v>开放赎回</x:v>
      </x:c>
    </x:row>
    <x:row r="337">
      <x:c r="A337" s="49" t="n">
        <x:v>45769</x:v>
      </x:c>
      <x:c r="B337" s="52" t="n">
        <x:v>3.342</x:v>
      </x:c>
      <x:c r="C337" s="52" t="n">
        <x:v>3.813</x:v>
      </x:c>
      <x:c r="D337" s="53" t="n">
        <x:v>-0.025099999999999997</x:v>
      </x:c>
      <x:c r="E337" s="53" t="n">
        <x:f>IFERROR(B337/$B$488-1,"")</x:f>
        <x:v>0.09144350097975185</x:v>
      </x:c>
      <x:c r="F337" s="54" t="str">
        <x:v>开放申购</x:v>
      </x:c>
      <x:c r="G337" s="54" t="str">
        <x:v>开放赎回</x:v>
      </x:c>
    </x:row>
    <x:row r="338">
      <x:c r="A338" s="49" t="n">
        <x:v>45768</x:v>
      </x:c>
      <x:c r="B338" s="52" t="n">
        <x:v>3.428</x:v>
      </x:c>
      <x:c r="C338" s="52" t="n">
        <x:v>3.899</x:v>
      </x:c>
      <x:c r="D338" s="53" t="n">
        <x:v>0.0397</x:v>
      </x:c>
      <x:c r="E338" s="53" t="n">
        <x:f>IFERROR(B338/$B$488-1,"")</x:f>
        <x:v>0.1195297191378184</x:v>
      </x:c>
      <x:c r="F338" s="54" t="str">
        <x:v>开放申购</x:v>
      </x:c>
      <x:c r="G338" s="54" t="str">
        <x:v>开放赎回</x:v>
      </x:c>
    </x:row>
    <x:row r="339">
      <x:c r="A339" s="49" t="n">
        <x:v>45765</x:v>
      </x:c>
      <x:c r="B339" s="52" t="n">
        <x:v>3.297</x:v>
      </x:c>
      <x:c r="C339" s="52" t="n">
        <x:v>3.768</x:v>
      </x:c>
      <x:c r="D339" s="53" t="n">
        <x:v>-0.0009</x:v>
      </x:c>
      <x:c r="E339" s="53" t="n">
        <x:f>IFERROR(B339/$B$488-1,"")</x:f>
        <x:v>0.07674722403657741</x:v>
      </x:c>
      <x:c r="F339" s="54" t="str">
        <x:v>开放申购</x:v>
      </x:c>
      <x:c r="G339" s="54" t="str">
        <x:v>开放赎回</x:v>
      </x:c>
    </x:row>
    <x:row r="340">
      <x:c r="A340" s="49" t="n">
        <x:v>45764</x:v>
      </x:c>
      <x:c r="B340" s="52" t="n">
        <x:v>3.3</x:v>
      </x:c>
      <x:c r="C340" s="52" t="n">
        <x:v>3.771</x:v>
      </x:c>
      <x:c r="D340" s="53" t="n">
        <x:v>0.003</x:v>
      </x:c>
      <x:c r="E340" s="53" t="n">
        <x:f>IFERROR(B340/$B$488-1,"")</x:f>
        <x:v>0.07772697583278898</x:v>
      </x:c>
      <x:c r="F340" s="54" t="str">
        <x:v>开放申购</x:v>
      </x:c>
      <x:c r="G340" s="54" t="str">
        <x:v>开放赎回</x:v>
      </x:c>
    </x:row>
    <x:row r="341">
      <x:c r="A341" s="49" t="n">
        <x:v>45763</x:v>
      </x:c>
      <x:c r="B341" s="52" t="n">
        <x:v>3.29</x:v>
      </x:c>
      <x:c r="C341" s="52" t="n">
        <x:v>3.761</x:v>
      </x:c>
      <x:c r="D341" s="53" t="n">
        <x:v>-0.027200000000000002</x:v>
      </x:c>
      <x:c r="E341" s="53" t="n">
        <x:f>IFERROR(B341/$B$488-1,"")</x:f>
        <x:v>0.07446113651208375</x:v>
      </x:c>
      <x:c r="F341" s="54" t="str">
        <x:v>开放申购</x:v>
      </x:c>
      <x:c r="G341" s="54" t="str">
        <x:v>开放赎回</x:v>
      </x:c>
    </x:row>
    <x:row r="342">
      <x:c r="A342" s="49" t="n">
        <x:v>45762</x:v>
      </x:c>
      <x:c r="B342" s="52" t="n">
        <x:v>3.382</x:v>
      </x:c>
      <x:c r="C342" s="52" t="n">
        <x:v>3.853</x:v>
      </x:c>
      <x:c r="D342" s="53" t="n">
        <x:v>-0.0085</x:v>
      </x:c>
      <x:c r="E342" s="53" t="n">
        <x:f>IFERROR(B342/$B$488-1,"")</x:f>
        <x:v>0.10450685826257367</x:v>
      </x:c>
      <x:c r="F342" s="54" t="str">
        <x:v>开放申购</x:v>
      </x:c>
      <x:c r="G342" s="54" t="str">
        <x:v>开放赎回</x:v>
      </x:c>
    </x:row>
    <x:row r="343">
      <x:c r="A343" s="49" t="n">
        <x:v>45761</x:v>
      </x:c>
      <x:c r="B343" s="52" t="n">
        <x:v>3.411</x:v>
      </x:c>
      <x:c r="C343" s="52" t="n">
        <x:v>3.882</x:v>
      </x:c>
      <x:c r="D343" s="53" t="n">
        <x:v>0.0173</x:v>
      </x:c>
      <x:c r="E343" s="53" t="n">
        <x:f>IFERROR(B343/$B$488-1,"")</x:f>
        <x:v>0.11397779229261928</x:v>
      </x:c>
      <x:c r="F343" s="54" t="str">
        <x:v>开放申购</x:v>
      </x:c>
      <x:c r="G343" s="54" t="str">
        <x:v>开放赎回</x:v>
      </x:c>
    </x:row>
    <x:row r="344">
      <x:c r="A344" s="49" t="n">
        <x:v>45758</x:v>
      </x:c>
      <x:c r="B344" s="52" t="n">
        <x:v>3.353</x:v>
      </x:c>
      <x:c r="C344" s="52" t="n">
        <x:v>3.824</x:v>
      </x:c>
      <x:c r="D344" s="53" t="n">
        <x:v>0.0148</x:v>
      </x:c>
      <x:c r="E344" s="53" t="n">
        <x:f>IFERROR(B344/$B$488-1,"")</x:f>
        <x:v>0.09503592423252782</x:v>
      </x:c>
      <x:c r="F344" s="54" t="str">
        <x:v>开放申购</x:v>
      </x:c>
      <x:c r="G344" s="54" t="str">
        <x:v>开放赎回</x:v>
      </x:c>
    </x:row>
    <x:row r="345">
      <x:c r="A345" s="49" t="n">
        <x:v>45757</x:v>
      </x:c>
      <x:c r="B345" s="52" t="n">
        <x:v>3.304</x:v>
      </x:c>
      <x:c r="C345" s="52" t="n">
        <x:v>3.775</x:v>
      </x:c>
      <x:c r="D345" s="53" t="n">
        <x:v>0.0331</x:v>
      </x:c>
      <x:c r="E345" s="53" t="n">
        <x:f>IFERROR(B345/$B$488-1,"")</x:f>
        <x:v>0.0790333115610713</x:v>
      </x:c>
      <x:c r="F345" s="54" t="str">
        <x:v>开放申购</x:v>
      </x:c>
      <x:c r="G345" s="54" t="str">
        <x:v>开放赎回</x:v>
      </x:c>
    </x:row>
    <x:row r="346">
      <x:c r="A346" s="49" t="n">
        <x:v>45756</x:v>
      </x:c>
      <x:c r="B346" s="52" t="n">
        <x:v>3.198</x:v>
      </x:c>
      <x:c r="C346" s="52" t="n">
        <x:v>3.669</x:v>
      </x:c>
      <x:c r="D346" s="53" t="n">
        <x:v>0.0329</x:v>
      </x:c>
      <x:c r="E346" s="53" t="n">
        <x:f>IFERROR(B346/$B$488-1,"")</x:f>
        <x:v>0.04441541476159383</x:v>
      </x:c>
      <x:c r="F346" s="54" t="str">
        <x:v>开放申购</x:v>
      </x:c>
      <x:c r="G346" s="54" t="str">
        <x:v>开放赎回</x:v>
      </x:c>
    </x:row>
    <x:row r="347">
      <x:c r="A347" s="49" t="n">
        <x:v>45755</x:v>
      </x:c>
      <x:c r="B347" s="52" t="n">
        <x:v>3.096</x:v>
      </x:c>
      <x:c r="C347" s="52" t="n">
        <x:v>3.567</x:v>
      </x:c>
      <x:c r="D347" s="53" t="n">
        <x:v>-0.015600000000000001</x:v>
      </x:c>
      <x:c r="E347" s="53" t="n">
        <x:f>IFERROR(B347/$B$488-1,"")</x:f>
        <x:v>0.011103853690398457</x:v>
      </x:c>
      <x:c r="F347" s="54" t="str">
        <x:v>开放申购</x:v>
      </x:c>
      <x:c r="G347" s="54" t="str">
        <x:v>开放赎回</x:v>
      </x:c>
    </x:row>
    <x:row r="348">
      <x:c r="A348" s="49" t="n">
        <x:v>45754</x:v>
      </x:c>
      <x:c r="B348" s="52" t="n">
        <x:v>3.145</x:v>
      </x:c>
      <x:c r="C348" s="52" t="n">
        <x:v>3.616</x:v>
      </x:c>
      <x:c r="D348" s="53" t="n">
        <x:v>-0.09759999999999999</x:v>
      </x:c>
      <x:c r="E348" s="53" t="n">
        <x:f>IFERROR(B348/$B$488-1,"")</x:f>
        <x:v>0.027106466361854986</x:v>
      </x:c>
      <x:c r="F348" s="54" t="str">
        <x:v>开放申购</x:v>
      </x:c>
      <x:c r="G348" s="54" t="str">
        <x:v>开放赎回</x:v>
      </x:c>
    </x:row>
    <x:row r="349">
      <x:c r="A349" s="49" t="n">
        <x:v>45750</x:v>
      </x:c>
      <x:c r="B349" s="52" t="n">
        <x:v>3.485</x:v>
      </x:c>
      <x:c r="C349" s="52" t="n">
        <x:v>3.956</x:v>
      </x:c>
      <x:c r="D349" s="53" t="n">
        <x:v>-0.0017000000000000001</x:v>
      </x:c>
      <x:c r="E349" s="53" t="n">
        <x:f>IFERROR(B349/$B$488-1,"")</x:f>
        <x:v>0.13814500326583934</x:v>
      </x:c>
      <x:c r="F349" s="54" t="str">
        <x:v>开放申购</x:v>
      </x:c>
      <x:c r="G349" s="54" t="str">
        <x:v>开放赎回</x:v>
      </x:c>
    </x:row>
    <x:row r="350">
      <x:c r="A350" s="49" t="n">
        <x:v>45749</x:v>
      </x:c>
      <x:c r="B350" s="52" t="n">
        <x:v>3.491</x:v>
      </x:c>
      <x:c r="C350" s="52" t="n">
        <x:v>3.962</x:v>
      </x:c>
      <x:c r="D350" s="53" t="n">
        <x:v>0.0151</x:v>
      </x:c>
      <x:c r="E350" s="53" t="n">
        <x:f>IFERROR(B350/$B$488-1,"")</x:f>
        <x:v>0.1401045068582627</x:v>
      </x:c>
      <x:c r="F350" s="54" t="str">
        <x:v>开放申购</x:v>
      </x:c>
      <x:c r="G350" s="54" t="str">
        <x:v>开放赎回</x:v>
      </x:c>
    </x:row>
    <x:row r="351">
      <x:c r="A351" s="49" t="n">
        <x:v>45748</x:v>
      </x:c>
      <x:c r="B351" s="52" t="n">
        <x:v>3.439</x:v>
      </x:c>
      <x:c r="C351" s="52" t="n">
        <x:v>3.91</x:v>
      </x:c>
      <x:c r="D351" s="53" t="n">
        <x:v>-0.0095</x:v>
      </x:c>
      <x:c r="E351" s="53" t="n">
        <x:f>IFERROR(B351/$B$488-1,"")</x:f>
        <x:v>0.12312214239059438</x:v>
      </x:c>
      <x:c r="F351" s="54" t="str">
        <x:v>开放申购</x:v>
      </x:c>
      <x:c r="G351" s="54" t="str">
        <x:v>开放赎回</x:v>
      </x:c>
    </x:row>
    <x:row r="352">
      <x:c r="A352" s="49" t="n">
        <x:v>45747</x:v>
      </x:c>
      <x:c r="B352" s="52" t="n">
        <x:v>3.472</x:v>
      </x:c>
      <x:c r="C352" s="52" t="n">
        <x:v>3.943</x:v>
      </x:c>
      <x:c r="D352" s="53" t="n">
        <x:v>0.0179</x:v>
      </x:c>
      <x:c r="E352" s="53" t="n">
        <x:f>IFERROR(B352/$B$488-1,"")</x:f>
        <x:v>0.13389941214892231</x:v>
      </x:c>
      <x:c r="F352" s="54" t="str">
        <x:v>开放申购</x:v>
      </x:c>
      <x:c r="G352" s="54" t="str">
        <x:v>开放赎回</x:v>
      </x:c>
    </x:row>
    <x:row r="353">
      <x:c r="A353" s="49" t="n">
        <x:v>45744</x:v>
      </x:c>
      <x:c r="B353" s="52" t="n">
        <x:v>3.411</x:v>
      </x:c>
      <x:c r="C353" s="52" t="n">
        <x:v>3.882</x:v>
      </x:c>
      <x:c r="D353" s="53" t="n">
        <x:v>-0.0029</x:v>
      </x:c>
      <x:c r="E353" s="53" t="n">
        <x:f>IFERROR(B353/$B$488-1,"")</x:f>
        <x:v>0.11397779229261928</x:v>
      </x:c>
      <x:c r="F353" s="54" t="str">
        <x:v>开放申购</x:v>
      </x:c>
      <x:c r="G353" s="54" t="str">
        <x:v>开放赎回</x:v>
      </x:c>
    </x:row>
    <x:row r="354">
      <x:c r="A354" s="49" t="n">
        <x:v>45743</x:v>
      </x:c>
      <x:c r="B354" s="52" t="n">
        <x:v>3.421</x:v>
      </x:c>
      <x:c r="C354" s="52" t="n">
        <x:v>3.892</x:v>
      </x:c>
      <x:c r="D354" s="53" t="n">
        <x:v>-0.0067</x:v>
      </x:c>
      <x:c r="E354" s="53" t="n">
        <x:f>IFERROR(B354/$B$488-1,"")</x:f>
        <x:v>0.11724363161332452</x:v>
      </x:c>
      <x:c r="F354" s="54" t="str">
        <x:v>开放申购</x:v>
      </x:c>
      <x:c r="G354" s="54" t="str">
        <x:v>开放赎回</x:v>
      </x:c>
    </x:row>
    <x:row r="355">
      <x:c r="A355" s="49" t="n">
        <x:v>45742</x:v>
      </x:c>
      <x:c r="B355" s="52" t="n">
        <x:v>3.444</x:v>
      </x:c>
      <x:c r="C355" s="52" t="n">
        <x:v>3.915</x:v>
      </x:c>
      <x:c r="D355" s="53" t="n">
        <x:v>0.0026</x:v>
      </x:c>
      <x:c r="E355" s="53" t="n">
        <x:f>IFERROR(B355/$B$488-1,"")</x:f>
        <x:v>0.12475506205094722</x:v>
      </x:c>
      <x:c r="F355" s="54" t="str">
        <x:v>开放申购</x:v>
      </x:c>
      <x:c r="G355" s="54" t="str">
        <x:v>开放赎回</x:v>
      </x:c>
    </x:row>
    <x:row r="356">
      <x:c r="A356" s="49" t="n">
        <x:v>45741</x:v>
      </x:c>
      <x:c r="B356" s="52" t="n">
        <x:v>3.435</x:v>
      </x:c>
      <x:c r="C356" s="52" t="n">
        <x:v>3.906</x:v>
      </x:c>
      <x:c r="D356" s="53" t="n">
        <x:v>-0.045599999999999995</x:v>
      </x:c>
      <x:c r="E356" s="53" t="n">
        <x:f>IFERROR(B356/$B$488-1,"")</x:f>
        <x:v>0.12181580666231229</x:v>
      </x:c>
      <x:c r="F356" s="54" t="str">
        <x:v>开放申购</x:v>
      </x:c>
      <x:c r="G356" s="54" t="str">
        <x:v>开放赎回</x:v>
      </x:c>
    </x:row>
    <x:row r="357">
      <x:c r="A357" s="49" t="n">
        <x:v>45740</x:v>
      </x:c>
      <x:c r="B357" s="52" t="n">
        <x:v>3.599</x:v>
      </x:c>
      <x:c r="C357" s="52" t="n">
        <x:v>4.07</x:v>
      </x:c>
      <x:c r="D357" s="53" t="n">
        <x:v>-0.0064</x:v>
      </x:c>
      <x:c r="E357" s="53" t="n">
        <x:f>IFERROR(B357/$B$488-1,"")</x:f>
        <x:v>0.1753755715218812</x:v>
      </x:c>
      <x:c r="F357" s="54" t="str">
        <x:v>开放申购</x:v>
      </x:c>
      <x:c r="G357" s="54" t="str">
        <x:v>开放赎回</x:v>
      </x:c>
    </x:row>
    <x:row r="358">
      <x:c r="A358" s="49" t="n">
        <x:v>45737</x:v>
      </x:c>
      <x:c r="B358" s="52" t="n">
        <x:v>3.622</x:v>
      </x:c>
      <x:c r="C358" s="52" t="n">
        <x:v>4.093</x:v>
      </x:c>
      <x:c r="D358" s="53" t="n">
        <x:v>-0.029500000000000002</x:v>
      </x:c>
      <x:c r="E358" s="53" t="n">
        <x:f>IFERROR(B358/$B$488-1,"")</x:f>
        <x:v>0.1828870019595037</x:v>
      </x:c>
      <x:c r="F358" s="54" t="str">
        <x:v>开放申购</x:v>
      </x:c>
      <x:c r="G358" s="54" t="str">
        <x:v>开放赎回</x:v>
      </x:c>
    </x:row>
    <x:row r="359">
      <x:c r="A359" s="49" t="n">
        <x:v>45736</x:v>
      </x:c>
      <x:c r="B359" s="52" t="n">
        <x:v>3.732</x:v>
      </x:c>
      <x:c r="C359" s="52" t="n">
        <x:v>4.203</x:v>
      </x:c>
      <x:c r="D359" s="53" t="n">
        <x:v>-0.0294</x:v>
      </x:c>
      <x:c r="E359" s="53" t="n">
        <x:f>IFERROR(B359/$B$488-1,"")</x:f>
        <x:v>0.21881123448726325</x:v>
      </x:c>
      <x:c r="F359" s="54" t="str">
        <x:v>开放申购</x:v>
      </x:c>
      <x:c r="G359" s="54" t="str">
        <x:v>开放赎回</x:v>
      </x:c>
    </x:row>
    <x:row r="360">
      <x:c r="A360" s="49" t="n">
        <x:v>45735</x:v>
      </x:c>
      <x:c r="B360" s="52" t="n">
        <x:v>3.845</x:v>
      </x:c>
      <x:c r="C360" s="52" t="n">
        <x:v>4.316</x:v>
      </x:c>
      <x:c r="D360" s="53" t="n">
        <x:v>-0.0149</x:v>
      </x:c>
      <x:c r="E360" s="53" t="n">
        <x:f>IFERROR(B360/$B$488-1,"")</x:f>
        <x:v>0.2557152188112346</x:v>
      </x:c>
      <x:c r="F360" s="54" t="str">
        <x:v>开放申购</x:v>
      </x:c>
      <x:c r="G360" s="54" t="str">
        <x:v>开放赎回</x:v>
      </x:c>
    </x:row>
    <x:row r="361">
      <x:c r="A361" s="49" t="n">
        <x:v>45734</x:v>
      </x:c>
      <x:c r="B361" s="52" t="n">
        <x:v>3.903</x:v>
      </x:c>
      <x:c r="C361" s="52" t="n">
        <x:v>4.374</x:v>
      </x:c>
      <x:c r="D361" s="53" t="n">
        <x:v>-0.0051</x:v>
      </x:c>
      <x:c r="E361" s="53" t="n">
        <x:f>IFERROR(B361/$B$488-1,"")</x:f>
        <x:v>0.27465708687132606</x:v>
      </x:c>
      <x:c r="F361" s="54" t="str">
        <x:v>开放申购</x:v>
      </x:c>
      <x:c r="G361" s="54" t="str">
        <x:v>开放赎回</x:v>
      </x:c>
    </x:row>
    <x:row r="362">
      <x:c r="A362" s="49" t="n">
        <x:v>45733</x:v>
      </x:c>
      <x:c r="B362" s="52" t="n">
        <x:v>3.923</x:v>
      </x:c>
      <x:c r="C362" s="52" t="n">
        <x:v>4.394</x:v>
      </x:c>
      <x:c r="D362" s="53" t="n">
        <x:v>-0.0028000000000000004</x:v>
      </x:c>
      <x:c r="E362" s="53" t="n">
        <x:f>IFERROR(B362/$B$488-1,"")</x:f>
        <x:v>0.28118876551273675</x:v>
      </x:c>
      <x:c r="F362" s="54" t="str">
        <x:v>开放申购</x:v>
      </x:c>
      <x:c r="G362" s="54" t="str">
        <x:v>开放赎回</x:v>
      </x:c>
    </x:row>
    <x:row r="363">
      <x:c r="A363" s="49" t="n">
        <x:v>45730</x:v>
      </x:c>
      <x:c r="B363" s="52" t="n">
        <x:v>3.934</x:v>
      </x:c>
      <x:c r="C363" s="52" t="n">
        <x:v>4.405</x:v>
      </x:c>
      <x:c r="D363" s="53" t="n">
        <x:v>0.0087</x:v>
      </x:c>
      <x:c r="E363" s="53" t="n">
        <x:f>IFERROR(B363/$B$488-1,"")</x:f>
        <x:v>0.28478118876551295</x:v>
      </x:c>
      <x:c r="F363" s="54" t="str">
        <x:v>开放申购</x:v>
      </x:c>
      <x:c r="G363" s="54" t="str">
        <x:v>开放赎回</x:v>
      </x:c>
    </x:row>
    <x:row r="364">
      <x:c r="A364" s="49" t="n">
        <x:v>45729</x:v>
      </x:c>
      <x:c r="B364" s="52" t="n">
        <x:v>3.9</x:v>
      </x:c>
      <x:c r="C364" s="52" t="n">
        <x:v>4.371</x:v>
      </x:c>
      <x:c r="D364" s="53" t="n">
        <x:v>-0.0074</x:v>
      </x:c>
      <x:c r="E364" s="53" t="n">
        <x:f>IFERROR(B364/$B$488-1,"")</x:f>
        <x:v>0.27367733507511427</x:v>
      </x:c>
      <x:c r="F364" s="54" t="str">
        <x:v>开放申购</x:v>
      </x:c>
      <x:c r="G364" s="54" t="str">
        <x:v>开放赎回</x:v>
      </x:c>
    </x:row>
    <x:row r="365">
      <x:c r="A365" s="49" t="n">
        <x:v>45728</x:v>
      </x:c>
      <x:c r="B365" s="52" t="n">
        <x:v>3.929</x:v>
      </x:c>
      <x:c r="C365" s="52" t="n">
        <x:v>4.4</x:v>
      </x:c>
      <x:c r="D365" s="53" t="n">
        <x:v>0.0046</x:v>
      </x:c>
      <x:c r="E365" s="53" t="n">
        <x:f>IFERROR(B365/$B$488-1,"")</x:f>
        <x:v>0.2831482691051601</x:v>
      </x:c>
      <x:c r="F365" s="54" t="str">
        <x:v>开放申购</x:v>
      </x:c>
      <x:c r="G365" s="54" t="str">
        <x:v>开放赎回</x:v>
      </x:c>
    </x:row>
    <x:row r="366">
      <x:c r="A366" s="49" t="n">
        <x:v>45727</x:v>
      </x:c>
      <x:c r="B366" s="52" t="n">
        <x:v>3.911</x:v>
      </x:c>
      <x:c r="C366" s="52" t="n">
        <x:v>4.382</x:v>
      </x:c>
      <x:c r="D366" s="53" t="n">
        <x:v>0</x:v>
      </x:c>
      <x:c r="E366" s="53" t="n">
        <x:f>IFERROR(B366/$B$488-1,"")</x:f>
        <x:v>0.27726975832789025</x:v>
      </x:c>
      <x:c r="F366" s="54" t="str">
        <x:v>开放申购</x:v>
      </x:c>
      <x:c r="G366" s="54" t="str">
        <x:v>开放赎回</x:v>
      </x:c>
    </x:row>
    <x:row r="367">
      <x:c r="A367" s="49" t="n">
        <x:v>45726</x:v>
      </x:c>
      <x:c r="B367" s="52" t="n">
        <x:v>3.911</x:v>
      </x:c>
      <x:c r="C367" s="52" t="n">
        <x:v>4.382</x:v>
      </x:c>
      <x:c r="D367" s="53" t="n">
        <x:v>0.0051</x:v>
      </x:c>
      <x:c r="E367" s="53" t="n">
        <x:f>IFERROR(B367/$B$488-1,"")</x:f>
        <x:v>0.27726975832789025</x:v>
      </x:c>
      <x:c r="F367" s="54" t="str">
        <x:v>开放申购</x:v>
      </x:c>
      <x:c r="G367" s="54" t="str">
        <x:v>开放赎回</x:v>
      </x:c>
    </x:row>
    <x:row r="368">
      <x:c r="A368" s="49" t="n">
        <x:v>45723</x:v>
      </x:c>
      <x:c r="B368" s="52" t="n">
        <x:v>3.891</x:v>
      </x:c>
      <x:c r="C368" s="52" t="n">
        <x:v>4.362</x:v>
      </x:c>
      <x:c r="D368" s="53" t="n">
        <x:v>-0.0144</x:v>
      </x:c>
      <x:c r="E368" s="53" t="n">
        <x:f>IFERROR(B368/$B$488-1,"")</x:f>
        <x:v>0.27073807968647956</x:v>
      </x:c>
      <x:c r="F368" s="54" t="str">
        <x:v>开放申购</x:v>
      </x:c>
      <x:c r="G368" s="54" t="str">
        <x:v>开放赎回</x:v>
      </x:c>
    </x:row>
    <x:row r="369">
      <x:c r="A369" s="49" t="n">
        <x:v>45722</x:v>
      </x:c>
      <x:c r="B369" s="52" t="n">
        <x:v>3.948</x:v>
      </x:c>
      <x:c r="C369" s="52" t="n">
        <x:v>4.419</x:v>
      </x:c>
      <x:c r="D369" s="53" t="n">
        <x:v>0.0108</x:v>
      </x:c>
      <x:c r="E369" s="53" t="n">
        <x:f>IFERROR(B369/$B$488-1,"")</x:f>
        <x:v>0.2893533638145003</x:v>
      </x:c>
      <x:c r="F369" s="54" t="str">
        <x:v>开放申购</x:v>
      </x:c>
      <x:c r="G369" s="54" t="str">
        <x:v>开放赎回</x:v>
      </x:c>
    </x:row>
    <x:row r="370">
      <x:c r="A370" s="49" t="n">
        <x:v>45721</x:v>
      </x:c>
      <x:c r="B370" s="52" t="n">
        <x:v>3.906</x:v>
      </x:c>
      <x:c r="C370" s="52" t="n">
        <x:v>4.377</x:v>
      </x:c>
      <x:c r="D370" s="53" t="n">
        <x:v>0.009000000000000001</x:v>
      </x:c>
      <x:c r="E370" s="53" t="n">
        <x:f>IFERROR(B370/$B$488-1,"")</x:f>
        <x:v>0.27563683866753763</x:v>
      </x:c>
      <x:c r="F370" s="54" t="str">
        <x:v>开放申购</x:v>
      </x:c>
      <x:c r="G370" s="54" t="str">
        <x:v>开放赎回</x:v>
      </x:c>
    </x:row>
    <x:row r="371">
      <x:c r="A371" s="49" t="n">
        <x:v>45720</x:v>
      </x:c>
      <x:c r="B371" s="52" t="n">
        <x:v>3.871</x:v>
      </x:c>
      <x:c r="C371" s="52" t="n">
        <x:v>4.342</x:v>
      </x:c>
      <x:c r="D371" s="53" t="n">
        <x:v>-0.019</x:v>
      </x:c>
      <x:c r="E371" s="53" t="n">
        <x:f>IFERROR(B371/$B$488-1,"")</x:f>
        <x:v>0.26420640104506865</x:v>
      </x:c>
      <x:c r="F371" s="54" t="str">
        <x:v>开放申购</x:v>
      </x:c>
      <x:c r="G371" s="54" t="str">
        <x:v>开放赎回</x:v>
      </x:c>
    </x:row>
    <x:row r="372">
      <x:c r="A372" s="49" t="n">
        <x:v>45719</x:v>
      </x:c>
      <x:c r="B372" s="52" t="n">
        <x:v>3.946</x:v>
      </x:c>
      <x:c r="C372" s="52" t="n">
        <x:v>4.417</x:v>
      </x:c>
      <x:c r="D372" s="53" t="n">
        <x:v>-0.013500000000000002</x:v>
      </x:c>
      <x:c r="E372" s="53" t="n">
        <x:f>IFERROR(B372/$B$488-1,"")</x:f>
        <x:v>0.28870019595035945</x:v>
      </x:c>
      <x:c r="F372" s="54" t="str">
        <x:v>开放申购</x:v>
      </x:c>
      <x:c r="G372" s="54" t="str">
        <x:v>开放赎回</x:v>
      </x:c>
    </x:row>
    <x:row r="373">
      <x:c r="A373" s="49" t="n">
        <x:v>45716</x:v>
      </x:c>
      <x:c r="B373" s="52" t="n">
        <x:v>4</x:v>
      </x:c>
      <x:c r="C373" s="52" t="n">
        <x:v>4.471</x:v>
      </x:c>
      <x:c r="D373" s="53" t="n">
        <x:v>-0.049400000000000006</x:v>
      </x:c>
      <x:c r="E373" s="53" t="n">
        <x:f>IFERROR(B373/$B$488-1,"")</x:f>
        <x:v>0.3063357282821686</x:v>
      </x:c>
      <x:c r="F373" s="54" t="str">
        <x:v>开放申购</x:v>
      </x:c>
      <x:c r="G373" s="54" t="str">
        <x:v>开放赎回</x:v>
      </x:c>
    </x:row>
    <x:row r="374">
      <x:c r="A374" s="49" t="n">
        <x:v>45715</x:v>
      </x:c>
      <x:c r="B374" s="52" t="n">
        <x:v>4.208</x:v>
      </x:c>
      <x:c r="C374" s="52" t="n">
        <x:v>4.679</x:v>
      </x:c>
      <x:c r="D374" s="53" t="n">
        <x:v>-0.0297</x:v>
      </x:c>
      <x:c r="E374" s="53" t="n">
        <x:f>IFERROR(B374/$B$488-1,"")</x:f>
        <x:v>0.37426518615284143</x:v>
      </x:c>
      <x:c r="F374" s="54" t="str">
        <x:v>开放申购</x:v>
      </x:c>
      <x:c r="G374" s="54" t="str">
        <x:v>开放赎回</x:v>
      </x:c>
    </x:row>
    <x:row r="375">
      <x:c r="A375" s="49" t="n">
        <x:v>45714</x:v>
      </x:c>
      <x:c r="B375" s="52" t="n">
        <x:v>4.337</x:v>
      </x:c>
      <x:c r="C375" s="52" t="n">
        <x:v>4.808</x:v>
      </x:c>
      <x:c r="D375" s="53" t="n">
        <x:v>0.003</x:v>
      </x:c>
      <x:c r="E375" s="53" t="n">
        <x:f>IFERROR(B375/$B$488-1,"")</x:f>
        <x:v>0.41639451338994116</x:v>
      </x:c>
      <x:c r="F375" s="54" t="str">
        <x:v>开放申购</x:v>
      </x:c>
      <x:c r="G375" s="54" t="str">
        <x:v>开放赎回</x:v>
      </x:c>
    </x:row>
    <x:row r="376">
      <x:c r="A376" s="49" t="n">
        <x:v>45713</x:v>
      </x:c>
      <x:c r="B376" s="52" t="n">
        <x:v>4.324</x:v>
      </x:c>
      <x:c r="C376" s="52" t="n">
        <x:v>4.795</x:v>
      </x:c>
      <x:c r="D376" s="53" t="n">
        <x:v>-0.011200000000000002</x:v>
      </x:c>
      <x:c r="E376" s="53" t="n">
        <x:f>IFERROR(B376/$B$488-1,"")</x:f>
        <x:v>0.41214892227302413</x:v>
      </x:c>
      <x:c r="F376" s="54" t="str">
        <x:v>开放申购</x:v>
      </x:c>
      <x:c r="G376" s="54" t="str">
        <x:v>开放赎回</x:v>
      </x:c>
    </x:row>
    <x:row r="377">
      <x:c r="A377" s="49" t="n">
        <x:v>45712</x:v>
      </x:c>
      <x:c r="B377" s="52" t="n">
        <x:v>4.373</x:v>
      </x:c>
      <x:c r="C377" s="52" t="n">
        <x:v>4.844</x:v>
      </x:c>
      <x:c r="D377" s="53" t="n">
        <x:v>-0.0437</x:v>
      </x:c>
      <x:c r="E377" s="53" t="n">
        <x:f>IFERROR(B377/$B$488-1,"")</x:f>
        <x:v>0.4281515349444809</x:v>
      </x:c>
      <x:c r="F377" s="54" t="str">
        <x:v>开放申购</x:v>
      </x:c>
      <x:c r="G377" s="54" t="str">
        <x:v>开放赎回</x:v>
      </x:c>
    </x:row>
    <x:row r="378">
      <x:c r="A378" s="49" t="n">
        <x:v>45709</x:v>
      </x:c>
      <x:c r="B378" s="52" t="n">
        <x:v>4.573</x:v>
      </x:c>
      <x:c r="C378" s="52" t="n">
        <x:v>5.044</x:v>
      </x:c>
      <x:c r="D378" s="53" t="n">
        <x:v>0.0158</x:v>
      </x:c>
      <x:c r="E378" s="53" t="n">
        <x:f>IFERROR(B378/$B$488-1,"")</x:f>
        <x:v>0.4934683213585893</x:v>
      </x:c>
      <x:c r="F378" s="54" t="str">
        <x:v>开放申购</x:v>
      </x:c>
      <x:c r="G378" s="54" t="str">
        <x:v>开放赎回</x:v>
      </x:c>
    </x:row>
    <x:row r="379">
      <x:c r="A379" s="49" t="n">
        <x:v>45708</x:v>
      </x:c>
      <x:c r="B379" s="52" t="n">
        <x:v>4.502</x:v>
      </x:c>
      <x:c r="C379" s="52" t="n">
        <x:v>4.973</x:v>
      </x:c>
      <x:c r="D379" s="53" t="n">
        <x:v>-0.004</x:v>
      </x:c>
      <x:c r="E379" s="53" t="n">
        <x:f>IFERROR(B379/$B$488-1,"")</x:f>
        <x:v>0.4702808621815806</x:v>
      </x:c>
      <x:c r="F379" s="54" t="str">
        <x:v>开放申购</x:v>
      </x:c>
      <x:c r="G379" s="54" t="str">
        <x:v>开放赎回</x:v>
      </x:c>
    </x:row>
    <x:row r="380">
      <x:c r="A380" s="49" t="n">
        <x:v>45707</x:v>
      </x:c>
      <x:c r="B380" s="52" t="n">
        <x:v>4.52</x:v>
      </x:c>
      <x:c r="C380" s="52" t="n">
        <x:v>4.991</x:v>
      </x:c>
      <x:c r="D380" s="53" t="n">
        <x:v>0.0031</x:v>
      </x:c>
      <x:c r="E380" s="53" t="n">
        <x:f>IFERROR(B380/$B$488-1,"")</x:f>
        <x:v>0.47615937295885047</x:v>
      </x:c>
      <x:c r="F380" s="54" t="str">
        <x:v>开放申购</x:v>
      </x:c>
      <x:c r="G380" s="54" t="str">
        <x:v>开放赎回</x:v>
      </x:c>
    </x:row>
    <x:row r="381">
      <x:c r="A381" s="49" t="n">
        <x:v>45706</x:v>
      </x:c>
      <x:c r="B381" s="52" t="n">
        <x:v>4.506</x:v>
      </x:c>
      <x:c r="C381" s="52" t="n">
        <x:v>4.977</x:v>
      </x:c>
      <x:c r="D381" s="53" t="n">
        <x:v>-0.0183</x:v>
      </x:c>
      <x:c r="E381" s="53" t="n">
        <x:f>IFERROR(B381/$B$488-1,"")</x:f>
        <x:v>0.4715871979098629</x:v>
      </x:c>
      <x:c r="F381" s="54" t="str">
        <x:v>开放申购</x:v>
      </x:c>
      <x:c r="G381" s="54" t="str">
        <x:v>开放赎回</x:v>
      </x:c>
    </x:row>
    <x:row r="382">
      <x:c r="A382" s="49" t="n">
        <x:v>45705</x:v>
      </x:c>
      <x:c r="B382" s="52" t="n">
        <x:v>4.59</x:v>
      </x:c>
      <x:c r="C382" s="52" t="n">
        <x:v>5.061</x:v>
      </x:c>
      <x:c r="D382" s="53" t="n">
        <x:v>0.0394</x:v>
      </x:c>
      <x:c r="E382" s="53" t="n">
        <x:f>IFERROR(B382/$B$488-1,"")</x:f>
        <x:v>0.49902024820378843</x:v>
      </x:c>
      <x:c r="F382" s="54" t="str">
        <x:v>开放申购</x:v>
      </x:c>
      <x:c r="G382" s="54" t="str">
        <x:v>开放赎回</x:v>
      </x:c>
    </x:row>
    <x:row r="383">
      <x:c r="A383" s="49" t="n">
        <x:v>45702</x:v>
      </x:c>
      <x:c r="B383" s="52" t="n">
        <x:v>4.416</x:v>
      </x:c>
      <x:c r="C383" s="52" t="n">
        <x:v>4.887</x:v>
      </x:c>
      <x:c r="D383" s="53" t="n">
        <x:v>-0.0138</x:v>
      </x:c>
      <x:c r="E383" s="53" t="n">
        <x:f>IFERROR(B383/$B$488-1,"")</x:f>
        <x:v>0.44219464402351427</x:v>
      </x:c>
      <x:c r="F383" s="54" t="str">
        <x:v>开放申购</x:v>
      </x:c>
      <x:c r="G383" s="54" t="str">
        <x:v>开放赎回</x:v>
      </x:c>
    </x:row>
    <x:row r="384">
      <x:c r="A384" s="49" t="n">
        <x:v>45701</x:v>
      </x:c>
      <x:c r="B384" s="52" t="n">
        <x:v>4.478</x:v>
      </x:c>
      <x:c r="C384" s="52" t="n">
        <x:v>4.949</x:v>
      </x:c>
      <x:c r="D384" s="53" t="n">
        <x:v>-0.0265</x:v>
      </x:c>
      <x:c r="E384" s="53" t="n">
        <x:f>IFERROR(B384/$B$488-1,"")</x:f>
        <x:v>0.4624428478118876</x:v>
      </x:c>
      <x:c r="F384" s="54" t="str">
        <x:v>开放申购</x:v>
      </x:c>
      <x:c r="G384" s="54" t="str">
        <x:v>开放赎回</x:v>
      </x:c>
    </x:row>
    <x:row r="385">
      <x:c r="A385" s="49" t="n">
        <x:v>45700</x:v>
      </x:c>
      <x:c r="B385" s="52" t="n">
        <x:v>4.6</x:v>
      </x:c>
      <x:c r="C385" s="52" t="n">
        <x:v>5.071</x:v>
      </x:c>
      <x:c r="D385" s="53" t="n">
        <x:v>0.0086</x:v>
      </x:c>
      <x:c r="E385" s="53" t="n">
        <x:f>IFERROR(B385/$B$488-1,"")</x:f>
        <x:v>0.5022860875244937</x:v>
      </x:c>
      <x:c r="F385" s="54" t="str">
        <x:v>开放申购</x:v>
      </x:c>
      <x:c r="G385" s="54" t="str">
        <x:v>开放赎回</x:v>
      </x:c>
    </x:row>
    <x:row r="386">
      <x:c r="A386" s="49" t="n">
        <x:v>45699</x:v>
      </x:c>
      <x:c r="B386" s="52" t="n">
        <x:v>4.561</x:v>
      </x:c>
      <x:c r="C386" s="52" t="n">
        <x:v>5.032</x:v>
      </x:c>
      <x:c r="D386" s="53" t="n">
        <x:v>0.0109</x:v>
      </x:c>
      <x:c r="E386" s="53" t="n">
        <x:f>IFERROR(B386/$B$488-1,"")</x:f>
        <x:v>0.4895493141737428</x:v>
      </x:c>
      <x:c r="F386" s="54" t="str">
        <x:v>开放申购</x:v>
      </x:c>
      <x:c r="G386" s="54" t="str">
        <x:v>开放赎回</x:v>
      </x:c>
    </x:row>
    <x:row r="387">
      <x:c r="A387" s="49" t="n">
        <x:v>45698</x:v>
      </x:c>
      <x:c r="B387" s="52" t="n">
        <x:v>4.512</x:v>
      </x:c>
      <x:c r="C387" s="52" t="n">
        <x:v>4.983</x:v>
      </x:c>
      <x:c r="D387" s="53" t="n">
        <x:v>0.011200000000000002</x:v>
      </x:c>
      <x:c r="E387" s="53" t="n">
        <x:f>IFERROR(B387/$B$488-1,"")</x:f>
        <x:v>0.47354670150228606</x:v>
      </x:c>
      <x:c r="F387" s="54" t="str">
        <x:v>开放申购</x:v>
      </x:c>
      <x:c r="G387" s="54" t="str">
        <x:v>开放赎回</x:v>
      </x:c>
    </x:row>
    <x:row r="388">
      <x:c r="A388" s="49" t="n">
        <x:v>45695</x:v>
      </x:c>
      <x:c r="B388" s="52" t="n">
        <x:v>4.462</x:v>
      </x:c>
      <x:c r="C388" s="52" t="n">
        <x:v>4.933</x:v>
      </x:c>
      <x:c r="D388" s="53" t="n">
        <x:v>0.0232</x:v>
      </x:c>
      <x:c r="E388" s="53" t="n">
        <x:f>IFERROR(B388/$B$488-1,"")</x:f>
        <x:v>0.457217504898759</x:v>
      </x:c>
      <x:c r="F388" s="54" t="str">
        <x:v>开放申购</x:v>
      </x:c>
      <x:c r="G388" s="54" t="str">
        <x:v>开放赎回</x:v>
      </x:c>
    </x:row>
    <x:row r="389">
      <x:c r="A389" s="49" t="n">
        <x:v>45694</x:v>
      </x:c>
      <x:c r="B389" s="52" t="n">
        <x:v>4.361</x:v>
      </x:c>
      <x:c r="C389" s="52" t="n">
        <x:v>4.832</x:v>
      </x:c>
      <x:c r="D389" s="53" t="n">
        <x:v>0.0216</x:v>
      </x:c>
      <x:c r="E389" s="53" t="n">
        <x:f>IFERROR(B389/$B$488-1,"")</x:f>
        <x:v>0.42423252775963416</x:v>
      </x:c>
      <x:c r="F389" s="54" t="str">
        <x:v>开放申购</x:v>
      </x:c>
      <x:c r="G389" s="54" t="str">
        <x:v>开放赎回</x:v>
      </x:c>
    </x:row>
    <x:row r="390">
      <x:c r="A390" s="49" t="n">
        <x:v>45693</x:v>
      </x:c>
      <x:c r="B390" s="52" t="n">
        <x:v>4.269</x:v>
      </x:c>
      <x:c r="C390" s="52" t="n">
        <x:v>4.74</x:v>
      </x:c>
      <x:c r="D390" s="53" t="n">
        <x:v>-0.0859</x:v>
      </x:c>
      <x:c r="E390" s="53" t="n">
        <x:f>IFERROR(B390/$B$488-1,"")</x:f>
        <x:v>0.39418680600914446</x:v>
      </x:c>
      <x:c r="F390" s="54" t="str">
        <x:v>开放申购</x:v>
      </x:c>
      <x:c r="G390" s="54" t="str">
        <x:v>开放赎回</x:v>
      </x:c>
    </x:row>
    <x:row r="391">
      <x:c r="A391" s="49" t="n">
        <x:v>45684</x:v>
      </x:c>
      <x:c r="B391" s="52" t="n">
        <x:v>4.67</x:v>
      </x:c>
      <x:c r="C391" s="52" t="n">
        <x:v>5.141</x:v>
      </x:c>
      <x:c r="D391" s="53" t="n">
        <x:v>-0.0483</x:v>
      </x:c>
      <x:c r="E391" s="53" t="n">
        <x:f>IFERROR(B391/$B$488-1,"")</x:f>
        <x:v>0.5251469627694318</x:v>
      </x:c>
      <x:c r="F391" s="54" t="str">
        <x:v>开放申购</x:v>
      </x:c>
      <x:c r="G391" s="54" t="str">
        <x:v>开放赎回</x:v>
      </x:c>
    </x:row>
    <x:row r="392">
      <x:c r="A392" s="49" t="n">
        <x:v>45681</x:v>
      </x:c>
      <x:c r="B392" s="52" t="n">
        <x:v>4.907</x:v>
      </x:c>
      <x:c r="C392" s="52" t="n">
        <x:v>5.378</x:v>
      </x:c>
      <x:c r="D392" s="53" t="n">
        <x:v>-0.0034999999999999996</x:v>
      </x:c>
      <x:c r="E392" s="53" t="n">
        <x:f>IFERROR(B392/$B$488-1,"")</x:f>
        <x:v>0.6025473546701503</x:v>
      </x:c>
      <x:c r="F392" s="54" t="str">
        <x:v>开放申购</x:v>
      </x:c>
      <x:c r="G392" s="54" t="str">
        <x:v>开放赎回</x:v>
      </x:c>
    </x:row>
    <x:row r="393">
      <x:c r="A393" s="49" t="n">
        <x:v>45680</x:v>
      </x:c>
      <x:c r="B393" s="52" t="n">
        <x:v>4.924</x:v>
      </x:c>
      <x:c r="C393" s="52" t="n">
        <x:v>5.395</x:v>
      </x:c>
      <x:c r="D393" s="53" t="n">
        <x:v>-0.0105</x:v>
      </x:c>
      <x:c r="E393" s="53" t="n">
        <x:f>IFERROR(B393/$B$488-1,"")</x:f>
        <x:v>0.6080992815153496</x:v>
      </x:c>
      <x:c r="F393" s="54" t="str">
        <x:v>开放申购</x:v>
      </x:c>
      <x:c r="G393" s="54" t="str">
        <x:v>开放赎回</x:v>
      </x:c>
    </x:row>
    <x:row r="394">
      <x:c r="A394" s="49" t="n">
        <x:v>45679</x:v>
      </x:c>
      <x:c r="B394" s="52" t="n">
        <x:v>4.976</x:v>
      </x:c>
      <x:c r="C394" s="52" t="n">
        <x:v>5.447</x:v>
      </x:c>
      <x:c r="D394" s="53" t="n">
        <x:v>0.036699999999999997</x:v>
      </x:c>
      <x:c r="E394" s="53" t="n">
        <x:f>IFERROR(B394/$B$488-1,"")</x:f>
        <x:v>0.6250816459830177</x:v>
      </x:c>
      <x:c r="F394" s="54" t="str">
        <x:v>开放申购</x:v>
      </x:c>
      <x:c r="G394" s="54" t="str">
        <x:v>开放赎回</x:v>
      </x:c>
    </x:row>
    <x:row r="395">
      <x:c r="A395" s="49" t="n">
        <x:v>45678</x:v>
      </x:c>
      <x:c r="B395" s="52" t="n">
        <x:v>4.8</x:v>
      </x:c>
      <x:c r="C395" s="52" t="n">
        <x:v>5.271</x:v>
      </x:c>
      <x:c r="D395" s="53" t="n">
        <x:v>0.0176</x:v>
      </x:c>
      <x:c r="E395" s="53" t="n">
        <x:f>IFERROR(B395/$B$488-1,"")</x:f>
        <x:v>0.5676028739386023</x:v>
      </x:c>
      <x:c r="F395" s="54" t="str">
        <x:v>开放申购</x:v>
      </x:c>
      <x:c r="G395" s="54" t="str">
        <x:v>开放赎回</x:v>
      </x:c>
    </x:row>
    <x:row r="396">
      <x:c r="A396" s="49" t="n">
        <x:v>45677</x:v>
      </x:c>
      <x:c r="B396" s="52" t="n">
        <x:v>4.717</x:v>
      </x:c>
      <x:c r="C396" s="52" t="n">
        <x:v>5.188</x:v>
      </x:c>
      <x:c r="D396" s="53" t="n">
        <x:v>0.0358</x:v>
      </x:c>
      <x:c r="E396" s="53" t="n">
        <x:f>IFERROR(B396/$B$488-1,"")</x:f>
        <x:v>0.5404964075767471</x:v>
      </x:c>
      <x:c r="F396" s="54" t="str">
        <x:v>开放申购</x:v>
      </x:c>
      <x:c r="G396" s="54" t="str">
        <x:v>开放赎回</x:v>
      </x:c>
    </x:row>
    <x:row r="397">
      <x:c r="A397" s="49" t="n">
        <x:v>45674</x:v>
      </x:c>
      <x:c r="B397" s="52" t="n">
        <x:v>4.554</x:v>
      </x:c>
      <x:c r="C397" s="52" t="n">
        <x:v>5.025</x:v>
      </x:c>
      <x:c r="D397" s="53" t="n">
        <x:v>0</x:v>
      </x:c>
      <x:c r="E397" s="53" t="n">
        <x:f>IFERROR(B397/$B$488-1,"")</x:f>
        <x:v>0.4872632266492489</x:v>
      </x:c>
      <x:c r="F397" s="54" t="str">
        <x:v>开放申购</x:v>
      </x:c>
      <x:c r="G397" s="54" t="str">
        <x:v>开放赎回</x:v>
      </x:c>
    </x:row>
    <x:row r="398">
      <x:c r="A398" s="49" t="n">
        <x:v>45673</x:v>
      </x:c>
      <x:c r="B398" s="52" t="n">
        <x:v>4.554</x:v>
      </x:c>
      <x:c r="C398" s="52" t="n">
        <x:v>5.025</x:v>
      </x:c>
      <x:c r="D398" s="53" t="n">
        <x:v>0.0042</x:v>
      </x:c>
      <x:c r="E398" s="53" t="n">
        <x:f>IFERROR(B398/$B$488-1,"")</x:f>
        <x:v>0.4872632266492489</x:v>
      </x:c>
      <x:c r="F398" s="54" t="str">
        <x:v>开放申购</x:v>
      </x:c>
      <x:c r="G398" s="54" t="str">
        <x:v>开放赎回</x:v>
      </x:c>
    </x:row>
    <x:row r="399">
      <x:c r="A399" s="49" t="n">
        <x:v>45672</x:v>
      </x:c>
      <x:c r="B399" s="52" t="n">
        <x:v>4.535</x:v>
      </x:c>
      <x:c r="C399" s="52" t="n">
        <x:v>5.006</x:v>
      </x:c>
      <x:c r="D399" s="53" t="n">
        <x:v>-0.020099999999999996</x:v>
      </x:c>
      <x:c r="E399" s="53" t="n">
        <x:f>IFERROR(B399/$B$488-1,"")</x:f>
        <x:v>0.48105813193990876</x:v>
      </x:c>
      <x:c r="F399" s="54" t="str">
        <x:v>开放申购</x:v>
      </x:c>
      <x:c r="G399" s="54" t="str">
        <x:v>开放赎回</x:v>
      </x:c>
    </x:row>
    <x:row r="400">
      <x:c r="A400" s="49" t="n">
        <x:v>45671</x:v>
      </x:c>
      <x:c r="B400" s="52" t="n">
        <x:v>4.628</x:v>
      </x:c>
      <x:c r="C400" s="52" t="n">
        <x:v>5.099</x:v>
      </x:c>
      <x:c r="D400" s="53" t="n">
        <x:v>0.027999999999999997</x:v>
      </x:c>
      <x:c r="E400" s="53" t="n">
        <x:f>IFERROR(B400/$B$488-1,"")</x:f>
        <x:v>0.5114304376224692</x:v>
      </x:c>
      <x:c r="F400" s="54" t="str">
        <x:v>开放申购</x:v>
      </x:c>
      <x:c r="G400" s="54" t="str">
        <x:v>开放赎回</x:v>
      </x:c>
    </x:row>
    <x:row r="401">
      <x:c r="A401" s="49" t="n">
        <x:v>45670</x:v>
      </x:c>
      <x:c r="B401" s="52" t="n">
        <x:v>4.502</x:v>
      </x:c>
      <x:c r="C401" s="52" t="n">
        <x:v>4.973</x:v>
      </x:c>
      <x:c r="D401" s="53" t="n">
        <x:v>-0.0016</x:v>
      </x:c>
      <x:c r="E401" s="53" t="n">
        <x:f>IFERROR(B401/$B$488-1,"")</x:f>
        <x:v>0.4702808621815806</x:v>
      </x:c>
      <x:c r="F401" s="54" t="str">
        <x:v>开放申购</x:v>
      </x:c>
      <x:c r="G401" s="54" t="str">
        <x:v>开放赎回</x:v>
      </x:c>
    </x:row>
    <x:row r="402">
      <x:c r="A402" s="49" t="n">
        <x:v>45667</x:v>
      </x:c>
      <x:c r="B402" s="52" t="n">
        <x:v>4.509</x:v>
      </x:c>
      <x:c r="C402" s="52" t="n">
        <x:v>4.98</x:v>
      </x:c>
      <x:c r="D402" s="53" t="n">
        <x:v>-0.0255</x:v>
      </x:c>
      <x:c r="E402" s="53" t="n">
        <x:f>IFERROR(B402/$B$488-1,"")</x:f>
        <x:v>0.4725669497060747</x:v>
      </x:c>
      <x:c r="F402" s="54" t="str">
        <x:v>开放申购</x:v>
      </x:c>
      <x:c r="G402" s="54" t="str">
        <x:v>开放赎回</x:v>
      </x:c>
    </x:row>
    <x:row r="403">
      <x:c r="A403" s="49" t="n">
        <x:v>45666</x:v>
      </x:c>
      <x:c r="B403" s="52" t="n">
        <x:v>4.627</x:v>
      </x:c>
      <x:c r="C403" s="52" t="n">
        <x:v>5.098</x:v>
      </x:c>
      <x:c r="D403" s="53" t="n">
        <x:v>-0.0103</x:v>
      </x:c>
      <x:c r="E403" s="53" t="n">
        <x:f>IFERROR(B403/$B$488-1,"")</x:f>
        <x:v>0.5111038536903985</x:v>
      </x:c>
      <x:c r="F403" s="54" t="str">
        <x:v>开放申购</x:v>
      </x:c>
      <x:c r="G403" s="54" t="str">
        <x:v>开放赎回</x:v>
      </x:c>
    </x:row>
    <x:row r="404">
      <x:c r="A404" s="49" t="n">
        <x:v>45665</x:v>
      </x:c>
      <x:c r="B404" s="52" t="n">
        <x:v>4.675</x:v>
      </x:c>
      <x:c r="C404" s="52" t="n">
        <x:v>5.146</x:v>
      </x:c>
      <x:c r="D404" s="53" t="n">
        <x:v>0.0045000000000000005</x:v>
      </x:c>
      <x:c r="E404" s="53" t="n">
        <x:f>IFERROR(B404/$B$488-1,"")</x:f>
        <x:v>0.5267798824297845</x:v>
      </x:c>
      <x:c r="F404" s="54" t="str">
        <x:v>开放申购</x:v>
      </x:c>
      <x:c r="G404" s="54" t="str">
        <x:v>开放赎回</x:v>
      </x:c>
    </x:row>
    <x:row r="405">
      <x:c r="A405" s="49" t="n">
        <x:v>45664</x:v>
      </x:c>
      <x:c r="B405" s="52" t="n">
        <x:v>4.654</x:v>
      </x:c>
      <x:c r="C405" s="52" t="n">
        <x:v>5.125</x:v>
      </x:c>
      <x:c r="D405" s="53" t="n">
        <x:v>0.0405</x:v>
      </x:c>
      <x:c r="E405" s="53" t="n">
        <x:f>IFERROR(B405/$B$488-1,"")</x:f>
        <x:v>0.519921619856303</x:v>
      </x:c>
      <x:c r="F405" s="54" t="str">
        <x:v>开放申购</x:v>
      </x:c>
      <x:c r="G405" s="54" t="str">
        <x:v>开放赎回</x:v>
      </x:c>
    </x:row>
    <x:row r="406">
      <x:c r="A406" s="49" t="n">
        <x:v>45663</x:v>
      </x:c>
      <x:c r="B406" s="52" t="n">
        <x:v>4.473</x:v>
      </x:c>
      <x:c r="C406" s="52" t="n">
        <x:v>4.944</x:v>
      </x:c>
      <x:c r="D406" s="53" t="n">
        <x:v>0.0106</x:v>
      </x:c>
      <x:c r="E406" s="53" t="n">
        <x:f>IFERROR(B406/$B$488-1,"")</x:f>
        <x:v>0.460809928151535</x:v>
      </x:c>
      <x:c r="F406" s="54" t="str">
        <x:v>开放申购</x:v>
      </x:c>
      <x:c r="G406" s="54" t="str">
        <x:v>开放赎回</x:v>
      </x:c>
    </x:row>
    <x:row r="407">
      <x:c r="A407" s="49" t="n">
        <x:v>45660</x:v>
      </x:c>
      <x:c r="B407" s="52" t="n">
        <x:v>4.426</x:v>
      </x:c>
      <x:c r="C407" s="52" t="n">
        <x:v>4.897</x:v>
      </x:c>
      <x:c r="D407" s="53" t="n">
        <x:v>-0.0101</x:v>
      </x:c>
      <x:c r="E407" s="53" t="n">
        <x:f>IFERROR(B407/$B$488-1,"")</x:f>
        <x:v>0.4454604833442195</x:v>
      </x:c>
      <x:c r="F407" s="54" t="str">
        <x:v>开放申购</x:v>
      </x:c>
      <x:c r="G407" s="54" t="str">
        <x:v>开放赎回</x:v>
      </x:c>
    </x:row>
    <x:row r="408">
      <x:c r="A408" s="49" t="n">
        <x:v>45659</x:v>
      </x:c>
      <x:c r="B408" s="52" t="n">
        <x:v>4.471</x:v>
      </x:c>
      <x:c r="C408" s="52" t="n">
        <x:v>4.942</x:v>
      </x:c>
      <x:c r="D408" s="53" t="n">
        <x:v>-0.023799999999999998</x:v>
      </x:c>
      <x:c r="E408" s="53" t="n">
        <x:f>IFERROR(B408/$B$488-1,"")</x:f>
        <x:v>0.46015676028739394</x:v>
      </x:c>
      <x:c r="F408" s="54" t="str">
        <x:v>开放申购</x:v>
      </x:c>
      <x:c r="G408" s="54" t="str">
        <x:v>开放赎回</x:v>
      </x:c>
    </x:row>
    <x:row r="409">
      <x:c r="A409" s="49" t="n">
        <x:v>45657</x:v>
      </x:c>
      <x:c r="B409" s="52" t="n">
        <x:v>4.58</x:v>
      </x:c>
      <x:c r="C409" s="52" t="n">
        <x:v>5.051</x:v>
      </x:c>
      <x:c r="D409" s="53" t="n">
        <x:v>-0.021400000000000002</x:v>
      </x:c>
      <x:c r="E409" s="53" t="n">
        <x:f>IFERROR(B409/$B$488-1,"")</x:f>
        <x:v>0.495754408883083</x:v>
      </x:c>
      <x:c r="F409" s="54" t="str">
        <x:v>开放申购</x:v>
      </x:c>
      <x:c r="G409" s="54" t="str">
        <x:v>开放赎回</x:v>
      </x:c>
    </x:row>
    <x:row r="410">
      <x:c r="A410" s="49" t="n">
        <x:v>45656</x:v>
      </x:c>
      <x:c r="B410" s="52" t="n">
        <x:v>4.68</x:v>
      </x:c>
      <x:c r="C410" s="52" t="n">
        <x:v>5.151</x:v>
      </x:c>
      <x:c r="D410" s="53" t="n">
        <x:v>-0.0087</x:v>
      </x:c>
      <x:c r="E410" s="53" t="n">
        <x:f>IFERROR(B410/$B$488-1,"")</x:f>
        <x:v>0.5284128020901371</x:v>
      </x:c>
      <x:c r="F410" s="54" t="str">
        <x:v>开放申购</x:v>
      </x:c>
      <x:c r="G410" s="54" t="str">
        <x:v>开放赎回</x:v>
      </x:c>
    </x:row>
    <x:row r="411">
      <x:c r="A411" s="49" t="n">
        <x:v>45653</x:v>
      </x:c>
      <x:c r="B411" s="52" t="n">
        <x:v>4.721</x:v>
      </x:c>
      <x:c r="C411" s="52" t="n">
        <x:v>5.192</x:v>
      </x:c>
      <x:c r="D411" s="53" t="n">
        <x:v>-0.0096</x:v>
      </x:c>
      <x:c r="E411" s="53" t="n">
        <x:f>IFERROR(B411/$B$488-1,"")</x:f>
        <x:v>0.5418027433050294</x:v>
      </x:c>
      <x:c r="F411" s="54" t="str">
        <x:v>开放申购</x:v>
      </x:c>
      <x:c r="G411" s="54" t="str">
        <x:v>开放赎回</x:v>
      </x:c>
    </x:row>
    <x:row r="412">
      <x:c r="A412" s="49" t="n">
        <x:v>45652</x:v>
      </x:c>
      <x:c r="B412" s="52" t="n">
        <x:v>4.767</x:v>
      </x:c>
      <x:c r="C412" s="52" t="n">
        <x:v>5.238</x:v>
      </x:c>
      <x:c r="D412" s="53" t="n">
        <x:v>0.0296</x:v>
      </x:c>
      <x:c r="E412" s="53" t="n">
        <x:f>IFERROR(B412/$B$488-1,"")</x:f>
        <x:v>0.5568256041802746</x:v>
      </x:c>
      <x:c r="F412" s="54" t="str">
        <x:v>开放申购</x:v>
      </x:c>
      <x:c r="G412" s="54" t="str">
        <x:v>开放赎回</x:v>
      </x:c>
    </x:row>
    <x:row r="413">
      <x:c r="A413" s="49" t="n">
        <x:v>45651</x:v>
      </x:c>
      <x:c r="B413" s="52" t="n">
        <x:v>4.63</x:v>
      </x:c>
      <x:c r="C413" s="52" t="n">
        <x:v>5.101</x:v>
      </x:c>
      <x:c r="D413" s="53" t="n">
        <x:v>0.0034999999999999996</x:v>
      </x:c>
      <x:c r="E413" s="53" t="n">
        <x:f>IFERROR(B413/$B$488-1,"")</x:f>
        <x:v>0.51208360548661</x:v>
      </x:c>
      <x:c r="F413" s="54" t="str">
        <x:v>开放申购</x:v>
      </x:c>
      <x:c r="G413" s="54" t="str">
        <x:v>开放赎回</x:v>
      </x:c>
    </x:row>
    <x:row r="414">
      <x:c r="A414" s="49" t="n">
        <x:v>45650</x:v>
      </x:c>
      <x:c r="B414" s="52" t="n">
        <x:v>4.614</x:v>
      </x:c>
      <x:c r="C414" s="52" t="n">
        <x:v>5.085</x:v>
      </x:c>
      <x:c r="D414" s="53" t="n">
        <x:v>0.0059</x:v>
      </x:c>
      <x:c r="E414" s="53" t="n">
        <x:f>IFERROR(B414/$B$488-1,"")</x:f>
        <x:v>0.5068582625734814</x:v>
      </x:c>
      <x:c r="F414" s="54" t="str">
        <x:v>开放申购</x:v>
      </x:c>
      <x:c r="G414" s="54" t="str">
        <x:v>开放赎回</x:v>
      </x:c>
    </x:row>
    <x:row r="415">
      <x:c r="A415" s="49" t="n">
        <x:v>45649</x:v>
      </x:c>
      <x:c r="B415" s="52" t="n">
        <x:v>4.587</x:v>
      </x:c>
      <x:c r="C415" s="52" t="n">
        <x:v>5.058</x:v>
      </x:c>
      <x:c r="D415" s="53" t="n">
        <x:v>-0.0046</x:v>
      </x:c>
      <x:c r="E415" s="53" t="n">
        <x:f>IFERROR(B415/$B$488-1,"")</x:f>
        <x:v>0.49804049640757664</x:v>
      </x:c>
      <x:c r="F415" s="54" t="str">
        <x:v>开放申购</x:v>
      </x:c>
      <x:c r="G415" s="54" t="str">
        <x:v>开放赎回</x:v>
      </x:c>
    </x:row>
    <x:row r="416">
      <x:c r="A416" s="49" t="n">
        <x:v>45646</x:v>
      </x:c>
      <x:c r="B416" s="52" t="n">
        <x:v>4.608</x:v>
      </x:c>
      <x:c r="C416" s="52" t="n">
        <x:v>5.079</x:v>
      </x:c>
      <x:c r="D416" s="53" t="n">
        <x:v>0.0127</x:v>
      </x:c>
      <x:c r="E416" s="53" t="n">
        <x:f>IFERROR(B416/$B$488-1,"")</x:f>
        <x:v>0.5048987589810581</x:v>
      </x:c>
      <x:c r="F416" s="54" t="str">
        <x:v>开放申购</x:v>
      </x:c>
      <x:c r="G416" s="54" t="str">
        <x:v>开放赎回</x:v>
      </x:c>
    </x:row>
    <x:row r="417">
      <x:c r="A417" s="49" t="n">
        <x:v>45645</x:v>
      </x:c>
      <x:c r="B417" s="52" t="n">
        <x:v>4.55</x:v>
      </x:c>
      <x:c r="C417" s="52" t="n">
        <x:v>5.021</x:v>
      </x:c>
      <x:c r="D417" s="53" t="n">
        <x:v>0.0216</x:v>
      </x:c>
      <x:c r="E417" s="53" t="n">
        <x:f>IFERROR(B417/$B$488-1,"")</x:f>
        <x:v>0.4859568909209666</x:v>
      </x:c>
      <x:c r="F417" s="54" t="str">
        <x:v>开放申购</x:v>
      </x:c>
      <x:c r="G417" s="54" t="str">
        <x:v>开放赎回</x:v>
      </x:c>
    </x:row>
    <x:row r="418">
      <x:c r="A418" s="49" t="n">
        <x:v>45644</x:v>
      </x:c>
      <x:c r="B418" s="52" t="n">
        <x:v>4.454</x:v>
      </x:c>
      <x:c r="C418" s="52" t="n">
        <x:v>4.925</x:v>
      </x:c>
      <x:c r="D418" s="53" t="n">
        <x:v>-0.0022</x:v>
      </x:c>
      <x:c r="E418" s="53" t="n">
        <x:f>IFERROR(B418/$B$488-1,"")</x:f>
        <x:v>0.4546048334421946</x:v>
      </x:c>
      <x:c r="F418" s="54" t="str">
        <x:v>开放申购</x:v>
      </x:c>
      <x:c r="G418" s="54" t="str">
        <x:v>开放赎回</x:v>
      </x:c>
    </x:row>
    <x:row r="419">
      <x:c r="A419" s="49" t="n">
        <x:v>45643</x:v>
      </x:c>
      <x:c r="B419" s="52" t="n">
        <x:v>4.464</x:v>
      </x:c>
      <x:c r="C419" s="52" t="n">
        <x:v>4.935</x:v>
      </x:c>
      <x:c r="D419" s="53" t="n">
        <x:v>0.0127</x:v>
      </x:c>
      <x:c r="E419" s="53" t="n">
        <x:f>IFERROR(B419/$B$488-1,"")</x:f>
        <x:v>0.4578706727629003</x:v>
      </x:c>
      <x:c r="F419" s="54" t="str">
        <x:v>开放申购</x:v>
      </x:c>
      <x:c r="G419" s="54" t="str">
        <x:v>开放赎回</x:v>
      </x:c>
    </x:row>
    <x:row r="420">
      <x:c r="A420" s="49" t="n">
        <x:v>45642</x:v>
      </x:c>
      <x:c r="B420" s="52" t="n">
        <x:v>4.408</x:v>
      </x:c>
      <x:c r="C420" s="52" t="n">
        <x:v>4.879</x:v>
      </x:c>
      <x:c r="D420" s="53" t="n">
        <x:v>0.0046</x:v>
      </x:c>
      <x:c r="E420" s="53" t="n">
        <x:f>IFERROR(B420/$B$488-1,"")</x:f>
        <x:v>0.43958197256694986</x:v>
      </x:c>
      <x:c r="F420" s="54" t="str">
        <x:v>开放申购</x:v>
      </x:c>
      <x:c r="G420" s="54" t="str">
        <x:v>开放赎回</x:v>
      </x:c>
    </x:row>
    <x:row r="421">
      <x:c r="A421" s="49" t="n">
        <x:v>45639</x:v>
      </x:c>
      <x:c r="B421" s="52" t="n">
        <x:v>4.388</x:v>
      </x:c>
      <x:c r="C421" s="52" t="n">
        <x:v>4.859</x:v>
      </x:c>
      <x:c r="D421" s="53" t="n">
        <x:v>-0.0023</x:v>
      </x:c>
      <x:c r="E421" s="53" t="n">
        <x:f>IFERROR(B421/$B$488-1,"")</x:f>
        <x:v>0.43305029392553895</x:v>
      </x:c>
      <x:c r="F421" s="54" t="str">
        <x:v>开放申购</x:v>
      </x:c>
      <x:c r="G421" s="54" t="str">
        <x:v>开放赎回</x:v>
      </x:c>
    </x:row>
    <x:row r="422">
      <x:c r="A422" s="49" t="n">
        <x:v>45638</x:v>
      </x:c>
      <x:c r="B422" s="52" t="n">
        <x:v>4.398</x:v>
      </x:c>
      <x:c r="C422" s="52" t="n">
        <x:v>4.869</x:v>
      </x:c>
      <x:c r="D422" s="53" t="n">
        <x:v>0.0235</x:v>
      </x:c>
      <x:c r="E422" s="53" t="n">
        <x:f>IFERROR(B422/$B$488-1,"")</x:f>
        <x:v>0.4363161332462442</x:v>
      </x:c>
      <x:c r="F422" s="54" t="str">
        <x:v>开放申购</x:v>
      </x:c>
      <x:c r="G422" s="54" t="str">
        <x:v>开放赎回</x:v>
      </x:c>
    </x:row>
    <x:row r="423">
      <x:c r="A423" s="49" t="n">
        <x:v>45637</x:v>
      </x:c>
      <x:c r="B423" s="52" t="n">
        <x:v>4.297</x:v>
      </x:c>
      <x:c r="C423" s="52" t="n">
        <x:v>4.768</x:v>
      </x:c>
      <x:c r="D423" s="53" t="n">
        <x:v>0.0161</x:v>
      </x:c>
      <x:c r="E423" s="53" t="n">
        <x:f>IFERROR(B423/$B$488-1,"")</x:f>
        <x:v>0.40333115610711956</x:v>
      </x:c>
      <x:c r="F423" s="54" t="str">
        <x:v>开放申购</x:v>
      </x:c>
      <x:c r="G423" s="54" t="str">
        <x:v>开放赎回</x:v>
      </x:c>
    </x:row>
    <x:row r="424">
      <x:c r="A424" s="49" t="n">
        <x:v>45636</x:v>
      </x:c>
      <x:c r="B424" s="52" t="n">
        <x:v>4.229</x:v>
      </x:c>
      <x:c r="C424" s="52" t="n">
        <x:v>4.7</x:v>
      </x:c>
      <x:c r="D424" s="53" t="n">
        <x:v>0.0012</x:v>
      </x:c>
      <x:c r="E424" s="53" t="n">
        <x:f>IFERROR(B424/$B$488-1,"")</x:f>
        <x:v>0.38112344872632287</x:v>
      </x:c>
      <x:c r="F424" s="54" t="str">
        <x:v>开放申购</x:v>
      </x:c>
      <x:c r="G424" s="54" t="str">
        <x:v>开放赎回</x:v>
      </x:c>
    </x:row>
    <x:row r="425">
      <x:c r="A425" s="49" t="n">
        <x:v>45635</x:v>
      </x:c>
      <x:c r="B425" s="52" t="n">
        <x:v>4.224</x:v>
      </x:c>
      <x:c r="C425" s="52" t="n">
        <x:v>4.695</x:v>
      </x:c>
      <x:c r="D425" s="53" t="n">
        <x:v>-0.0229</x:v>
      </x:c>
      <x:c r="E425" s="53" t="n">
        <x:f>IFERROR(B425/$B$488-1,"")</x:f>
        <x:v>0.37949052906597003</x:v>
      </x:c>
      <x:c r="F425" s="54" t="str">
        <x:v>开放申购</x:v>
      </x:c>
      <x:c r="G425" s="54" t="str">
        <x:v>开放赎回</x:v>
      </x:c>
    </x:row>
    <x:row r="426">
      <x:c r="A426" s="49" t="n">
        <x:v>45632</x:v>
      </x:c>
      <x:c r="B426" s="52" t="n">
        <x:v>4.323</x:v>
      </x:c>
      <x:c r="C426" s="52" t="n">
        <x:v>4.794</x:v>
      </x:c>
      <x:c r="D426" s="53" t="n">
        <x:v>0.0037</x:v>
      </x:c>
      <x:c r="E426" s="53" t="n">
        <x:f>IFERROR(B426/$B$488-1,"")</x:f>
        <x:v>0.41182233834095383</x:v>
      </x:c>
      <x:c r="F426" s="54" t="str">
        <x:v>开放申购</x:v>
      </x:c>
      <x:c r="G426" s="54" t="str">
        <x:v>开放赎回</x:v>
      </x:c>
    </x:row>
    <x:row r="427">
      <x:c r="A427" s="49" t="n">
        <x:v>45631</x:v>
      </x:c>
      <x:c r="B427" s="52" t="n">
        <x:v>4.307</x:v>
      </x:c>
      <x:c r="C427" s="52" t="n">
        <x:v>4.778</x:v>
      </x:c>
      <x:c r="D427" s="53" t="n">
        <x:v>0.0139</x:v>
      </x:c>
      <x:c r="E427" s="53" t="n">
        <x:f>IFERROR(B427/$B$488-1,"")</x:f>
        <x:v>0.40659699542782524</x:v>
      </x:c>
      <x:c r="F427" s="54" t="str">
        <x:v>开放申购</x:v>
      </x:c>
      <x:c r="G427" s="54" t="str">
        <x:v>开放赎回</x:v>
      </x:c>
    </x:row>
    <x:row r="428">
      <x:c r="A428" s="49" t="n">
        <x:v>45630</x:v>
      </x:c>
      <x:c r="B428" s="52" t="n">
        <x:v>4.248</x:v>
      </x:c>
      <x:c r="C428" s="52" t="n">
        <x:v>4.719</x:v>
      </x:c>
      <x:c r="D428" s="53" t="n">
        <x:v>-0.011399999999999999</x:v>
      </x:c>
      <x:c r="E428" s="53" t="n">
        <x:f>IFERROR(B428/$B$488-1,"")</x:f>
        <x:v>0.38732854343566303</x:v>
      </x:c>
      <x:c r="F428" s="54" t="str">
        <x:v>开放申购</x:v>
      </x:c>
      <x:c r="G428" s="54" t="str">
        <x:v>开放赎回</x:v>
      </x:c>
    </x:row>
    <x:row r="429">
      <x:c r="A429" s="49" t="n">
        <x:v>45629</x:v>
      </x:c>
      <x:c r="B429" s="52" t="n">
        <x:v>4.297</x:v>
      </x:c>
      <x:c r="C429" s="52" t="n">
        <x:v>4.768</x:v>
      </x:c>
      <x:c r="D429" s="53" t="n">
        <x:v>-0.0095</x:v>
      </x:c>
      <x:c r="E429" s="53" t="n">
        <x:f>IFERROR(B429/$B$488-1,"")</x:f>
        <x:v>0.40333115610711956</x:v>
      </x:c>
      <x:c r="F429" s="54" t="str">
        <x:v>开放申购</x:v>
      </x:c>
      <x:c r="G429" s="54" t="str">
        <x:v>开放赎回</x:v>
      </x:c>
    </x:row>
    <x:row r="430">
      <x:c r="A430" s="49" t="n">
        <x:v>45628</x:v>
      </x:c>
      <x:c r="B430" s="52" t="n">
        <x:v>4.338</x:v>
      </x:c>
      <x:c r="C430" s="52" t="n">
        <x:v>4.809</x:v>
      </x:c>
      <x:c r="D430" s="53" t="n">
        <x:v>0.0297</x:v>
      </x:c>
      <x:c r="E430" s="53" t="n">
        <x:f>IFERROR(B430/$B$488-1,"")</x:f>
        <x:v>0.4167210973220119</x:v>
      </x:c>
      <x:c r="F430" s="54" t="str">
        <x:v>开放申购</x:v>
      </x:c>
      <x:c r="G430" s="54" t="str">
        <x:v>开放赎回</x:v>
      </x:c>
    </x:row>
    <x:row r="431">
      <x:c r="A431" s="49" t="n">
        <x:v>45625</x:v>
      </x:c>
      <x:c r="B431" s="52" t="n">
        <x:v>4.213</x:v>
      </x:c>
      <x:c r="C431" s="52" t="n">
        <x:v>4.684</x:v>
      </x:c>
      <x:c r="D431" s="53" t="n">
        <x:v>0.0278</x:v>
      </x:c>
      <x:c r="E431" s="53" t="n">
        <x:f>IFERROR(B431/$B$488-1,"")</x:f>
        <x:v>0.37589810581319405</x:v>
      </x:c>
      <x:c r="F431" s="54" t="str">
        <x:v>开放申购</x:v>
      </x:c>
      <x:c r="G431" s="54" t="str">
        <x:v>开放赎回</x:v>
      </x:c>
    </x:row>
    <x:row r="432">
      <x:c r="A432" s="49" t="n">
        <x:v>45624</x:v>
      </x:c>
      <x:c r="B432" s="52" t="n">
        <x:v>4.099</x:v>
      </x:c>
      <x:c r="C432" s="52" t="n">
        <x:v>4.57</x:v>
      </x:c>
      <x:c r="D432" s="53" t="n">
        <x:v>-0.013999999999999999</x:v>
      </x:c>
      <x:c r="E432" s="53" t="n">
        <x:f>IFERROR(B432/$B$488-1,"")</x:f>
        <x:v>0.3386675375571524</x:v>
      </x:c>
      <x:c r="F432" s="54" t="str">
        <x:v>开放申购</x:v>
      </x:c>
      <x:c r="G432" s="54" t="str">
        <x:v>开放赎回</x:v>
      </x:c>
    </x:row>
    <x:row r="433">
      <x:c r="A433" s="49" t="n">
        <x:v>45623</x:v>
      </x:c>
      <x:c r="B433" s="52" t="n">
        <x:v>4.157</x:v>
      </x:c>
      <x:c r="C433" s="52" t="n">
        <x:v>4.628</x:v>
      </x:c>
      <x:c r="D433" s="53" t="n">
        <x:v>0.0297</x:v>
      </x:c>
      <x:c r="E433" s="53" t="n">
        <x:f>IFERROR(B433/$B$488-1,"")</x:f>
        <x:v>0.35760940561724364</x:v>
      </x:c>
      <x:c r="F433" s="54" t="str">
        <x:v>开放申购</x:v>
      </x:c>
      <x:c r="G433" s="54" t="str">
        <x:v>开放赎回</x:v>
      </x:c>
    </x:row>
    <x:row r="434">
      <x:c r="A434" s="49" t="n">
        <x:v>45622</x:v>
      </x:c>
      <x:c r="B434" s="52" t="n">
        <x:v>4.037</x:v>
      </x:c>
      <x:c r="C434" s="52" t="n">
        <x:v>4.508</x:v>
      </x:c>
      <x:c r="D434" s="53" t="n">
        <x:v>0.0087</x:v>
      </x:c>
      <x:c r="E434" s="53" t="n">
        <x:f>IFERROR(B434/$B$488-1,"")</x:f>
        <x:v>0.3184193337687786</x:v>
      </x:c>
      <x:c r="F434" s="54" t="str">
        <x:v>开放申购</x:v>
      </x:c>
      <x:c r="G434" s="54" t="str">
        <x:v>开放赎回</x:v>
      </x:c>
    </x:row>
    <x:row r="435">
      <x:c r="A435" s="49" t="n">
        <x:v>45621</x:v>
      </x:c>
      <x:c r="B435" s="52" t="n">
        <x:v>4.002</x:v>
      </x:c>
      <x:c r="C435" s="52" t="n">
        <x:v>4.473</x:v>
      </x:c>
      <x:c r="D435" s="53" t="n">
        <x:v>-0.0179</x:v>
      </x:c>
      <x:c r="E435" s="53" t="n">
        <x:f>IFERROR(B435/$B$488-1,"")</x:f>
        <x:v>0.30698889614630964</x:v>
      </x:c>
      <x:c r="F435" s="54" t="str">
        <x:v>开放申购</x:v>
      </x:c>
      <x:c r="G435" s="54" t="str">
        <x:v>开放赎回</x:v>
      </x:c>
    </x:row>
    <x:row r="436">
      <x:c r="A436" s="49" t="n">
        <x:v>45618</x:v>
      </x:c>
      <x:c r="B436" s="52" t="n">
        <x:v>4.075</x:v>
      </x:c>
      <x:c r="C436" s="52" t="n">
        <x:v>4.546</x:v>
      </x:c>
      <x:c r="D436" s="53" t="n">
        <x:v>-0.0369</x:v>
      </x:c>
      <x:c r="E436" s="53" t="n">
        <x:f>IFERROR(B436/$B$488-1,"")</x:f>
        <x:v>0.3308295231874594</x:v>
      </x:c>
      <x:c r="F436" s="54" t="str">
        <x:v>开放申购</x:v>
      </x:c>
      <x:c r="G436" s="54" t="str">
        <x:v>开放赎回</x:v>
      </x:c>
    </x:row>
    <x:row r="437">
      <x:c r="A437" s="49" t="n">
        <x:v>45617</x:v>
      </x:c>
      <x:c r="B437" s="52" t="n">
        <x:v>4.231</x:v>
      </x:c>
      <x:c r="C437" s="52" t="n">
        <x:v>4.702</x:v>
      </x:c>
      <x:c r="D437" s="53" t="n">
        <x:v>-0.0045000000000000005</x:v>
      </x:c>
      <x:c r="E437" s="53" t="n">
        <x:f>IFERROR(B437/$B$488-1,"")</x:f>
        <x:v>0.3817766165904637</x:v>
      </x:c>
      <x:c r="F437" s="54" t="str">
        <x:v>开放申购</x:v>
      </x:c>
      <x:c r="G437" s="54" t="str">
        <x:v>开放赎回</x:v>
      </x:c>
    </x:row>
    <x:row r="438">
      <x:c r="A438" s="49" t="n">
        <x:v>45616</x:v>
      </x:c>
      <x:c r="B438" s="52" t="n">
        <x:v>4.25</x:v>
      </x:c>
      <x:c r="C438" s="52" t="n">
        <x:v>4.721</x:v>
      </x:c>
      <x:c r="D438" s="53" t="n">
        <x:v>0.0076</x:v>
      </x:c>
      <x:c r="E438" s="53" t="n">
        <x:f>IFERROR(B438/$B$488-1,"")</x:f>
        <x:v>0.3879817112998041</x:v>
      </x:c>
      <x:c r="F438" s="54" t="str">
        <x:v>开放申购</x:v>
      </x:c>
      <x:c r="G438" s="54" t="str">
        <x:v>开放赎回</x:v>
      </x:c>
    </x:row>
    <x:row r="439">
      <x:c r="A439" s="49" t="n">
        <x:v>45615</x:v>
      </x:c>
      <x:c r="B439" s="52" t="n">
        <x:v>4.218</x:v>
      </x:c>
      <x:c r="C439" s="52" t="n">
        <x:v>4.689</x:v>
      </x:c>
      <x:c r="D439" s="53" t="n">
        <x:v>0.019299999999999998</x:v>
      </x:c>
      <x:c r="E439" s="53" t="n">
        <x:f>IFERROR(B439/$B$488-1,"")</x:f>
        <x:v>0.37753102547354667</x:v>
      </x:c>
      <x:c r="F439" s="54" t="str">
        <x:v>开放申购</x:v>
      </x:c>
      <x:c r="G439" s="54" t="str">
        <x:v>开放赎回</x:v>
      </x:c>
    </x:row>
    <x:row r="440">
      <x:c r="A440" s="49" t="n">
        <x:v>45614</x:v>
      </x:c>
      <x:c r="B440" s="52" t="n">
        <x:v>4.138</x:v>
      </x:c>
      <x:c r="C440" s="52" t="n">
        <x:v>4.609</x:v>
      </x:c>
      <x:c r="D440" s="53" t="n">
        <x:v>-0.015</x:v>
      </x:c>
      <x:c r="E440" s="53" t="n">
        <x:f>IFERROR(B440/$B$488-1,"")</x:f>
        <x:v>0.35140431090790347</x:v>
      </x:c>
      <x:c r="F440" s="54" t="str">
        <x:v>开放申购</x:v>
      </x:c>
      <x:c r="G440" s="54" t="str">
        <x:v>开放赎回</x:v>
      </x:c>
    </x:row>
    <x:row r="441">
      <x:c r="A441" s="49" t="n">
        <x:v>45611</x:v>
      </x:c>
      <x:c r="B441" s="52" t="n">
        <x:v>4.201</x:v>
      </x:c>
      <x:c r="C441" s="52" t="n">
        <x:v>4.672</x:v>
      </x:c>
      <x:c r="D441" s="53" t="n">
        <x:v>-0.0444</x:v>
      </x:c>
      <x:c r="E441" s="53" t="n">
        <x:f>IFERROR(B441/$B$488-1,"")</x:f>
        <x:v>0.3719790986283473</x:v>
      </x:c>
      <x:c r="F441" s="54" t="str">
        <x:v>开放申购</x:v>
      </x:c>
      <x:c r="G441" s="54" t="str">
        <x:v>开放赎回</x:v>
      </x:c>
    </x:row>
    <x:row r="442">
      <x:c r="A442" s="49" t="n">
        <x:v>45610</x:v>
      </x:c>
      <x:c r="B442" s="52" t="n">
        <x:v>4.396</x:v>
      </x:c>
      <x:c r="C442" s="52" t="n">
        <x:v>4.867</x:v>
      </x:c>
      <x:c r="D442" s="53" t="n">
        <x:v>-0.0296</x:v>
      </x:c>
      <x:c r="E442" s="53" t="n">
        <x:f>IFERROR(B442/$B$488-1,"")</x:f>
        <x:v>0.43566296538210314</x:v>
      </x:c>
      <x:c r="F442" s="54" t="str">
        <x:v>开放申购</x:v>
      </x:c>
      <x:c r="G442" s="54" t="str">
        <x:v>开放赎回</x:v>
      </x:c>
    </x:row>
    <x:row r="443">
      <x:c r="A443" s="49" t="n">
        <x:v>45609</x:v>
      </x:c>
      <x:c r="B443" s="52" t="n">
        <x:v>4.53</x:v>
      </x:c>
      <x:c r="C443" s="52" t="n">
        <x:v>5.001</x:v>
      </x:c>
      <x:c r="D443" s="53" t="n">
        <x:v>0.0265</x:v>
      </x:c>
      <x:c r="E443" s="53" t="n">
        <x:f>IFERROR(B443/$B$488-1,"")</x:f>
        <x:v>0.4794252122795559</x:v>
      </x:c>
      <x:c r="F443" s="54" t="str">
        <x:v>开放申购</x:v>
      </x:c>
      <x:c r="G443" s="54" t="str">
        <x:v>开放赎回</x:v>
      </x:c>
    </x:row>
    <x:row r="444">
      <x:c r="A444" s="49" t="n">
        <x:v>45608</x:v>
      </x:c>
      <x:c r="B444" s="52" t="n">
        <x:v>4.413</x:v>
      </x:c>
      <x:c r="C444" s="52" t="n">
        <x:v>4.884</x:v>
      </x:c>
      <x:c r="D444" s="53" t="n">
        <x:v>-0.009399999999999999</x:v>
      </x:c>
      <x:c r="E444" s="53" t="n">
        <x:f>IFERROR(B444/$B$488-1,"")</x:f>
        <x:v>0.4412148922273025</x:v>
      </x:c>
      <x:c r="F444" s="54" t="str">
        <x:v>开放申购</x:v>
      </x:c>
      <x:c r="G444" s="54" t="str">
        <x:v>开放赎回</x:v>
      </x:c>
    </x:row>
    <x:row r="445">
      <x:c r="A445" s="49" t="n">
        <x:v>45607</x:v>
      </x:c>
      <x:c r="B445" s="52" t="n">
        <x:v>4.455</x:v>
      </x:c>
      <x:c r="C445" s="52" t="n">
        <x:v>4.926</x:v>
      </x:c>
      <x:c r="D445" s="53" t="n">
        <x:v>0.0077</x:v>
      </x:c>
      <x:c r="E445" s="53" t="n">
        <x:f>IFERROR(B445/$B$488-1,"")</x:f>
        <x:v>0.45493141737426535</x:v>
      </x:c>
      <x:c r="F445" s="54" t="str">
        <x:v>开放申购</x:v>
      </x:c>
      <x:c r="G445" s="54" t="str">
        <x:v>开放赎回</x:v>
      </x:c>
    </x:row>
    <x:row r="446">
      <x:c r="A446" s="49" t="n">
        <x:v>45604</x:v>
      </x:c>
      <x:c r="B446" s="52" t="n">
        <x:v>4.421</x:v>
      </x:c>
      <x:c r="C446" s="52" t="n">
        <x:v>4.892</x:v>
      </x:c>
      <x:c r="D446" s="53" t="n">
        <x:v>-0.0052</x:v>
      </x:c>
      <x:c r="E446" s="53" t="n">
        <x:f>IFERROR(B446/$B$488-1,"")</x:f>
        <x:v>0.4438275636838669</x:v>
      </x:c>
      <x:c r="F446" s="54" t="str">
        <x:v>开放申购</x:v>
      </x:c>
      <x:c r="G446" s="54" t="str">
        <x:v>开放赎回</x:v>
      </x:c>
    </x:row>
    <x:row r="447">
      <x:c r="A447" s="49" t="n">
        <x:v>45603</x:v>
      </x:c>
      <x:c r="B447" s="52" t="n">
        <x:v>4.444</x:v>
      </x:c>
      <x:c r="C447" s="52" t="n">
        <x:v>4.915</x:v>
      </x:c>
      <x:c r="D447" s="53" t="n">
        <x:v>0.0256</x:v>
      </x:c>
      <x:c r="E447" s="53" t="n">
        <x:f>IFERROR(B447/$B$488-1,"")</x:f>
        <x:v>0.45133899412148937</x:v>
      </x:c>
      <x:c r="F447" s="54" t="str">
        <x:v>开放申购</x:v>
      </x:c>
      <x:c r="G447" s="54" t="str">
        <x:v>开放赎回</x:v>
      </x:c>
    </x:row>
    <x:row r="448">
      <x:c r="A448" s="49" t="n">
        <x:v>45602</x:v>
      </x:c>
      <x:c r="B448" s="52" t="n">
        <x:v>4.333</x:v>
      </x:c>
      <x:c r="C448" s="52" t="n">
        <x:v>4.804</x:v>
      </x:c>
      <x:c r="D448" s="53" t="n">
        <x:v>-0.0163</x:v>
      </x:c>
      <x:c r="E448" s="53" t="n">
        <x:f>IFERROR(B448/$B$488-1,"")</x:f>
        <x:v>0.4150881776616593</x:v>
      </x:c>
      <x:c r="F448" s="54" t="str">
        <x:v>开放申购</x:v>
      </x:c>
      <x:c r="G448" s="54" t="str">
        <x:v>开放赎回</x:v>
      </x:c>
    </x:row>
    <x:row r="449">
      <x:c r="A449" s="49" t="n">
        <x:v>45601</x:v>
      </x:c>
      <x:c r="B449" s="52" t="n">
        <x:v>4.405</x:v>
      </x:c>
      <x:c r="C449" s="52" t="n">
        <x:v>4.876</x:v>
      </x:c>
      <x:c r="D449" s="53" t="n">
        <x:v>0.024700000000000003</x:v>
      </x:c>
      <x:c r="E449" s="53" t="n">
        <x:f>IFERROR(B449/$B$488-1,"")</x:f>
        <x:v>0.4386022207707383</x:v>
      </x:c>
      <x:c r="F449" s="54" t="str">
        <x:v>开放申购</x:v>
      </x:c>
      <x:c r="G449" s="54" t="str">
        <x:v>开放赎回</x:v>
      </x:c>
    </x:row>
    <x:row r="450">
      <x:c r="A450" s="49" t="n">
        <x:v>45600</x:v>
      </x:c>
      <x:c r="B450" s="52" t="n">
        <x:v>4.299</x:v>
      </x:c>
      <x:c r="C450" s="52" t="n">
        <x:v>4.77</x:v>
      </x:c>
      <x:c r="D450" s="53" t="n">
        <x:v>0.0263</x:v>
      </x:c>
      <x:c r="E450" s="53" t="n">
        <x:f>IFERROR(B450/$B$488-1,"")</x:f>
        <x:v>0.40398432397126083</x:v>
      </x:c>
      <x:c r="F450" s="54" t="str">
        <x:v>开放申购</x:v>
      </x:c>
      <x:c r="G450" s="54" t="str">
        <x:v>开放赎回</x:v>
      </x:c>
    </x:row>
    <x:row r="451">
      <x:c r="A451" s="49" t="n">
        <x:v>45597</x:v>
      </x:c>
      <x:c r="B451" s="52" t="n">
        <x:v>4.189</x:v>
      </x:c>
      <x:c r="C451" s="52" t="n">
        <x:v>4.66</x:v>
      </x:c>
      <x:c r="D451" s="53" t="n">
        <x:v>-0.012</x:v>
      </x:c>
      <x:c r="E451" s="53" t="n">
        <x:f>IFERROR(B451/$B$488-1,"")</x:f>
        <x:v>0.36806009144350105</x:v>
      </x:c>
      <x:c r="F451" s="54" t="str">
        <x:v>开放申购</x:v>
      </x:c>
      <x:c r="G451" s="54" t="str">
        <x:v>开放赎回</x:v>
      </x:c>
    </x:row>
    <x:row r="452">
      <x:c r="A452" s="49" t="n">
        <x:v>45596</x:v>
      </x:c>
      <x:c r="B452" s="52" t="n">
        <x:v>4.24</x:v>
      </x:c>
      <x:c r="C452" s="52" t="n">
        <x:v>4.711</x:v>
      </x:c>
      <x:c r="D452" s="53" t="n">
        <x:v>0.0014000000000000002</x:v>
      </x:c>
      <x:c r="E452" s="53" t="n">
        <x:f>IFERROR(B452/$B$488-1,"")</x:f>
        <x:v>0.38471587197909884</x:v>
      </x:c>
      <x:c r="F452" s="54" t="str">
        <x:v>开放申购</x:v>
      </x:c>
      <x:c r="G452" s="54" t="str">
        <x:v>开放赎回</x:v>
      </x:c>
    </x:row>
    <x:row r="453">
      <x:c r="A453" s="49" t="n">
        <x:v>45595</x:v>
      </x:c>
      <x:c r="B453" s="52" t="n">
        <x:v>4.234</x:v>
      </x:c>
      <x:c r="C453" s="52" t="n">
        <x:v>4.705</x:v>
      </x:c>
      <x:c r="D453" s="53" t="n">
        <x:v>0.0038</x:v>
      </x:c>
      <x:c r="E453" s="53" t="n">
        <x:f>IFERROR(B453/$B$488-1,"")</x:f>
        <x:v>0.3827563683866755</x:v>
      </x:c>
      <x:c r="F453" s="54" t="str">
        <x:v>开放申购</x:v>
      </x:c>
      <x:c r="G453" s="54" t="str">
        <x:v>开放赎回</x:v>
      </x:c>
    </x:row>
    <x:row r="454">
      <x:c r="A454" s="49" t="n">
        <x:v>45594</x:v>
      </x:c>
      <x:c r="B454" s="52" t="n">
        <x:v>4.218</x:v>
      </x:c>
      <x:c r="C454" s="52" t="n">
        <x:v>4.689</x:v>
      </x:c>
      <x:c r="D454" s="53" t="n">
        <x:v>0.009300000000000001</x:v>
      </x:c>
      <x:c r="E454" s="53" t="n">
        <x:f>IFERROR(B454/$B$488-1,"")</x:f>
        <x:v>0.37753102547354667</x:v>
      </x:c>
      <x:c r="F454" s="54" t="str">
        <x:v>开放申购</x:v>
      </x:c>
      <x:c r="G454" s="54" t="str">
        <x:v>开放赎回</x:v>
      </x:c>
    </x:row>
    <x:row r="455">
      <x:c r="A455" s="49" t="n">
        <x:v>45593</x:v>
      </x:c>
      <x:c r="B455" s="52" t="n">
        <x:v>4.179</x:v>
      </x:c>
      <x:c r="C455" s="52" t="n">
        <x:v>4.65</x:v>
      </x:c>
      <x:c r="D455" s="53" t="n">
        <x:v>-0.010700000000000001</x:v>
      </x:c>
      <x:c r="E455" s="53" t="n">
        <x:f>IFERROR(B455/$B$488-1,"")</x:f>
        <x:v>0.3647942521227958</x:v>
      </x:c>
      <x:c r="F455" s="54" t="str">
        <x:v>开放申购</x:v>
      </x:c>
      <x:c r="G455" s="54" t="str">
        <x:v>开放赎回</x:v>
      </x:c>
    </x:row>
    <x:row r="456">
      <x:c r="A456" s="49" t="n">
        <x:v>45590</x:v>
      </x:c>
      <x:c r="B456" s="52" t="n">
        <x:v>4.224</x:v>
      </x:c>
      <x:c r="C456" s="52" t="n">
        <x:v>4.695</x:v>
      </x:c>
      <x:c r="D456" s="53" t="n">
        <x:v>0.0132</x:v>
      </x:c>
      <x:c r="E456" s="53" t="n">
        <x:f>IFERROR(B456/$B$488-1,"")</x:f>
        <x:v>0.37949052906597003</x:v>
      </x:c>
      <x:c r="F456" s="54" t="str">
        <x:v>开放申购</x:v>
      </x:c>
      <x:c r="G456" s="54" t="str">
        <x:v>开放赎回</x:v>
      </x:c>
    </x:row>
    <x:row r="457">
      <x:c r="A457" s="49" t="n">
        <x:v>45589</x:v>
      </x:c>
      <x:c r="B457" s="52" t="n">
        <x:v>4.169</x:v>
      </x:c>
      <x:c r="C457" s="52" t="n">
        <x:v>4.64</x:v>
      </x:c>
      <x:c r="D457" s="53" t="n">
        <x:v>0.0126</x:v>
      </x:c>
      <x:c r="E457" s="53" t="n">
        <x:f>IFERROR(B457/$B$488-1,"")</x:f>
        <x:v>0.36152841280209014</x:v>
      </x:c>
      <x:c r="F457" s="54" t="str">
        <x:v>开放申购</x:v>
      </x:c>
      <x:c r="G457" s="54" t="str">
        <x:v>开放赎回</x:v>
      </x:c>
    </x:row>
    <x:row r="458">
      <x:c r="A458" s="49" t="n">
        <x:v>45588</x:v>
      </x:c>
      <x:c r="B458" s="52" t="n">
        <x:v>4.117</x:v>
      </x:c>
      <x:c r="C458" s="52" t="n">
        <x:v>4.588</x:v>
      </x:c>
      <x:c r="D458" s="53" t="n">
        <x:v>-0.0233</x:v>
      </x:c>
      <x:c r="E458" s="53" t="n">
        <x:f>IFERROR(B458/$B$488-1,"")</x:f>
        <x:v>0.34454604833442204</x:v>
      </x:c>
      <x:c r="F458" s="54" t="str">
        <x:v>开放申购</x:v>
      </x:c>
      <x:c r="G458" s="54" t="str">
        <x:v>开放赎回</x:v>
      </x:c>
    </x:row>
    <x:row r="459">
      <x:c r="A459" s="49" t="n">
        <x:v>45587</x:v>
      </x:c>
      <x:c r="B459" s="52" t="n">
        <x:v>4.215</x:v>
      </x:c>
      <x:c r="C459" s="52" t="n">
        <x:v>4.686</x:v>
      </x:c>
      <x:c r="D459" s="53" t="n">
        <x:v>-0.0106</x:v>
      </x:c>
      <x:c r="E459" s="53" t="n">
        <x:f>IFERROR(B459/$B$488-1,"")</x:f>
        <x:v>0.3765512736773351</x:v>
      </x:c>
      <x:c r="F459" s="54" t="str">
        <x:v>开放申购</x:v>
      </x:c>
      <x:c r="G459" s="54" t="str">
        <x:v>开放赎回</x:v>
      </x:c>
    </x:row>
    <x:row r="460">
      <x:c r="A460" s="49" t="n">
        <x:v>45586</x:v>
      </x:c>
      <x:c r="B460" s="52" t="n">
        <x:v>4.26</x:v>
      </x:c>
      <x:c r="C460" s="52" t="n">
        <x:v>4.731</x:v>
      </x:c>
      <x:c r="D460" s="53" t="n">
        <x:v>0.015</x:v>
      </x:c>
      <x:c r="E460" s="53" t="n">
        <x:f>IFERROR(B460/$B$488-1,"")</x:f>
        <x:v>0.39124755062050953</x:v>
      </x:c>
      <x:c r="F460" s="54" t="str">
        <x:v>开放申购</x:v>
      </x:c>
      <x:c r="G460" s="54" t="str">
        <x:v>开放赎回</x:v>
      </x:c>
    </x:row>
    <x:row r="461">
      <x:c r="A461" s="49" t="n">
        <x:v>45583</x:v>
      </x:c>
      <x:c r="B461" s="52" t="n">
        <x:v>4.197</x:v>
      </x:c>
      <x:c r="C461" s="52" t="n">
        <x:v>4.668</x:v>
      </x:c>
      <x:c r="D461" s="53" t="n">
        <x:v>0.09179999999999999</x:v>
      </x:c>
      <x:c r="E461" s="53" t="n">
        <x:f>IFERROR(B461/$B$488-1,"")</x:f>
        <x:v>0.37067276290006546</x:v>
      </x:c>
      <x:c r="F461" s="54" t="str">
        <x:v>开放申购</x:v>
      </x:c>
      <x:c r="G461" s="54" t="str">
        <x:v>开放赎回</x:v>
      </x:c>
    </x:row>
    <x:row r="462">
      <x:c r="A462" s="49" t="n">
        <x:v>45582</x:v>
      </x:c>
      <x:c r="B462" s="52" t="n">
        <x:v>3.844</x:v>
      </x:c>
      <x:c r="C462" s="52" t="n">
        <x:v>4.315</x:v>
      </x:c>
      <x:c r="D462" s="53" t="n">
        <x:v>0.0172</x:v>
      </x:c>
      <x:c r="E462" s="53" t="n">
        <x:f>IFERROR(B462/$B$488-1,"")</x:f>
        <x:v>0.2553886348791641</x:v>
      </x:c>
      <x:c r="F462" s="54" t="str">
        <x:v>开放申购</x:v>
      </x:c>
      <x:c r="G462" s="54" t="str">
        <x:v>开放赎回</x:v>
      </x:c>
    </x:row>
    <x:row r="463">
      <x:c r="A463" s="49" t="n">
        <x:v>45581</x:v>
      </x:c>
      <x:c r="B463" s="52" t="n">
        <x:v>3.779</x:v>
      </x:c>
      <x:c r="C463" s="52" t="n">
        <x:v>4.25</x:v>
      </x:c>
      <x:c r="D463" s="53" t="n">
        <x:v>-0.0265</x:v>
      </x:c>
      <x:c r="E463" s="53" t="n">
        <x:f>IFERROR(B463/$B$488-1,"")</x:f>
        <x:v>0.23416067929457873</x:v>
      </x:c>
      <x:c r="F463" s="54" t="str">
        <x:v>开放申购</x:v>
      </x:c>
      <x:c r="G463" s="54" t="str">
        <x:v>开放赎回</x:v>
      </x:c>
    </x:row>
    <x:row r="464">
      <x:c r="A464" s="49" t="n">
        <x:v>45580</x:v>
      </x:c>
      <x:c r="B464" s="52" t="n">
        <x:v>3.882</x:v>
      </x:c>
      <x:c r="C464" s="52" t="n">
        <x:v>4.353</x:v>
      </x:c>
      <x:c r="D464" s="53" t="n">
        <x:v>-0.021400000000000002</x:v>
      </x:c>
      <x:c r="E464" s="53" t="n">
        <x:f>IFERROR(B464/$B$488-1,"")</x:f>
        <x:v>0.26779882429784463</x:v>
      </x:c>
      <x:c r="F464" s="54" t="str">
        <x:v>开放申购</x:v>
      </x:c>
      <x:c r="G464" s="54" t="str">
        <x:v>开放赎回</x:v>
      </x:c>
    </x:row>
    <x:row r="465">
      <x:c r="A465" s="49" t="n">
        <x:v>45579</x:v>
      </x:c>
      <x:c r="B465" s="52" t="n">
        <x:v>3.967</x:v>
      </x:c>
      <x:c r="C465" s="52" t="n">
        <x:v>4.438</x:v>
      </x:c>
      <x:c r="D465" s="53" t="n">
        <x:v>0.0537</x:v>
      </x:c>
      <x:c r="E465" s="53" t="n">
        <x:f>IFERROR(B465/$B$488-1,"")</x:f>
        <x:v>0.29555845852384066</x:v>
      </x:c>
      <x:c r="F465" s="54" t="str">
        <x:v>开放申购</x:v>
      </x:c>
      <x:c r="G465" s="54" t="str">
        <x:v>开放赎回</x:v>
      </x:c>
    </x:row>
    <x:row r="466">
      <x:c r="A466" s="49" t="n">
        <x:v>45576</x:v>
      </x:c>
      <x:c r="B466" s="52" t="n">
        <x:v>3.765</x:v>
      </x:c>
      <x:c r="C466" s="52" t="n">
        <x:v>4.236</x:v>
      </x:c>
      <x:c r="D466" s="53" t="n">
        <x:v>-0.0203</x:v>
      </x:c>
      <x:c r="E466" s="53" t="n">
        <x:f>IFERROR(B466/$B$488-1,"")</x:f>
        <x:v>0.22958850424559119</x:v>
      </x:c>
      <x:c r="F466" s="54" t="str">
        <x:v>开放申购</x:v>
      </x:c>
      <x:c r="G466" s="54" t="str">
        <x:v>开放赎回</x:v>
      </x:c>
    </x:row>
    <x:row r="467">
      <x:c r="A467" s="49" t="n">
        <x:v>45575</x:v>
      </x:c>
      <x:c r="B467" s="52" t="n">
        <x:v>3.843</x:v>
      </x:c>
      <x:c r="C467" s="52" t="n">
        <x:v>4.314</x:v>
      </x:c>
      <x:c r="D467" s="53" t="n">
        <x:v>-0.0276</x:v>
      </x:c>
      <x:c r="E467" s="53" t="n">
        <x:f>IFERROR(B467/$B$488-1,"")</x:f>
        <x:v>0.25506205094709355</x:v>
      </x:c>
      <x:c r="F467" s="54" t="str">
        <x:v>开放申购</x:v>
      </x:c>
      <x:c r="G467" s="54" t="str">
        <x:v>开放赎回</x:v>
      </x:c>
    </x:row>
    <x:row r="468">
      <x:c r="A468" s="49" t="n">
        <x:v>45574</x:v>
      </x:c>
      <x:c r="B468" s="52" t="n">
        <x:v>3.952</x:v>
      </x:c>
      <x:c r="C468" s="52" t="n">
        <x:v>4.423</x:v>
      </x:c>
      <x:c r="D468" s="53" t="n">
        <x:v>-0.0564</x:v>
      </x:c>
      <x:c r="E468" s="53" t="n">
        <x:f>IFERROR(B468/$B$488-1,"")</x:f>
        <x:v>0.2906596995427826</x:v>
      </x:c>
      <x:c r="F468" s="54" t="str">
        <x:v>开放申购</x:v>
      </x:c>
      <x:c r="G468" s="54" t="str">
        <x:v>开放赎回</x:v>
      </x:c>
    </x:row>
    <x:row r="469">
      <x:c r="A469" s="49" t="n">
        <x:v>45573</x:v>
      </x:c>
      <x:c r="B469" s="52" t="n">
        <x:v>4.188</x:v>
      </x:c>
      <x:c r="C469" s="52" t="n">
        <x:v>4.659</x:v>
      </x:c>
      <x:c r="D469" s="53" t="n">
        <x:v>0.1189</x:v>
      </x:c>
      <x:c r="E469" s="53" t="n">
        <x:f>IFERROR(B469/$B$488-1,"")</x:f>
        <x:v>0.3677335075114305</x:v>
      </x:c>
      <x:c r="F469" s="54" t="str">
        <x:v>开放申购</x:v>
      </x:c>
      <x:c r="G469" s="54" t="str">
        <x:v>开放赎回</x:v>
      </x:c>
    </x:row>
    <x:row r="470">
      <x:c r="A470" s="49" t="n">
        <x:v>45565</x:v>
      </x:c>
      <x:c r="B470" s="52" t="n">
        <x:v>3.743</x:v>
      </x:c>
      <x:c r="C470" s="52" t="n">
        <x:v>4.214</x:v>
      </x:c>
      <x:c r="D470" s="53" t="n">
        <x:v>0.1038</x:v>
      </x:c>
      <x:c r="E470" s="53" t="n">
        <x:f>IFERROR(B470/$B$488-1,"")</x:f>
        <x:v>0.22240365774003923</x:v>
      </x:c>
      <x:c r="F470" s="54" t="str">
        <x:v>开放申购</x:v>
      </x:c>
      <x:c r="G470" s="54" t="str">
        <x:v>开放赎回</x:v>
      </x:c>
    </x:row>
    <x:row r="471">
      <x:c r="A471" s="49" t="n">
        <x:v>45562</x:v>
      </x:c>
      <x:c r="B471" s="52" t="n">
        <x:v>3.391</x:v>
      </x:c>
      <x:c r="C471" s="52" t="n">
        <x:v>3.862</x:v>
      </x:c>
      <x:c r="D471" s="53" t="n">
        <x:v>0.049800000000000004</x:v>
      </x:c>
      <x:c r="E471" s="53" t="n">
        <x:f>IFERROR(B471/$B$488-1,"")</x:f>
        <x:v>0.10744611365120837</x:v>
      </x:c>
      <x:c r="F471" s="54" t="str">
        <x:v>开放申购</x:v>
      </x:c>
      <x:c r="G471" s="54" t="str">
        <x:v>开放赎回</x:v>
      </x:c>
    </x:row>
    <x:row r="472">
      <x:c r="A472" s="49" t="n">
        <x:v>45561</x:v>
      </x:c>
      <x:c r="B472" s="52" t="n">
        <x:v>3.23</x:v>
      </x:c>
      <x:c r="C472" s="52" t="n">
        <x:v>3.701</x:v>
      </x:c>
      <x:c r="D472" s="53" t="n">
        <x:v>0.026000000000000002</x:v>
      </x:c>
      <x:c r="E472" s="53" t="n">
        <x:f>IFERROR(B472/$B$488-1,"")</x:f>
        <x:v>0.05486610058785102</x:v>
      </x:c>
      <x:c r="F472" s="54" t="str">
        <x:v>开放申购</x:v>
      </x:c>
      <x:c r="G472" s="54" t="str">
        <x:v>开放赎回</x:v>
      </x:c>
    </x:row>
    <x:row r="473">
      <x:c r="A473" s="49" t="n">
        <x:v>45560</x:v>
      </x:c>
      <x:c r="B473" s="52" t="n">
        <x:v>3.148</x:v>
      </x:c>
      <x:c r="C473" s="52" t="n">
        <x:v>3.619</x:v>
      </x:c>
      <x:c r="D473" s="53" t="n">
        <x:v>-0.0006</x:v>
      </x:c>
      <x:c r="E473" s="53" t="n">
        <x:f>IFERROR(B473/$B$488-1,"")</x:f>
        <x:v>0.028086218158066778</x:v>
      </x:c>
      <x:c r="F473" s="54" t="str">
        <x:v>开放申购</x:v>
      </x:c>
      <x:c r="G473" s="54" t="str">
        <x:v>开放赎回</x:v>
      </x:c>
    </x:row>
    <x:row r="474">
      <x:c r="A474" s="49" t="n">
        <x:v>45559</x:v>
      </x:c>
      <x:c r="B474" s="52" t="n">
        <x:v>3.15</x:v>
      </x:c>
      <x:c r="C474" s="52" t="n">
        <x:v>3.621</x:v>
      </x:c>
      <x:c r="D474" s="53" t="n">
        <x:v>0.06309999999999999</x:v>
      </x:c>
      <x:c r="E474" s="53" t="n">
        <x:f>IFERROR(B474/$B$488-1,"")</x:f>
        <x:v>0.028739386022207825</x:v>
      </x:c>
      <x:c r="F474" s="54" t="str">
        <x:v>开放申购</x:v>
      </x:c>
      <x:c r="G474" s="54" t="str">
        <x:v>开放赎回</x:v>
      </x:c>
    </x:row>
    <x:row r="475">
      <x:c r="A475" s="49" t="n">
        <x:v>45558</x:v>
      </x:c>
      <x:c r="B475" s="52" t="n">
        <x:v>2.963</x:v>
      </x:c>
      <x:c r="C475" s="52" t="n">
        <x:v>3.434</x:v>
      </x:c>
      <x:c r="D475" s="53" t="n">
        <x:v>-0.0077</x:v>
      </x:c>
      <x:c r="E475" s="53" t="n">
        <x:f>IFERROR(B475/$B$488-1,"")</x:f>
        <x:v>-0.03233180927498358</x:v>
      </x:c>
      <x:c r="F475" s="54" t="str">
        <x:v>开放申购</x:v>
      </x:c>
      <x:c r="G475" s="54" t="str">
        <x:v>开放赎回</x:v>
      </x:c>
    </x:row>
    <x:row r="476">
      <x:c r="A476" s="49" t="n">
        <x:v>45555</x:v>
      </x:c>
      <x:c r="B476" s="52" t="n">
        <x:v>2.986</x:v>
      </x:c>
      <x:c r="C476" s="52" t="n">
        <x:v>3.457</x:v>
      </x:c>
      <x:c r="D476" s="53" t="n">
        <x:v>-0.0113</x:v>
      </x:c>
      <x:c r="E476" s="53" t="n">
        <x:f>IFERROR(B476/$B$488-1,"")</x:f>
        <x:v>-0.0248203788373611</x:v>
      </x:c>
      <x:c r="F476" s="54" t="str">
        <x:v>开放申购</x:v>
      </x:c>
      <x:c r="G476" s="54" t="str">
        <x:v>开放赎回</x:v>
      </x:c>
    </x:row>
    <x:row r="477">
      <x:c r="A477" s="49" t="n">
        <x:v>45554</x:v>
      </x:c>
      <x:c r="B477" s="52" t="n">
        <x:v>3.02</x:v>
      </x:c>
      <x:c r="C477" s="52" t="n">
        <x:v>3.491</x:v>
      </x:c>
      <x:c r="D477" s="53" t="n">
        <x:v>-0.0095</x:v>
      </x:c>
      <x:c r="E477" s="53" t="n">
        <x:f>IFERROR(B477/$B$488-1,"")</x:f>
        <x:v>-0.013716525146962755</x:v>
      </x:c>
      <x:c r="F477" s="54" t="str">
        <x:v>开放申购</x:v>
      </x:c>
      <x:c r="G477" s="54" t="str">
        <x:v>开放赎回</x:v>
      </x:c>
    </x:row>
    <x:row r="478">
      <x:c r="A478" s="49" t="n">
        <x:v>45553</x:v>
      </x:c>
      <x:c r="B478" s="52" t="n">
        <x:v>3.049</x:v>
      </x:c>
      <x:c r="C478" s="52" t="n">
        <x:v>3.52</x:v>
      </x:c>
      <x:c r="D478" s="53" t="n">
        <x:v>-0.008100000000000001</x:v>
      </x:c>
      <x:c r="E478" s="53" t="n">
        <x:f>IFERROR(B478/$B$488-1,"")</x:f>
        <x:v>-0.004245591116917025</x:v>
      </x:c>
      <x:c r="F478" s="54" t="str">
        <x:v>开放申购</x:v>
      </x:c>
      <x:c r="G478" s="54" t="str">
        <x:v>开放赎回</x:v>
      </x:c>
    </x:row>
    <x:row r="479">
      <x:c r="A479" s="49" t="n">
        <x:v>45548</x:v>
      </x:c>
      <x:c r="B479" s="52" t="n">
        <x:v>3.074</x:v>
      </x:c>
      <x:c r="C479" s="52" t="n">
        <x:v>3.545</x:v>
      </x:c>
      <x:c r="D479" s="53" t="n">
        <x:v>0.0155</x:v>
      </x:c>
      <x:c r="E479" s="53" t="n">
        <x:f>IFERROR(B479/$B$488-1,"")</x:f>
        <x:v>0.003919007184846501</x:v>
      </x:c>
      <x:c r="F479" s="54" t="str">
        <x:v>开放申购</x:v>
      </x:c>
      <x:c r="G479" s="54" t="str">
        <x:v>开放赎回</x:v>
      </x:c>
    </x:row>
    <x:row r="480">
      <x:c r="A480" s="49" t="n">
        <x:v>45547</x:v>
      </x:c>
      <x:c r="B480" s="52" t="n">
        <x:v>3.027</x:v>
      </x:c>
      <x:c r="C480" s="52" t="n">
        <x:v>3.498</x:v>
      </x:c>
      <x:c r="D480" s="53" t="n">
        <x:v>0.0036</x:v>
      </x:c>
      <x:c r="E480" s="53" t="n">
        <x:f>IFERROR(B480/$B$488-1,"")</x:f>
        <x:v>-0.01143043762246887</x:v>
      </x:c>
      <x:c r="F480" s="54" t="str">
        <x:v>开放申购</x:v>
      </x:c>
      <x:c r="G480" s="54" t="str">
        <x:v>开放赎回</x:v>
      </x:c>
    </x:row>
    <x:row r="481">
      <x:c r="A481" s="49" t="n">
        <x:v>45546</x:v>
      </x:c>
      <x:c r="B481" s="52" t="n">
        <x:v>3.016</x:v>
      </x:c>
      <x:c r="C481" s="52" t="n">
        <x:v>3.487</x:v>
      </x:c>
      <x:c r="D481" s="53" t="n">
        <x:v>0.010700000000000001</x:v>
      </x:c>
      <x:c r="E481" s="53" t="n">
        <x:f>IFERROR(B481/$B$488-1,"")</x:f>
        <x:v>-0.015022860875244848</x:v>
      </x:c>
      <x:c r="F481" s="54" t="str">
        <x:v>开放申购</x:v>
      </x:c>
      <x:c r="G481" s="54" t="str">
        <x:v>开放赎回</x:v>
      </x:c>
    </x:row>
    <x:row r="482">
      <x:c r="A482" s="49" t="n">
        <x:v>45545</x:v>
      </x:c>
      <x:c r="B482" s="52" t="n">
        <x:v>2.984</x:v>
      </x:c>
      <x:c r="C482" s="52" t="n">
        <x:v>3.455</x:v>
      </x:c>
      <x:c r="D482" s="53" t="n">
        <x:v>0.0091</x:v>
      </x:c>
      <x:c r="E482" s="53" t="n">
        <x:f>IFERROR(B482/$B$488-1,"")</x:f>
        <x:v>-0.02547354670150226</x:v>
      </x:c>
      <x:c r="F482" s="54" t="str">
        <x:v>开放申购</x:v>
      </x:c>
      <x:c r="G482" s="54" t="str">
        <x:v>开放赎回</x:v>
      </x:c>
    </x:row>
    <x:row r="483">
      <x:c r="A483" s="49" t="n">
        <x:v>45544</x:v>
      </x:c>
      <x:c r="B483" s="52" t="n">
        <x:v>2.957</x:v>
      </x:c>
      <x:c r="C483" s="52" t="n">
        <x:v>3.428</x:v>
      </x:c>
      <x:c r="D483" s="53" t="n">
        <x:v>-0.005699999999999999</x:v>
      </x:c>
      <x:c r="E483" s="53" t="n">
        <x:f>IFERROR(B483/$B$488-1,"")</x:f>
        <x:v>-0.03429131286740694</x:v>
      </x:c>
      <x:c r="F483" s="54" t="str">
        <x:v>开放申购</x:v>
      </x:c>
      <x:c r="G483" s="54" t="str">
        <x:v>开放赎回</x:v>
      </x:c>
    </x:row>
    <x:row r="484">
      <x:c r="A484" s="49" t="n">
        <x:v>45541</x:v>
      </x:c>
      <x:c r="B484" s="52" t="n">
        <x:v>2.974</x:v>
      </x:c>
      <x:c r="C484" s="52" t="n">
        <x:v>3.445</x:v>
      </x:c>
      <x:c r="D484" s="53" t="n">
        <x:v>-0.0287</x:v>
      </x:c>
      <x:c r="E484" s="53" t="n">
        <x:f>IFERROR(B484/$B$488-1,"")</x:f>
        <x:v>-0.028739386022207603</x:v>
      </x:c>
      <x:c r="F484" s="54" t="str">
        <x:v>开放申购</x:v>
      </x:c>
      <x:c r="G484" s="54" t="str">
        <x:v>开放赎回</x:v>
      </x:c>
    </x:row>
    <x:row r="485">
      <x:c r="A485" s="49" t="n">
        <x:v>45540</x:v>
      </x:c>
      <x:c r="B485" s="52" t="n">
        <x:v>3.062</x:v>
      </x:c>
      <x:c r="C485" s="52" t="n">
        <x:v>3.533</x:v>
      </x:c>
      <x:c r="D485" s="53" t="n">
        <x:v>0.0033</x:v>
      </x:c>
      <x:c r="E485" s="53" t="n">
        <x:f>IFERROR(B485/$B$488-1,"")</x:f>
        <x:v>0</x:v>
      </x:c>
      <x:c r="F485" s="54" t="str">
        <x:v>开放申购</x:v>
      </x:c>
      <x:c r="G485" s="54" t="str">
        <x:v>开放赎回</x:v>
      </x:c>
    </x:row>
    <x:row r="486">
      <x:c r="A486" s="49" t="n">
        <x:v>45539</x:v>
      </x:c>
      <x:c r="B486" s="52" t="n">
        <x:v>3.052</x:v>
      </x:c>
      <x:c r="C486" s="52" t="n">
        <x:v>3.523</x:v>
      </x:c>
      <x:c r="D486" s="53" t="n">
        <x:v>-0.013300000000000001</x:v>
      </x:c>
      <x:c r="E486" s="53" t="n">
        <x:f>IFERROR(B486/$B$488-1,"")</x:f>
        <x:v>-0.0032658393207053438</x:v>
      </x:c>
      <x:c r="F486" s="54" t="str">
        <x:v>开放申购</x:v>
      </x:c>
      <x:c r="G486" s="54" t="str">
        <x:v>开放赎回</x:v>
      </x:c>
    </x:row>
    <x:row r="487">
      <x:c r="A487" s="49" t="n">
        <x:v>45538</x:v>
      </x:c>
      <x:c r="B487" s="52" t="n">
        <x:v>3.093</x:v>
      </x:c>
      <x:c r="C487" s="52" t="n">
        <x:v>3.564</x:v>
      </x:c>
      <x:c r="D487" s="53" t="n">
        <x:v>0.0101</x:v>
      </x:c>
      <x:c r="E487" s="53" t="n">
        <x:f>IFERROR(B487/$B$488-1,"")</x:f>
        <x:v>0.010124101894186888</x:v>
      </x:c>
      <x:c r="F487" s="54" t="str">
        <x:v>开放申购</x:v>
      </x:c>
      <x:c r="G487" s="54" t="str">
        <x:v>开放赎回</x:v>
      </x:c>
    </x:row>
    <x:row r="488">
      <x:c r="A488" s="49" t="n">
        <x:v>45537</x:v>
      </x:c>
      <x:c r="B488" s="52" t="n">
        <x:v>3.062</x:v>
      </x:c>
      <x:c r="C488" s="52" t="n">
        <x:v>3.533</x:v>
      </x:c>
      <x:c r="D488" s="53" t="n">
        <x:v>-0.0335</x:v>
      </x:c>
      <x:c r="E488" s="53" t="n">
        <x:f>IFERROR(B488/$B$488-1,"")</x:f>
        <x:v>0</x:v>
      </x:c>
      <x:c r="F488" s="54" t="str">
        <x:v>开放申购</x:v>
      </x:c>
      <x:c r="G488" s="54" t="str">
        <x:v>开放赎回</x:v>
      </x:c>
    </x:row>
  </x:sheetData>
  <x:mergeCells>
    <x:mergeCell ref="A1:G1"/>
    <x:mergeCell ref="A2:G2"/>
  </x:mergeCells>
  <x:conditionalFormatting sqref="D5:E488">
    <x:cfRule type="cellIs" dxfId="2" priority="1" operator="greaterThan">
      <x:formula>0</x:formula>
    </x:cfRule>
    <x:cfRule type="cellIs" dxfId="3" priority="2" operator="lessThan">
      <x:formula>0</x:formula>
    </x:cfRule>
  </x:conditionalFormatting>
  <x:pageMargins left="0.7" right="0.7" top="0.75" bottom="0.75" header="0.3" footer="0.3"/>
  <x:legacyDrawing xmlns:r="http://schemas.openxmlformats.org/officeDocument/2006/relationships" r:id="R7462eb72c2054f8d"/>
  <x:tableParts count="1">
    <x:tablePart xmlns:r="http://schemas.openxmlformats.org/officeDocument/2006/relationships" r:id="R4f30b21722c247a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2" hidden="0" customWidth="1"/>
    <x:col min="3" max="3" width="52" hidden="0" customWidth="1"/>
    <x:col min="4" max="4" width="22" hidden="0" customWidth="1"/>
    <x:col min="5" max="5" width="14" hidden="0" customWidth="1"/>
    <x:col min="6" max="6" width="34" hidden="0" customWidth="1"/>
  </x:cols>
  <x:sheetData>
    <x:row r="1" ht="30" customHeight="1">
      <x:c r="A1" s="4" t="str">
        <x:v>720001｜数据来源与校验</x:v>
      </x:c>
      <x:c r="B1" s="4" t="str">
        <x:v>720001｜数据来源与校验</x:v>
      </x:c>
      <x:c r="C1" s="4" t="str">
        <x:v>720001｜数据来源与校验</x:v>
      </x:c>
      <x:c r="D1" s="4" t="str">
        <x:v>720001｜数据来源与校验</x:v>
      </x:c>
      <x:c r="E1" s="4" t="str">
        <x:v>720001｜数据来源与校验</x:v>
      </x:c>
      <x:c r="F1" s="4" t="str">
        <x:v>720001｜数据来源与校验</x:v>
      </x:c>
    </x:row>
    <x:row r="3">
      <x:c r="A3" s="61" t="str">
        <x:v>来源</x:v>
      </x:c>
      <x:c r="B3" s="61" t="str">
        <x:v>用途</x:v>
      </x:c>
      <x:c r="C3" s="61" t="str">
        <x:v>地址/文件</x:v>
      </x:c>
      <x:c r="D3" s="61" t="str">
        <x:v>数据日期</x:v>
      </x:c>
      <x:c r="E3" s="61" t="str">
        <x:v>状态</x:v>
      </x:c>
      <x:c r="F3" s="61" t="str">
        <x:v>说明</x:v>
      </x:c>
    </x:row>
    <x:row r="4" ht="42" customHeight="1">
      <x:c r="A4" s="62" t="str">
        <x:v>东方财富历史净值API</x:v>
      </x:c>
      <x:c r="B4" s="62" t="str">
        <x:v>最近两年逐日净值</x:v>
      </x:c>
      <x:c r="C4" s="63" t="str">
        <x:v>https://api.fund.eastmoney.com/f10/lsjz?fundCode=720001&amp;pageIndex=1&amp;pageSize=20&amp;startDate=2024-09-02&amp;endDate=2026-09-02</x:v>
      </x:c>
      <x:c r="D4" s="62" t="str">
        <x:v>2024-09-02 至 2026-09-01</x:v>
      </x:c>
      <x:c r="E4" s="62" t="str">
        <x:v>已获取</x:v>
      </x:c>
      <x:c r="F4" s="62" t="str">
        <x:v>抓取时间 2026-09-02T08:35:13.671Z</x:v>
      </x:c>
    </x:row>
    <x:row r="5" ht="42" customHeight="1">
      <x:c r="A5" s="62" t="str">
        <x:v>天天基金产品页</x:v>
      </x:c>
      <x:c r="B5" s="62" t="str">
        <x:v>基金代码与最新净值复核</x:v>
      </x:c>
      <x:c r="C5" s="63" t="str">
        <x:v>https://fund.eastmoney.com/720001.html</x:v>
      </x:c>
      <x:c r="D5" s="62" t="str">
        <x:v>2026-09-01</x:v>
      </x:c>
      <x:c r="E5" s="62" t="str">
        <x:v>已核对</x:v>
      </x:c>
      <x:c r="F5" s="62" t="str">
        <x:v>720001 财通价值动量混合A</x:v>
      </x:c>
    </x:row>
    <x:row r="6" ht="42" customHeight="1">
      <x:c r="A6" s="62" t="str">
        <x:v>项目空间历史净值</x:v>
      </x:c>
      <x:c r="B6" s="62" t="str">
        <x:v>本地重叠区间核验</x:v>
      </x:c>
      <x:c r="C6" s="63" t="str">
        <x:v>无本地CSV</x:v>
      </x:c>
      <x:c r="D6" s="62" t="str">
        <x:v>不适用</x:v>
      </x:c>
      <x:c r="E6" s="62" t="str">
        <x:v>无本地源</x:v>
      </x:c>
      <x:c r="F6" s="62" t="str">
        <x:v>仅使用在线数据</x:v>
      </x:c>
    </x:row>
    <x:row r="9">
      <x:c r="A9" s="61" t="str">
        <x:v>检查项</x:v>
      </x:c>
      <x:c r="B9" s="61" t="str">
        <x:v>实际</x:v>
      </x:c>
      <x:c r="C9" s="61" t="str">
        <x:v>期望</x:v>
      </x:c>
      <x:c r="D9" s="61" t="str">
        <x:v>差异</x:v>
      </x:c>
      <x:c r="E9" s="61" t="str">
        <x:v>状态</x:v>
      </x:c>
      <x:c r="F9" s="61" t="str">
        <x:v>说明</x:v>
      </x:c>
    </x:row>
    <x:row r="10" ht="28" customHeight="1">
      <x:c r="A10" s="62" t="str">
        <x:v>记录数</x:v>
      </x:c>
      <x:c r="B10" s="64" t="n">
        <x:f>COUNTA('净值数据'!A5:A488)</x:f>
        <x:v>484</x:v>
      </x:c>
      <x:c r="C10" s="64" t="n">
        <x:v>484</x:v>
      </x:c>
      <x:c r="D10" s="64" t="n">
        <x:f>B10-C10</x:f>
        <x:v>0</x:v>
      </x:c>
      <x:c r="E10" s="62" t="str">
        <x:f>IF(D10=0,"OK","检查")</x:f>
        <x:v>OK</x:v>
      </x:c>
      <x:c r="F10" s="62" t="str">
        <x:v>表内非空日期计数</x:v>
      </x:c>
    </x:row>
    <x:row r="11" ht="28" customHeight="1">
      <x:c r="A11" s="62" t="str">
        <x:v>区间起始日</x:v>
      </x:c>
      <x:c r="B11" s="65" t="n">
        <x:f>'净值数据'!A488</x:f>
        <x:v>45537</x:v>
      </x:c>
      <x:c r="C11" s="65" t="n">
        <x:v>45537</x:v>
      </x:c>
      <x:c r="D11" s="62"/>
      <x:c r="E11" s="62" t="str">
        <x:f>IF(B11=C11,"OK","检查")</x:f>
        <x:v>OK</x:v>
      </x:c>
      <x:c r="F11" s="62" t="str">
        <x:v>应等于筛选后最早净值日</x:v>
      </x:c>
    </x:row>
    <x:row r="12" ht="28" customHeight="1">
      <x:c r="A12" s="62" t="str">
        <x:v>最新净值日</x:v>
      </x:c>
      <x:c r="B12" s="65" t="n">
        <x:f>'净值数据'!A5</x:f>
        <x:v>46266</x:v>
      </x:c>
      <x:c r="C12" s="65" t="n">
        <x:v>46266</x:v>
      </x:c>
      <x:c r="D12" s="62"/>
      <x:c r="E12" s="62" t="str">
        <x:f>IF(B12=C12,"OK","检查")</x:f>
        <x:v>OK</x:v>
      </x:c>
      <x:c r="F12" s="62" t="str">
        <x:v>应等于接口最新净值日</x:v>
      </x:c>
    </x:row>
    <x:row r="13" ht="28" customHeight="1">
      <x:c r="A13" s="62" t="str">
        <x:v>重复日期</x:v>
      </x:c>
      <x:c r="B13" s="64" t="n">
        <x:v>0</x:v>
      </x:c>
      <x:c r="C13" s="64" t="n">
        <x:v>0</x:v>
      </x:c>
      <x:c r="D13" s="64" t="n">
        <x:f>B13-C13</x:f>
        <x:v>0</x:v>
      </x:c>
      <x:c r="E13" s="62" t="str">
        <x:f>IF(D13=0,"OK","检查")</x:f>
        <x:v>OK</x:v>
      </x:c>
      <x:c r="F13" s="62" t="str">
        <x:v>抓取脚本已执行唯一性检查</x:v>
      </x:c>
    </x:row>
    <x:row r="14" ht="28" customHeight="1">
      <x:c r="A14" s="62" t="str">
        <x:v>本地重叠净值差异</x:v>
      </x:c>
      <x:c r="B14" s="64" t="n">
        <x:v>0</x:v>
      </x:c>
      <x:c r="C14" s="64" t="n">
        <x:v>0</x:v>
      </x:c>
      <x:c r="D14" s="64" t="n">
        <x:f>B14-C14</x:f>
        <x:v>0</x:v>
      </x:c>
      <x:c r="E14" s="62" t="str">
        <x:f>IF(D14=0,"OK","检查")</x:f>
        <x:v>OK</x:v>
      </x:c>
      <x:c r="F14" s="62" t="str">
        <x:v>无本地CSV，检查值按0处理</x:v>
      </x:c>
    </x:row>
    <x:row r="15" ht="28" customHeight="1">
      <x:c r="A15" s="62" t="str">
        <x:v>总体状态</x:v>
      </x:c>
      <x:c r="B15" s="62"/>
      <x:c r="C15" s="62"/>
      <x:c r="D15" s="62"/>
      <x:c r="E15" s="62" t="str">
        <x:f>IF(COUNTIF(E10:E14,"&lt;&gt;OK")=0,"OK","检查")</x:f>
        <x:v>OK</x:v>
      </x:c>
      <x:c r="F15" s="62" t="str">
        <x:v>所有检查项均为OK</x:v>
      </x:c>
    </x:row>
  </x:sheetData>
  <x:mergeCells>
    <x:mergeCell ref="A1:F1"/>
  </x:mergeCells>
  <x:conditionalFormatting sqref="E10:E15">
    <x:cfRule type="containsText" dxfId="4" priority="1" operator="containsText" text="OK"/>
    <x:cfRule type="containsText" dxfId="5" priority="2" operator="containsText" text="检查"/>
  </x:conditionalFormatting>
  <x:pageMargins left="0.7" right="0.7" top="0.75" bottom="0.75" header="0.3" footer="0.3"/>
</x:worksheet>
</file>
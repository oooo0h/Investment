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6c36de678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摘要" sheetId="1" r:id="R27c24c7f2c0241ca"/>
    <x:sheet xmlns:r="http://schemas.openxmlformats.org/officeDocument/2006/relationships" name="逐笔收益" sheetId="2" r:id="R8fdd8934dff54a98"/>
    <x:sheet xmlns:r="http://schemas.openxmlformats.org/officeDocument/2006/relationships" name="排除记录" sheetId="3" r:id="R89ecaa81bf3e4321"/>
    <x:sheet xmlns:r="http://schemas.openxmlformats.org/officeDocument/2006/relationships" name="FIFO分配" sheetId="4" r:id="R0ea45ee32f4d4038"/>
    <x:sheet xmlns:r="http://schemas.openxmlformats.org/officeDocument/2006/relationships" name="历史净值" sheetId="5" r:id="Rfce9053036794c0a"/>
    <x:sheet xmlns:r="http://schemas.openxmlformats.org/officeDocument/2006/relationships" name="参数与来源" sheetId="6" r:id="R39f480aa343b4979"/>
  </x:sheets>
</x:workbook>
</file>

<file path=xl/comments1.xml><?xml version="1.0" encoding="utf-8"?>
<x:comments xmlns:x="http://schemas.openxmlformats.org/spreadsheetml/2006/main">
  <x:authors>
    <x:author>tc={B4F236A6-0B54-4B70-B938-C5335CFA2E70}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URL: https://api.fund.eastmoney.com/f10/lsjz?fundCode=005698&amp;pageIndex=1&amp;pageSize=20 ; visible dates were spot-checked against 华夏基金历史净值。 </x:t>
        </x:r>
      </x:text>
    </x:comment>
  </x:commentList>
</x:comments>
</file>

<file path=xl/comments2.xml><?xml version="1.0" encoding="utf-8"?>
<x:comments xmlns:x="http://schemas.openxmlformats.org/spreadsheetml/2006/main">
  <x:authors>
    <x:author>tc={8DDC95E2-9440-4F0C-AA3E-F7DEB6F059CD}</x:author>
    <x:author>tc={858DBE2A-2D12-4597-BD59-34B0ABCDA24C}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华夏基金官网及历史净值页；2026-08-31单位净值2.6850。完整链接见本表来源区。 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User-provided fee example: a ¥2,000 purchase incurs about ¥3 of fees, implying a simple 0.15% rate.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000"/>
    <x:numFmt numFmtId="202" formatCode="#,##0.00;[Red](#,##0.00);-"/>
    <x:numFmt numFmtId="203" formatCode="0.00%;[Red](0.00%);-"/>
    <x:numFmt numFmtId="204" formatCode="yyyy-mm-dd hh:mm:ss"/>
    <x:numFmt numFmtId="205" formatCode="#,##0.00"/>
    <x:numFmt numFmtId="206" formatCode="000000"/>
  </x:numFmts>
  <x:fonts count="2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sz val="11"/>
      <x:color rgb="FF101828"/>
      <x:name val="Carlito"/>
    </x:font>
    <x:font>
      <x:b/>
      <x:sz val="16"/>
      <x:color rgb="FFFFFFFF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008000"/>
      <x:name val="Microsoft YaHei"/>
    </x:font>
    <x:font>
      <x:sz val="11"/>
      <x:color rgb="FF0000FF"/>
      <x:name val="Microsoft YaHei"/>
    </x:font>
    <x:font>
      <x:sz val="11"/>
      <x:color rgb="FF101828"/>
      <x:name val="Microsoft YaHei"/>
    </x:font>
    <x:font>
      <x:sz val="11"/>
      <x:color rgb="FF667085"/>
      <x:name val="Carlito"/>
    </x:font>
    <x:font>
      <x:sz val="11"/>
      <x:color rgb="FF667085"/>
      <x:name val="Microsoft YaHei"/>
    </x:font>
    <x:font>
      <x:b/>
      <x:sz val="11"/>
      <x:color rgb="FFB36B00"/>
      <x:name val="Carlito"/>
    </x:font>
    <x:font>
      <x:b/>
      <x:sz val="11"/>
      <x:color rgb="FFB36B00"/>
      <x:name val="Microsoft YaHei"/>
    </x:font>
    <x:font>
      <x:b/>
      <x:sz val="11"/>
      <x:color rgb="FF101828"/>
      <x:name val="Carlito"/>
    </x:font>
    <x:font>
      <x:b/>
      <x:sz val="11"/>
      <x:color rgb="FF14804A"/>
      <x:name val="Carlito"/>
    </x:font>
    <x:font>
      <x:b/>
      <x:sz val="11"/>
      <x:color rgb="FF101828"/>
      <x:name val="Microsoft YaHei"/>
    </x:font>
    <x:font>
      <x:b/>
      <x:sz val="11"/>
      <x:color rgb="FF14804A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0E7490"/>
      </x:patternFill>
    </x:fill>
    <x:fill>
      <x:patternFill patternType="solid">
        <x:fgColor rgb="FFB36B00"/>
      </x:patternFill>
    </x:fill>
    <x:fill>
      <x:patternFill patternType="solid">
        <x:fgColor rgb="FFFFF4D6"/>
      </x:patternFill>
    </x:fill>
    <x:fill>
      <x:patternFill patternType="solid">
        <x:fgColor rgb="FFEAF2F8"/>
      </x:patternFill>
    </x:fill>
    <x:fill>
      <x:patternFill patternType="solid">
        <x:fgColor rgb="FFF2F4F7"/>
      </x:patternFill>
    </x:fill>
    <x:fill>
      <x:patternFill patternType="solid">
        <x:fgColor rgb="FFE6F4EA"/>
      </x:patternFill>
    </x:fill>
  </x:fills>
  <x:borders count="8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left style="thin">
        <x:color rgb="FF14804A"/>
      </x:left>
      <x:top style="thin">
        <x:color rgb="FF14804A"/>
      </x:top>
    </x:border>
    <x:border>
      <x:right style="thin">
        <x:color rgb="FF14804A"/>
      </x:right>
      <x:top style="thin">
        <x:color rgb="FF14804A"/>
      </x:top>
    </x:border>
    <x:border>
      <x:left style="thin">
        <x:color rgb="FF14804A"/>
      </x:left>
      <x:bottom style="thin">
        <x:color rgb="FF14804A"/>
      </x:bottom>
    </x:border>
    <x:border>
      <x:right style="thin">
        <x:color rgb="FF14804A"/>
      </x:right>
      <x:bottom style="thin">
        <x:color rgb="FF14804A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200" fontId="9" fillId="0" borderId="0" xfId="0" applyNumberFormat="1" applyFont="1" applyFill="1" applyBorder="1"/>
    <x:xf numFmtId="201" fontId="9" fillId="0" borderId="0" xfId="0" applyNumberFormat="1" applyFont="1" applyFill="1" applyBorder="1"/>
    <x:xf numFmtId="202" fontId="10" fillId="0" borderId="0" xfId="0" applyNumberFormat="1" applyFont="1" applyFill="1" applyBorder="1"/>
    <x:xf numFmtId="203" fontId="7" fillId="0" borderId="0" xfId="0" applyNumberFormat="1" applyFont="1" applyFill="1" applyBorder="1"/>
    <x:xf numFmtId="0" fontId="10" fillId="0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8" fillId="4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/>
    </x:xf>
    <x:xf numFmtId="0" fontId="8" fillId="3" borderId="3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3" fillId="0" borderId="0" xfId="0" applyNumberFormat="1" applyFont="1" applyFill="1" applyBorder="1"/>
    <x:xf numFmtId="0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11" fillId="0" borderId="0" xfId="0" applyNumberFormat="1" applyFont="1" applyFill="1" applyBorder="1"/>
    <x:xf numFmtId="204" fontId="11" fillId="0" borderId="0" xfId="0" applyNumberFormat="1" applyFont="1" applyFill="1" applyBorder="1"/>
    <x:xf numFmtId="202" fontId="11" fillId="0" borderId="0" xfId="0" applyNumberFormat="1" applyFont="1" applyFill="1" applyBorder="1"/>
    <x:xf numFmtId="202" fontId="7" fillId="0" borderId="0" xfId="0" applyNumberFormat="1" applyFont="1" applyFill="1" applyBorder="1"/>
    <x:xf numFmtId="203" fontId="9" fillId="0" borderId="0" xfId="0" applyNumberFormat="1" applyFont="1" applyFill="1" applyBorder="1"/>
    <x:xf numFmtId="200" fontId="11" fillId="0" borderId="0" xfId="0" applyNumberFormat="1" applyFont="1" applyFill="1" applyBorder="1"/>
    <x:xf numFmtId="204" fontId="7" fillId="0" borderId="0" xfId="0" applyNumberFormat="1" applyFont="1" applyFill="1" applyBorder="1"/>
    <x:xf numFmtId="0" fontId="7" fillId="7" borderId="0" xfId="0" applyNumberFormat="1" applyFont="1" applyFill="1" applyBorder="1"/>
    <x:xf numFmtId="0" fontId="13" fillId="7" borderId="0" xfId="0" applyNumberFormat="1" applyFont="1" applyFill="1" applyBorder="1"/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6" fillId="7" borderId="0" xfId="0" applyNumberFormat="1" applyFont="1" applyFill="1" applyBorder="1"/>
    <x:xf numFmtId="205" fontId="0" fillId="0" borderId="0" xfId="0" applyNumberFormat="1" applyFont="1" applyFill="1" applyBorder="1"/>
    <x:xf numFmtId="202" fontId="3" fillId="0" borderId="0" xfId="0" applyNumberFormat="1" applyFont="1" applyFill="1" applyBorder="1"/>
    <x:xf numFmtId="202" fontId="16" fillId="0" borderId="0" xfId="0" applyNumberFormat="1" applyFont="1" applyFill="1" applyBorder="1"/>
    <x:xf numFmtId="203" fontId="16" fillId="0" borderId="0" xfId="0" applyNumberFormat="1" applyFont="1" applyFill="1" applyBorder="1"/>
    <x:xf numFmtId="0" fontId="0" fillId="8" borderId="0" xfId="0" applyNumberFormat="1" applyFont="1" applyFill="1" applyBorder="1"/>
    <x:xf numFmtId="202" fontId="16" fillId="8" borderId="0" xfId="0" applyNumberFormat="1" applyFont="1" applyFill="1" applyBorder="1"/>
    <x:xf numFmtId="203" fontId="16" fillId="8" borderId="0" xfId="0" applyNumberFormat="1" applyFont="1" applyFill="1" applyBorder="1"/>
    <x:xf numFmtId="0" fontId="17" fillId="8" borderId="0" xfId="0" applyNumberFormat="1" applyFont="1" applyFill="1" applyBorder="1"/>
    <x:xf numFmtId="202" fontId="17" fillId="8" borderId="0" xfId="0" applyNumberFormat="1" applyFont="1" applyFill="1" applyBorder="1"/>
    <x:xf numFmtId="203" fontId="17" fillId="8" borderId="0" xfId="0" applyNumberFormat="1" applyFont="1" applyFill="1" applyBorder="1"/>
    <x:xf numFmtId="0" fontId="17" fillId="8" borderId="4" xfId="0" applyNumberFormat="1" applyFont="1" applyFill="1" applyBorder="1"/>
    <x:xf numFmtId="202" fontId="17" fillId="8" borderId="5" xfId="0" applyNumberFormat="1" applyFont="1" applyFill="1" applyBorder="1"/>
    <x:xf numFmtId="0" fontId="17" fillId="8" borderId="6" xfId="0" applyNumberFormat="1" applyFont="1" applyFill="1" applyBorder="1"/>
    <x:xf numFmtId="203" fontId="17" fillId="8" borderId="7" xfId="0" applyNumberFormat="1" applyFont="1" applyFill="1" applyBorder="1"/>
    <x:xf numFmtId="206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18" fillId="7" borderId="0" xfId="0" applyNumberFormat="1" applyFont="1" applyFill="1" applyBorder="1"/>
    <x:xf numFmtId="202" fontId="9" fillId="0" borderId="0" xfId="0" applyNumberFormat="1" applyFont="1" applyFill="1" applyBorder="1"/>
    <x:xf numFmtId="206" fontId="7" fillId="0" borderId="0" xfId="0" applyNumberFormat="1" applyFont="1" applyFill="1" applyBorder="1"/>
    <x:xf numFmtId="0" fontId="9" fillId="0" borderId="0" xfId="0" applyNumberFormat="1" applyFont="1" applyFill="1" applyBorder="1"/>
    <x:xf numFmtId="0" fontId="19" fillId="8" borderId="4" xfId="0" applyNumberFormat="1" applyFont="1" applyFill="1" applyBorder="1"/>
    <x:xf numFmtId="202" fontId="19" fillId="8" borderId="5" xfId="0" applyNumberFormat="1" applyFont="1" applyFill="1" applyBorder="1"/>
    <x:xf numFmtId="0" fontId="19" fillId="8" borderId="6" xfId="0" applyNumberFormat="1" applyFont="1" applyFill="1" applyBorder="1"/>
    <x:xf numFmtId="203" fontId="19" fillId="8" borderId="7" xfId="0" applyNumberFormat="1" applyFont="1" applyFill="1" applyBorder="1"/>
    <x:xf numFmtId="205" fontId="7" fillId="0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14804A"/>
      </x:font>
    </x:dxf>
    <x:dxf>
      <x:font>
        <x:color rgb="FFB42318"/>
      </x:font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52fddf1604aec" /><Relationship Type="http://schemas.openxmlformats.org/officeDocument/2006/relationships/theme" Target="/xl/theme/theme1.xml" Id="Rca950584d6cc471a" /><Relationship Type="http://schemas.openxmlformats.org/officeDocument/2006/relationships/sharedStrings" Target="/xl/sharedStrings.xml" Id="Racbc884939b643b4" /><Relationship Type="http://schemas.openxmlformats.org/officeDocument/2006/relationships/worksheet" Target="/xl/worksheets/sheet1.xml" Id="R27c24c7f2c0241ca" /><Relationship Type="http://schemas.openxmlformats.org/officeDocument/2006/relationships/worksheet" Target="/xl/worksheets/sheet2.xml" Id="R8fdd8934dff54a98" /><Relationship Type="http://schemas.openxmlformats.org/officeDocument/2006/relationships/worksheet" Target="/xl/worksheets/sheet3.xml" Id="R89ecaa81bf3e4321" /><Relationship Type="http://schemas.openxmlformats.org/officeDocument/2006/relationships/worksheet" Target="/xl/worksheets/sheet4.xml" Id="R0ea45ee32f4d4038" /><Relationship Type="http://schemas.openxmlformats.org/officeDocument/2006/relationships/worksheet" Target="/xl/worksheets/sheet5.xml" Id="Rfce9053036794c0a" /><Relationship Type="http://schemas.openxmlformats.org/officeDocument/2006/relationships/worksheet" Target="/xl/worksheets/sheet6.xml" Id="R39f480aa343b4979" /><Relationship Type="http://schemas.microsoft.com/office/2017/10/relationships/person" Target="/xl/persons/person.xml" Id="R25e556a26b8147b8" /></Relationships>
</file>

<file path=xl/persons/person.xml><?xml version="1.0" encoding="utf-8"?>
<xltc:personList xmlns:xltc="http://schemas.microsoft.com/office/spreadsheetml/2018/threadedcomments">
  <xltc:person displayName="User" id="{D20F9D8F-3C85-4900-AA76-CAF68ABE818A}"/>
</xltc:personList>
</file>

<file path=xl/tables/table1.xml><?xml version="1.0" encoding="utf-8"?>
<x:table xmlns:x="http://schemas.openxmlformats.org/spreadsheetml/2006/main" id="2" name="LotReturnsTable" displayName="LotReturnsTable" ref="A4:R114" headerRowCount="1" totalsRowCount="0" totalsRowShown="0">
  <x:tableColumns count="18">
    <x:tableColumn id="1" name="批次"/>
    <x:tableColumn id="2" name="下单时间"/>
    <x:tableColumn id="3" name="类型"/>
    <x:tableColumn id="4" name="截图金额/成本"/>
    <x:tableColumn id="5" name="手续费"/>
    <x:tableColumn id="6" name="确认净值"/>
    <x:tableColumn id="7" name="估算份额"/>
    <x:tableColumn id="8" name="截至估值日价值"/>
    <x:tableColumn id="9" name="批次收益"/>
    <x:tableColumn id="10" name="收益率"/>
    <x:tableColumn id="11" name="结果"/>
    <x:tableColumn id="12" name="费率"/>
    <x:tableColumn id="13" name="净申购金额"/>
    <x:tableColumn id="14" name="确认净值日"/>
    <x:tableColumn id="15" name="FIFO卖出份额"/>
    <x:tableColumn id="16" name="剩余份额"/>
    <x:tableColumn id="17" name="剩余成本"/>
    <x:tableColumn id="18" name="估值净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ExcludedTradesTable" displayName="ExcludedTradesTable" ref="A2:E14" headerRowCount="1" totalsRowCount="0" totalsRowShown="0">
  <x:tableColumns count="5">
    <x:tableColumn id="1" name="下单时间"/>
    <x:tableColumn id="2" name="类型"/>
    <x:tableColumn id="3" name="金额(元)"/>
    <x:tableColumn id="4" name="份额"/>
    <x:tableColumn id="5" name="排除原因"/>
  </x:tableColumns>
  <x:tableStyleInfo name="TableStyleMedium1" showFirstColumn="0" showLastColumn="0" showRowStripes="1" showColumnStripes="0"/>
</x:table>
</file>

<file path=xl/tables/table3.xml><?xml version="1.0" encoding="utf-8"?>
<x:table xmlns:x="http://schemas.openxmlformats.org/spreadsheetml/2006/main" id="1" name="NavHistoryTable" displayName="NavHistoryTable" ref="A2:C1954" headerRowCount="1" totalsRowCount="0" totalsRowShown="0">
  <x:tableColumns count="3">
    <x:tableColumn id="1" name="净值日期"/>
    <x:tableColumn id="2" name="单位净值"/>
    <x:tableColumn id="3" name="数据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" dT="2026-09-02T07:50:56.248" personId="{D20F9D8F-3C85-4900-AA76-CAF68ABE818A}" id="{B4F236A6-0B54-4B70-B938-C5335CFA2E70}">
    <xltc:text>Source URL: https://api.fund.eastmoney.com/f10/lsjz?fundCode=005698&amp;pageIndex=1&amp;pageSize=20 ; visible dates were spot-checked against 华夏基金历史净值。 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4" dT="2026-09-02T07:50:56.168" personId="{D20F9D8F-3C85-4900-AA76-CAF68ABE818A}" id="{8DDC95E2-9440-4F0C-AA3E-F7DEB6F059CD}">
    <xltc:text>Source: 华夏基金官网及历史净值页；2026-08-31单位净值2.6850。完整链接见本表来源区。 </xltc:text>
  </xltc:threadedComment>
  <xltc:threadedComment ref="B8" dT="2026-09-02T07:50:56.168" personId="{D20F9D8F-3C85-4900-AA76-CAF68ABE818A}" id="{858DBE2A-2D12-4597-BD59-34B0ABCDA24C}">
    <xltc:text>User-provided fee example: a ¥2,000 purchase incurs about ¥3 of fees, implying a simple 0.15% rate.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abe6edf41d4e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ad1bb0add149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f32e817cc8c2453b" /><Relationship Type="http://schemas.openxmlformats.org/officeDocument/2006/relationships/vmlDrawing" Target="/xl/drawings/vmldrawing.vml" Id="R5b4f33f1c8b24826" /><Relationship Type="http://schemas.microsoft.com/office/2017/10/relationships/threadedComment" Target="/xl/threadedcomments/threadedcomment.xml" Id="R8447feebb14f46ae" /><Relationship Type="http://schemas.openxmlformats.org/officeDocument/2006/relationships/table" Target="/xl/tables/table3.xml" Id="R25b963bc893f4b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73fa71956d354554" /><Relationship Type="http://schemas.openxmlformats.org/officeDocument/2006/relationships/vmlDrawing" Target="/xl/drawings/vmldrawing2.vml" Id="R4869ac3695b847e7" /><Relationship Type="http://schemas.microsoft.com/office/2017/10/relationships/threadedComment" Target="/xl/threadedcomments/threadedcomment2.xml" Id="R56a8ffc35c2b4d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</x:cols>
  <x:sheetData>
    <x:row r="1" ht="30" customHeight="1">
      <x:c r="A1" s="21" t="str">
        <x:v>005698 交易逐笔收益汇总</x:v>
      </x:c>
      <x:c r="B1" s="21"/>
      <x:c r="C1" s="21"/>
      <x:c r="D1" s="21"/>
      <x:c r="E1" s="21"/>
      <x:c r="F1" s="21"/>
    </x:row>
    <x:row r="2">
      <x:c r="A2" s="89" t="str">
        <x:v>模型状态</x:v>
      </x:c>
      <x:c r="B2" s="89" t="str">
        <x:f>IF(COUNTIF(F23:F27,"&lt;&gt;OK")=0,"OK","请检查")</x:f>
        <x:v>OK</x:v>
      </x:c>
      <x:c r="C2" s="22"/>
      <x:c r="D2" s="22"/>
      <x:c r="E2" s="22"/>
      <x:c r="F2" s="22"/>
    </x:row>
    <x:row r="3">
      <x:c r="A3" s="22"/>
      <x:c r="B3" s="22"/>
      <x:c r="C3" s="22"/>
      <x:c r="D3" s="22"/>
      <x:c r="E3" s="22"/>
      <x:c r="F3" s="22"/>
    </x:row>
    <x:row r="4">
      <x:c r="A4" s="29" t="str">
        <x:v>收益汇总</x:v>
      </x:c>
      <x:c r="B4" s="31" t="str">
        <x:v>数值</x:v>
      </x:c>
      <x:c r="C4" s="22"/>
      <x:c r="D4" s="29" t="str">
        <x:v>估值信息</x:v>
      </x:c>
      <x:c r="E4" s="31" t="str">
        <x:v>数值</x:v>
      </x:c>
      <x:c r="F4" s="22"/>
    </x:row>
    <x:row r="5">
      <x:c r="A5" s="22" t="str">
        <x:v>现金买入支出</x:v>
      </x:c>
      <x:c r="B5" s="90" t="n">
        <x:f>SUMIFS('逐笔收益'!$D$5:$D$114,'逐笔收益'!$C$5:$C$114,"&lt;&gt;转换(转入)")</x:f>
        <x:v>71820</x:v>
      </x:c>
      <x:c r="C5" s="22"/>
      <x:c r="D5" s="22" t="str">
        <x:v>基金代码</x:v>
      </x:c>
      <x:c r="E5" s="91" t="n">
        <x:v>5698</x:v>
      </x:c>
      <x:c r="F5" s="22"/>
    </x:row>
    <x:row r="6">
      <x:c r="A6" s="22" t="str">
        <x:v>转换转入成本基础</x:v>
      </x:c>
      <x:c r="B6" s="90" t="n">
        <x:f>SUMIFS('逐笔收益'!$D$5:$D$114,'逐笔收益'!$C$5:$C$114,"转换(转入)")</x:f>
        <x:v>10696.01</x:v>
      </x:c>
      <x:c r="C6" s="22"/>
      <x:c r="D6" s="22" t="str">
        <x:v>估值日</x:v>
      </x:c>
      <x:c r="E6" s="24" t="n">
        <x:f>'参数与来源'!$A$4</x:f>
        <x:v>46265</x:v>
      </x:c>
      <x:c r="F6" s="22"/>
    </x:row>
    <x:row r="7">
      <x:c r="A7" s="22" t="str">
        <x:v>总成本基础</x:v>
      </x:c>
      <x:c r="B7" s="90" t="n">
        <x:f>SUM('逐笔收益'!$D$5:$D$114)</x:f>
        <x:v>82516.01000000001</x:v>
      </x:c>
      <x:c r="C7" s="22"/>
      <x:c r="D7" s="22" t="str">
        <x:v>单位净值</x:v>
      </x:c>
      <x:c r="E7" s="25" t="n">
        <x:f>'参数与来源'!$B$4</x:f>
        <x:v>2.685</x:v>
      </x:c>
      <x:c r="F7" s="22"/>
    </x:row>
    <x:row r="8">
      <x:c r="A8" s="22" t="str">
        <x:v>其中估算手续费</x:v>
      </x:c>
      <x:c r="B8" s="90" t="n">
        <x:f>SUM('逐笔收益'!$E$5:$E$114)</x:f>
        <x:v>107.89999999999988</x:v>
      </x:c>
      <x:c r="C8" s="22"/>
      <x:c r="D8" s="22" t="str">
        <x:v>成功买入/转入笔数</x:v>
      </x:c>
      <x:c r="E8" s="92" t="n">
        <x:f>COUNTA('逐笔收益'!$A$5:$A$114)</x:f>
        <x:v>110</x:v>
      </x:c>
      <x:c r="F8" s="22"/>
    </x:row>
    <x:row r="9">
      <x:c r="A9" s="22" t="str">
        <x:v>当前剩余份额</x:v>
      </x:c>
      <x:c r="B9" s="90" t="n">
        <x:f>SUM('逐笔收益'!$P$5:$P$114)</x:f>
        <x:v>34284.42999999999</x:v>
      </x:c>
      <x:c r="C9" s="22"/>
      <x:c r="D9" s="22" t="str">
        <x:v>排除记录笔数</x:v>
      </x:c>
      <x:c r="E9" s="92" t="n">
        <x:f>COUNTA('排除记录'!$A$3:$A$14)</x:f>
        <x:v>12</x:v>
      </x:c>
      <x:c r="F9" s="22"/>
    </x:row>
    <x:row r="10">
      <x:c r="A10" s="22" t="str">
        <x:v>截至估值日价值</x:v>
      </x:c>
      <x:c r="B10" s="90" t="n">
        <x:f>SUM('逐笔收益'!$H$5:$H$114)</x:f>
        <x:v>92053.73000000003</x:v>
      </x:c>
      <x:c r="C10" s="22"/>
      <x:c r="D10" s="22" t="str">
        <x:v>成功卖出笔数</x:v>
      </x:c>
      <x:c r="E10" s="22" t="n">
        <x:v>0</x:v>
      </x:c>
      <x:c r="F10" s="22"/>
    </x:row>
    <x:row r="11">
      <x:c r="A11" s="93" t="str">
        <x:v>未实现收益</x:v>
      </x:c>
      <x:c r="B11" s="94" t="n">
        <x:f>B10-B7</x:f>
        <x:v>9537.720000000016</x:v>
      </x:c>
      <x:c r="C11" s="22"/>
      <x:c r="D11" s="22"/>
      <x:c r="E11" s="22"/>
      <x:c r="F11" s="22"/>
    </x:row>
    <x:row r="12">
      <x:c r="A12" s="95" t="str">
        <x:v>总体收益率</x:v>
      </x:c>
      <x:c r="B12" s="96" t="n">
        <x:f>IF(B7=0,0,B11/B7)</x:f>
        <x:v>0.11558629652597131</x:v>
      </x:c>
      <x:c r="C12" s="22"/>
      <x:c r="D12" s="22"/>
      <x:c r="E12" s="22"/>
      <x:c r="F12" s="22"/>
    </x:row>
    <x:row r="13">
      <x:c r="A13" s="22" t="str">
        <x:v>已实现收益（FIFO）</x:v>
      </x:c>
      <x:c r="B13" s="97" t="n">
        <x:v>0</x:v>
      </x:c>
      <x:c r="C13" s="22"/>
      <x:c r="D13" s="22"/>
      <x:c r="E13" s="22"/>
      <x:c r="F13" s="22"/>
    </x:row>
    <x:row r="14">
      <x:c r="A14" s="22"/>
      <x:c r="B14" s="22"/>
      <x:c r="C14" s="22"/>
      <x:c r="D14" s="22"/>
      <x:c r="E14" s="22"/>
      <x:c r="F14" s="22"/>
    </x:row>
    <x:row r="15" ht="34" customHeight="1">
      <x:c r="A15" s="70" t="str">
        <x:v>结论：截图中的卖出均已撤单，FIFO未被触发。当前全部有效买入/转入批次均仍在持有；收益为未实现收益。</x:v>
      </x:c>
      <x:c r="B15" s="70"/>
      <x:c r="C15" s="70"/>
      <x:c r="D15" s="70"/>
      <x:c r="E15" s="70"/>
      <x:c r="F15" s="70"/>
    </x:row>
    <x:row r="16">
      <x:c r="A16" s="22"/>
      <x:c r="B16" s="22"/>
      <x:c r="C16" s="22"/>
      <x:c r="D16" s="22"/>
      <x:c r="E16" s="22"/>
      <x:c r="F16" s="22"/>
    </x:row>
    <x:row r="17" ht="34" customHeight="1">
      <x:c r="A17" s="98" t="str">
        <x:v>提示：截图缺少每笔实际确认份额和手续费回单，本结果为基于净值和0.15%费率的可复核估算，不作为税务或对账凭证。</x:v>
      </x:c>
      <x:c r="B17" s="98"/>
      <x:c r="C17" s="98"/>
      <x:c r="D17" s="98"/>
      <x:c r="E17" s="98"/>
      <x:c r="F17" s="98"/>
    </x:row>
    <x:row r="18">
      <x:c r="A18" s="22"/>
      <x:c r="B18" s="22"/>
      <x:c r="C18" s="22"/>
      <x:c r="D18" s="22"/>
      <x:c r="E18" s="22"/>
      <x:c r="F18" s="22"/>
    </x:row>
    <x:row r="19">
      <x:c r="A19" s="22"/>
      <x:c r="B19" s="22"/>
      <x:c r="C19" s="22"/>
      <x:c r="D19" s="22"/>
      <x:c r="E19" s="22"/>
      <x:c r="F19" s="22"/>
    </x:row>
    <x:row r="20">
      <x:c r="A20" s="29" t="str">
        <x:v>模型检查</x:v>
      </x:c>
      <x:c r="B20" s="30"/>
      <x:c r="C20" s="30"/>
      <x:c r="D20" s="30"/>
      <x:c r="E20" s="30"/>
      <x:c r="F20" s="31"/>
    </x:row>
    <x:row r="21">
      <x:c r="A21" s="22"/>
      <x:c r="B21" s="22"/>
      <x:c r="C21" s="22"/>
      <x:c r="D21" s="22"/>
      <x:c r="E21" s="22"/>
      <x:c r="F21" s="22"/>
    </x:row>
    <x:row r="22">
      <x:c r="A22" s="89" t="str">
        <x:v>检查项</x:v>
      </x:c>
      <x:c r="B22" s="89" t="str">
        <x:v>实际</x:v>
      </x:c>
      <x:c r="C22" s="89" t="str">
        <x:v>预期</x:v>
      </x:c>
      <x:c r="D22" s="89" t="str">
        <x:v>差额</x:v>
      </x:c>
      <x:c r="E22" s="89" t="str">
        <x:v>容差</x:v>
      </x:c>
      <x:c r="F22" s="89" t="str">
        <x:v>状态</x:v>
      </x:c>
    </x:row>
    <x:row r="23">
      <x:c r="A23" s="22" t="str">
        <x:v>有效批次数</x:v>
      </x:c>
      <x:c r="B23" s="22" t="n">
        <x:f>COUNTA('逐笔收益'!$A$5:$A$114)</x:f>
        <x:v>110</x:v>
      </x:c>
      <x:c r="C23" s="22" t="n">
        <x:v>110</x:v>
      </x:c>
      <x:c r="D23" s="22" t="n">
        <x:f>B23-C23</x:f>
        <x:v>0</x:v>
      </x:c>
      <x:c r="E23" s="22" t="n">
        <x:v>0</x:v>
      </x:c>
      <x:c r="F23" s="22" t="str">
        <x:f>IF(ABS(D23)&lt;=E23,"OK","检查")</x:f>
        <x:v>OK</x:v>
      </x:c>
    </x:row>
    <x:row r="24">
      <x:c r="A24" s="22" t="str">
        <x:v>缺失确认净值</x:v>
      </x:c>
      <x:c r="B24" s="22" t="n">
        <x:f>COUNTIF('逐笔收益'!$F$5:$F$114,0)</x:f>
        <x:v>0</x:v>
      </x:c>
      <x:c r="C24" s="22" t="n">
        <x:v>0</x:v>
      </x:c>
      <x:c r="D24" s="22" t="n">
        <x:f>B24-C24</x:f>
        <x:v>0</x:v>
      </x:c>
      <x:c r="E24" s="22" t="n">
        <x:v>0</x:v>
      </x:c>
      <x:c r="F24" s="22" t="str">
        <x:f>IF(ABS(D24)&lt;=E24,"OK","检查")</x:f>
        <x:v>OK</x:v>
      </x:c>
    </x:row>
    <x:row r="25">
      <x:c r="A25" s="22" t="str">
        <x:v>收益勾稽</x:v>
      </x:c>
      <x:c r="B25" s="62" t="n">
        <x:f>B11</x:f>
        <x:v>9537.720000000016</x:v>
      </x:c>
      <x:c r="C25" s="62" t="n">
        <x:f>B10-B7</x:f>
        <x:v>9537.720000000016</x:v>
      </x:c>
      <x:c r="D25" s="62" t="n">
        <x:f>B25-C25</x:f>
        <x:v>0</x:v>
      </x:c>
      <x:c r="E25" s="62" t="n">
        <x:v>0.01</x:v>
      </x:c>
      <x:c r="F25" s="22" t="str">
        <x:f>IF(ABS(D25)&lt;=E25,"OK","检查")</x:f>
        <x:v>OK</x:v>
      </x:c>
    </x:row>
    <x:row r="26">
      <x:c r="A26" s="22" t="str">
        <x:v>成功卖出笔数</x:v>
      </x:c>
      <x:c r="B26" s="22" t="n">
        <x:v>0</x:v>
      </x:c>
      <x:c r="C26" s="22" t="n">
        <x:v>0</x:v>
      </x:c>
      <x:c r="D26" s="22" t="n">
        <x:v>0</x:v>
      </x:c>
      <x:c r="E26" s="22" t="n">
        <x:v>0</x:v>
      </x:c>
      <x:c r="F26" s="22" t="str">
        <x:f>IF(ABS(D26)&lt;=E26,"OK","检查")</x:f>
        <x:v>OK</x:v>
      </x:c>
    </x:row>
    <x:row r="27">
      <x:c r="A27" s="22" t="str">
        <x:v>最新净值日</x:v>
      </x:c>
      <x:c r="B27" s="47" t="n">
        <x:f>E6</x:f>
        <x:v>46265</x:v>
      </x:c>
      <x:c r="C27" s="47" t="n">
        <x:v>46265</x:v>
      </x:c>
      <x:c r="D27" s="22" t="n">
        <x:f>B27-C27</x:f>
        <x:v>0</x:v>
      </x:c>
      <x:c r="E27" s="22" t="n">
        <x:v>0</x:v>
      </x:c>
      <x:c r="F27" s="22" t="str">
        <x:f>IF(ABS(D27)&lt;=E27,"OK","检查")</x:f>
        <x:v>OK</x:v>
      </x:c>
    </x:row>
  </x:sheetData>
  <x:mergeCells>
    <x:mergeCell ref="A1:F1"/>
    <x:mergeCell ref="A15:F15"/>
    <x:mergeCell ref="A17:F17"/>
    <x:mergeCell ref="A20:F20"/>
  </x:mergeCells>
  <x:conditionalFormatting sqref="B2:B2">
    <x:cfRule type="containsText" dxfId="4" priority="1" operator="containsText" text="OK"/>
    <x:cfRule type="containsText" dxfId="5" priority="2" operator="containsText" text="请检查"/>
  </x:conditionalFormatting>
  <x:conditionalFormatting sqref="F23:F27">
    <x:cfRule type="containsText" dxfId="6" priority="3" operator="containsText" text="OK"/>
    <x:cfRule type="containsText" dxfId="7" priority="4" operator="containsText" text="检查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13" hidden="0" customWidth="1"/>
    <x:col min="4" max="4" width="16" hidden="0" customWidth="1"/>
    <x:col min="5" max="5" width="12" hidden="0" customWidth="1"/>
    <x:col min="6" max="6" width="12" hidden="0" customWidth="1"/>
    <x:col min="7" max="7" width="13" hidden="0" customWidth="1"/>
    <x:col min="8" max="8" width="17" hidden="0" customWidth="1"/>
    <x:col min="9" max="9" width="14" hidden="0" customWidth="1"/>
    <x:col min="10" max="10" width="11" hidden="0" customWidth="1"/>
    <x:col min="11" max="11" width="10" hidden="0" customWidth="1"/>
    <x:col min="12" max="12" width="0.10000000149011612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7" max="17" width="0.10000000149011612" hidden="0" customWidth="1"/>
    <x:col min="18" max="18" width="0.10000000149011612" hidden="0" customWidth="1"/>
  </x:cols>
  <x:sheetData>
    <x:row r="1" ht="30" customHeight="1">
      <x:c r="A1" s="3" t="str">
        <x:v>逐笔收益明细（截至最新可用净值日）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51" t="str">
        <x:v>默认隐藏费率、净额、确认日、FIFO中间量、剩余成本和重复估值净值列；调整列宽即可展开复核。所有金额均以人民币计。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4">
      <x:c r="A4" s="29" t="str">
        <x:v>批次</x:v>
      </x:c>
      <x:c r="B4" s="30" t="str">
        <x:v>下单时间</x:v>
      </x:c>
      <x:c r="C4" s="30" t="str">
        <x:v>类型</x:v>
      </x:c>
      <x:c r="D4" s="30" t="str">
        <x:v>截图金额/成本</x:v>
      </x:c>
      <x:c r="E4" s="30" t="str">
        <x:v>手续费</x:v>
      </x:c>
      <x:c r="F4" s="30" t="str">
        <x:v>确认净值</x:v>
      </x:c>
      <x:c r="G4" s="30" t="str">
        <x:v>估算份额</x:v>
      </x:c>
      <x:c r="H4" s="30" t="str">
        <x:v>截至估值日价值</x:v>
      </x:c>
      <x:c r="I4" s="30" t="str">
        <x:v>批次收益</x:v>
      </x:c>
      <x:c r="J4" s="30" t="str">
        <x:v>收益率</x:v>
      </x:c>
      <x:c r="K4" s="30" t="str">
        <x:v>结果</x:v>
      </x:c>
      <x:c r="L4" s="30" t="str">
        <x:v>费率</x:v>
      </x:c>
      <x:c r="M4" s="30" t="str">
        <x:v>净申购金额</x:v>
      </x:c>
      <x:c r="N4" s="30" t="str">
        <x:v>确认净值日</x:v>
      </x:c>
      <x:c r="O4" s="30" t="str">
        <x:v>FIFO卖出份额</x:v>
      </x:c>
      <x:c r="P4" s="30" t="str">
        <x:v>剩余份额</x:v>
      </x:c>
      <x:c r="Q4" s="30" t="str">
        <x:v>剩余成本</x:v>
      </x:c>
      <x:c r="R4" s="31" t="str">
        <x:v>估值净值</x:v>
      </x:c>
    </x:row>
    <x:row r="5">
      <x:c r="A5" s="59" t="str">
        <x:v>L001</x:v>
      </x:c>
      <x:c r="B5" s="60" t="n">
        <x:v>45870.42625</x:v>
      </x:c>
      <x:c r="C5" s="59" t="str">
        <x:v>买入</x:v>
      </x:c>
      <x:c r="D5" s="61" t="n">
        <x:v>8000</x:v>
      </x:c>
      <x:c r="E5" s="62" t="n">
        <x:f>ROUND(D5*L5,2)</x:f>
        <x:v>12</x:v>
      </x:c>
      <x:c r="F5" s="25" t="n">
        <x:f>SUMIF('历史净值'!$A$3:$A$1954,N5,'历史净值'!$B$3:$B$1954)</x:f>
        <x:v>1.937</x:v>
      </x:c>
      <x:c r="G5" s="62" t="n">
        <x:f>ROUND(M5/F5,2)</x:f>
        <x:v>4123.9</x:v>
      </x:c>
      <x:c r="H5" s="62" t="n">
        <x:f>ROUND(P5*R5,2)</x:f>
        <x:v>11072.67</x:v>
      </x:c>
      <x:c r="I5" s="62" t="n">
        <x:f>ROUND(H5-Q5,2)</x:f>
        <x:v>3072.67</x:v>
      </x:c>
      <x:c r="J5" s="27" t="n">
        <x:f>IF(Q5=0,"",I5/Q5)</x:f>
        <x:v>0.38408375</x:v>
      </x:c>
      <x:c r="K5" s="22" t="str">
        <x:f>IF(I5&gt;=0,"盈利","亏损")</x:f>
        <x:v>盈利</x:v>
      </x:c>
      <x:c r="L5" s="63" t="n">
        <x:f>IF(C5="转换(转入)",'参数与来源'!$B$9,'参数与来源'!$B$8)</x:f>
        <x:v>0.0015</x:v>
      </x:c>
      <x:c r="M5" s="62" t="n">
        <x:f>D5-E5</x:f>
        <x:v>7988</x:v>
      </x:c>
      <x:c r="N5" s="64" t="n">
        <x:v>45870</x:v>
      </x:c>
      <x:c r="O5" s="61" t="n">
        <x:v>0</x:v>
      </x:c>
      <x:c r="P5" s="62" t="n">
        <x:f>G5-O5</x:f>
        <x:v>4123.9</x:v>
      </x:c>
      <x:c r="Q5" s="62" t="n">
        <x:f>IF(G5=0,0,D5*P5/G5)</x:f>
        <x:v>8000</x:v>
      </x:c>
      <x:c r="R5" s="25" t="n">
        <x:f>'参数与来源'!$B$4</x:f>
        <x:v>2.685</x:v>
      </x:c>
    </x:row>
    <x:row r="6">
      <x:c r="A6" s="59" t="str">
        <x:v>L002</x:v>
      </x:c>
      <x:c r="B6" s="60" t="n">
        <x:v>45870.62013888889</x:v>
      </x:c>
      <x:c r="C6" s="59" t="str">
        <x:v>买入</x:v>
      </x:c>
      <x:c r="D6" s="61" t="n">
        <x:v>10000</x:v>
      </x:c>
      <x:c r="E6" s="62" t="n">
        <x:f>ROUND(D6*L6,2)</x:f>
        <x:v>15</x:v>
      </x:c>
      <x:c r="F6" s="25" t="n">
        <x:f>SUMIF('历史净值'!$A$3:$A$1954,N6,'历史净值'!$B$3:$B$1954)</x:f>
        <x:v>1.937</x:v>
      </x:c>
      <x:c r="G6" s="62" t="n">
        <x:f>ROUND(M6/F6,2)</x:f>
        <x:v>5154.88</x:v>
      </x:c>
      <x:c r="H6" s="62" t="n">
        <x:f>ROUND(P6*R6,2)</x:f>
        <x:v>13840.85</x:v>
      </x:c>
      <x:c r="I6" s="62" t="n">
        <x:f>ROUND(H6-Q6,2)</x:f>
        <x:v>3840.85</x:v>
      </x:c>
      <x:c r="J6" s="27" t="n">
        <x:f>IF(Q6=0,"",I6/Q6)</x:f>
        <x:v>0.384085</x:v>
      </x:c>
      <x:c r="K6" s="22" t="str">
        <x:f>IF(I6&gt;=0,"盈利","亏损")</x:f>
        <x:v>盈利</x:v>
      </x:c>
      <x:c r="L6" s="63" t="n">
        <x:f>IF(C6="转换(转入)",'参数与来源'!$B$9,'参数与来源'!$B$8)</x:f>
        <x:v>0.0015</x:v>
      </x:c>
      <x:c r="M6" s="62" t="n">
        <x:f>D6-E6</x:f>
        <x:v>9985</x:v>
      </x:c>
      <x:c r="N6" s="64" t="n">
        <x:v>45870</x:v>
      </x:c>
      <x:c r="O6" s="61" t="n">
        <x:v>0</x:v>
      </x:c>
      <x:c r="P6" s="62" t="n">
        <x:f>G6-O6</x:f>
        <x:v>5154.88</x:v>
      </x:c>
      <x:c r="Q6" s="62" t="n">
        <x:f>IF(G6=0,0,D6*P6/G6)</x:f>
        <x:v>10000</x:v>
      </x:c>
      <x:c r="R6" s="25" t="n">
        <x:f>'参数与来源'!$B$4</x:f>
        <x:v>2.685</x:v>
      </x:c>
    </x:row>
    <x:row r="7">
      <x:c r="A7" s="59" t="str">
        <x:v>L003</x:v>
      </x:c>
      <x:c r="B7" s="60" t="n">
        <x:v>45873.35241898148</x:v>
      </x:c>
      <x:c r="C7" s="59" t="str">
        <x:v>买入</x:v>
      </x:c>
      <x:c r="D7" s="61" t="n">
        <x:v>2000</x:v>
      </x:c>
      <x:c r="E7" s="62" t="n">
        <x:f>ROUND(D7*L7,2)</x:f>
        <x:v>3</x:v>
      </x:c>
      <x:c r="F7" s="25" t="n">
        <x:f>SUMIF('历史净值'!$A$3:$A$1954,N7,'历史净值'!$B$3:$B$1954)</x:f>
        <x:v>1.9949</x:v>
      </x:c>
      <x:c r="G7" s="62" t="n">
        <x:f>ROUND(M7/F7,2)</x:f>
        <x:v>1001.05</x:v>
      </x:c>
      <x:c r="H7" s="62" t="n">
        <x:f>ROUND(P7*R7,2)</x:f>
        <x:v>2687.82</x:v>
      </x:c>
      <x:c r="I7" s="62" t="n">
        <x:f>ROUND(H7-Q7,2)</x:f>
        <x:v>687.82</x:v>
      </x:c>
      <x:c r="J7" s="27" t="n">
        <x:f>IF(Q7=0,"",I7/Q7)</x:f>
        <x:v>0.34391000000000005</x:v>
      </x:c>
      <x:c r="K7" s="22" t="str">
        <x:f>IF(I7&gt;=0,"盈利","亏损")</x:f>
        <x:v>盈利</x:v>
      </x:c>
      <x:c r="L7" s="63" t="n">
        <x:f>IF(C7="转换(转入)",'参数与来源'!$B$9,'参数与来源'!$B$8)</x:f>
        <x:v>0.0015</x:v>
      </x:c>
      <x:c r="M7" s="62" t="n">
        <x:f>D7-E7</x:f>
        <x:v>1997</x:v>
      </x:c>
      <x:c r="N7" s="64" t="n">
        <x:v>45873</x:v>
      </x:c>
      <x:c r="O7" s="61" t="n">
        <x:v>0</x:v>
      </x:c>
      <x:c r="P7" s="62" t="n">
        <x:f>G7-O7</x:f>
        <x:v>1001.05</x:v>
      </x:c>
      <x:c r="Q7" s="62" t="n">
        <x:f>IF(G7=0,0,D7*P7/G7)</x:f>
        <x:v>2000</x:v>
      </x:c>
      <x:c r="R7" s="25" t="n">
        <x:f>'参数与来源'!$B$4</x:f>
        <x:v>2.685</x:v>
      </x:c>
    </x:row>
    <x:row r="8">
      <x:c r="A8" s="59" t="str">
        <x:v>L004</x:v>
      </x:c>
      <x:c r="B8" s="60" t="n">
        <x:v>45875.38056712963</x:v>
      </x:c>
      <x:c r="C8" s="59" t="str">
        <x:v>买入</x:v>
      </x:c>
      <x:c r="D8" s="61" t="n">
        <x:v>50</x:v>
      </x:c>
      <x:c r="E8" s="62" t="n">
        <x:f>ROUND(D8*L8,2)</x:f>
        <x:v>0.08</x:v>
      </x:c>
      <x:c r="F8" s="25" t="n">
        <x:f>SUMIF('历史净值'!$A$3:$A$1954,N8,'历史净值'!$B$3:$B$1954)</x:f>
        <x:v>2.0113</x:v>
      </x:c>
      <x:c r="G8" s="62" t="n">
        <x:f>ROUND(M8/F8,2)</x:f>
        <x:v>24.82</x:v>
      </x:c>
      <x:c r="H8" s="62" t="n">
        <x:f>ROUND(P8*R8,2)</x:f>
        <x:v>66.64</x:v>
      </x:c>
      <x:c r="I8" s="62" t="n">
        <x:f>ROUND(H8-Q8,2)</x:f>
        <x:v>16.64</x:v>
      </x:c>
      <x:c r="J8" s="27" t="n">
        <x:f>IF(Q8=0,"",I8/Q8)</x:f>
        <x:v>0.3328</x:v>
      </x:c>
      <x:c r="K8" s="22" t="str">
        <x:f>IF(I8&gt;=0,"盈利","亏损")</x:f>
        <x:v>盈利</x:v>
      </x:c>
      <x:c r="L8" s="63" t="n">
        <x:f>IF(C8="转换(转入)",'参数与来源'!$B$9,'参数与来源'!$B$8)</x:f>
        <x:v>0.0015</x:v>
      </x:c>
      <x:c r="M8" s="62" t="n">
        <x:f>D8-E8</x:f>
        <x:v>49.92</x:v>
      </x:c>
      <x:c r="N8" s="64" t="n">
        <x:v>45875</x:v>
      </x:c>
      <x:c r="O8" s="61" t="n">
        <x:v>0</x:v>
      </x:c>
      <x:c r="P8" s="62" t="n">
        <x:f>G8-O8</x:f>
        <x:v>24.82</x:v>
      </x:c>
      <x:c r="Q8" s="62" t="n">
        <x:f>IF(G8=0,0,D8*P8/G8)</x:f>
        <x:v>50</x:v>
      </x:c>
      <x:c r="R8" s="25" t="n">
        <x:f>'参数与来源'!$B$4</x:f>
        <x:v>2.685</x:v>
      </x:c>
    </x:row>
    <x:row r="9">
      <x:c r="A9" s="59" t="str">
        <x:v>L005</x:v>
      </x:c>
      <x:c r="B9" s="60" t="n">
        <x:v>45875.60587962963</x:v>
      </x:c>
      <x:c r="C9" s="59" t="str">
        <x:v>转换(转入)</x:v>
      </x:c>
      <x:c r="D9" s="61" t="n">
        <x:v>10696.01</x:v>
      </x:c>
      <x:c r="E9" s="62" t="n">
        <x:f>ROUND(D9*L9,2)</x:f>
        <x:v>0</x:v>
      </x:c>
      <x:c r="F9" s="25" t="n">
        <x:f>SUMIF('历史净值'!$A$3:$A$1954,N9,'历史净值'!$B$3:$B$1954)</x:f>
        <x:v>2.0113</x:v>
      </x:c>
      <x:c r="G9" s="62" t="n">
        <x:f>ROUND(M9/F9,2)</x:f>
        <x:v>5317.96</x:v>
      </x:c>
      <x:c r="H9" s="62" t="n">
        <x:f>ROUND(P9*R9,2)</x:f>
        <x:v>14278.72</x:v>
      </x:c>
      <x:c r="I9" s="62" t="n">
        <x:f>ROUND(H9-Q9,2)</x:f>
        <x:v>3582.71</x:v>
      </x:c>
      <x:c r="J9" s="27" t="n">
        <x:f>IF(Q9=0,"",I9/Q9)</x:f>
        <x:v>0.3349576150358872</x:v>
      </x:c>
      <x:c r="K9" s="22" t="str">
        <x:f>IF(I9&gt;=0,"盈利","亏损")</x:f>
        <x:v>盈利</x:v>
      </x:c>
      <x:c r="L9" s="63" t="n">
        <x:f>IF(C9="转换(转入)",'参数与来源'!$B$9,'参数与来源'!$B$8)</x:f>
        <x:v>0</x:v>
      </x:c>
      <x:c r="M9" s="62" t="n">
        <x:f>D9-E9</x:f>
        <x:v>10696.01</x:v>
      </x:c>
      <x:c r="N9" s="64" t="n">
        <x:v>45875</x:v>
      </x:c>
      <x:c r="O9" s="61" t="n">
        <x:v>0</x:v>
      </x:c>
      <x:c r="P9" s="62" t="n">
        <x:f>G9-O9</x:f>
        <x:v>5317.96</x:v>
      </x:c>
      <x:c r="Q9" s="62" t="n">
        <x:f>IF(G9=0,0,D9*P9/G9)</x:f>
        <x:v>10696.01</x:v>
      </x:c>
      <x:c r="R9" s="25" t="n">
        <x:f>'参数与来源'!$B$4</x:f>
        <x:v>2.685</x:v>
      </x:c>
    </x:row>
    <x:row r="10">
      <x:c r="A10" s="59" t="str">
        <x:v>L006</x:v>
      </x:c>
      <x:c r="B10" s="60" t="n">
        <x:v>45919.33429398148</x:v>
      </x:c>
      <x:c r="C10" s="59" t="str">
        <x:v>买入</x:v>
      </x:c>
      <x:c r="D10" s="61" t="n">
        <x:v>1000</x:v>
      </x:c>
      <x:c r="E10" s="62" t="n">
        <x:f>ROUND(D10*L10,2)</x:f>
        <x:v>1.5</x:v>
      </x:c>
      <x:c r="F10" s="25" t="n">
        <x:f>SUMIF('历史净值'!$A$3:$A$1954,N10,'历史净值'!$B$3:$B$1954)</x:f>
        <x:v>2.1377</x:v>
      </x:c>
      <x:c r="G10" s="62" t="n">
        <x:f>ROUND(M10/F10,2)</x:f>
        <x:v>467.09</x:v>
      </x:c>
      <x:c r="H10" s="62" t="n">
        <x:f>ROUND(P10*R10,2)</x:f>
        <x:v>1254.14</x:v>
      </x:c>
      <x:c r="I10" s="62" t="n">
        <x:f>ROUND(H10-Q10,2)</x:f>
        <x:v>254.14</x:v>
      </x:c>
      <x:c r="J10" s="27" t="n">
        <x:f>IF(Q10=0,"",I10/Q10)</x:f>
        <x:v>0.25414</x:v>
      </x:c>
      <x:c r="K10" s="22" t="str">
        <x:f>IF(I10&gt;=0,"盈利","亏损")</x:f>
        <x:v>盈利</x:v>
      </x:c>
      <x:c r="L10" s="63" t="n">
        <x:f>IF(C10="转换(转入)",'参数与来源'!$B$9,'参数与来源'!$B$8)</x:f>
        <x:v>0.0015</x:v>
      </x:c>
      <x:c r="M10" s="62" t="n">
        <x:f>D10-E10</x:f>
        <x:v>998.5</x:v>
      </x:c>
      <x:c r="N10" s="64" t="n">
        <x:v>45919</x:v>
      </x:c>
      <x:c r="O10" s="61" t="n">
        <x:v>0</x:v>
      </x:c>
      <x:c r="P10" s="62" t="n">
        <x:f>G10-O10</x:f>
        <x:v>467.09</x:v>
      </x:c>
      <x:c r="Q10" s="62" t="n">
        <x:f>IF(G10=0,0,D10*P10/G10)</x:f>
        <x:v>1000</x:v>
      </x:c>
      <x:c r="R10" s="25" t="n">
        <x:f>'参数与来源'!$B$4</x:f>
        <x:v>2.685</x:v>
      </x:c>
    </x:row>
    <x:row r="11">
      <x:c r="A11" s="59" t="str">
        <x:v>L007</x:v>
      </x:c>
      <x:c r="B11" s="60" t="n">
        <x:v>45940.594293981485</x:v>
      </x:c>
      <x:c r="C11" s="59" t="str">
        <x:v>买入</x:v>
      </x:c>
      <x:c r="D11" s="61" t="n">
        <x:v>1000</x:v>
      </x:c>
      <x:c r="E11" s="62" t="n">
        <x:f>ROUND(D11*L11,2)</x:f>
        <x:v>1.5</x:v>
      </x:c>
      <x:c r="F11" s="25" t="n">
        <x:f>SUMIF('历史净值'!$A$3:$A$1954,N11,'历史净值'!$B$3:$B$1954)</x:f>
        <x:v>2.0671</x:v>
      </x:c>
      <x:c r="G11" s="62" t="n">
        <x:f>ROUND(M11/F11,2)</x:f>
        <x:v>483.04</x:v>
      </x:c>
      <x:c r="H11" s="62" t="n">
        <x:f>ROUND(P11*R11,2)</x:f>
        <x:v>1296.96</x:v>
      </x:c>
      <x:c r="I11" s="62" t="n">
        <x:f>ROUND(H11-Q11,2)</x:f>
        <x:v>296.96</x:v>
      </x:c>
      <x:c r="J11" s="27" t="n">
        <x:f>IF(Q11=0,"",I11/Q11)</x:f>
        <x:v>0.29696</x:v>
      </x:c>
      <x:c r="K11" s="22" t="str">
        <x:f>IF(I11&gt;=0,"盈利","亏损")</x:f>
        <x:v>盈利</x:v>
      </x:c>
      <x:c r="L11" s="63" t="n">
        <x:f>IF(C11="转换(转入)",'参数与来源'!$B$9,'参数与来源'!$B$8)</x:f>
        <x:v>0.0015</x:v>
      </x:c>
      <x:c r="M11" s="62" t="n">
        <x:f>D11-E11</x:f>
        <x:v>998.5</x:v>
      </x:c>
      <x:c r="N11" s="64" t="n">
        <x:v>45940</x:v>
      </x:c>
      <x:c r="O11" s="61" t="n">
        <x:v>0</x:v>
      </x:c>
      <x:c r="P11" s="62" t="n">
        <x:f>G11-O11</x:f>
        <x:v>483.04</x:v>
      </x:c>
      <x:c r="Q11" s="62" t="n">
        <x:f>IF(G11=0,0,D11*P11/G11)</x:f>
        <x:v>1000</x:v>
      </x:c>
      <x:c r="R11" s="25" t="n">
        <x:f>'参数与来源'!$B$4</x:f>
        <x:v>2.685</x:v>
      </x:c>
    </x:row>
    <x:row r="12">
      <x:c r="A12" s="59" t="str">
        <x:v>L008</x:v>
      </x:c>
      <x:c r="B12" s="60" t="n">
        <x:v>45964.42607638889</x:v>
      </x:c>
      <x:c r="C12" s="59" t="str">
        <x:v>定投</x:v>
      </x:c>
      <x:c r="D12" s="61" t="n">
        <x:v>300</x:v>
      </x:c>
      <x:c r="E12" s="62" t="n">
        <x:f>ROUND(D12*L12,2)</x:f>
        <x:v>0.45</x:v>
      </x:c>
      <x:c r="F12" s="25" t="n">
        <x:f>SUMIF('历史净值'!$A$3:$A$1954,N12,'历史净值'!$B$3:$B$1954)</x:f>
        <x:v>2.2572</x:v>
      </x:c>
      <x:c r="G12" s="62" t="n">
        <x:f>ROUND(M12/F12,2)</x:f>
        <x:v>132.71</x:v>
      </x:c>
      <x:c r="H12" s="62" t="n">
        <x:f>ROUND(P12*R12,2)</x:f>
        <x:v>356.33</x:v>
      </x:c>
      <x:c r="I12" s="62" t="n">
        <x:f>ROUND(H12-Q12,2)</x:f>
        <x:v>56.33</x:v>
      </x:c>
      <x:c r="J12" s="27" t="n">
        <x:f>IF(Q12=0,"",I12/Q12)</x:f>
        <x:v>0.18776666666666667</x:v>
      </x:c>
      <x:c r="K12" s="22" t="str">
        <x:f>IF(I12&gt;=0,"盈利","亏损")</x:f>
        <x:v>盈利</x:v>
      </x:c>
      <x:c r="L12" s="63" t="n">
        <x:f>IF(C12="转换(转入)",'参数与来源'!$B$9,'参数与来源'!$B$8)</x:f>
        <x:v>0.0015</x:v>
      </x:c>
      <x:c r="M12" s="62" t="n">
        <x:f>D12-E12</x:f>
        <x:v>299.55</x:v>
      </x:c>
      <x:c r="N12" s="64" t="n">
        <x:v>45964</x:v>
      </x:c>
      <x:c r="O12" s="61" t="n">
        <x:v>0</x:v>
      </x:c>
      <x:c r="P12" s="62" t="n">
        <x:f>G12-O12</x:f>
        <x:v>132.71</x:v>
      </x:c>
      <x:c r="Q12" s="62" t="n">
        <x:f>IF(G12=0,0,D12*P12/G12)</x:f>
        <x:v>300</x:v>
      </x:c>
      <x:c r="R12" s="25" t="n">
        <x:f>'参数与来源'!$B$4</x:f>
        <x:v>2.685</x:v>
      </x:c>
    </x:row>
    <x:row r="13">
      <x:c r="A13" s="59" t="str">
        <x:v>L009</x:v>
      </x:c>
      <x:c r="B13" s="60" t="n">
        <x:v>45965.462858796294</x:v>
      </x:c>
      <x:c r="C13" s="59" t="str">
        <x:v>买入</x:v>
      </x:c>
      <x:c r="D13" s="61" t="n">
        <x:v>300</x:v>
      </x:c>
      <x:c r="E13" s="62" t="n">
        <x:f>ROUND(D13*L13,2)</x:f>
        <x:v>0.45</x:v>
      </x:c>
      <x:c r="F13" s="25" t="n">
        <x:f>SUMIF('历史净值'!$A$3:$A$1954,N13,'历史净值'!$B$3:$B$1954)</x:f>
        <x:v>2.1901</x:v>
      </x:c>
      <x:c r="G13" s="62" t="n">
        <x:f>ROUND(M13/F13,2)</x:f>
        <x:v>136.77</x:v>
      </x:c>
      <x:c r="H13" s="62" t="n">
        <x:f>ROUND(P13*R13,2)</x:f>
        <x:v>367.23</x:v>
      </x:c>
      <x:c r="I13" s="62" t="n">
        <x:f>ROUND(H13-Q13,2)</x:f>
        <x:v>67.23</x:v>
      </x:c>
      <x:c r="J13" s="27" t="n">
        <x:f>IF(Q13=0,"",I13/Q13)</x:f>
        <x:v>0.22410000000000002</x:v>
      </x:c>
      <x:c r="K13" s="22" t="str">
        <x:f>IF(I13&gt;=0,"盈利","亏损")</x:f>
        <x:v>盈利</x:v>
      </x:c>
      <x:c r="L13" s="63" t="n">
        <x:f>IF(C13="转换(转入)",'参数与来源'!$B$9,'参数与来源'!$B$8)</x:f>
        <x:v>0.0015</x:v>
      </x:c>
      <x:c r="M13" s="62" t="n">
        <x:f>D13-E13</x:f>
        <x:v>299.55</x:v>
      </x:c>
      <x:c r="N13" s="64" t="n">
        <x:v>45965</x:v>
      </x:c>
      <x:c r="O13" s="61" t="n">
        <x:v>0</x:v>
      </x:c>
      <x:c r="P13" s="62" t="n">
        <x:f>G13-O13</x:f>
        <x:v>136.77</x:v>
      </x:c>
      <x:c r="Q13" s="62" t="n">
        <x:f>IF(G13=0,0,D13*P13/G13)</x:f>
        <x:v>300</x:v>
      </x:c>
      <x:c r="R13" s="25" t="n">
        <x:f>'参数与来源'!$B$4</x:f>
        <x:v>2.685</x:v>
      </x:c>
    </x:row>
    <x:row r="14">
      <x:c r="A14" s="59" t="str">
        <x:v>L010</x:v>
      </x:c>
      <x:c r="B14" s="60" t="n">
        <x:v>45966.4203125</x:v>
      </x:c>
      <x:c r="C14" s="59" t="str">
        <x:v>定投</x:v>
      </x:c>
      <x:c r="D14" s="61" t="n">
        <x:v>300</x:v>
      </x:c>
      <x:c r="E14" s="62" t="n">
        <x:f>ROUND(D14*L14,2)</x:f>
        <x:v>0.45</x:v>
      </x:c>
      <x:c r="F14" s="25" t="n">
        <x:f>SUMIF('历史净值'!$A$3:$A$1954,N14,'历史净值'!$B$3:$B$1954)</x:f>
        <x:v>2.2152</x:v>
      </x:c>
      <x:c r="G14" s="62" t="n">
        <x:f>ROUND(M14/F14,2)</x:f>
        <x:v>135.22</x:v>
      </x:c>
      <x:c r="H14" s="62" t="n">
        <x:f>ROUND(P14*R14,2)</x:f>
        <x:v>363.07</x:v>
      </x:c>
      <x:c r="I14" s="62" t="n">
        <x:f>ROUND(H14-Q14,2)</x:f>
        <x:v>63.07</x:v>
      </x:c>
      <x:c r="J14" s="27" t="n">
        <x:f>IF(Q14=0,"",I14/Q14)</x:f>
        <x:v>0.21023333333333333</x:v>
      </x:c>
      <x:c r="K14" s="22" t="str">
        <x:f>IF(I14&gt;=0,"盈利","亏损")</x:f>
        <x:v>盈利</x:v>
      </x:c>
      <x:c r="L14" s="63" t="n">
        <x:f>IF(C14="转换(转入)",'参数与来源'!$B$9,'参数与来源'!$B$8)</x:f>
        <x:v>0.0015</x:v>
      </x:c>
      <x:c r="M14" s="62" t="n">
        <x:f>D14-E14</x:f>
        <x:v>299.55</x:v>
      </x:c>
      <x:c r="N14" s="64" t="n">
        <x:v>45966</x:v>
      </x:c>
      <x:c r="O14" s="61" t="n">
        <x:v>0</x:v>
      </x:c>
      <x:c r="P14" s="62" t="n">
        <x:f>G14-O14</x:f>
        <x:v>135.22</x:v>
      </x:c>
      <x:c r="Q14" s="62" t="n">
        <x:f>IF(G14=0,0,D14*P14/G14)</x:f>
        <x:v>300</x:v>
      </x:c>
      <x:c r="R14" s="25" t="n">
        <x:f>'参数与来源'!$B$4</x:f>
        <x:v>2.685</x:v>
      </x:c>
    </x:row>
    <x:row r="15">
      <x:c r="A15" s="59" t="str">
        <x:v>L011</x:v>
      </x:c>
      <x:c r="B15" s="60" t="n">
        <x:v>46003.42798611111</x:v>
      </x:c>
      <x:c r="C15" s="59" t="str">
        <x:v>定投</x:v>
      </x:c>
      <x:c r="D15" s="61" t="n">
        <x:v>100</x:v>
      </x:c>
      <x:c r="E15" s="62" t="n">
        <x:f>ROUND(D15*L15,2)</x:f>
        <x:v>0.15</x:v>
      </x:c>
      <x:c r="F15" s="25" t="n">
        <x:f>SUMIF('历史净值'!$A$3:$A$1954,N15,'历史净值'!$B$3:$B$1954)</x:f>
        <x:v>2.1506</x:v>
      </x:c>
      <x:c r="G15" s="62" t="n">
        <x:f>ROUND(M15/F15,2)</x:f>
        <x:v>46.43</x:v>
      </x:c>
      <x:c r="H15" s="62" t="n">
        <x:f>ROUND(P15*R15,2)</x:f>
        <x:v>124.66</x:v>
      </x:c>
      <x:c r="I15" s="62" t="n">
        <x:f>ROUND(H15-Q15,2)</x:f>
        <x:v>24.66</x:v>
      </x:c>
      <x:c r="J15" s="27" t="n">
        <x:f>IF(Q15=0,"",I15/Q15)</x:f>
        <x:v>0.2466</x:v>
      </x:c>
      <x:c r="K15" s="22" t="str">
        <x:f>IF(I15&gt;=0,"盈利","亏损")</x:f>
        <x:v>盈利</x:v>
      </x:c>
      <x:c r="L15" s="63" t="n">
        <x:f>IF(C15="转换(转入)",'参数与来源'!$B$9,'参数与来源'!$B$8)</x:f>
        <x:v>0.0015</x:v>
      </x:c>
      <x:c r="M15" s="62" t="n">
        <x:f>D15-E15</x:f>
        <x:v>99.85</x:v>
      </x:c>
      <x:c r="N15" s="64" t="n">
        <x:v>46003</x:v>
      </x:c>
      <x:c r="O15" s="61" t="n">
        <x:v>0</x:v>
      </x:c>
      <x:c r="P15" s="62" t="n">
        <x:f>G15-O15</x:f>
        <x:v>46.43</x:v>
      </x:c>
      <x:c r="Q15" s="62" t="n">
        <x:f>IF(G15=0,0,D15*P15/G15)</x:f>
        <x:v>100</x:v>
      </x:c>
      <x:c r="R15" s="25" t="n">
        <x:f>'参数与来源'!$B$4</x:f>
        <x:v>2.685</x:v>
      </x:c>
    </x:row>
    <x:row r="16">
      <x:c r="A16" s="59" t="str">
        <x:v>L012</x:v>
      </x:c>
      <x:c r="B16" s="60" t="n">
        <x:v>46006.431979166664</x:v>
      </x:c>
      <x:c r="C16" s="59" t="str">
        <x:v>定投</x:v>
      </x:c>
      <x:c r="D16" s="61" t="n">
        <x:v>200</x:v>
      </x:c>
      <x:c r="E16" s="62" t="n">
        <x:f>ROUND(D16*L16,2)</x:f>
        <x:v>0.3</x:v>
      </x:c>
      <x:c r="F16" s="25" t="n">
        <x:f>SUMIF('历史净值'!$A$3:$A$1954,N16,'历史净值'!$B$3:$B$1954)</x:f>
        <x:v>2.1177</x:v>
      </x:c>
      <x:c r="G16" s="62" t="n">
        <x:f>ROUND(M16/F16,2)</x:f>
        <x:v>94.3</x:v>
      </x:c>
      <x:c r="H16" s="62" t="n">
        <x:f>ROUND(P16*R16,2)</x:f>
        <x:v>253.2</x:v>
      </x:c>
      <x:c r="I16" s="62" t="n">
        <x:f>ROUND(H16-Q16,2)</x:f>
        <x:v>53.2</x:v>
      </x:c>
      <x:c r="J16" s="27" t="n">
        <x:f>IF(Q16=0,"",I16/Q16)</x:f>
        <x:v>0.266</x:v>
      </x:c>
      <x:c r="K16" s="22" t="str">
        <x:f>IF(I16&gt;=0,"盈利","亏损")</x:f>
        <x:v>盈利</x:v>
      </x:c>
      <x:c r="L16" s="63" t="n">
        <x:f>IF(C16="转换(转入)",'参数与来源'!$B$9,'参数与来源'!$B$8)</x:f>
        <x:v>0.0015</x:v>
      </x:c>
      <x:c r="M16" s="62" t="n">
        <x:f>D16-E16</x:f>
        <x:v>199.7</x:v>
      </x:c>
      <x:c r="N16" s="64" t="n">
        <x:v>46006</x:v>
      </x:c>
      <x:c r="O16" s="61" t="n">
        <x:v>0</x:v>
      </x:c>
      <x:c r="P16" s="62" t="n">
        <x:f>G16-O16</x:f>
        <x:v>94.3</x:v>
      </x:c>
      <x:c r="Q16" s="62" t="n">
        <x:f>IF(G16=0,0,D16*P16/G16)</x:f>
        <x:v>200</x:v>
      </x:c>
      <x:c r="R16" s="25" t="n">
        <x:f>'参数与来源'!$B$4</x:f>
        <x:v>2.685</x:v>
      </x:c>
    </x:row>
    <x:row r="17">
      <x:c r="A17" s="59" t="str">
        <x:v>L013</x:v>
      </x:c>
      <x:c r="B17" s="60" t="n">
        <x:v>46007.42806712963</x:v>
      </x:c>
      <x:c r="C17" s="59" t="str">
        <x:v>定投</x:v>
      </x:c>
      <x:c r="D17" s="61" t="n">
        <x:v>200</x:v>
      </x:c>
      <x:c r="E17" s="62" t="n">
        <x:f>ROUND(D17*L17,2)</x:f>
        <x:v>0.3</x:v>
      </x:c>
      <x:c r="F17" s="25" t="n">
        <x:f>SUMIF('历史净值'!$A$3:$A$1954,N17,'历史净值'!$B$3:$B$1954)</x:f>
        <x:v>2.1043</x:v>
      </x:c>
      <x:c r="G17" s="62" t="n">
        <x:f>ROUND(M17/F17,2)</x:f>
        <x:v>94.9</x:v>
      </x:c>
      <x:c r="H17" s="62" t="n">
        <x:f>ROUND(P17*R17,2)</x:f>
        <x:v>254.81</x:v>
      </x:c>
      <x:c r="I17" s="62" t="n">
        <x:f>ROUND(H17-Q17,2)</x:f>
        <x:v>54.81</x:v>
      </x:c>
      <x:c r="J17" s="27" t="n">
        <x:f>IF(Q17=0,"",I17/Q17)</x:f>
        <x:v>0.27405</x:v>
      </x:c>
      <x:c r="K17" s="22" t="str">
        <x:f>IF(I17&gt;=0,"盈利","亏损")</x:f>
        <x:v>盈利</x:v>
      </x:c>
      <x:c r="L17" s="63" t="n">
        <x:f>IF(C17="转换(转入)",'参数与来源'!$B$9,'参数与来源'!$B$8)</x:f>
        <x:v>0.0015</x:v>
      </x:c>
      <x:c r="M17" s="62" t="n">
        <x:f>D17-E17</x:f>
        <x:v>199.7</x:v>
      </x:c>
      <x:c r="N17" s="64" t="n">
        <x:v>46007</x:v>
      </x:c>
      <x:c r="O17" s="61" t="n">
        <x:v>0</x:v>
      </x:c>
      <x:c r="P17" s="62" t="n">
        <x:f>G17-O17</x:f>
        <x:v>94.9</x:v>
      </x:c>
      <x:c r="Q17" s="62" t="n">
        <x:f>IF(G17=0,0,D17*P17/G17)</x:f>
        <x:v>200</x:v>
      </x:c>
      <x:c r="R17" s="25" t="n">
        <x:f>'参数与来源'!$B$4</x:f>
        <x:v>2.685</x:v>
      </x:c>
    </x:row>
    <x:row r="18">
      <x:c r="A18" s="59" t="str">
        <x:v>L014</x:v>
      </x:c>
      <x:c r="B18" s="60" t="n">
        <x:v>46008.42722222222</x:v>
      </x:c>
      <x:c r="C18" s="59" t="str">
        <x:v>定投</x:v>
      </x:c>
      <x:c r="D18" s="61" t="n">
        <x:v>200</x:v>
      </x:c>
      <x:c r="E18" s="62" t="n">
        <x:f>ROUND(D18*L18,2)</x:f>
        <x:v>0.3</x:v>
      </x:c>
      <x:c r="F18" s="25" t="n">
        <x:f>SUMIF('历史净值'!$A$3:$A$1954,N18,'历史净值'!$B$3:$B$1954)</x:f>
        <x:v>2.0716</x:v>
      </x:c>
      <x:c r="G18" s="62" t="n">
        <x:f>ROUND(M18/F18,2)</x:f>
        <x:v>96.4</x:v>
      </x:c>
      <x:c r="H18" s="62" t="n">
        <x:f>ROUND(P18*R18,2)</x:f>
        <x:v>258.83</x:v>
      </x:c>
      <x:c r="I18" s="62" t="n">
        <x:f>ROUND(H18-Q18,2)</x:f>
        <x:v>58.83</x:v>
      </x:c>
      <x:c r="J18" s="27" t="n">
        <x:f>IF(Q18=0,"",I18/Q18)</x:f>
        <x:v>0.29414999999999997</x:v>
      </x:c>
      <x:c r="K18" s="22" t="str">
        <x:f>IF(I18&gt;=0,"盈利","亏损")</x:f>
        <x:v>盈利</x:v>
      </x:c>
      <x:c r="L18" s="63" t="n">
        <x:f>IF(C18="转换(转入)",'参数与来源'!$B$9,'参数与来源'!$B$8)</x:f>
        <x:v>0.0015</x:v>
      </x:c>
      <x:c r="M18" s="62" t="n">
        <x:f>D18-E18</x:f>
        <x:v>199.7</x:v>
      </x:c>
      <x:c r="N18" s="64" t="n">
        <x:v>46008</x:v>
      </x:c>
      <x:c r="O18" s="61" t="n">
        <x:v>0</x:v>
      </x:c>
      <x:c r="P18" s="62" t="n">
        <x:f>G18-O18</x:f>
        <x:v>96.4</x:v>
      </x:c>
      <x:c r="Q18" s="62" t="n">
        <x:f>IF(G18=0,0,D18*P18/G18)</x:f>
        <x:v>200</x:v>
      </x:c>
      <x:c r="R18" s="25" t="n">
        <x:f>'参数与来源'!$B$4</x:f>
        <x:v>2.685</x:v>
      </x:c>
    </x:row>
    <x:row r="19">
      <x:c r="A19" s="59" t="str">
        <x:v>L015</x:v>
      </x:c>
      <x:c r="B19" s="60" t="n">
        <x:v>46057.461550925924</x:v>
      </x:c>
      <x:c r="C19" s="59" t="str">
        <x:v>定投</x:v>
      </x:c>
      <x:c r="D19" s="61" t="n">
        <x:v>250</x:v>
      </x:c>
      <x:c r="E19" s="62" t="n">
        <x:f>ROUND(D19*L19,2)</x:f>
        <x:v>0.38</x:v>
      </x:c>
      <x:c r="F19" s="25" t="n">
        <x:f>SUMIF('历史净值'!$A$3:$A$1954,N19,'历史净值'!$B$3:$B$1954)</x:f>
        <x:v>2.2587</x:v>
      </x:c>
      <x:c r="G19" s="62" t="n">
        <x:f>ROUND(M19/F19,2)</x:f>
        <x:v>110.51</x:v>
      </x:c>
      <x:c r="H19" s="62" t="n">
        <x:f>ROUND(P19*R19,2)</x:f>
        <x:v>296.72</x:v>
      </x:c>
      <x:c r="I19" s="62" t="n">
        <x:f>ROUND(H19-Q19,2)</x:f>
        <x:v>46.72</x:v>
      </x:c>
      <x:c r="J19" s="27" t="n">
        <x:f>IF(Q19=0,"",I19/Q19)</x:f>
        <x:v>0.18688</x:v>
      </x:c>
      <x:c r="K19" s="22" t="str">
        <x:f>IF(I19&gt;=0,"盈利","亏损")</x:f>
        <x:v>盈利</x:v>
      </x:c>
      <x:c r="L19" s="63" t="n">
        <x:f>IF(C19="转换(转入)",'参数与来源'!$B$9,'参数与来源'!$B$8)</x:f>
        <x:v>0.0015</x:v>
      </x:c>
      <x:c r="M19" s="62" t="n">
        <x:f>D19-E19</x:f>
        <x:v>249.62</x:v>
      </x:c>
      <x:c r="N19" s="64" t="n">
        <x:v>46057</x:v>
      </x:c>
      <x:c r="O19" s="61" t="n">
        <x:v>0</x:v>
      </x:c>
      <x:c r="P19" s="62" t="n">
        <x:f>G19-O19</x:f>
        <x:v>110.51</x:v>
      </x:c>
      <x:c r="Q19" s="62" t="n">
        <x:f>IF(G19=0,0,D19*P19/G19)</x:f>
        <x:v>250</x:v>
      </x:c>
      <x:c r="R19" s="25" t="n">
        <x:f>'参数与来源'!$B$4</x:f>
        <x:v>2.685</x:v>
      </x:c>
    </x:row>
    <x:row r="20">
      <x:c r="A20" s="59" t="str">
        <x:v>L016</x:v>
      </x:c>
      <x:c r="B20" s="60" t="n">
        <x:v>46058.46246527778</x:v>
      </x:c>
      <x:c r="C20" s="59" t="str">
        <x:v>定投</x:v>
      </x:c>
      <x:c r="D20" s="61" t="n">
        <x:v>100</x:v>
      </x:c>
      <x:c r="E20" s="62" t="n">
        <x:f>ROUND(D20*L20,2)</x:f>
        <x:v>0.15</x:v>
      </x:c>
      <x:c r="F20" s="25" t="n">
        <x:f>SUMIF('历史净值'!$A$3:$A$1954,N20,'历史净值'!$B$3:$B$1954)</x:f>
        <x:v>2.2674</x:v>
      </x:c>
      <x:c r="G20" s="62" t="n">
        <x:f>ROUND(M20/F20,2)</x:f>
        <x:v>44.04</x:v>
      </x:c>
      <x:c r="H20" s="62" t="n">
        <x:f>ROUND(P20*R20,2)</x:f>
        <x:v>118.25</x:v>
      </x:c>
      <x:c r="I20" s="62" t="n">
        <x:f>ROUND(H20-Q20,2)</x:f>
        <x:v>18.25</x:v>
      </x:c>
      <x:c r="J20" s="27" t="n">
        <x:f>IF(Q20=0,"",I20/Q20)</x:f>
        <x:v>0.1825</x:v>
      </x:c>
      <x:c r="K20" s="22" t="str">
        <x:f>IF(I20&gt;=0,"盈利","亏损")</x:f>
        <x:v>盈利</x:v>
      </x:c>
      <x:c r="L20" s="63" t="n">
        <x:f>IF(C20="转换(转入)",'参数与来源'!$B$9,'参数与来源'!$B$8)</x:f>
        <x:v>0.0015</x:v>
      </x:c>
      <x:c r="M20" s="62" t="n">
        <x:f>D20-E20</x:f>
        <x:v>99.85</x:v>
      </x:c>
      <x:c r="N20" s="64" t="n">
        <x:v>46058</x:v>
      </x:c>
      <x:c r="O20" s="61" t="n">
        <x:v>0</x:v>
      </x:c>
      <x:c r="P20" s="62" t="n">
        <x:f>G20-O20</x:f>
        <x:v>44.04</x:v>
      </x:c>
      <x:c r="Q20" s="62" t="n">
        <x:f>IF(G20=0,0,D20*P20/G20)</x:f>
        <x:v>100</x:v>
      </x:c>
      <x:c r="R20" s="25" t="n">
        <x:f>'参数与来源'!$B$4</x:f>
        <x:v>2.685</x:v>
      </x:c>
    </x:row>
    <x:row r="21">
      <x:c r="A21" s="59" t="str">
        <x:v>L017</x:v>
      </x:c>
      <x:c r="B21" s="60" t="n">
        <x:v>46059.45731481481</x:v>
      </x:c>
      <x:c r="C21" s="59" t="str">
        <x:v>定投</x:v>
      </x:c>
      <x:c r="D21" s="61" t="n">
        <x:v>100</x:v>
      </x:c>
      <x:c r="E21" s="62" t="n">
        <x:f>ROUND(D21*L21,2)</x:f>
        <x:v>0.15</x:v>
      </x:c>
      <x:c r="F21" s="25" t="n">
        <x:f>SUMIF('历史净值'!$A$3:$A$1954,N21,'历史净值'!$B$3:$B$1954)</x:f>
        <x:v>2.3668</x:v>
      </x:c>
      <x:c r="G21" s="62" t="n">
        <x:f>ROUND(M21/F21,2)</x:f>
        <x:v>42.19</x:v>
      </x:c>
      <x:c r="H21" s="62" t="n">
        <x:f>ROUND(P21*R21,2)</x:f>
        <x:v>113.28</x:v>
      </x:c>
      <x:c r="I21" s="62" t="n">
        <x:f>ROUND(H21-Q21,2)</x:f>
        <x:v>13.28</x:v>
      </x:c>
      <x:c r="J21" s="27" t="n">
        <x:f>IF(Q21=0,"",I21/Q21)</x:f>
        <x:v>0.1328</x:v>
      </x:c>
      <x:c r="K21" s="22" t="str">
        <x:f>IF(I21&gt;=0,"盈利","亏损")</x:f>
        <x:v>盈利</x:v>
      </x:c>
      <x:c r="L21" s="63" t="n">
        <x:f>IF(C21="转换(转入)",'参数与来源'!$B$9,'参数与来源'!$B$8)</x:f>
        <x:v>0.0015</x:v>
      </x:c>
      <x:c r="M21" s="62" t="n">
        <x:f>D21-E21</x:f>
        <x:v>99.85</x:v>
      </x:c>
      <x:c r="N21" s="64" t="n">
        <x:v>46059</x:v>
      </x:c>
      <x:c r="O21" s="61" t="n">
        <x:v>0</x:v>
      </x:c>
      <x:c r="P21" s="62" t="n">
        <x:f>G21-O21</x:f>
        <x:v>42.19</x:v>
      </x:c>
      <x:c r="Q21" s="62" t="n">
        <x:f>IF(G21=0,0,D21*P21/G21)</x:f>
        <x:v>100</x:v>
      </x:c>
      <x:c r="R21" s="25" t="n">
        <x:f>'参数与来源'!$B$4</x:f>
        <x:v>2.685</x:v>
      </x:c>
    </x:row>
    <x:row r="22">
      <x:c r="A22" s="59" t="str">
        <x:v>L018</x:v>
      </x:c>
      <x:c r="B22" s="60" t="n">
        <x:v>46062.462916666664</x:v>
      </x:c>
      <x:c r="C22" s="59" t="str">
        <x:v>定投</x:v>
      </x:c>
      <x:c r="D22" s="61" t="n">
        <x:v>100</x:v>
      </x:c>
      <x:c r="E22" s="62" t="n">
        <x:f>ROUND(D22*L22,2)</x:f>
        <x:v>0.15</x:v>
      </x:c>
      <x:c r="F22" s="25" t="n">
        <x:f>SUMIF('历史净值'!$A$3:$A$1954,N22,'历史净值'!$B$3:$B$1954)</x:f>
        <x:v>2.4205</x:v>
      </x:c>
      <x:c r="G22" s="62" t="n">
        <x:f>ROUND(M22/F22,2)</x:f>
        <x:v>41.25</x:v>
      </x:c>
      <x:c r="H22" s="62" t="n">
        <x:f>ROUND(P22*R22,2)</x:f>
        <x:v>110.76</x:v>
      </x:c>
      <x:c r="I22" s="62" t="n">
        <x:f>ROUND(H22-Q22,2)</x:f>
        <x:v>10.76</x:v>
      </x:c>
      <x:c r="J22" s="27" t="n">
        <x:f>IF(Q22=0,"",I22/Q22)</x:f>
        <x:v>0.1076</x:v>
      </x:c>
      <x:c r="K22" s="22" t="str">
        <x:f>IF(I22&gt;=0,"盈利","亏损")</x:f>
        <x:v>盈利</x:v>
      </x:c>
      <x:c r="L22" s="63" t="n">
        <x:f>IF(C22="转换(转入)",'参数与来源'!$B$9,'参数与来源'!$B$8)</x:f>
        <x:v>0.0015</x:v>
      </x:c>
      <x:c r="M22" s="62" t="n">
        <x:f>D22-E22</x:f>
        <x:v>99.85</x:v>
      </x:c>
      <x:c r="N22" s="64" t="n">
        <x:v>46062</x:v>
      </x:c>
      <x:c r="O22" s="61" t="n">
        <x:v>0</x:v>
      </x:c>
      <x:c r="P22" s="62" t="n">
        <x:f>G22-O22</x:f>
        <x:v>41.25</x:v>
      </x:c>
      <x:c r="Q22" s="62" t="n">
        <x:f>IF(G22=0,0,D22*P22/G22)</x:f>
        <x:v>100</x:v>
      </x:c>
      <x:c r="R22" s="25" t="n">
        <x:f>'参数与来源'!$B$4</x:f>
        <x:v>2.685</x:v>
      </x:c>
    </x:row>
    <x:row r="23">
      <x:c r="A23" s="59" t="str">
        <x:v>L019</x:v>
      </x:c>
      <x:c r="B23" s="60" t="n">
        <x:v>46063.45539351852</x:v>
      </x:c>
      <x:c r="C23" s="59" t="str">
        <x:v>定投</x:v>
      </x:c>
      <x:c r="D23" s="61" t="n">
        <x:v>100</x:v>
      </x:c>
      <x:c r="E23" s="62" t="n">
        <x:f>ROUND(D23*L23,2)</x:f>
        <x:v>0.15</x:v>
      </x:c>
      <x:c r="F23" s="25" t="n">
        <x:f>SUMIF('历史净值'!$A$3:$A$1954,N23,'历史净值'!$B$3:$B$1954)</x:f>
        <x:v>2.3823</x:v>
      </x:c>
      <x:c r="G23" s="62" t="n">
        <x:f>ROUND(M23/F23,2)</x:f>
        <x:v>41.91</x:v>
      </x:c>
      <x:c r="H23" s="62" t="n">
        <x:f>ROUND(P23*R23,2)</x:f>
        <x:v>112.53</x:v>
      </x:c>
      <x:c r="I23" s="62" t="n">
        <x:f>ROUND(H23-Q23,2)</x:f>
        <x:v>12.53</x:v>
      </x:c>
      <x:c r="J23" s="27" t="n">
        <x:f>IF(Q23=0,"",I23/Q23)</x:f>
        <x:v>0.12529999999999997</x:v>
      </x:c>
      <x:c r="K23" s="22" t="str">
        <x:f>IF(I23&gt;=0,"盈利","亏损")</x:f>
        <x:v>盈利</x:v>
      </x:c>
      <x:c r="L23" s="63" t="n">
        <x:f>IF(C23="转换(转入)",'参数与来源'!$B$9,'参数与来源'!$B$8)</x:f>
        <x:v>0.0015</x:v>
      </x:c>
      <x:c r="M23" s="62" t="n">
        <x:f>D23-E23</x:f>
        <x:v>99.85</x:v>
      </x:c>
      <x:c r="N23" s="64" t="n">
        <x:v>46063</x:v>
      </x:c>
      <x:c r="O23" s="61" t="n">
        <x:v>0</x:v>
      </x:c>
      <x:c r="P23" s="62" t="n">
        <x:f>G23-O23</x:f>
        <x:v>41.91</x:v>
      </x:c>
      <x:c r="Q23" s="62" t="n">
        <x:f>IF(G23=0,0,D23*P23/G23)</x:f>
        <x:v>100.00000000000001</x:v>
      </x:c>
      <x:c r="R23" s="25" t="n">
        <x:f>'参数与来源'!$B$4</x:f>
        <x:v>2.685</x:v>
      </x:c>
    </x:row>
    <x:row r="24">
      <x:c r="A24" s="59" t="str">
        <x:v>L020</x:v>
      </x:c>
      <x:c r="B24" s="60" t="n">
        <x:v>46064.45238425926</x:v>
      </x:c>
      <x:c r="C24" s="59" t="str">
        <x:v>定投</x:v>
      </x:c>
      <x:c r="D24" s="61" t="n">
        <x:v>100</x:v>
      </x:c>
      <x:c r="E24" s="62" t="n">
        <x:f>ROUND(D24*L24,2)</x:f>
        <x:v>0.15</x:v>
      </x:c>
      <x:c r="F24" s="25" t="n">
        <x:f>SUMIF('历史净值'!$A$3:$A$1954,N24,'历史净值'!$B$3:$B$1954)</x:f>
        <x:v>2.4322</x:v>
      </x:c>
      <x:c r="G24" s="62" t="n">
        <x:f>ROUND(M24/F24,2)</x:f>
        <x:v>41.05</x:v>
      </x:c>
      <x:c r="H24" s="62" t="n">
        <x:f>ROUND(P24*R24,2)</x:f>
        <x:v>110.22</x:v>
      </x:c>
      <x:c r="I24" s="62" t="n">
        <x:f>ROUND(H24-Q24,2)</x:f>
        <x:v>10.22</x:v>
      </x:c>
      <x:c r="J24" s="27" t="n">
        <x:f>IF(Q24=0,"",I24/Q24)</x:f>
        <x:v>0.10220000000000001</x:v>
      </x:c>
      <x:c r="K24" s="22" t="str">
        <x:f>IF(I24&gt;=0,"盈利","亏损")</x:f>
        <x:v>盈利</x:v>
      </x:c>
      <x:c r="L24" s="63" t="n">
        <x:f>IF(C24="转换(转入)",'参数与来源'!$B$9,'参数与来源'!$B$8)</x:f>
        <x:v>0.0015</x:v>
      </x:c>
      <x:c r="M24" s="62" t="n">
        <x:f>D24-E24</x:f>
        <x:v>99.85</x:v>
      </x:c>
      <x:c r="N24" s="64" t="n">
        <x:v>46064</x:v>
      </x:c>
      <x:c r="O24" s="61" t="n">
        <x:v>0</x:v>
      </x:c>
      <x:c r="P24" s="62" t="n">
        <x:f>G24-O24</x:f>
        <x:v>41.05</x:v>
      </x:c>
      <x:c r="Q24" s="62" t="n">
        <x:f>IF(G24=0,0,D24*P24/G24)</x:f>
        <x:v>100</x:v>
      </x:c>
      <x:c r="R24" s="25" t="n">
        <x:f>'参数与来源'!$B$4</x:f>
        <x:v>2.685</x:v>
      </x:c>
    </x:row>
    <x:row r="25">
      <x:c r="A25" s="59" t="str">
        <x:v>L021</x:v>
      </x:c>
      <x:c r="B25" s="60" t="n">
        <x:v>46065.45527777778</x:v>
      </x:c>
      <x:c r="C25" s="59" t="str">
        <x:v>定投</x:v>
      </x:c>
      <x:c r="D25" s="61" t="n">
        <x:v>100</x:v>
      </x:c>
      <x:c r="E25" s="62" t="n">
        <x:f>ROUND(D25*L25,2)</x:f>
        <x:v>0.15</x:v>
      </x:c>
      <x:c r="F25" s="25" t="n">
        <x:f>SUMIF('历史净值'!$A$3:$A$1954,N25,'历史净值'!$B$3:$B$1954)</x:f>
        <x:v>2.4121</x:v>
      </x:c>
      <x:c r="G25" s="62" t="n">
        <x:f>ROUND(M25/F25,2)</x:f>
        <x:v>41.4</x:v>
      </x:c>
      <x:c r="H25" s="62" t="n">
        <x:f>ROUND(P25*R25,2)</x:f>
        <x:v>111.16</x:v>
      </x:c>
      <x:c r="I25" s="62" t="n">
        <x:f>ROUND(H25-Q25,2)</x:f>
        <x:v>11.16</x:v>
      </x:c>
      <x:c r="J25" s="27" t="n">
        <x:f>IF(Q25=0,"",I25/Q25)</x:f>
        <x:v>0.1116</x:v>
      </x:c>
      <x:c r="K25" s="22" t="str">
        <x:f>IF(I25&gt;=0,"盈利","亏损")</x:f>
        <x:v>盈利</x:v>
      </x:c>
      <x:c r="L25" s="63" t="n">
        <x:f>IF(C25="转换(转入)",'参数与来源'!$B$9,'参数与来源'!$B$8)</x:f>
        <x:v>0.0015</x:v>
      </x:c>
      <x:c r="M25" s="62" t="n">
        <x:f>D25-E25</x:f>
        <x:v>99.85</x:v>
      </x:c>
      <x:c r="N25" s="64" t="n">
        <x:v>46065</x:v>
      </x:c>
      <x:c r="O25" s="61" t="n">
        <x:v>0</x:v>
      </x:c>
      <x:c r="P25" s="62" t="n">
        <x:f>G25-O25</x:f>
        <x:v>41.4</x:v>
      </x:c>
      <x:c r="Q25" s="62" t="n">
        <x:f>IF(G25=0,0,D25*P25/G25)</x:f>
        <x:v>100</x:v>
      </x:c>
      <x:c r="R25" s="25" t="n">
        <x:f>'参数与来源'!$B$4</x:f>
        <x:v>2.685</x:v>
      </x:c>
    </x:row>
    <x:row r="26">
      <x:c r="A26" s="59" t="str">
        <x:v>L022</x:v>
      </x:c>
      <x:c r="B26" s="60" t="n">
        <x:v>46066.45112268518</x:v>
      </x:c>
      <x:c r="C26" s="59" t="str">
        <x:v>定投</x:v>
      </x:c>
      <x:c r="D26" s="61" t="n">
        <x:v>100</x:v>
      </x:c>
      <x:c r="E26" s="62" t="n">
        <x:f>ROUND(D26*L26,2)</x:f>
        <x:v>0.15</x:v>
      </x:c>
      <x:c r="F26" s="25" t="n">
        <x:f>SUMIF('历史净值'!$A$3:$A$1954,N26,'历史净值'!$B$3:$B$1954)</x:f>
        <x:v>2.3999</x:v>
      </x:c>
      <x:c r="G26" s="62" t="n">
        <x:f>ROUND(M26/F26,2)</x:f>
        <x:v>41.61</x:v>
      </x:c>
      <x:c r="H26" s="62" t="n">
        <x:f>ROUND(P26*R26,2)</x:f>
        <x:v>111.72</x:v>
      </x:c>
      <x:c r="I26" s="62" t="n">
        <x:f>ROUND(H26-Q26,2)</x:f>
        <x:v>11.72</x:v>
      </x:c>
      <x:c r="J26" s="27" t="n">
        <x:f>IF(Q26=0,"",I26/Q26)</x:f>
        <x:v>0.11720000000000001</x:v>
      </x:c>
      <x:c r="K26" s="22" t="str">
        <x:f>IF(I26&gt;=0,"盈利","亏损")</x:f>
        <x:v>盈利</x:v>
      </x:c>
      <x:c r="L26" s="63" t="n">
        <x:f>IF(C26="转换(转入)",'参数与来源'!$B$9,'参数与来源'!$B$8)</x:f>
        <x:v>0.0015</x:v>
      </x:c>
      <x:c r="M26" s="62" t="n">
        <x:f>D26-E26</x:f>
        <x:v>99.85</x:v>
      </x:c>
      <x:c r="N26" s="64" t="n">
        <x:v>46066</x:v>
      </x:c>
      <x:c r="O26" s="61" t="n">
        <x:v>0</x:v>
      </x:c>
      <x:c r="P26" s="62" t="n">
        <x:f>G26-O26</x:f>
        <x:v>41.61</x:v>
      </x:c>
      <x:c r="Q26" s="62" t="n">
        <x:f>IF(G26=0,0,D26*P26/G26)</x:f>
        <x:v>100</x:v>
      </x:c>
      <x:c r="R26" s="25" t="n">
        <x:f>'参数与来源'!$B$4</x:f>
        <x:v>2.685</x:v>
      </x:c>
    </x:row>
    <x:row r="27">
      <x:c r="A27" s="59" t="str">
        <x:v>L023</x:v>
      </x:c>
      <x:c r="B27" s="60" t="n">
        <x:v>46077.43969907407</x:v>
      </x:c>
      <x:c r="C27" s="59" t="str">
        <x:v>定投</x:v>
      </x:c>
      <x:c r="D27" s="61" t="n">
        <x:v>100</x:v>
      </x:c>
      <x:c r="E27" s="62" t="n">
        <x:f>ROUND(D27*L27,2)</x:f>
        <x:v>0.15</x:v>
      </x:c>
      <x:c r="F27" s="25" t="n">
        <x:f>SUMIF('历史净值'!$A$3:$A$1954,N27,'历史净值'!$B$3:$B$1954)</x:f>
        <x:v>2.5315</x:v>
      </x:c>
      <x:c r="G27" s="62" t="n">
        <x:f>ROUND(M27/F27,2)</x:f>
        <x:v>39.44</x:v>
      </x:c>
      <x:c r="H27" s="62" t="n">
        <x:f>ROUND(P27*R27,2)</x:f>
        <x:v>105.9</x:v>
      </x:c>
      <x:c r="I27" s="62" t="n">
        <x:f>ROUND(H27-Q27,2)</x:f>
        <x:v>5.9</x:v>
      </x:c>
      <x:c r="J27" s="27" t="n">
        <x:f>IF(Q27=0,"",I27/Q27)</x:f>
        <x:v>0.059000000000000004</x:v>
      </x:c>
      <x:c r="K27" s="22" t="str">
        <x:f>IF(I27&gt;=0,"盈利","亏损")</x:f>
        <x:v>盈利</x:v>
      </x:c>
      <x:c r="L27" s="63" t="n">
        <x:f>IF(C27="转换(转入)",'参数与来源'!$B$9,'参数与来源'!$B$8)</x:f>
        <x:v>0.0015</x:v>
      </x:c>
      <x:c r="M27" s="62" t="n">
        <x:f>D27-E27</x:f>
        <x:v>99.85</x:v>
      </x:c>
      <x:c r="N27" s="64" t="n">
        <x:v>46077</x:v>
      </x:c>
      <x:c r="O27" s="61" t="n">
        <x:v>0</x:v>
      </x:c>
      <x:c r="P27" s="62" t="n">
        <x:f>G27-O27</x:f>
        <x:v>39.44</x:v>
      </x:c>
      <x:c r="Q27" s="62" t="n">
        <x:f>IF(G27=0,0,D27*P27/G27)</x:f>
        <x:v>100</x:v>
      </x:c>
      <x:c r="R27" s="25" t="n">
        <x:f>'参数与来源'!$B$4</x:f>
        <x:v>2.685</x:v>
      </x:c>
    </x:row>
    <x:row r="28">
      <x:c r="A28" s="59" t="str">
        <x:v>L024</x:v>
      </x:c>
      <x:c r="B28" s="60" t="n">
        <x:v>46078.44951388889</x:v>
      </x:c>
      <x:c r="C28" s="59" t="str">
        <x:v>定投</x:v>
      </x:c>
      <x:c r="D28" s="61" t="n">
        <x:v>100</x:v>
      </x:c>
      <x:c r="E28" s="62" t="n">
        <x:f>ROUND(D28*L28,2)</x:f>
        <x:v>0.15</x:v>
      </x:c>
      <x:c r="F28" s="25" t="n">
        <x:f>SUMIF('历史净值'!$A$3:$A$1954,N28,'历史净值'!$B$3:$B$1954)</x:f>
        <x:v>2.593</x:v>
      </x:c>
      <x:c r="G28" s="62" t="n">
        <x:f>ROUND(M28/F28,2)</x:f>
        <x:v>38.51</x:v>
      </x:c>
      <x:c r="H28" s="62" t="n">
        <x:f>ROUND(P28*R28,2)</x:f>
        <x:v>103.4</x:v>
      </x:c>
      <x:c r="I28" s="62" t="n">
        <x:f>ROUND(H28-Q28,2)</x:f>
        <x:v>3.4</x:v>
      </x:c>
      <x:c r="J28" s="27" t="n">
        <x:f>IF(Q28=0,"",I28/Q28)</x:f>
        <x:v>0.034</x:v>
      </x:c>
      <x:c r="K28" s="22" t="str">
        <x:f>IF(I28&gt;=0,"盈利","亏损")</x:f>
        <x:v>盈利</x:v>
      </x:c>
      <x:c r="L28" s="63" t="n">
        <x:f>IF(C28="转换(转入)",'参数与来源'!$B$9,'参数与来源'!$B$8)</x:f>
        <x:v>0.0015</x:v>
      </x:c>
      <x:c r="M28" s="62" t="n">
        <x:f>D28-E28</x:f>
        <x:v>99.85</x:v>
      </x:c>
      <x:c r="N28" s="64" t="n">
        <x:v>46078</x:v>
      </x:c>
      <x:c r="O28" s="61" t="n">
        <x:v>0</x:v>
      </x:c>
      <x:c r="P28" s="62" t="n">
        <x:f>G28-O28</x:f>
        <x:v>38.51</x:v>
      </x:c>
      <x:c r="Q28" s="62" t="n">
        <x:f>IF(G28=0,0,D28*P28/G28)</x:f>
        <x:v>100</x:v>
      </x:c>
      <x:c r="R28" s="25" t="n">
        <x:f>'参数与来源'!$B$4</x:f>
        <x:v>2.685</x:v>
      </x:c>
    </x:row>
    <x:row r="29">
      <x:c r="A29" s="59" t="str">
        <x:v>L025</x:v>
      </x:c>
      <x:c r="B29" s="60" t="n">
        <x:v>46079.45087962963</x:v>
      </x:c>
      <x:c r="C29" s="59" t="str">
        <x:v>定投</x:v>
      </x:c>
      <x:c r="D29" s="61" t="n">
        <x:v>100</x:v>
      </x:c>
      <x:c r="E29" s="62" t="n">
        <x:f>ROUND(D29*L29,2)</x:f>
        <x:v>0.15</x:v>
      </x:c>
      <x:c r="F29" s="25" t="n">
        <x:f>SUMIF('历史净值'!$A$3:$A$1954,N29,'历史净值'!$B$3:$B$1954)</x:f>
        <x:v>2.5293</x:v>
      </x:c>
      <x:c r="G29" s="62" t="n">
        <x:f>ROUND(M29/F29,2)</x:f>
        <x:v>39.48</x:v>
      </x:c>
      <x:c r="H29" s="62" t="n">
        <x:f>ROUND(P29*R29,2)</x:f>
        <x:v>106</x:v>
      </x:c>
      <x:c r="I29" s="62" t="n">
        <x:f>ROUND(H29-Q29,2)</x:f>
        <x:v>6</x:v>
      </x:c>
      <x:c r="J29" s="27" t="n">
        <x:f>IF(Q29=0,"",I29/Q29)</x:f>
        <x:v>0.06</x:v>
      </x:c>
      <x:c r="K29" s="22" t="str">
        <x:f>IF(I29&gt;=0,"盈利","亏损")</x:f>
        <x:v>盈利</x:v>
      </x:c>
      <x:c r="L29" s="63" t="n">
        <x:f>IF(C29="转换(转入)",'参数与来源'!$B$9,'参数与来源'!$B$8)</x:f>
        <x:v>0.0015</x:v>
      </x:c>
      <x:c r="M29" s="62" t="n">
        <x:f>D29-E29</x:f>
        <x:v>99.85</x:v>
      </x:c>
      <x:c r="N29" s="64" t="n">
        <x:v>46079</x:v>
      </x:c>
      <x:c r="O29" s="61" t="n">
        <x:v>0</x:v>
      </x:c>
      <x:c r="P29" s="62" t="n">
        <x:f>G29-O29</x:f>
        <x:v>39.48</x:v>
      </x:c>
      <x:c r="Q29" s="62" t="n">
        <x:f>IF(G29=0,0,D29*P29/G29)</x:f>
        <x:v>100</x:v>
      </x:c>
      <x:c r="R29" s="25" t="n">
        <x:f>'参数与来源'!$B$4</x:f>
        <x:v>2.685</x:v>
      </x:c>
    </x:row>
    <x:row r="30">
      <x:c r="A30" s="59" t="str">
        <x:v>L026</x:v>
      </x:c>
      <x:c r="B30" s="60" t="n">
        <x:v>46080.45800925926</x:v>
      </x:c>
      <x:c r="C30" s="59" t="str">
        <x:v>定投</x:v>
      </x:c>
      <x:c r="D30" s="61" t="n">
        <x:v>50</x:v>
      </x:c>
      <x:c r="E30" s="62" t="n">
        <x:f>ROUND(D30*L30,2)</x:f>
        <x:v>0.08</x:v>
      </x:c>
      <x:c r="F30" s="25" t="n">
        <x:f>SUMIF('历史净值'!$A$3:$A$1954,N30,'历史净值'!$B$3:$B$1954)</x:f>
        <x:v>2.5031</x:v>
      </x:c>
      <x:c r="G30" s="62" t="n">
        <x:f>ROUND(M30/F30,2)</x:f>
        <x:v>19.94</x:v>
      </x:c>
      <x:c r="H30" s="62" t="n">
        <x:f>ROUND(P30*R30,2)</x:f>
        <x:v>53.54</x:v>
      </x:c>
      <x:c r="I30" s="62" t="n">
        <x:f>ROUND(H30-Q30,2)</x:f>
        <x:v>3.54</x:v>
      </x:c>
      <x:c r="J30" s="27" t="n">
        <x:f>IF(Q30=0,"",I30/Q30)</x:f>
        <x:v>0.0708</x:v>
      </x:c>
      <x:c r="K30" s="22" t="str">
        <x:f>IF(I30&gt;=0,"盈利","亏损")</x:f>
        <x:v>盈利</x:v>
      </x:c>
      <x:c r="L30" s="63" t="n">
        <x:f>IF(C30="转换(转入)",'参数与来源'!$B$9,'参数与来源'!$B$8)</x:f>
        <x:v>0.0015</x:v>
      </x:c>
      <x:c r="M30" s="62" t="n">
        <x:f>D30-E30</x:f>
        <x:v>49.92</x:v>
      </x:c>
      <x:c r="N30" s="64" t="n">
        <x:v>46080</x:v>
      </x:c>
      <x:c r="O30" s="61" t="n">
        <x:v>0</x:v>
      </x:c>
      <x:c r="P30" s="62" t="n">
        <x:f>G30-O30</x:f>
        <x:v>19.94</x:v>
      </x:c>
      <x:c r="Q30" s="62" t="n">
        <x:f>IF(G30=0,0,D30*P30/G30)</x:f>
        <x:v>50</x:v>
      </x:c>
      <x:c r="R30" s="25" t="n">
        <x:f>'参数与来源'!$B$4</x:f>
        <x:v>2.685</x:v>
      </x:c>
    </x:row>
    <x:row r="31">
      <x:c r="A31" s="59" t="str">
        <x:v>L027</x:v>
      </x:c>
      <x:c r="B31" s="60" t="n">
        <x:v>46083.46613425926</x:v>
      </x:c>
      <x:c r="C31" s="59" t="str">
        <x:v>定投</x:v>
      </x:c>
      <x:c r="D31" s="61" t="n">
        <x:v>50</x:v>
      </x:c>
      <x:c r="E31" s="62" t="n">
        <x:f>ROUND(D31*L31,2)</x:f>
        <x:v>0.08</x:v>
      </x:c>
      <x:c r="F31" s="25" t="n">
        <x:f>SUMIF('历史净值'!$A$3:$A$1954,N31,'历史净值'!$B$3:$B$1954)</x:f>
        <x:v>2.5854</x:v>
      </x:c>
      <x:c r="G31" s="62" t="n">
        <x:f>ROUND(M31/F31,2)</x:f>
        <x:v>19.31</x:v>
      </x:c>
      <x:c r="H31" s="62" t="n">
        <x:f>ROUND(P31*R31,2)</x:f>
        <x:v>51.85</x:v>
      </x:c>
      <x:c r="I31" s="62" t="n">
        <x:f>ROUND(H31-Q31,2)</x:f>
        <x:v>1.85</x:v>
      </x:c>
      <x:c r="J31" s="27" t="n">
        <x:f>IF(Q31=0,"",I31/Q31)</x:f>
        <x:v>0.037000000000000005</x:v>
      </x:c>
      <x:c r="K31" s="22" t="str">
        <x:f>IF(I31&gt;=0,"盈利","亏损")</x:f>
        <x:v>盈利</x:v>
      </x:c>
      <x:c r="L31" s="63" t="n">
        <x:f>IF(C31="转换(转入)",'参数与来源'!$B$9,'参数与来源'!$B$8)</x:f>
        <x:v>0.0015</x:v>
      </x:c>
      <x:c r="M31" s="62" t="n">
        <x:f>D31-E31</x:f>
        <x:v>49.92</x:v>
      </x:c>
      <x:c r="N31" s="64" t="n">
        <x:v>46083</x:v>
      </x:c>
      <x:c r="O31" s="61" t="n">
        <x:v>0</x:v>
      </x:c>
      <x:c r="P31" s="62" t="n">
        <x:f>G31-O31</x:f>
        <x:v>19.31</x:v>
      </x:c>
      <x:c r="Q31" s="62" t="n">
        <x:f>IF(G31=0,0,D31*P31/G31)</x:f>
        <x:v>50</x:v>
      </x:c>
      <x:c r="R31" s="25" t="n">
        <x:f>'参数与来源'!$B$4</x:f>
        <x:v>2.685</x:v>
      </x:c>
    </x:row>
    <x:row r="32">
      <x:c r="A32" s="59" t="str">
        <x:v>L028</x:v>
      </x:c>
      <x:c r="B32" s="60" t="n">
        <x:v>46093.46289351852</x:v>
      </x:c>
      <x:c r="C32" s="59" t="str">
        <x:v>定投</x:v>
      </x:c>
      <x:c r="D32" s="61" t="n">
        <x:v>50</x:v>
      </x:c>
      <x:c r="E32" s="62" t="n">
        <x:f>ROUND(D32*L32,2)</x:f>
        <x:v>0.08</x:v>
      </x:c>
      <x:c r="F32" s="25" t="n">
        <x:f>SUMIF('历史净值'!$A$3:$A$1954,N32,'历史净值'!$B$3:$B$1954)</x:f>
        <x:v>2.3365</x:v>
      </x:c>
      <x:c r="G32" s="62" t="n">
        <x:f>ROUND(M32/F32,2)</x:f>
        <x:v>21.37</x:v>
      </x:c>
      <x:c r="H32" s="62" t="n">
        <x:f>ROUND(P32*R32,2)</x:f>
        <x:v>57.38</x:v>
      </x:c>
      <x:c r="I32" s="62" t="n">
        <x:f>ROUND(H32-Q32,2)</x:f>
        <x:v>7.38</x:v>
      </x:c>
      <x:c r="J32" s="27" t="n">
        <x:f>IF(Q32=0,"",I32/Q32)</x:f>
        <x:v>0.1476</x:v>
      </x:c>
      <x:c r="K32" s="22" t="str">
        <x:f>IF(I32&gt;=0,"盈利","亏损")</x:f>
        <x:v>盈利</x:v>
      </x:c>
      <x:c r="L32" s="63" t="n">
        <x:f>IF(C32="转换(转入)",'参数与来源'!$B$9,'参数与来源'!$B$8)</x:f>
        <x:v>0.0015</x:v>
      </x:c>
      <x:c r="M32" s="62" t="n">
        <x:f>D32-E32</x:f>
        <x:v>49.92</x:v>
      </x:c>
      <x:c r="N32" s="64" t="n">
        <x:v>46093</x:v>
      </x:c>
      <x:c r="O32" s="61" t="n">
        <x:v>0</x:v>
      </x:c>
      <x:c r="P32" s="62" t="n">
        <x:f>G32-O32</x:f>
        <x:v>21.37</x:v>
      </x:c>
      <x:c r="Q32" s="62" t="n">
        <x:f>IF(G32=0,0,D32*P32/G32)</x:f>
        <x:v>50</x:v>
      </x:c>
      <x:c r="R32" s="25" t="n">
        <x:f>'参数与来源'!$B$4</x:f>
        <x:v>2.685</x:v>
      </x:c>
    </x:row>
    <x:row r="33">
      <x:c r="A33" s="59" t="str">
        <x:v>L029</x:v>
      </x:c>
      <x:c r="B33" s="60" t="n">
        <x:v>46094.45916666667</x:v>
      </x:c>
      <x:c r="C33" s="59" t="str">
        <x:v>定投</x:v>
      </x:c>
      <x:c r="D33" s="61" t="n">
        <x:v>50</x:v>
      </x:c>
      <x:c r="E33" s="62" t="n">
        <x:f>ROUND(D33*L33,2)</x:f>
        <x:v>0.08</x:v>
      </x:c>
      <x:c r="F33" s="25" t="n">
        <x:f>SUMIF('历史净值'!$A$3:$A$1954,N33,'历史净值'!$B$3:$B$1954)</x:f>
        <x:v>2.3437</x:v>
      </x:c>
      <x:c r="G33" s="62" t="n">
        <x:f>ROUND(M33/F33,2)</x:f>
        <x:v>21.3</x:v>
      </x:c>
      <x:c r="H33" s="62" t="n">
        <x:f>ROUND(P33*R33,2)</x:f>
        <x:v>57.19</x:v>
      </x:c>
      <x:c r="I33" s="62" t="n">
        <x:f>ROUND(H33-Q33,2)</x:f>
        <x:v>7.19</x:v>
      </x:c>
      <x:c r="J33" s="27" t="n">
        <x:f>IF(Q33=0,"",I33/Q33)</x:f>
        <x:v>0.1438</x:v>
      </x:c>
      <x:c r="K33" s="22" t="str">
        <x:f>IF(I33&gt;=0,"盈利","亏损")</x:f>
        <x:v>盈利</x:v>
      </x:c>
      <x:c r="L33" s="63" t="n">
        <x:f>IF(C33="转换(转入)",'参数与来源'!$B$9,'参数与来源'!$B$8)</x:f>
        <x:v>0.0015</x:v>
      </x:c>
      <x:c r="M33" s="62" t="n">
        <x:f>D33-E33</x:f>
        <x:v>49.92</x:v>
      </x:c>
      <x:c r="N33" s="64" t="n">
        <x:v>46094</x:v>
      </x:c>
      <x:c r="O33" s="61" t="n">
        <x:v>0</x:v>
      </x:c>
      <x:c r="P33" s="62" t="n">
        <x:f>G33-O33</x:f>
        <x:v>21.3</x:v>
      </x:c>
      <x:c r="Q33" s="62" t="n">
        <x:f>IF(G33=0,0,D33*P33/G33)</x:f>
        <x:v>50</x:v>
      </x:c>
      <x:c r="R33" s="25" t="n">
        <x:f>'参数与来源'!$B$4</x:f>
        <x:v>2.685</x:v>
      </x:c>
    </x:row>
    <x:row r="34">
      <x:c r="A34" s="59" t="str">
        <x:v>L030</x:v>
      </x:c>
      <x:c r="B34" s="60" t="n">
        <x:v>46097.465150462966</x:v>
      </x:c>
      <x:c r="C34" s="59" t="str">
        <x:v>定投</x:v>
      </x:c>
      <x:c r="D34" s="61" t="n">
        <x:v>50</x:v>
      </x:c>
      <x:c r="E34" s="62" t="n">
        <x:f>ROUND(D34*L34,2)</x:f>
        <x:v>0.08</x:v>
      </x:c>
      <x:c r="F34" s="25" t="n">
        <x:f>SUMIF('历史净值'!$A$3:$A$1954,N34,'历史净值'!$B$3:$B$1954)</x:f>
        <x:v>2.3934</x:v>
      </x:c>
      <x:c r="G34" s="62" t="n">
        <x:f>ROUND(M34/F34,2)</x:f>
        <x:v>20.86</x:v>
      </x:c>
      <x:c r="H34" s="62" t="n">
        <x:f>ROUND(P34*R34,2)</x:f>
        <x:v>56.01</x:v>
      </x:c>
      <x:c r="I34" s="62" t="n">
        <x:f>ROUND(H34-Q34,2)</x:f>
        <x:v>6.01</x:v>
      </x:c>
      <x:c r="J34" s="27" t="n">
        <x:f>IF(Q34=0,"",I34/Q34)</x:f>
        <x:v>0.1202</x:v>
      </x:c>
      <x:c r="K34" s="22" t="str">
        <x:f>IF(I34&gt;=0,"盈利","亏损")</x:f>
        <x:v>盈利</x:v>
      </x:c>
      <x:c r="L34" s="63" t="n">
        <x:f>IF(C34="转换(转入)",'参数与来源'!$B$9,'参数与来源'!$B$8)</x:f>
        <x:v>0.0015</x:v>
      </x:c>
      <x:c r="M34" s="62" t="n">
        <x:f>D34-E34</x:f>
        <x:v>49.92</x:v>
      </x:c>
      <x:c r="N34" s="64" t="n">
        <x:v>46097</x:v>
      </x:c>
      <x:c r="O34" s="61" t="n">
        <x:v>0</x:v>
      </x:c>
      <x:c r="P34" s="62" t="n">
        <x:f>G34-O34</x:f>
        <x:v>20.86</x:v>
      </x:c>
      <x:c r="Q34" s="62" t="n">
        <x:f>IF(G34=0,0,D34*P34/G34)</x:f>
        <x:v>50</x:v>
      </x:c>
      <x:c r="R34" s="25" t="n">
        <x:f>'参数与来源'!$B$4</x:f>
        <x:v>2.685</x:v>
      </x:c>
    </x:row>
    <x:row r="35">
      <x:c r="A35" s="59" t="str">
        <x:v>L031</x:v>
      </x:c>
      <x:c r="B35" s="60" t="n">
        <x:v>46098.45637731482</x:v>
      </x:c>
      <x:c r="C35" s="59" t="str">
        <x:v>定投</x:v>
      </x:c>
      <x:c r="D35" s="61" t="n">
        <x:v>50</x:v>
      </x:c>
      <x:c r="E35" s="62" t="n">
        <x:f>ROUND(D35*L35,2)</x:f>
        <x:v>0.08</x:v>
      </x:c>
      <x:c r="F35" s="25" t="n">
        <x:f>SUMIF('历史净值'!$A$3:$A$1954,N35,'历史净值'!$B$3:$B$1954)</x:f>
        <x:v>2.3788</x:v>
      </x:c>
      <x:c r="G35" s="62" t="n">
        <x:f>ROUND(M35/F35,2)</x:f>
        <x:v>20.99</x:v>
      </x:c>
      <x:c r="H35" s="62" t="n">
        <x:f>ROUND(P35*R35,2)</x:f>
        <x:v>56.36</x:v>
      </x:c>
      <x:c r="I35" s="62" t="n">
        <x:f>ROUND(H35-Q35,2)</x:f>
        <x:v>6.36</x:v>
      </x:c>
      <x:c r="J35" s="27" t="n">
        <x:f>IF(Q35=0,"",I35/Q35)</x:f>
        <x:v>0.12719999999999998</x:v>
      </x:c>
      <x:c r="K35" s="22" t="str">
        <x:f>IF(I35&gt;=0,"盈利","亏损")</x:f>
        <x:v>盈利</x:v>
      </x:c>
      <x:c r="L35" s="63" t="n">
        <x:f>IF(C35="转换(转入)",'参数与来源'!$B$9,'参数与来源'!$B$8)</x:f>
        <x:v>0.0015</x:v>
      </x:c>
      <x:c r="M35" s="62" t="n">
        <x:f>D35-E35</x:f>
        <x:v>49.92</x:v>
      </x:c>
      <x:c r="N35" s="64" t="n">
        <x:v>46098</x:v>
      </x:c>
      <x:c r="O35" s="61" t="n">
        <x:v>0</x:v>
      </x:c>
      <x:c r="P35" s="62" t="n">
        <x:f>G35-O35</x:f>
        <x:v>20.99</x:v>
      </x:c>
      <x:c r="Q35" s="62" t="n">
        <x:f>IF(G35=0,0,D35*P35/G35)</x:f>
        <x:v>50.00000000000001</x:v>
      </x:c>
      <x:c r="R35" s="25" t="n">
        <x:f>'参数与来源'!$B$4</x:f>
        <x:v>2.685</x:v>
      </x:c>
    </x:row>
    <x:row r="36">
      <x:c r="A36" s="59" t="str">
        <x:v>L032</x:v>
      </x:c>
      <x:c r="B36" s="60" t="n">
        <x:v>46099.455347222225</x:v>
      </x:c>
      <x:c r="C36" s="59" t="str">
        <x:v>定投</x:v>
      </x:c>
      <x:c r="D36" s="61" t="n">
        <x:v>50</x:v>
      </x:c>
      <x:c r="E36" s="62" t="n">
        <x:f>ROUND(D36*L36,2)</x:f>
        <x:v>0.08</x:v>
      </x:c>
      <x:c r="F36" s="25" t="n">
        <x:f>SUMIF('历史净值'!$A$3:$A$1954,N36,'历史净值'!$B$3:$B$1954)</x:f>
        <x:v>2.4235</x:v>
      </x:c>
      <x:c r="G36" s="62" t="n">
        <x:f>ROUND(M36/F36,2)</x:f>
        <x:v>20.6</x:v>
      </x:c>
      <x:c r="H36" s="62" t="n">
        <x:f>ROUND(P36*R36,2)</x:f>
        <x:v>55.31</x:v>
      </x:c>
      <x:c r="I36" s="62" t="n">
        <x:f>ROUND(H36-Q36,2)</x:f>
        <x:v>5.31</x:v>
      </x:c>
      <x:c r="J36" s="27" t="n">
        <x:f>IF(Q36=0,"",I36/Q36)</x:f>
        <x:v>0.10619999999999999</x:v>
      </x:c>
      <x:c r="K36" s="22" t="str">
        <x:f>IF(I36&gt;=0,"盈利","亏损")</x:f>
        <x:v>盈利</x:v>
      </x:c>
      <x:c r="L36" s="63" t="n">
        <x:f>IF(C36="转换(转入)",'参数与来源'!$B$9,'参数与来源'!$B$8)</x:f>
        <x:v>0.0015</x:v>
      </x:c>
      <x:c r="M36" s="62" t="n">
        <x:f>D36-E36</x:f>
        <x:v>49.92</x:v>
      </x:c>
      <x:c r="N36" s="64" t="n">
        <x:v>46099</x:v>
      </x:c>
      <x:c r="O36" s="61" t="n">
        <x:v>0</x:v>
      </x:c>
      <x:c r="P36" s="62" t="n">
        <x:f>G36-O36</x:f>
        <x:v>20.6</x:v>
      </x:c>
      <x:c r="Q36" s="62" t="n">
        <x:f>IF(G36=0,0,D36*P36/G36)</x:f>
        <x:v>50</x:v>
      </x:c>
      <x:c r="R36" s="25" t="n">
        <x:f>'参数与来源'!$B$4</x:f>
        <x:v>2.685</x:v>
      </x:c>
    </x:row>
    <x:row r="37">
      <x:c r="A37" s="59" t="str">
        <x:v>L033</x:v>
      </x:c>
      <x:c r="B37" s="60" t="n">
        <x:v>46100.45606481482</x:v>
      </x:c>
      <x:c r="C37" s="59" t="str">
        <x:v>定投</x:v>
      </x:c>
      <x:c r="D37" s="61" t="n">
        <x:v>50</x:v>
      </x:c>
      <x:c r="E37" s="62" t="n">
        <x:f>ROUND(D37*L37,2)</x:f>
        <x:v>0.08</x:v>
      </x:c>
      <x:c r="F37" s="25" t="n">
        <x:f>SUMIF('历史净值'!$A$3:$A$1954,N37,'历史净值'!$B$3:$B$1954)</x:f>
        <x:v>2.4562</x:v>
      </x:c>
      <x:c r="G37" s="62" t="n">
        <x:f>ROUND(M37/F37,2)</x:f>
        <x:v>20.32</x:v>
      </x:c>
      <x:c r="H37" s="62" t="n">
        <x:f>ROUND(P37*R37,2)</x:f>
        <x:v>54.56</x:v>
      </x:c>
      <x:c r="I37" s="62" t="n">
        <x:f>ROUND(H37-Q37,2)</x:f>
        <x:v>4.56</x:v>
      </x:c>
      <x:c r="J37" s="27" t="n">
        <x:f>IF(Q37=0,"",I37/Q37)</x:f>
        <x:v>0.09119999999999999</x:v>
      </x:c>
      <x:c r="K37" s="22" t="str">
        <x:f>IF(I37&gt;=0,"盈利","亏损")</x:f>
        <x:v>盈利</x:v>
      </x:c>
      <x:c r="L37" s="63" t="n">
        <x:f>IF(C37="转换(转入)",'参数与来源'!$B$9,'参数与来源'!$B$8)</x:f>
        <x:v>0.0015</x:v>
      </x:c>
      <x:c r="M37" s="62" t="n">
        <x:f>D37-E37</x:f>
        <x:v>49.92</x:v>
      </x:c>
      <x:c r="N37" s="64" t="n">
        <x:v>46100</x:v>
      </x:c>
      <x:c r="O37" s="61" t="n">
        <x:v>0</x:v>
      </x:c>
      <x:c r="P37" s="62" t="n">
        <x:f>G37-O37</x:f>
        <x:v>20.32</x:v>
      </x:c>
      <x:c r="Q37" s="62" t="n">
        <x:f>IF(G37=0,0,D37*P37/G37)</x:f>
        <x:v>50</x:v>
      </x:c>
      <x:c r="R37" s="25" t="n">
        <x:f>'参数与来源'!$B$4</x:f>
        <x:v>2.685</x:v>
      </x:c>
    </x:row>
    <x:row r="38">
      <x:c r="A38" s="59" t="str">
        <x:v>L034</x:v>
      </x:c>
      <x:c r="B38" s="60" t="n">
        <x:v>46101.450694444444</x:v>
      </x:c>
      <x:c r="C38" s="59" t="str">
        <x:v>定投</x:v>
      </x:c>
      <x:c r="D38" s="61" t="n">
        <x:v>50</x:v>
      </x:c>
      <x:c r="E38" s="62" t="n">
        <x:f>ROUND(D38*L38,2)</x:f>
        <x:v>0.08</x:v>
      </x:c>
      <x:c r="F38" s="25" t="n">
        <x:f>SUMIF('历史净值'!$A$3:$A$1954,N38,'历史净值'!$B$3:$B$1954)</x:f>
        <x:v>2.3708</x:v>
      </x:c>
      <x:c r="G38" s="62" t="n">
        <x:f>ROUND(M38/F38,2)</x:f>
        <x:v>21.06</x:v>
      </x:c>
      <x:c r="H38" s="62" t="n">
        <x:f>ROUND(P38*R38,2)</x:f>
        <x:v>56.55</x:v>
      </x:c>
      <x:c r="I38" s="62" t="n">
        <x:f>ROUND(H38-Q38,2)</x:f>
        <x:v>6.55</x:v>
      </x:c>
      <x:c r="J38" s="27" t="n">
        <x:f>IF(Q38=0,"",I38/Q38)</x:f>
        <x:v>0.131</x:v>
      </x:c>
      <x:c r="K38" s="22" t="str">
        <x:f>IF(I38&gt;=0,"盈利","亏损")</x:f>
        <x:v>盈利</x:v>
      </x:c>
      <x:c r="L38" s="63" t="n">
        <x:f>IF(C38="转换(转入)",'参数与来源'!$B$9,'参数与来源'!$B$8)</x:f>
        <x:v>0.0015</x:v>
      </x:c>
      <x:c r="M38" s="62" t="n">
        <x:f>D38-E38</x:f>
        <x:v>49.92</x:v>
      </x:c>
      <x:c r="N38" s="64" t="n">
        <x:v>46101</x:v>
      </x:c>
      <x:c r="O38" s="61" t="n">
        <x:v>0</x:v>
      </x:c>
      <x:c r="P38" s="62" t="n">
        <x:f>G38-O38</x:f>
        <x:v>21.06</x:v>
      </x:c>
      <x:c r="Q38" s="62" t="n">
        <x:f>IF(G38=0,0,D38*P38/G38)</x:f>
        <x:v>50</x:v>
      </x:c>
      <x:c r="R38" s="25" t="n">
        <x:f>'参数与来源'!$B$4</x:f>
        <x:v>2.685</x:v>
      </x:c>
    </x:row>
    <x:row r="39">
      <x:c r="A39" s="59" t="str">
        <x:v>L035</x:v>
      </x:c>
      <x:c r="B39" s="60" t="n">
        <x:v>46104.45853009259</x:v>
      </x:c>
      <x:c r="C39" s="59" t="str">
        <x:v>定投</x:v>
      </x:c>
      <x:c r="D39" s="61" t="n">
        <x:v>50</x:v>
      </x:c>
      <x:c r="E39" s="62" t="n">
        <x:f>ROUND(D39*L39,2)</x:f>
        <x:v>0.08</x:v>
      </x:c>
      <x:c r="F39" s="25" t="n">
        <x:f>SUMIF('历史净值'!$A$3:$A$1954,N39,'历史净值'!$B$3:$B$1954)</x:f>
        <x:v>2.3858</x:v>
      </x:c>
      <x:c r="G39" s="62" t="n">
        <x:f>ROUND(M39/F39,2)</x:f>
        <x:v>20.92</x:v>
      </x:c>
      <x:c r="H39" s="62" t="n">
        <x:f>ROUND(P39*R39,2)</x:f>
        <x:v>56.17</x:v>
      </x:c>
      <x:c r="I39" s="62" t="n">
        <x:f>ROUND(H39-Q39,2)</x:f>
        <x:v>6.17</x:v>
      </x:c>
      <x:c r="J39" s="27" t="n">
        <x:f>IF(Q39=0,"",I39/Q39)</x:f>
        <x:v>0.12340000000000001</x:v>
      </x:c>
      <x:c r="K39" s="22" t="str">
        <x:f>IF(I39&gt;=0,"盈利","亏损")</x:f>
        <x:v>盈利</x:v>
      </x:c>
      <x:c r="L39" s="63" t="n">
        <x:f>IF(C39="转换(转入)",'参数与来源'!$B$9,'参数与来源'!$B$8)</x:f>
        <x:v>0.0015</x:v>
      </x:c>
      <x:c r="M39" s="62" t="n">
        <x:f>D39-E39</x:f>
        <x:v>49.92</x:v>
      </x:c>
      <x:c r="N39" s="64" t="n">
        <x:v>46104</x:v>
      </x:c>
      <x:c r="O39" s="61" t="n">
        <x:v>0</x:v>
      </x:c>
      <x:c r="P39" s="62" t="n">
        <x:f>G39-O39</x:f>
        <x:v>20.92</x:v>
      </x:c>
      <x:c r="Q39" s="62" t="n">
        <x:f>IF(G39=0,0,D39*P39/G39)</x:f>
        <x:v>49.99999999999999</x:v>
      </x:c>
      <x:c r="R39" s="25" t="n">
        <x:f>'参数与来源'!$B$4</x:f>
        <x:v>2.685</x:v>
      </x:c>
    </x:row>
    <x:row r="40">
      <x:c r="A40" s="59" t="str">
        <x:v>L036</x:v>
      </x:c>
      <x:c r="B40" s="60" t="n">
        <x:v>46105.45019675926</x:v>
      </x:c>
      <x:c r="C40" s="59" t="str">
        <x:v>定投</x:v>
      </x:c>
      <x:c r="D40" s="61" t="n">
        <x:v>50</x:v>
      </x:c>
      <x:c r="E40" s="62" t="n">
        <x:f>ROUND(D40*L40,2)</x:f>
        <x:v>0.08</x:v>
      </x:c>
      <x:c r="F40" s="25" t="n">
        <x:f>SUMIF('历史净值'!$A$3:$A$1954,N40,'历史净值'!$B$3:$B$1954)</x:f>
        <x:v>2.4664</x:v>
      </x:c>
      <x:c r="G40" s="62" t="n">
        <x:f>ROUND(M40/F40,2)</x:f>
        <x:v>20.24</x:v>
      </x:c>
      <x:c r="H40" s="62" t="n">
        <x:f>ROUND(P40*R40,2)</x:f>
        <x:v>54.34</x:v>
      </x:c>
      <x:c r="I40" s="62" t="n">
        <x:f>ROUND(H40-Q40,2)</x:f>
        <x:v>4.34</x:v>
      </x:c>
      <x:c r="J40" s="27" t="n">
        <x:f>IF(Q40=0,"",I40/Q40)</x:f>
        <x:v>0.0868</x:v>
      </x:c>
      <x:c r="K40" s="22" t="str">
        <x:f>IF(I40&gt;=0,"盈利","亏损")</x:f>
        <x:v>盈利</x:v>
      </x:c>
      <x:c r="L40" s="63" t="n">
        <x:f>IF(C40="转换(转入)",'参数与来源'!$B$9,'参数与来源'!$B$8)</x:f>
        <x:v>0.0015</x:v>
      </x:c>
      <x:c r="M40" s="62" t="n">
        <x:f>D40-E40</x:f>
        <x:v>49.92</x:v>
      </x:c>
      <x:c r="N40" s="64" t="n">
        <x:v>46105</x:v>
      </x:c>
      <x:c r="O40" s="61" t="n">
        <x:v>0</x:v>
      </x:c>
      <x:c r="P40" s="62" t="n">
        <x:f>G40-O40</x:f>
        <x:v>20.24</x:v>
      </x:c>
      <x:c r="Q40" s="62" t="n">
        <x:f>IF(G40=0,0,D40*P40/G40)</x:f>
        <x:v>50</x:v>
      </x:c>
      <x:c r="R40" s="25" t="n">
        <x:f>'参数与来源'!$B$4</x:f>
        <x:v>2.685</x:v>
      </x:c>
    </x:row>
    <x:row r="41">
      <x:c r="A41" s="59" t="str">
        <x:v>L037</x:v>
      </x:c>
      <x:c r="B41" s="60" t="n">
        <x:v>46106.45019675926</x:v>
      </x:c>
      <x:c r="C41" s="59" t="str">
        <x:v>定投</x:v>
      </x:c>
      <x:c r="D41" s="61" t="n">
        <x:v>50</x:v>
      </x:c>
      <x:c r="E41" s="62" t="n">
        <x:f>ROUND(D41*L41,2)</x:f>
        <x:v>0.08</x:v>
      </x:c>
      <x:c r="F41" s="25" t="n">
        <x:f>SUMIF('历史净值'!$A$3:$A$1954,N41,'历史净值'!$B$3:$B$1954)</x:f>
        <x:v>2.4873</x:v>
      </x:c>
      <x:c r="G41" s="62" t="n">
        <x:f>ROUND(M41/F41,2)</x:f>
        <x:v>20.07</x:v>
      </x:c>
      <x:c r="H41" s="62" t="n">
        <x:f>ROUND(P41*R41,2)</x:f>
        <x:v>53.89</x:v>
      </x:c>
      <x:c r="I41" s="62" t="n">
        <x:f>ROUND(H41-Q41,2)</x:f>
        <x:v>3.89</x:v>
      </x:c>
      <x:c r="J41" s="27" t="n">
        <x:f>IF(Q41=0,"",I41/Q41)</x:f>
        <x:v>0.07780000000000001</x:v>
      </x:c>
      <x:c r="K41" s="22" t="str">
        <x:f>IF(I41&gt;=0,"盈利","亏损")</x:f>
        <x:v>盈利</x:v>
      </x:c>
      <x:c r="L41" s="63" t="n">
        <x:f>IF(C41="转换(转入)",'参数与来源'!$B$9,'参数与来源'!$B$8)</x:f>
        <x:v>0.0015</x:v>
      </x:c>
      <x:c r="M41" s="62" t="n">
        <x:f>D41-E41</x:f>
        <x:v>49.92</x:v>
      </x:c>
      <x:c r="N41" s="64" t="n">
        <x:v>46106</x:v>
      </x:c>
      <x:c r="O41" s="61" t="n">
        <x:v>0</x:v>
      </x:c>
      <x:c r="P41" s="62" t="n">
        <x:f>G41-O41</x:f>
        <x:v>20.07</x:v>
      </x:c>
      <x:c r="Q41" s="62" t="n">
        <x:f>IF(G41=0,0,D41*P41/G41)</x:f>
        <x:v>50</x:v>
      </x:c>
      <x:c r="R41" s="25" t="n">
        <x:f>'参数与来源'!$B$4</x:f>
        <x:v>2.685</x:v>
      </x:c>
    </x:row>
    <x:row r="42">
      <x:c r="A42" s="59" t="str">
        <x:v>L038</x:v>
      </x:c>
      <x:c r="B42" s="60" t="n">
        <x:v>46107.452581018515</x:v>
      </x:c>
      <x:c r="C42" s="59" t="str">
        <x:v>定投</x:v>
      </x:c>
      <x:c r="D42" s="61" t="n">
        <x:v>50</x:v>
      </x:c>
      <x:c r="E42" s="62" t="n">
        <x:f>ROUND(D42*L42,2)</x:f>
        <x:v>0.08</x:v>
      </x:c>
      <x:c r="F42" s="25" t="n">
        <x:f>SUMIF('历史净值'!$A$3:$A$1954,N42,'历史净值'!$B$3:$B$1954)</x:f>
        <x:v>2.336</x:v>
      </x:c>
      <x:c r="G42" s="62" t="n">
        <x:f>ROUND(M42/F42,2)</x:f>
        <x:v>21.37</x:v>
      </x:c>
      <x:c r="H42" s="62" t="n">
        <x:f>ROUND(P42*R42,2)</x:f>
        <x:v>57.38</x:v>
      </x:c>
      <x:c r="I42" s="62" t="n">
        <x:f>ROUND(H42-Q42,2)</x:f>
        <x:v>7.38</x:v>
      </x:c>
      <x:c r="J42" s="27" t="n">
        <x:f>IF(Q42=0,"",I42/Q42)</x:f>
        <x:v>0.1476</x:v>
      </x:c>
      <x:c r="K42" s="22" t="str">
        <x:f>IF(I42&gt;=0,"盈利","亏损")</x:f>
        <x:v>盈利</x:v>
      </x:c>
      <x:c r="L42" s="63" t="n">
        <x:f>IF(C42="转换(转入)",'参数与来源'!$B$9,'参数与来源'!$B$8)</x:f>
        <x:v>0.0015</x:v>
      </x:c>
      <x:c r="M42" s="62" t="n">
        <x:f>D42-E42</x:f>
        <x:v>49.92</x:v>
      </x:c>
      <x:c r="N42" s="64" t="n">
        <x:v>46107</x:v>
      </x:c>
      <x:c r="O42" s="61" t="n">
        <x:v>0</x:v>
      </x:c>
      <x:c r="P42" s="62" t="n">
        <x:f>G42-O42</x:f>
        <x:v>21.37</x:v>
      </x:c>
      <x:c r="Q42" s="62" t="n">
        <x:f>IF(G42=0,0,D42*P42/G42)</x:f>
        <x:v>50</x:v>
      </x:c>
      <x:c r="R42" s="25" t="n">
        <x:f>'参数与来源'!$B$4</x:f>
        <x:v>2.685</x:v>
      </x:c>
    </x:row>
    <x:row r="43">
      <x:c r="A43" s="59" t="str">
        <x:v>L039</x:v>
      </x:c>
      <x:c r="B43" s="60" t="n">
        <x:v>46108.44736111111</x:v>
      </x:c>
      <x:c r="C43" s="59" t="str">
        <x:v>定投</x:v>
      </x:c>
      <x:c r="D43" s="61" t="n">
        <x:v>50</x:v>
      </x:c>
      <x:c r="E43" s="62" t="n">
        <x:f>ROUND(D43*L43,2)</x:f>
        <x:v>0.08</x:v>
      </x:c>
      <x:c r="F43" s="25" t="n">
        <x:f>SUMIF('历史净值'!$A$3:$A$1954,N43,'历史净值'!$B$3:$B$1954)</x:f>
        <x:v>2.3406</x:v>
      </x:c>
      <x:c r="G43" s="62" t="n">
        <x:f>ROUND(M43/F43,2)</x:f>
        <x:v>21.33</x:v>
      </x:c>
      <x:c r="H43" s="62" t="n">
        <x:f>ROUND(P43*R43,2)</x:f>
        <x:v>57.27</x:v>
      </x:c>
      <x:c r="I43" s="62" t="n">
        <x:f>ROUND(H43-Q43,2)</x:f>
        <x:v>7.27</x:v>
      </x:c>
      <x:c r="J43" s="27" t="n">
        <x:f>IF(Q43=0,"",I43/Q43)</x:f>
        <x:v>0.14539999999999997</x:v>
      </x:c>
      <x:c r="K43" s="22" t="str">
        <x:f>IF(I43&gt;=0,"盈利","亏损")</x:f>
        <x:v>盈利</x:v>
      </x:c>
      <x:c r="L43" s="63" t="n">
        <x:f>IF(C43="转换(转入)",'参数与来源'!$B$9,'参数与来源'!$B$8)</x:f>
        <x:v>0.0015</x:v>
      </x:c>
      <x:c r="M43" s="62" t="n">
        <x:f>D43-E43</x:f>
        <x:v>49.92</x:v>
      </x:c>
      <x:c r="N43" s="64" t="n">
        <x:v>46108</x:v>
      </x:c>
      <x:c r="O43" s="61" t="n">
        <x:v>0</x:v>
      </x:c>
      <x:c r="P43" s="62" t="n">
        <x:f>G43-O43</x:f>
        <x:v>21.33</x:v>
      </x:c>
      <x:c r="Q43" s="62" t="n">
        <x:f>IF(G43=0,0,D43*P43/G43)</x:f>
        <x:v>50.00000000000001</x:v>
      </x:c>
      <x:c r="R43" s="25" t="n">
        <x:f>'参数与来源'!$B$4</x:f>
        <x:v>2.685</x:v>
      </x:c>
    </x:row>
    <x:row r="44">
      <x:c r="A44" s="59" t="str">
        <x:v>L040</x:v>
      </x:c>
      <x:c r="B44" s="60" t="n">
        <x:v>46111.454375</x:v>
      </x:c>
      <x:c r="C44" s="59" t="str">
        <x:v>定投</x:v>
      </x:c>
      <x:c r="D44" s="61" t="n">
        <x:v>50</x:v>
      </x:c>
      <x:c r="E44" s="62" t="n">
        <x:f>ROUND(D44*L44,2)</x:f>
        <x:v>0.08</x:v>
      </x:c>
      <x:c r="F44" s="25" t="n">
        <x:f>SUMIF('历史净值'!$A$3:$A$1954,N44,'历史净值'!$B$3:$B$1954)</x:f>
        <x:v>2.2427</x:v>
      </x:c>
      <x:c r="G44" s="62" t="n">
        <x:f>ROUND(M44/F44,2)</x:f>
        <x:v>22.26</x:v>
      </x:c>
      <x:c r="H44" s="62" t="n">
        <x:f>ROUND(P44*R44,2)</x:f>
        <x:v>59.77</x:v>
      </x:c>
      <x:c r="I44" s="62" t="n">
        <x:f>ROUND(H44-Q44,2)</x:f>
        <x:v>9.77</x:v>
      </x:c>
      <x:c r="J44" s="27" t="n">
        <x:f>IF(Q44=0,"",I44/Q44)</x:f>
        <x:v>0.1954</x:v>
      </x:c>
      <x:c r="K44" s="22" t="str">
        <x:f>IF(I44&gt;=0,"盈利","亏损")</x:f>
        <x:v>盈利</x:v>
      </x:c>
      <x:c r="L44" s="63" t="n">
        <x:f>IF(C44="转换(转入)",'参数与来源'!$B$9,'参数与来源'!$B$8)</x:f>
        <x:v>0.0015</x:v>
      </x:c>
      <x:c r="M44" s="62" t="n">
        <x:f>D44-E44</x:f>
        <x:v>49.92</x:v>
      </x:c>
      <x:c r="N44" s="64" t="n">
        <x:v>46111</x:v>
      </x:c>
      <x:c r="O44" s="61" t="n">
        <x:v>0</x:v>
      </x:c>
      <x:c r="P44" s="62" t="n">
        <x:f>G44-O44</x:f>
        <x:v>22.26</x:v>
      </x:c>
      <x:c r="Q44" s="62" t="n">
        <x:f>IF(G44=0,0,D44*P44/G44)</x:f>
        <x:v>50</x:v>
      </x:c>
      <x:c r="R44" s="25" t="n">
        <x:f>'参数与来源'!$B$4</x:f>
        <x:v>2.685</x:v>
      </x:c>
    </x:row>
    <x:row r="45">
      <x:c r="A45" s="59" t="str">
        <x:v>L041</x:v>
      </x:c>
      <x:c r="B45" s="60" t="n">
        <x:v>46112.446805555555</x:v>
      </x:c>
      <x:c r="C45" s="59" t="str">
        <x:v>定投</x:v>
      </x:c>
      <x:c r="D45" s="61" t="n">
        <x:v>50</x:v>
      </x:c>
      <x:c r="E45" s="62" t="n">
        <x:f>ROUND(D45*L45,2)</x:f>
        <x:v>0.08</x:v>
      </x:c>
      <x:c r="F45" s="25" t="n">
        <x:f>SUMIF('历史净值'!$A$3:$A$1954,N45,'历史净值'!$B$3:$B$1954)</x:f>
        <x:v>2.3201</x:v>
      </x:c>
      <x:c r="G45" s="62" t="n">
        <x:f>ROUND(M45/F45,2)</x:f>
        <x:v>21.52</x:v>
      </x:c>
      <x:c r="H45" s="62" t="n">
        <x:f>ROUND(P45*R45,2)</x:f>
        <x:v>57.78</x:v>
      </x:c>
      <x:c r="I45" s="62" t="n">
        <x:f>ROUND(H45-Q45,2)</x:f>
        <x:v>7.78</x:v>
      </x:c>
      <x:c r="J45" s="27" t="n">
        <x:f>IF(Q45=0,"",I45/Q45)</x:f>
        <x:v>0.15560000000000002</x:v>
      </x:c>
      <x:c r="K45" s="22" t="str">
        <x:f>IF(I45&gt;=0,"盈利","亏损")</x:f>
        <x:v>盈利</x:v>
      </x:c>
      <x:c r="L45" s="63" t="n">
        <x:f>IF(C45="转换(转入)",'参数与来源'!$B$9,'参数与来源'!$B$8)</x:f>
        <x:v>0.0015</x:v>
      </x:c>
      <x:c r="M45" s="62" t="n">
        <x:f>D45-E45</x:f>
        <x:v>49.92</x:v>
      </x:c>
      <x:c r="N45" s="64" t="n">
        <x:v>46112</x:v>
      </x:c>
      <x:c r="O45" s="61" t="n">
        <x:v>0</x:v>
      </x:c>
      <x:c r="P45" s="62" t="n">
        <x:f>G45-O45</x:f>
        <x:v>21.52</x:v>
      </x:c>
      <x:c r="Q45" s="62" t="n">
        <x:f>IF(G45=0,0,D45*P45/G45)</x:f>
        <x:v>50</x:v>
      </x:c>
      <x:c r="R45" s="25" t="n">
        <x:f>'参数与来源'!$B$4</x:f>
        <x:v>2.685</x:v>
      </x:c>
    </x:row>
    <x:row r="46">
      <x:c r="A46" s="59" t="str">
        <x:v>L042</x:v>
      </x:c>
      <x:c r="B46" s="60" t="n">
        <x:v>46113.44913194444</x:v>
      </x:c>
      <x:c r="C46" s="59" t="str">
        <x:v>定投</x:v>
      </x:c>
      <x:c r="D46" s="61" t="n">
        <x:v>50</x:v>
      </x:c>
      <x:c r="E46" s="62" t="n">
        <x:f>ROUND(D46*L46,2)</x:f>
        <x:v>0.08</x:v>
      </x:c>
      <x:c r="F46" s="25" t="n">
        <x:f>SUMIF('历史净值'!$A$3:$A$1954,N46,'历史净值'!$B$3:$B$1954)</x:f>
        <x:v>2.4071</x:v>
      </x:c>
      <x:c r="G46" s="62" t="n">
        <x:f>ROUND(M46/F46,2)</x:f>
        <x:v>20.74</x:v>
      </x:c>
      <x:c r="H46" s="62" t="n">
        <x:f>ROUND(P46*R46,2)</x:f>
        <x:v>55.69</x:v>
      </x:c>
      <x:c r="I46" s="62" t="n">
        <x:f>ROUND(H46-Q46,2)</x:f>
        <x:v>5.69</x:v>
      </x:c>
      <x:c r="J46" s="27" t="n">
        <x:f>IF(Q46=0,"",I46/Q46)</x:f>
        <x:v>0.1138</x:v>
      </x:c>
      <x:c r="K46" s="22" t="str">
        <x:f>IF(I46&gt;=0,"盈利","亏损")</x:f>
        <x:v>盈利</x:v>
      </x:c>
      <x:c r="L46" s="63" t="n">
        <x:f>IF(C46="转换(转入)",'参数与来源'!$B$9,'参数与来源'!$B$8)</x:f>
        <x:v>0.0015</x:v>
      </x:c>
      <x:c r="M46" s="62" t="n">
        <x:f>D46-E46</x:f>
        <x:v>49.92</x:v>
      </x:c>
      <x:c r="N46" s="64" t="n">
        <x:v>46113</x:v>
      </x:c>
      <x:c r="O46" s="61" t="n">
        <x:v>0</x:v>
      </x:c>
      <x:c r="P46" s="62" t="n">
        <x:f>G46-O46</x:f>
        <x:v>20.74</x:v>
      </x:c>
      <x:c r="Q46" s="62" t="n">
        <x:f>IF(G46=0,0,D46*P46/G46)</x:f>
        <x:v>50.00000000000001</x:v>
      </x:c>
      <x:c r="R46" s="25" t="n">
        <x:f>'参数与来源'!$B$4</x:f>
        <x:v>2.685</x:v>
      </x:c>
    </x:row>
    <x:row r="47">
      <x:c r="A47" s="59" t="str">
        <x:v>L043</x:v>
      </x:c>
      <x:c r="B47" s="60" t="n">
        <x:v>46114.44856481482</x:v>
      </x:c>
      <x:c r="C47" s="59" t="str">
        <x:v>定投</x:v>
      </x:c>
      <x:c r="D47" s="61" t="n">
        <x:v>50</x:v>
      </x:c>
      <x:c r="E47" s="62" t="n">
        <x:f>ROUND(D47*L47,2)</x:f>
        <x:v>0.08</x:v>
      </x:c>
      <x:c r="F47" s="25" t="n">
        <x:f>SUMIF('历史净值'!$A$3:$A$1954,N47,'历史净值'!$B$3:$B$1954)</x:f>
        <x:v>2.4321</x:v>
      </x:c>
      <x:c r="G47" s="62" t="n">
        <x:f>ROUND(M47/F47,2)</x:f>
        <x:v>20.53</x:v>
      </x:c>
      <x:c r="H47" s="62" t="n">
        <x:f>ROUND(P47*R47,2)</x:f>
        <x:v>55.12</x:v>
      </x:c>
      <x:c r="I47" s="62" t="n">
        <x:f>ROUND(H47-Q47,2)</x:f>
        <x:v>5.12</x:v>
      </x:c>
      <x:c r="J47" s="27" t="n">
        <x:f>IF(Q47=0,"",I47/Q47)</x:f>
        <x:v>0.1024</x:v>
      </x:c>
      <x:c r="K47" s="22" t="str">
        <x:f>IF(I47&gt;=0,"盈利","亏损")</x:f>
        <x:v>盈利</x:v>
      </x:c>
      <x:c r="L47" s="63" t="n">
        <x:f>IF(C47="转换(转入)",'参数与来源'!$B$9,'参数与来源'!$B$8)</x:f>
        <x:v>0.0015</x:v>
      </x:c>
      <x:c r="M47" s="62" t="n">
        <x:f>D47-E47</x:f>
        <x:v>49.92</x:v>
      </x:c>
      <x:c r="N47" s="64" t="n">
        <x:v>46114</x:v>
      </x:c>
      <x:c r="O47" s="61" t="n">
        <x:v>0</x:v>
      </x:c>
      <x:c r="P47" s="62" t="n">
        <x:f>G47-O47</x:f>
        <x:v>20.53</x:v>
      </x:c>
      <x:c r="Q47" s="62" t="n">
        <x:f>IF(G47=0,0,D47*P47/G47)</x:f>
        <x:v>50</x:v>
      </x:c>
      <x:c r="R47" s="25" t="n">
        <x:f>'参数与来源'!$B$4</x:f>
        <x:v>2.685</x:v>
      </x:c>
    </x:row>
    <x:row r="48">
      <x:c r="A48" s="59" t="str">
        <x:v>L044</x:v>
      </x:c>
      <x:c r="B48" s="60" t="n">
        <x:v>46120.40115740741</x:v>
      </x:c>
      <x:c r="C48" s="59" t="str">
        <x:v>定投</x:v>
      </x:c>
      <x:c r="D48" s="61" t="n">
        <x:v>50</x:v>
      </x:c>
      <x:c r="E48" s="62" t="n">
        <x:f>ROUND(D48*L48,2)</x:f>
        <x:v>0.08</x:v>
      </x:c>
      <x:c r="F48" s="25" t="n">
        <x:f>SUMIF('历史净值'!$A$3:$A$1954,N48,'历史净值'!$B$3:$B$1954)</x:f>
        <x:v>2.6651</x:v>
      </x:c>
      <x:c r="G48" s="62" t="n">
        <x:f>ROUND(M48/F48,2)</x:f>
        <x:v>18.73</x:v>
      </x:c>
      <x:c r="H48" s="62" t="n">
        <x:f>ROUND(P48*R48,2)</x:f>
        <x:v>50.29</x:v>
      </x:c>
      <x:c r="I48" s="62" t="n">
        <x:f>ROUND(H48-Q48,2)</x:f>
        <x:v>0.29</x:v>
      </x:c>
      <x:c r="J48" s="27" t="n">
        <x:f>IF(Q48=0,"",I48/Q48)</x:f>
        <x:v>0.0058</x:v>
      </x:c>
      <x:c r="K48" s="22" t="str">
        <x:f>IF(I48&gt;=0,"盈利","亏损")</x:f>
        <x:v>盈利</x:v>
      </x:c>
      <x:c r="L48" s="63" t="n">
        <x:f>IF(C48="转换(转入)",'参数与来源'!$B$9,'参数与来源'!$B$8)</x:f>
        <x:v>0.0015</x:v>
      </x:c>
      <x:c r="M48" s="62" t="n">
        <x:f>D48-E48</x:f>
        <x:v>49.92</x:v>
      </x:c>
      <x:c r="N48" s="64" t="n">
        <x:v>46120</x:v>
      </x:c>
      <x:c r="O48" s="61" t="n">
        <x:v>0</x:v>
      </x:c>
      <x:c r="P48" s="62" t="n">
        <x:f>G48-O48</x:f>
        <x:v>18.73</x:v>
      </x:c>
      <x:c r="Q48" s="62" t="n">
        <x:f>IF(G48=0,0,D48*P48/G48)</x:f>
        <x:v>50</x:v>
      </x:c>
      <x:c r="R48" s="25" t="n">
        <x:f>'参数与来源'!$B$4</x:f>
        <x:v>2.685</x:v>
      </x:c>
    </x:row>
    <x:row r="49">
      <x:c r="A49" s="59" t="str">
        <x:v>L045</x:v>
      </x:c>
      <x:c r="B49" s="60" t="n">
        <x:v>46121.402650462966</x:v>
      </x:c>
      <x:c r="C49" s="59" t="str">
        <x:v>定投</x:v>
      </x:c>
      <x:c r="D49" s="61" t="n">
        <x:v>50</x:v>
      </x:c>
      <x:c r="E49" s="62" t="n">
        <x:f>ROUND(D49*L49,2)</x:f>
        <x:v>0.08</x:v>
      </x:c>
      <x:c r="F49" s="25" t="n">
        <x:f>SUMIF('历史净值'!$A$3:$A$1954,N49,'历史净值'!$B$3:$B$1954)</x:f>
        <x:v>2.7035</x:v>
      </x:c>
      <x:c r="G49" s="62" t="n">
        <x:f>ROUND(M49/F49,2)</x:f>
        <x:v>18.46</x:v>
      </x:c>
      <x:c r="H49" s="62" t="n">
        <x:f>ROUND(P49*R49,2)</x:f>
        <x:v>49.57</x:v>
      </x:c>
      <x:c r="I49" s="62" t="n">
        <x:f>ROUND(H49-Q49,2)</x:f>
        <x:v>-0.43</x:v>
      </x:c>
      <x:c r="J49" s="27" t="n">
        <x:f>IF(Q49=0,"",I49/Q49)</x:f>
        <x:v>-0.0086</x:v>
      </x:c>
      <x:c r="K49" s="22" t="str">
        <x:f>IF(I49&gt;=0,"盈利","亏损")</x:f>
        <x:v>亏损</x:v>
      </x:c>
      <x:c r="L49" s="63" t="n">
        <x:f>IF(C49="转换(转入)",'参数与来源'!$B$9,'参数与来源'!$B$8)</x:f>
        <x:v>0.0015</x:v>
      </x:c>
      <x:c r="M49" s="62" t="n">
        <x:f>D49-E49</x:f>
        <x:v>49.92</x:v>
      </x:c>
      <x:c r="N49" s="64" t="n">
        <x:v>46121</x:v>
      </x:c>
      <x:c r="O49" s="61" t="n">
        <x:v>0</x:v>
      </x:c>
      <x:c r="P49" s="62" t="n">
        <x:f>G49-O49</x:f>
        <x:v>18.46</x:v>
      </x:c>
      <x:c r="Q49" s="62" t="n">
        <x:f>IF(G49=0,0,D49*P49/G49)</x:f>
        <x:v>50</x:v>
      </x:c>
      <x:c r="R49" s="25" t="n">
        <x:f>'参数与来源'!$B$4</x:f>
        <x:v>2.685</x:v>
      </x:c>
    </x:row>
    <x:row r="50">
      <x:c r="A50" s="59" t="str">
        <x:v>L046</x:v>
      </x:c>
      <x:c r="B50" s="60" t="n">
        <x:v>46122.399375</x:v>
      </x:c>
      <x:c r="C50" s="59" t="str">
        <x:v>定投</x:v>
      </x:c>
      <x:c r="D50" s="61" t="n">
        <x:v>50</x:v>
      </x:c>
      <x:c r="E50" s="62" t="n">
        <x:f>ROUND(D50*L50,2)</x:f>
        <x:v>0.08</x:v>
      </x:c>
      <x:c r="F50" s="25" t="n">
        <x:f>SUMIF('历史净值'!$A$3:$A$1954,N50,'历史净值'!$B$3:$B$1954)</x:f>
        <x:v>2.7522</x:v>
      </x:c>
      <x:c r="G50" s="62" t="n">
        <x:f>ROUND(M50/F50,2)</x:f>
        <x:v>18.14</x:v>
      </x:c>
      <x:c r="H50" s="62" t="n">
        <x:f>ROUND(P50*R50,2)</x:f>
        <x:v>48.71</x:v>
      </x:c>
      <x:c r="I50" s="62" t="n">
        <x:f>ROUND(H50-Q50,2)</x:f>
        <x:v>-1.29</x:v>
      </x:c>
      <x:c r="J50" s="27" t="n">
        <x:f>IF(Q50=0,"",I50/Q50)</x:f>
        <x:v>-0.0258</x:v>
      </x:c>
      <x:c r="K50" s="22" t="str">
        <x:f>IF(I50&gt;=0,"盈利","亏损")</x:f>
        <x:v>亏损</x:v>
      </x:c>
      <x:c r="L50" s="63" t="n">
        <x:f>IF(C50="转换(转入)",'参数与来源'!$B$9,'参数与来源'!$B$8)</x:f>
        <x:v>0.0015</x:v>
      </x:c>
      <x:c r="M50" s="62" t="n">
        <x:f>D50-E50</x:f>
        <x:v>49.92</x:v>
      </x:c>
      <x:c r="N50" s="64" t="n">
        <x:v>46122</x:v>
      </x:c>
      <x:c r="O50" s="61" t="n">
        <x:v>0</x:v>
      </x:c>
      <x:c r="P50" s="62" t="n">
        <x:f>G50-O50</x:f>
        <x:v>18.14</x:v>
      </x:c>
      <x:c r="Q50" s="62" t="n">
        <x:f>IF(G50=0,0,D50*P50/G50)</x:f>
        <x:v>50</x:v>
      </x:c>
      <x:c r="R50" s="25" t="n">
        <x:f>'参数与来源'!$B$4</x:f>
        <x:v>2.685</x:v>
      </x:c>
    </x:row>
    <x:row r="51">
      <x:c r="A51" s="59" t="str">
        <x:v>L047</x:v>
      </x:c>
      <x:c r="B51" s="60" t="n">
        <x:v>46125.40652777778</x:v>
      </x:c>
      <x:c r="C51" s="59" t="str">
        <x:v>定投</x:v>
      </x:c>
      <x:c r="D51" s="61" t="n">
        <x:v>50</x:v>
      </x:c>
      <x:c r="E51" s="62" t="n">
        <x:f>ROUND(D51*L51,2)</x:f>
        <x:v>0.08</x:v>
      </x:c>
      <x:c r="F51" s="25" t="n">
        <x:f>SUMIF('历史净值'!$A$3:$A$1954,N51,'历史净值'!$B$3:$B$1954)</x:f>
        <x:v>2.7823</x:v>
      </x:c>
      <x:c r="G51" s="62" t="n">
        <x:f>ROUND(M51/F51,2)</x:f>
        <x:v>17.94</x:v>
      </x:c>
      <x:c r="H51" s="62" t="n">
        <x:f>ROUND(P51*R51,2)</x:f>
        <x:v>48.17</x:v>
      </x:c>
      <x:c r="I51" s="62" t="n">
        <x:f>ROUND(H51-Q51,2)</x:f>
        <x:v>-1.83</x:v>
      </x:c>
      <x:c r="J51" s="27" t="n">
        <x:f>IF(Q51=0,"",I51/Q51)</x:f>
        <x:v>-0.0366</x:v>
      </x:c>
      <x:c r="K51" s="22" t="str">
        <x:f>IF(I51&gt;=0,"盈利","亏损")</x:f>
        <x:v>亏损</x:v>
      </x:c>
      <x:c r="L51" s="63" t="n">
        <x:f>IF(C51="转换(转入)",'参数与来源'!$B$9,'参数与来源'!$B$8)</x:f>
        <x:v>0.0015</x:v>
      </x:c>
      <x:c r="M51" s="62" t="n">
        <x:f>D51-E51</x:f>
        <x:v>49.92</x:v>
      </x:c>
      <x:c r="N51" s="64" t="n">
        <x:v>46125</x:v>
      </x:c>
      <x:c r="O51" s="61" t="n">
        <x:v>0</x:v>
      </x:c>
      <x:c r="P51" s="62" t="n">
        <x:f>G51-O51</x:f>
        <x:v>17.94</x:v>
      </x:c>
      <x:c r="Q51" s="62" t="n">
        <x:f>IF(G51=0,0,D51*P51/G51)</x:f>
        <x:v>50</x:v>
      </x:c>
      <x:c r="R51" s="25" t="n">
        <x:f>'参数与来源'!$B$4</x:f>
        <x:v>2.685</x:v>
      </x:c>
    </x:row>
    <x:row r="52">
      <x:c r="A52" s="59" t="str">
        <x:v>L048</x:v>
      </x:c>
      <x:c r="B52" s="60" t="n">
        <x:v>46126.39989583333</x:v>
      </x:c>
      <x:c r="C52" s="59" t="str">
        <x:v>定投</x:v>
      </x:c>
      <x:c r="D52" s="61" t="n">
        <x:v>50</x:v>
      </x:c>
      <x:c r="E52" s="62" t="n">
        <x:f>ROUND(D52*L52,2)</x:f>
        <x:v>0.08</x:v>
      </x:c>
      <x:c r="F52" s="25" t="n">
        <x:f>SUMIF('历史净值'!$A$3:$A$1954,N52,'历史净值'!$B$3:$B$1954)</x:f>
        <x:v>2.8248</x:v>
      </x:c>
      <x:c r="G52" s="62" t="n">
        <x:f>ROUND(M52/F52,2)</x:f>
        <x:v>17.67</x:v>
      </x:c>
      <x:c r="H52" s="62" t="n">
        <x:f>ROUND(P52*R52,2)</x:f>
        <x:v>47.44</x:v>
      </x:c>
      <x:c r="I52" s="62" t="n">
        <x:f>ROUND(H52-Q52,2)</x:f>
        <x:v>-2.56</x:v>
      </x:c>
      <x:c r="J52" s="27" t="n">
        <x:f>IF(Q52=0,"",I52/Q52)</x:f>
        <x:v>-0.0512</x:v>
      </x:c>
      <x:c r="K52" s="22" t="str">
        <x:f>IF(I52&gt;=0,"盈利","亏损")</x:f>
        <x:v>亏损</x:v>
      </x:c>
      <x:c r="L52" s="63" t="n">
        <x:f>IF(C52="转换(转入)",'参数与来源'!$B$9,'参数与来源'!$B$8)</x:f>
        <x:v>0.0015</x:v>
      </x:c>
      <x:c r="M52" s="62" t="n">
        <x:f>D52-E52</x:f>
        <x:v>49.92</x:v>
      </x:c>
      <x:c r="N52" s="64" t="n">
        <x:v>46126</x:v>
      </x:c>
      <x:c r="O52" s="61" t="n">
        <x:v>0</x:v>
      </x:c>
      <x:c r="P52" s="62" t="n">
        <x:f>G52-O52</x:f>
        <x:v>17.67</x:v>
      </x:c>
      <x:c r="Q52" s="62" t="n">
        <x:f>IF(G52=0,0,D52*P52/G52)</x:f>
        <x:v>50</x:v>
      </x:c>
      <x:c r="R52" s="25" t="n">
        <x:f>'参数与来源'!$B$4</x:f>
        <x:v>2.685</x:v>
      </x:c>
    </x:row>
    <x:row r="53">
      <x:c r="A53" s="59" t="str">
        <x:v>L049</x:v>
      </x:c>
      <x:c r="B53" s="60" t="n">
        <x:v>46127.45951388889</x:v>
      </x:c>
      <x:c r="C53" s="59" t="str">
        <x:v>定投</x:v>
      </x:c>
      <x:c r="D53" s="61" t="n">
        <x:v>100</x:v>
      </x:c>
      <x:c r="E53" s="62" t="n">
        <x:f>ROUND(D53*L53,2)</x:f>
        <x:v>0.15</x:v>
      </x:c>
      <x:c r="F53" s="25" t="n">
        <x:f>SUMIF('历史净值'!$A$3:$A$1954,N53,'历史净值'!$B$3:$B$1954)</x:f>
        <x:v>2.7851</x:v>
      </x:c>
      <x:c r="G53" s="62" t="n">
        <x:f>ROUND(M53/F53,2)</x:f>
        <x:v>35.85</x:v>
      </x:c>
      <x:c r="H53" s="62" t="n">
        <x:f>ROUND(P53*R53,2)</x:f>
        <x:v>96.26</x:v>
      </x:c>
      <x:c r="I53" s="62" t="n">
        <x:f>ROUND(H53-Q53,2)</x:f>
        <x:v>-3.74</x:v>
      </x:c>
      <x:c r="J53" s="27" t="n">
        <x:f>IF(Q53=0,"",I53/Q53)</x:f>
        <x:v>-0.0374</x:v>
      </x:c>
      <x:c r="K53" s="22" t="str">
        <x:f>IF(I53&gt;=0,"盈利","亏损")</x:f>
        <x:v>亏损</x:v>
      </x:c>
      <x:c r="L53" s="63" t="n">
        <x:f>IF(C53="转换(转入)",'参数与来源'!$B$9,'参数与来源'!$B$8)</x:f>
        <x:v>0.0015</x:v>
      </x:c>
      <x:c r="M53" s="62" t="n">
        <x:f>D53-E53</x:f>
        <x:v>99.85</x:v>
      </x:c>
      <x:c r="N53" s="64" t="n">
        <x:v>46127</x:v>
      </x:c>
      <x:c r="O53" s="61" t="n">
        <x:v>0</x:v>
      </x:c>
      <x:c r="P53" s="62" t="n">
        <x:f>G53-O53</x:f>
        <x:v>35.85</x:v>
      </x:c>
      <x:c r="Q53" s="62" t="n">
        <x:f>IF(G53=0,0,D53*P53/G53)</x:f>
        <x:v>100</x:v>
      </x:c>
      <x:c r="R53" s="25" t="n">
        <x:f>'参数与来源'!$B$4</x:f>
        <x:v>2.685</x:v>
      </x:c>
    </x:row>
    <x:row r="54">
      <x:c r="A54" s="59" t="str">
        <x:v>L050</x:v>
      </x:c>
      <x:c r="B54" s="60" t="n">
        <x:v>46128.459398148145</x:v>
      </x:c>
      <x:c r="C54" s="59" t="str">
        <x:v>定投</x:v>
      </x:c>
      <x:c r="D54" s="61" t="n">
        <x:v>100</x:v>
      </x:c>
      <x:c r="E54" s="62" t="n">
        <x:f>ROUND(D54*L54,2)</x:f>
        <x:v>0.15</x:v>
      </x:c>
      <x:c r="F54" s="25" t="n">
        <x:f>SUMIF('历史净值'!$A$3:$A$1954,N54,'历史净值'!$B$3:$B$1954)</x:f>
        <x:v>2.8388</x:v>
      </x:c>
      <x:c r="G54" s="62" t="n">
        <x:f>ROUND(M54/F54,2)</x:f>
        <x:v>35.17</x:v>
      </x:c>
      <x:c r="H54" s="62" t="n">
        <x:f>ROUND(P54*R54,2)</x:f>
        <x:v>94.43</x:v>
      </x:c>
      <x:c r="I54" s="62" t="n">
        <x:f>ROUND(H54-Q54,2)</x:f>
        <x:v>-5.57</x:v>
      </x:c>
      <x:c r="J54" s="27" t="n">
        <x:f>IF(Q54=0,"",I54/Q54)</x:f>
        <x:v>-0.0557</x:v>
      </x:c>
      <x:c r="K54" s="22" t="str">
        <x:f>IF(I54&gt;=0,"盈利","亏损")</x:f>
        <x:v>亏损</x:v>
      </x:c>
      <x:c r="L54" s="63" t="n">
        <x:f>IF(C54="转换(转入)",'参数与来源'!$B$9,'参数与来源'!$B$8)</x:f>
        <x:v>0.0015</x:v>
      </x:c>
      <x:c r="M54" s="62" t="n">
        <x:f>D54-E54</x:f>
        <x:v>99.85</x:v>
      </x:c>
      <x:c r="N54" s="64" t="n">
        <x:v>46128</x:v>
      </x:c>
      <x:c r="O54" s="61" t="n">
        <x:v>0</x:v>
      </x:c>
      <x:c r="P54" s="62" t="n">
        <x:f>G54-O54</x:f>
        <x:v>35.17</x:v>
      </x:c>
      <x:c r="Q54" s="62" t="n">
        <x:f>IF(G54=0,0,D54*P54/G54)</x:f>
        <x:v>100</x:v>
      </x:c>
      <x:c r="R54" s="25" t="n">
        <x:f>'参数与来源'!$B$4</x:f>
        <x:v>2.685</x:v>
      </x:c>
    </x:row>
    <x:row r="55">
      <x:c r="A55" s="59" t="str">
        <x:v>L051</x:v>
      </x:c>
      <x:c r="B55" s="60" t="n">
        <x:v>46129.45209490741</x:v>
      </x:c>
      <x:c r="C55" s="59" t="str">
        <x:v>定投</x:v>
      </x:c>
      <x:c r="D55" s="61" t="n">
        <x:v>100</x:v>
      </x:c>
      <x:c r="E55" s="62" t="n">
        <x:f>ROUND(D55*L55,2)</x:f>
        <x:v>0.15</x:v>
      </x:c>
      <x:c r="F55" s="25" t="n">
        <x:f>SUMIF('历史净值'!$A$3:$A$1954,N55,'历史净值'!$B$3:$B$1954)</x:f>
        <x:v>2.9198</x:v>
      </x:c>
      <x:c r="G55" s="62" t="n">
        <x:f>ROUND(M55/F55,2)</x:f>
        <x:v>34.2</x:v>
      </x:c>
      <x:c r="H55" s="62" t="n">
        <x:f>ROUND(P55*R55,2)</x:f>
        <x:v>91.83</x:v>
      </x:c>
      <x:c r="I55" s="62" t="n">
        <x:f>ROUND(H55-Q55,2)</x:f>
        <x:v>-8.17</x:v>
      </x:c>
      <x:c r="J55" s="27" t="n">
        <x:f>IF(Q55=0,"",I55/Q55)</x:f>
        <x:v>-0.0817</x:v>
      </x:c>
      <x:c r="K55" s="22" t="str">
        <x:f>IF(I55&gt;=0,"盈利","亏损")</x:f>
        <x:v>亏损</x:v>
      </x:c>
      <x:c r="L55" s="63" t="n">
        <x:f>IF(C55="转换(转入)",'参数与来源'!$B$9,'参数与来源'!$B$8)</x:f>
        <x:v>0.0015</x:v>
      </x:c>
      <x:c r="M55" s="62" t="n">
        <x:f>D55-E55</x:f>
        <x:v>99.85</x:v>
      </x:c>
      <x:c r="N55" s="64" t="n">
        <x:v>46129</x:v>
      </x:c>
      <x:c r="O55" s="61" t="n">
        <x:v>0</x:v>
      </x:c>
      <x:c r="P55" s="62" t="n">
        <x:f>G55-O55</x:f>
        <x:v>34.2</x:v>
      </x:c>
      <x:c r="Q55" s="62" t="n">
        <x:f>IF(G55=0,0,D55*P55/G55)</x:f>
        <x:v>100</x:v>
      </x:c>
      <x:c r="R55" s="25" t="n">
        <x:f>'参数与来源'!$B$4</x:f>
        <x:v>2.685</x:v>
      </x:c>
    </x:row>
    <x:row r="56">
      <x:c r="A56" s="59" t="str">
        <x:v>L052</x:v>
      </x:c>
      <x:c r="B56" s="60" t="n">
        <x:v>46132.45847222222</x:v>
      </x:c>
      <x:c r="C56" s="59" t="str">
        <x:v>定投</x:v>
      </x:c>
      <x:c r="D56" s="61" t="n">
        <x:v>100</x:v>
      </x:c>
      <x:c r="E56" s="62" t="n">
        <x:f>ROUND(D56*L56,2)</x:f>
        <x:v>0.15</x:v>
      </x:c>
      <x:c r="F56" s="25" t="n">
        <x:f>SUMIF('历史净值'!$A$3:$A$1954,N56,'历史净值'!$B$3:$B$1954)</x:f>
        <x:v>2.9213</x:v>
      </x:c>
      <x:c r="G56" s="62" t="n">
        <x:f>ROUND(M56/F56,2)</x:f>
        <x:v>34.18</x:v>
      </x:c>
      <x:c r="H56" s="62" t="n">
        <x:f>ROUND(P56*R56,2)</x:f>
        <x:v>91.77</x:v>
      </x:c>
      <x:c r="I56" s="62" t="n">
        <x:f>ROUND(H56-Q56,2)</x:f>
        <x:v>-8.23</x:v>
      </x:c>
      <x:c r="J56" s="27" t="n">
        <x:f>IF(Q56=0,"",I56/Q56)</x:f>
        <x:v>-0.0823</x:v>
      </x:c>
      <x:c r="K56" s="22" t="str">
        <x:f>IF(I56&gt;=0,"盈利","亏损")</x:f>
        <x:v>亏损</x:v>
      </x:c>
      <x:c r="L56" s="63" t="n">
        <x:f>IF(C56="转换(转入)",'参数与来源'!$B$9,'参数与来源'!$B$8)</x:f>
        <x:v>0.0015</x:v>
      </x:c>
      <x:c r="M56" s="62" t="n">
        <x:f>D56-E56</x:f>
        <x:v>99.85</x:v>
      </x:c>
      <x:c r="N56" s="64" t="n">
        <x:v>46132</x:v>
      </x:c>
      <x:c r="O56" s="61" t="n">
        <x:v>0</x:v>
      </x:c>
      <x:c r="P56" s="62" t="n">
        <x:f>G56-O56</x:f>
        <x:v>34.18</x:v>
      </x:c>
      <x:c r="Q56" s="62" t="n">
        <x:f>IF(G56=0,0,D56*P56/G56)</x:f>
        <x:v>100</x:v>
      </x:c>
      <x:c r="R56" s="25" t="n">
        <x:f>'参数与来源'!$B$4</x:f>
        <x:v>2.685</x:v>
      </x:c>
    </x:row>
    <x:row r="57">
      <x:c r="A57" s="59" t="str">
        <x:v>L053</x:v>
      </x:c>
      <x:c r="B57" s="60" t="n">
        <x:v>46133.45125</x:v>
      </x:c>
      <x:c r="C57" s="59" t="str">
        <x:v>定投</x:v>
      </x:c>
      <x:c r="D57" s="61" t="n">
        <x:v>100</x:v>
      </x:c>
      <x:c r="E57" s="62" t="n">
        <x:f>ROUND(D57*L57,2)</x:f>
        <x:v>0.15</x:v>
      </x:c>
      <x:c r="F57" s="25" t="n">
        <x:f>SUMIF('历史净值'!$A$3:$A$1954,N57,'历史净值'!$B$3:$B$1954)</x:f>
        <x:v>2.9182</x:v>
      </x:c>
      <x:c r="G57" s="62" t="n">
        <x:f>ROUND(M57/F57,2)</x:f>
        <x:v>34.22</x:v>
      </x:c>
      <x:c r="H57" s="62" t="n">
        <x:f>ROUND(P57*R57,2)</x:f>
        <x:v>91.88</x:v>
      </x:c>
      <x:c r="I57" s="62" t="n">
        <x:f>ROUND(H57-Q57,2)</x:f>
        <x:v>-8.12</x:v>
      </x:c>
      <x:c r="J57" s="27" t="n">
        <x:f>IF(Q57=0,"",I57/Q57)</x:f>
        <x:v>-0.0812</x:v>
      </x:c>
      <x:c r="K57" s="22" t="str">
        <x:f>IF(I57&gt;=0,"盈利","亏损")</x:f>
        <x:v>亏损</x:v>
      </x:c>
      <x:c r="L57" s="63" t="n">
        <x:f>IF(C57="转换(转入)",'参数与来源'!$B$9,'参数与来源'!$B$8)</x:f>
        <x:v>0.0015</x:v>
      </x:c>
      <x:c r="M57" s="62" t="n">
        <x:f>D57-E57</x:f>
        <x:v>99.85</x:v>
      </x:c>
      <x:c r="N57" s="64" t="n">
        <x:v>46133</x:v>
      </x:c>
      <x:c r="O57" s="61" t="n">
        <x:v>0</x:v>
      </x:c>
      <x:c r="P57" s="62" t="n">
        <x:f>G57-O57</x:f>
        <x:v>34.22</x:v>
      </x:c>
      <x:c r="Q57" s="62" t="n">
        <x:f>IF(G57=0,0,D57*P57/G57)</x:f>
        <x:v>100</x:v>
      </x:c>
      <x:c r="R57" s="25" t="n">
        <x:f>'参数与来源'!$B$4</x:f>
        <x:v>2.685</x:v>
      </x:c>
    </x:row>
    <x:row r="58">
      <x:c r="A58" s="59" t="str">
        <x:v>L054</x:v>
      </x:c>
      <x:c r="B58" s="60" t="n">
        <x:v>46134.45009259259</x:v>
      </x:c>
      <x:c r="C58" s="59" t="str">
        <x:v>定投</x:v>
      </x:c>
      <x:c r="D58" s="61" t="n">
        <x:v>100</x:v>
      </x:c>
      <x:c r="E58" s="62" t="n">
        <x:f>ROUND(D58*L58,2)</x:f>
        <x:v>0.15</x:v>
      </x:c>
      <x:c r="F58" s="25" t="n">
        <x:f>SUMIF('历史净值'!$A$3:$A$1954,N58,'历史净值'!$B$3:$B$1954)</x:f>
        <x:v>3.0173</x:v>
      </x:c>
      <x:c r="G58" s="62" t="n">
        <x:f>ROUND(M58/F58,2)</x:f>
        <x:v>33.09</x:v>
      </x:c>
      <x:c r="H58" s="62" t="n">
        <x:f>ROUND(P58*R58,2)</x:f>
        <x:v>88.85</x:v>
      </x:c>
      <x:c r="I58" s="62" t="n">
        <x:f>ROUND(H58-Q58,2)</x:f>
        <x:v>-11.15</x:v>
      </x:c>
      <x:c r="J58" s="27" t="n">
        <x:f>IF(Q58=0,"",I58/Q58)</x:f>
        <x:v>-0.1115</x:v>
      </x:c>
      <x:c r="K58" s="22" t="str">
        <x:f>IF(I58&gt;=0,"盈利","亏损")</x:f>
        <x:v>亏损</x:v>
      </x:c>
      <x:c r="L58" s="63" t="n">
        <x:f>IF(C58="转换(转入)",'参数与来源'!$B$9,'参数与来源'!$B$8)</x:f>
        <x:v>0.0015</x:v>
      </x:c>
      <x:c r="M58" s="62" t="n">
        <x:f>D58-E58</x:f>
        <x:v>99.85</x:v>
      </x:c>
      <x:c r="N58" s="64" t="n">
        <x:v>46134</x:v>
      </x:c>
      <x:c r="O58" s="61" t="n">
        <x:v>0</x:v>
      </x:c>
      <x:c r="P58" s="62" t="n">
        <x:f>G58-O58</x:f>
        <x:v>33.09</x:v>
      </x:c>
      <x:c r="Q58" s="62" t="n">
        <x:f>IF(G58=0,0,D58*P58/G58)</x:f>
        <x:v>100</x:v>
      </x:c>
      <x:c r="R58" s="25" t="n">
        <x:f>'参数与来源'!$B$4</x:f>
        <x:v>2.685</x:v>
      </x:c>
    </x:row>
    <x:row r="59">
      <x:c r="A59" s="59" t="str">
        <x:v>L055</x:v>
      </x:c>
      <x:c r="B59" s="60" t="n">
        <x:v>46135.451840277776</x:v>
      </x:c>
      <x:c r="C59" s="59" t="str">
        <x:v>定投</x:v>
      </x:c>
      <x:c r="D59" s="61" t="n">
        <x:v>100</x:v>
      </x:c>
      <x:c r="E59" s="62" t="n">
        <x:f>ROUND(D59*L59,2)</x:f>
        <x:v>0.15</x:v>
      </x:c>
      <x:c r="F59" s="25" t="n">
        <x:f>SUMIF('历史净值'!$A$3:$A$1954,N59,'历史净值'!$B$3:$B$1954)</x:f>
        <x:v>3.0007</x:v>
      </x:c>
      <x:c r="G59" s="62" t="n">
        <x:f>ROUND(M59/F59,2)</x:f>
        <x:v>33.28</x:v>
      </x:c>
      <x:c r="H59" s="62" t="n">
        <x:f>ROUND(P59*R59,2)</x:f>
        <x:v>89.36</x:v>
      </x:c>
      <x:c r="I59" s="62" t="n">
        <x:f>ROUND(H59-Q59,2)</x:f>
        <x:v>-10.64</x:v>
      </x:c>
      <x:c r="J59" s="27" t="n">
        <x:f>IF(Q59=0,"",I59/Q59)</x:f>
        <x:v>-0.10640000000000001</x:v>
      </x:c>
      <x:c r="K59" s="22" t="str">
        <x:f>IF(I59&gt;=0,"盈利","亏损")</x:f>
        <x:v>亏损</x:v>
      </x:c>
      <x:c r="L59" s="63" t="n">
        <x:f>IF(C59="转换(转入)",'参数与来源'!$B$9,'参数与来源'!$B$8)</x:f>
        <x:v>0.0015</x:v>
      </x:c>
      <x:c r="M59" s="62" t="n">
        <x:f>D59-E59</x:f>
        <x:v>99.85</x:v>
      </x:c>
      <x:c r="N59" s="64" t="n">
        <x:v>46135</x:v>
      </x:c>
      <x:c r="O59" s="61" t="n">
        <x:v>0</x:v>
      </x:c>
      <x:c r="P59" s="62" t="n">
        <x:f>G59-O59</x:f>
        <x:v>33.28</x:v>
      </x:c>
      <x:c r="Q59" s="62" t="n">
        <x:f>IF(G59=0,0,D59*P59/G59)</x:f>
        <x:v>100</x:v>
      </x:c>
      <x:c r="R59" s="25" t="n">
        <x:f>'参数与来源'!$B$4</x:f>
        <x:v>2.685</x:v>
      </x:c>
    </x:row>
    <x:row r="60">
      <x:c r="A60" s="59" t="str">
        <x:v>L056</x:v>
      </x:c>
      <x:c r="B60" s="60" t="n">
        <x:v>46136.449953703705</x:v>
      </x:c>
      <x:c r="C60" s="59" t="str">
        <x:v>定投</x:v>
      </x:c>
      <x:c r="D60" s="61" t="n">
        <x:v>100</x:v>
      </x:c>
      <x:c r="E60" s="62" t="n">
        <x:f>ROUND(D60*L60,2)</x:f>
        <x:v>0.15</x:v>
      </x:c>
      <x:c r="F60" s="25" t="n">
        <x:f>SUMIF('历史净值'!$A$3:$A$1954,N60,'历史净值'!$B$3:$B$1954)</x:f>
        <x:v>3.0441</x:v>
      </x:c>
      <x:c r="G60" s="62" t="n">
        <x:f>ROUND(M60/F60,2)</x:f>
        <x:v>32.8</x:v>
      </x:c>
      <x:c r="H60" s="62" t="n">
        <x:f>ROUND(P60*R60,2)</x:f>
        <x:v>88.07</x:v>
      </x:c>
      <x:c r="I60" s="62" t="n">
        <x:f>ROUND(H60-Q60,2)</x:f>
        <x:v>-11.93</x:v>
      </x:c>
      <x:c r="J60" s="27" t="n">
        <x:f>IF(Q60=0,"",I60/Q60)</x:f>
        <x:v>-0.1193</x:v>
      </x:c>
      <x:c r="K60" s="22" t="str">
        <x:f>IF(I60&gt;=0,"盈利","亏损")</x:f>
        <x:v>亏损</x:v>
      </x:c>
      <x:c r="L60" s="63" t="n">
        <x:f>IF(C60="转换(转入)",'参数与来源'!$B$9,'参数与来源'!$B$8)</x:f>
        <x:v>0.0015</x:v>
      </x:c>
      <x:c r="M60" s="62" t="n">
        <x:f>D60-E60</x:f>
        <x:v>99.85</x:v>
      </x:c>
      <x:c r="N60" s="64" t="n">
        <x:v>46136</x:v>
      </x:c>
      <x:c r="O60" s="61" t="n">
        <x:v>0</x:v>
      </x:c>
      <x:c r="P60" s="62" t="n">
        <x:f>G60-O60</x:f>
        <x:v>32.8</x:v>
      </x:c>
      <x:c r="Q60" s="62" t="n">
        <x:f>IF(G60=0,0,D60*P60/G60)</x:f>
        <x:v>100</x:v>
      </x:c>
      <x:c r="R60" s="25" t="n">
        <x:f>'参数与来源'!$B$4</x:f>
        <x:v>2.685</x:v>
      </x:c>
    </x:row>
    <x:row r="61">
      <x:c r="A61" s="59" t="str">
        <x:v>L057</x:v>
      </x:c>
      <x:c r="B61" s="60" t="n">
        <x:v>46139.455671296295</x:v>
      </x:c>
      <x:c r="C61" s="59" t="str">
        <x:v>定投</x:v>
      </x:c>
      <x:c r="D61" s="61" t="n">
        <x:v>100</x:v>
      </x:c>
      <x:c r="E61" s="62" t="n">
        <x:f>ROUND(D61*L61,2)</x:f>
        <x:v>0.15</x:v>
      </x:c>
      <x:c r="F61" s="25" t="n">
        <x:f>SUMIF('历史净值'!$A$3:$A$1954,N61,'历史净值'!$B$3:$B$1954)</x:f>
        <x:v>3.0093</x:v>
      </x:c>
      <x:c r="G61" s="62" t="n">
        <x:f>ROUND(M61/F61,2)</x:f>
        <x:v>33.18</x:v>
      </x:c>
      <x:c r="H61" s="62" t="n">
        <x:f>ROUND(P61*R61,2)</x:f>
        <x:v>89.09</x:v>
      </x:c>
      <x:c r="I61" s="62" t="n">
        <x:f>ROUND(H61-Q61,2)</x:f>
        <x:v>-10.91</x:v>
      </x:c>
      <x:c r="J61" s="27" t="n">
        <x:f>IF(Q61=0,"",I61/Q61)</x:f>
        <x:v>-0.1091</x:v>
      </x:c>
      <x:c r="K61" s="22" t="str">
        <x:f>IF(I61&gt;=0,"盈利","亏损")</x:f>
        <x:v>亏损</x:v>
      </x:c>
      <x:c r="L61" s="63" t="n">
        <x:f>IF(C61="转换(转入)",'参数与来源'!$B$9,'参数与来源'!$B$8)</x:f>
        <x:v>0.0015</x:v>
      </x:c>
      <x:c r="M61" s="62" t="n">
        <x:f>D61-E61</x:f>
        <x:v>99.85</x:v>
      </x:c>
      <x:c r="N61" s="64" t="n">
        <x:v>46139</x:v>
      </x:c>
      <x:c r="O61" s="61" t="n">
        <x:v>0</x:v>
      </x:c>
      <x:c r="P61" s="62" t="n">
        <x:f>G61-O61</x:f>
        <x:v>33.18</x:v>
      </x:c>
      <x:c r="Q61" s="62" t="n">
        <x:f>IF(G61=0,0,D61*P61/G61)</x:f>
        <x:v>100</x:v>
      </x:c>
      <x:c r="R61" s="25" t="n">
        <x:f>'参数与来源'!$B$4</x:f>
        <x:v>2.685</x:v>
      </x:c>
    </x:row>
    <x:row r="62">
      <x:c r="A62" s="59" t="str">
        <x:v>L058</x:v>
      </x:c>
      <x:c r="B62" s="60" t="n">
        <x:v>46140.44825231482</x:v>
      </x:c>
      <x:c r="C62" s="59" t="str">
        <x:v>定投</x:v>
      </x:c>
      <x:c r="D62" s="61" t="n">
        <x:v>100</x:v>
      </x:c>
      <x:c r="E62" s="62" t="n">
        <x:f>ROUND(D62*L62,2)</x:f>
        <x:v>0.15</x:v>
      </x:c>
      <x:c r="F62" s="25" t="n">
        <x:f>SUMIF('历史净值'!$A$3:$A$1954,N62,'历史净值'!$B$3:$B$1954)</x:f>
        <x:v>2.8963</x:v>
      </x:c>
      <x:c r="G62" s="62" t="n">
        <x:f>ROUND(M62/F62,2)</x:f>
        <x:v>34.48</x:v>
      </x:c>
      <x:c r="H62" s="62" t="n">
        <x:f>ROUND(P62*R62,2)</x:f>
        <x:v>92.58</x:v>
      </x:c>
      <x:c r="I62" s="62" t="n">
        <x:f>ROUND(H62-Q62,2)</x:f>
        <x:v>-7.42</x:v>
      </x:c>
      <x:c r="J62" s="27" t="n">
        <x:f>IF(Q62=0,"",I62/Q62)</x:f>
        <x:v>-0.0742</x:v>
      </x:c>
      <x:c r="K62" s="22" t="str">
        <x:f>IF(I62&gt;=0,"盈利","亏损")</x:f>
        <x:v>亏损</x:v>
      </x:c>
      <x:c r="L62" s="63" t="n">
        <x:f>IF(C62="转换(转入)",'参数与来源'!$B$9,'参数与来源'!$B$8)</x:f>
        <x:v>0.0015</x:v>
      </x:c>
      <x:c r="M62" s="62" t="n">
        <x:f>D62-E62</x:f>
        <x:v>99.85</x:v>
      </x:c>
      <x:c r="N62" s="64" t="n">
        <x:v>46140</x:v>
      </x:c>
      <x:c r="O62" s="61" t="n">
        <x:v>0</x:v>
      </x:c>
      <x:c r="P62" s="62" t="n">
        <x:f>G62-O62</x:f>
        <x:v>34.48</x:v>
      </x:c>
      <x:c r="Q62" s="62" t="n">
        <x:f>IF(G62=0,0,D62*P62/G62)</x:f>
        <x:v>100</x:v>
      </x:c>
      <x:c r="R62" s="25" t="n">
        <x:f>'参数与来源'!$B$4</x:f>
        <x:v>2.685</x:v>
      </x:c>
    </x:row>
    <x:row r="63">
      <x:c r="A63" s="59" t="str">
        <x:v>L059</x:v>
      </x:c>
      <x:c r="B63" s="60" t="n">
        <x:v>46141.463912037034</x:v>
      </x:c>
      <x:c r="C63" s="59" t="str">
        <x:v>定投</x:v>
      </x:c>
      <x:c r="D63" s="61" t="n">
        <x:v>100</x:v>
      </x:c>
      <x:c r="E63" s="62" t="n">
        <x:f>ROUND(D63*L63,2)</x:f>
        <x:v>0.15</x:v>
      </x:c>
      <x:c r="F63" s="25" t="n">
        <x:f>SUMIF('历史净值'!$A$3:$A$1954,N63,'历史净值'!$B$3:$B$1954)</x:f>
        <x:v>2.9503</x:v>
      </x:c>
      <x:c r="G63" s="62" t="n">
        <x:f>ROUND(M63/F63,2)</x:f>
        <x:v>33.84</x:v>
      </x:c>
      <x:c r="H63" s="62" t="n">
        <x:f>ROUND(P63*R63,2)</x:f>
        <x:v>90.86</x:v>
      </x:c>
      <x:c r="I63" s="62" t="n">
        <x:f>ROUND(H63-Q63,2)</x:f>
        <x:v>-9.14</x:v>
      </x:c>
      <x:c r="J63" s="27" t="n">
        <x:f>IF(Q63=0,"",I63/Q63)</x:f>
        <x:v>-0.09140000000000001</x:v>
      </x:c>
      <x:c r="K63" s="22" t="str">
        <x:f>IF(I63&gt;=0,"盈利","亏损")</x:f>
        <x:v>亏损</x:v>
      </x:c>
      <x:c r="L63" s="63" t="n">
        <x:f>IF(C63="转换(转入)",'参数与来源'!$B$9,'参数与来源'!$B$8)</x:f>
        <x:v>0.0015</x:v>
      </x:c>
      <x:c r="M63" s="62" t="n">
        <x:f>D63-E63</x:f>
        <x:v>99.85</x:v>
      </x:c>
      <x:c r="N63" s="64" t="n">
        <x:v>46141</x:v>
      </x:c>
      <x:c r="O63" s="61" t="n">
        <x:v>0</x:v>
      </x:c>
      <x:c r="P63" s="62" t="n">
        <x:f>G63-O63</x:f>
        <x:v>33.84</x:v>
      </x:c>
      <x:c r="Q63" s="62" t="n">
        <x:f>IF(G63=0,0,D63*P63/G63)</x:f>
        <x:v>100</x:v>
      </x:c>
      <x:c r="R63" s="25" t="n">
        <x:f>'参数与来源'!$B$4</x:f>
        <x:v>2.685</x:v>
      </x:c>
    </x:row>
    <x:row r="64">
      <x:c r="A64" s="59" t="str">
        <x:v>L060</x:v>
      </x:c>
      <x:c r="B64" s="60" t="n">
        <x:v>46142.466782407406</x:v>
      </x:c>
      <x:c r="C64" s="59" t="str">
        <x:v>定投</x:v>
      </x:c>
      <x:c r="D64" s="61" t="n">
        <x:v>100</x:v>
      </x:c>
      <x:c r="E64" s="62" t="n">
        <x:f>ROUND(D64*L64,2)</x:f>
        <x:v>0.15</x:v>
      </x:c>
      <x:c r="F64" s="25" t="n">
        <x:f>SUMIF('历史净值'!$A$3:$A$1954,N64,'历史净值'!$B$3:$B$1954)</x:f>
        <x:v>3.0193</x:v>
      </x:c>
      <x:c r="G64" s="62" t="n">
        <x:f>ROUND(M64/F64,2)</x:f>
        <x:v>33.07</x:v>
      </x:c>
      <x:c r="H64" s="62" t="n">
        <x:f>ROUND(P64*R64,2)</x:f>
        <x:v>88.79</x:v>
      </x:c>
      <x:c r="I64" s="62" t="n">
        <x:f>ROUND(H64-Q64,2)</x:f>
        <x:v>-11.21</x:v>
      </x:c>
      <x:c r="J64" s="27" t="n">
        <x:f>IF(Q64=0,"",I64/Q64)</x:f>
        <x:v>-0.1121</x:v>
      </x:c>
      <x:c r="K64" s="22" t="str">
        <x:f>IF(I64&gt;=0,"盈利","亏损")</x:f>
        <x:v>亏损</x:v>
      </x:c>
      <x:c r="L64" s="63" t="n">
        <x:f>IF(C64="转换(转入)",'参数与来源'!$B$9,'参数与来源'!$B$8)</x:f>
        <x:v>0.0015</x:v>
      </x:c>
      <x:c r="M64" s="62" t="n">
        <x:f>D64-E64</x:f>
        <x:v>99.85</x:v>
      </x:c>
      <x:c r="N64" s="64" t="n">
        <x:v>46142</x:v>
      </x:c>
      <x:c r="O64" s="61" t="n">
        <x:v>0</x:v>
      </x:c>
      <x:c r="P64" s="62" t="n">
        <x:f>G64-O64</x:f>
        <x:v>33.07</x:v>
      </x:c>
      <x:c r="Q64" s="62" t="n">
        <x:f>IF(G64=0,0,D64*P64/G64)</x:f>
        <x:v>100</x:v>
      </x:c>
      <x:c r="R64" s="25" t="n">
        <x:f>'参数与来源'!$B$4</x:f>
        <x:v>2.685</x:v>
      </x:c>
    </x:row>
    <x:row r="65">
      <x:c r="A65" s="59" t="str">
        <x:v>L061</x:v>
      </x:c>
      <x:c r="B65" s="60" t="n">
        <x:v>46148.49287037037</x:v>
      </x:c>
      <x:c r="C65" s="59" t="str">
        <x:v>定投</x:v>
      </x:c>
      <x:c r="D65" s="61" t="n">
        <x:v>100</x:v>
      </x:c>
      <x:c r="E65" s="62" t="n">
        <x:f>ROUND(D65*L65,2)</x:f>
        <x:v>0.15</x:v>
      </x:c>
      <x:c r="F65" s="25" t="n">
        <x:f>SUMIF('历史净值'!$A$3:$A$1954,N65,'历史净值'!$B$3:$B$1954)</x:f>
        <x:v>3.2266</x:v>
      </x:c>
      <x:c r="G65" s="62" t="n">
        <x:f>ROUND(M65/F65,2)</x:f>
        <x:v>30.95</x:v>
      </x:c>
      <x:c r="H65" s="62" t="n">
        <x:f>ROUND(P65*R65,2)</x:f>
        <x:v>83.1</x:v>
      </x:c>
      <x:c r="I65" s="62" t="n">
        <x:f>ROUND(H65-Q65,2)</x:f>
        <x:v>-16.9</x:v>
      </x:c>
      <x:c r="J65" s="27" t="n">
        <x:f>IF(Q65=0,"",I65/Q65)</x:f>
        <x:v>-0.16899999999999998</x:v>
      </x:c>
      <x:c r="K65" s="22" t="str">
        <x:f>IF(I65&gt;=0,"盈利","亏损")</x:f>
        <x:v>亏损</x:v>
      </x:c>
      <x:c r="L65" s="63" t="n">
        <x:f>IF(C65="转换(转入)",'参数与来源'!$B$9,'参数与来源'!$B$8)</x:f>
        <x:v>0.0015</x:v>
      </x:c>
      <x:c r="M65" s="62" t="n">
        <x:f>D65-E65</x:f>
        <x:v>99.85</x:v>
      </x:c>
      <x:c r="N65" s="64" t="n">
        <x:v>46148</x:v>
      </x:c>
      <x:c r="O65" s="61" t="n">
        <x:v>0</x:v>
      </x:c>
      <x:c r="P65" s="62" t="n">
        <x:f>G65-O65</x:f>
        <x:v>30.95</x:v>
      </x:c>
      <x:c r="Q65" s="62" t="n">
        <x:f>IF(G65=0,0,D65*P65/G65)</x:f>
        <x:v>100</x:v>
      </x:c>
      <x:c r="R65" s="25" t="n">
        <x:f>'参数与来源'!$B$4</x:f>
        <x:v>2.685</x:v>
      </x:c>
    </x:row>
    <x:row r="66">
      <x:c r="A66" s="59" t="str">
        <x:v>L062</x:v>
      </x:c>
      <x:c r="B66" s="60" t="n">
        <x:v>46149.46498842593</x:v>
      </x:c>
      <x:c r="C66" s="59" t="str">
        <x:v>定投</x:v>
      </x:c>
      <x:c r="D66" s="61" t="n">
        <x:v>100</x:v>
      </x:c>
      <x:c r="E66" s="62" t="n">
        <x:f>ROUND(D66*L66,2)</x:f>
        <x:v>0.15</x:v>
      </x:c>
      <x:c r="F66" s="25" t="n">
        <x:f>SUMIF('历史净值'!$A$3:$A$1954,N66,'历史净值'!$B$3:$B$1954)</x:f>
        <x:v>3.1936</x:v>
      </x:c>
      <x:c r="G66" s="62" t="n">
        <x:f>ROUND(M66/F66,2)</x:f>
        <x:v>31.27</x:v>
      </x:c>
      <x:c r="H66" s="62" t="n">
        <x:f>ROUND(P66*R66,2)</x:f>
        <x:v>83.96</x:v>
      </x:c>
      <x:c r="I66" s="62" t="n">
        <x:f>ROUND(H66-Q66,2)</x:f>
        <x:v>-16.04</x:v>
      </x:c>
      <x:c r="J66" s="27" t="n">
        <x:f>IF(Q66=0,"",I66/Q66)</x:f>
        <x:v>-0.1604</x:v>
      </x:c>
      <x:c r="K66" s="22" t="str">
        <x:f>IF(I66&gt;=0,"盈利","亏损")</x:f>
        <x:v>亏损</x:v>
      </x:c>
      <x:c r="L66" s="63" t="n">
        <x:f>IF(C66="转换(转入)",'参数与来源'!$B$9,'参数与来源'!$B$8)</x:f>
        <x:v>0.0015</x:v>
      </x:c>
      <x:c r="M66" s="62" t="n">
        <x:f>D66-E66</x:f>
        <x:v>99.85</x:v>
      </x:c>
      <x:c r="N66" s="64" t="n">
        <x:v>46149</x:v>
      </x:c>
      <x:c r="O66" s="61" t="n">
        <x:v>0</x:v>
      </x:c>
      <x:c r="P66" s="62" t="n">
        <x:f>G66-O66</x:f>
        <x:v>31.27</x:v>
      </x:c>
      <x:c r="Q66" s="62" t="n">
        <x:f>IF(G66=0,0,D66*P66/G66)</x:f>
        <x:v>100</x:v>
      </x:c>
      <x:c r="R66" s="25" t="n">
        <x:f>'参数与来源'!$B$4</x:f>
        <x:v>2.685</x:v>
      </x:c>
    </x:row>
    <x:row r="67">
      <x:c r="A67" s="59" t="str">
        <x:v>L063</x:v>
      </x:c>
      <x:c r="B67" s="60" t="n">
        <x:v>46150.45959490741</x:v>
      </x:c>
      <x:c r="C67" s="59" t="str">
        <x:v>定投</x:v>
      </x:c>
      <x:c r="D67" s="61" t="n">
        <x:v>100</x:v>
      </x:c>
      <x:c r="E67" s="62" t="n">
        <x:f>ROUND(D67*L67,2)</x:f>
        <x:v>0.15</x:v>
      </x:c>
      <x:c r="F67" s="25" t="n">
        <x:f>SUMIF('历史净值'!$A$3:$A$1954,N67,'历史净值'!$B$3:$B$1954)</x:f>
        <x:v>3.3002</x:v>
      </x:c>
      <x:c r="G67" s="62" t="n">
        <x:f>ROUND(M67/F67,2)</x:f>
        <x:v>30.26</x:v>
      </x:c>
      <x:c r="H67" s="62" t="n">
        <x:f>ROUND(P67*R67,2)</x:f>
        <x:v>81.25</x:v>
      </x:c>
      <x:c r="I67" s="62" t="n">
        <x:f>ROUND(H67-Q67,2)</x:f>
        <x:v>-18.75</x:v>
      </x:c>
      <x:c r="J67" s="27" t="n">
        <x:f>IF(Q67=0,"",I67/Q67)</x:f>
        <x:v>-0.1875</x:v>
      </x:c>
      <x:c r="K67" s="22" t="str">
        <x:f>IF(I67&gt;=0,"盈利","亏损")</x:f>
        <x:v>亏损</x:v>
      </x:c>
      <x:c r="L67" s="63" t="n">
        <x:f>IF(C67="转换(转入)",'参数与来源'!$B$9,'参数与来源'!$B$8)</x:f>
        <x:v>0.0015</x:v>
      </x:c>
      <x:c r="M67" s="62" t="n">
        <x:f>D67-E67</x:f>
        <x:v>99.85</x:v>
      </x:c>
      <x:c r="N67" s="64" t="n">
        <x:v>46150</x:v>
      </x:c>
      <x:c r="O67" s="61" t="n">
        <x:v>0</x:v>
      </x:c>
      <x:c r="P67" s="62" t="n">
        <x:f>G67-O67</x:f>
        <x:v>30.26</x:v>
      </x:c>
      <x:c r="Q67" s="62" t="n">
        <x:f>IF(G67=0,0,D67*P67/G67)</x:f>
        <x:v>100</x:v>
      </x:c>
      <x:c r="R67" s="25" t="n">
        <x:f>'参数与来源'!$B$4</x:f>
        <x:v>2.685</x:v>
      </x:c>
    </x:row>
    <x:row r="68">
      <x:c r="A68" s="59" t="str">
        <x:v>L064</x:v>
      </x:c>
      <x:c r="B68" s="60" t="n">
        <x:v>46153.46685185185</x:v>
      </x:c>
      <x:c r="C68" s="59" t="str">
        <x:v>定投</x:v>
      </x:c>
      <x:c r="D68" s="61" t="n">
        <x:v>100</x:v>
      </x:c>
      <x:c r="E68" s="62" t="n">
        <x:f>ROUND(D68*L68,2)</x:f>
        <x:v>0.15</x:v>
      </x:c>
      <x:c r="F68" s="25" t="n">
        <x:f>SUMIF('历史净值'!$A$3:$A$1954,N68,'历史净值'!$B$3:$B$1954)</x:f>
        <x:v>3.428</x:v>
      </x:c>
      <x:c r="G68" s="62" t="n">
        <x:f>ROUND(M68/F68,2)</x:f>
        <x:v>29.13</x:v>
      </x:c>
      <x:c r="H68" s="62" t="n">
        <x:f>ROUND(P68*R68,2)</x:f>
        <x:v>78.21</x:v>
      </x:c>
      <x:c r="I68" s="62" t="n">
        <x:f>ROUND(H68-Q68,2)</x:f>
        <x:v>-21.79</x:v>
      </x:c>
      <x:c r="J68" s="27" t="n">
        <x:f>IF(Q68=0,"",I68/Q68)</x:f>
        <x:v>-0.21789999999999998</x:v>
      </x:c>
      <x:c r="K68" s="22" t="str">
        <x:f>IF(I68&gt;=0,"盈利","亏损")</x:f>
        <x:v>亏损</x:v>
      </x:c>
      <x:c r="L68" s="63" t="n">
        <x:f>IF(C68="转换(转入)",'参数与来源'!$B$9,'参数与来源'!$B$8)</x:f>
        <x:v>0.0015</x:v>
      </x:c>
      <x:c r="M68" s="62" t="n">
        <x:f>D68-E68</x:f>
        <x:v>99.85</x:v>
      </x:c>
      <x:c r="N68" s="64" t="n">
        <x:v>46153</x:v>
      </x:c>
      <x:c r="O68" s="61" t="n">
        <x:v>0</x:v>
      </x:c>
      <x:c r="P68" s="62" t="n">
        <x:f>G68-O68</x:f>
        <x:v>29.13</x:v>
      </x:c>
      <x:c r="Q68" s="62" t="n">
        <x:f>IF(G68=0,0,D68*P68/G68)</x:f>
        <x:v>100</x:v>
      </x:c>
      <x:c r="R68" s="25" t="n">
        <x:f>'参数与来源'!$B$4</x:f>
        <x:v>2.685</x:v>
      </x:c>
    </x:row>
    <x:row r="69">
      <x:c r="A69" s="59" t="str">
        <x:v>L065</x:v>
      </x:c>
      <x:c r="B69" s="60" t="n">
        <x:v>46154.45868055556</x:v>
      </x:c>
      <x:c r="C69" s="59" t="str">
        <x:v>定投</x:v>
      </x:c>
      <x:c r="D69" s="61" t="n">
        <x:v>100</x:v>
      </x:c>
      <x:c r="E69" s="62" t="n">
        <x:f>ROUND(D69*L69,2)</x:f>
        <x:v>0.15</x:v>
      </x:c>
      <x:c r="F69" s="25" t="n">
        <x:f>SUMIF('历史净值'!$A$3:$A$1954,N69,'历史净值'!$B$3:$B$1954)</x:f>
        <x:v>3.3708</x:v>
      </x:c>
      <x:c r="G69" s="62" t="n">
        <x:f>ROUND(M69/F69,2)</x:f>
        <x:v>29.62</x:v>
      </x:c>
      <x:c r="H69" s="62" t="n">
        <x:f>ROUND(P69*R69,2)</x:f>
        <x:v>79.53</x:v>
      </x:c>
      <x:c r="I69" s="62" t="n">
        <x:f>ROUND(H69-Q69,2)</x:f>
        <x:v>-20.47</x:v>
      </x:c>
      <x:c r="J69" s="27" t="n">
        <x:f>IF(Q69=0,"",I69/Q69)</x:f>
        <x:v>-0.2047</x:v>
      </x:c>
      <x:c r="K69" s="22" t="str">
        <x:f>IF(I69&gt;=0,"盈利","亏损")</x:f>
        <x:v>亏损</x:v>
      </x:c>
      <x:c r="L69" s="63" t="n">
        <x:f>IF(C69="转换(转入)",'参数与来源'!$B$9,'参数与来源'!$B$8)</x:f>
        <x:v>0.0015</x:v>
      </x:c>
      <x:c r="M69" s="62" t="n">
        <x:f>D69-E69</x:f>
        <x:v>99.85</x:v>
      </x:c>
      <x:c r="N69" s="64" t="n">
        <x:v>46154</x:v>
      </x:c>
      <x:c r="O69" s="61" t="n">
        <x:v>0</x:v>
      </x:c>
      <x:c r="P69" s="62" t="n">
        <x:f>G69-O69</x:f>
        <x:v>29.62</x:v>
      </x:c>
      <x:c r="Q69" s="62" t="n">
        <x:f>IF(G69=0,0,D69*P69/G69)</x:f>
        <x:v>100</x:v>
      </x:c>
      <x:c r="R69" s="25" t="n">
        <x:f>'参数与来源'!$B$4</x:f>
        <x:v>2.685</x:v>
      </x:c>
    </x:row>
    <x:row r="70">
      <x:c r="A70" s="59" t="str">
        <x:v>L066</x:v>
      </x:c>
      <x:c r="B70" s="60" t="n">
        <x:v>46155.45799768518</x:v>
      </x:c>
      <x:c r="C70" s="59" t="str">
        <x:v>定投</x:v>
      </x:c>
      <x:c r="D70" s="61" t="n">
        <x:v>100</x:v>
      </x:c>
      <x:c r="E70" s="62" t="n">
        <x:f>ROUND(D70*L70,2)</x:f>
        <x:v>0.15</x:v>
      </x:c>
      <x:c r="F70" s="25" t="n">
        <x:f>SUMIF('历史净值'!$A$3:$A$1954,N70,'历史净值'!$B$3:$B$1954)</x:f>
        <x:v>3.4695</x:v>
      </x:c>
      <x:c r="G70" s="62" t="n">
        <x:f>ROUND(M70/F70,2)</x:f>
        <x:v>28.78</x:v>
      </x:c>
      <x:c r="H70" s="62" t="n">
        <x:f>ROUND(P70*R70,2)</x:f>
        <x:v>77.27</x:v>
      </x:c>
      <x:c r="I70" s="62" t="n">
        <x:f>ROUND(H70-Q70,2)</x:f>
        <x:v>-22.73</x:v>
      </x:c>
      <x:c r="J70" s="27" t="n">
        <x:f>IF(Q70=0,"",I70/Q70)</x:f>
        <x:v>-0.2273</x:v>
      </x:c>
      <x:c r="K70" s="22" t="str">
        <x:f>IF(I70&gt;=0,"盈利","亏损")</x:f>
        <x:v>亏损</x:v>
      </x:c>
      <x:c r="L70" s="63" t="n">
        <x:f>IF(C70="转换(转入)",'参数与来源'!$B$9,'参数与来源'!$B$8)</x:f>
        <x:v>0.0015</x:v>
      </x:c>
      <x:c r="M70" s="62" t="n">
        <x:f>D70-E70</x:f>
        <x:v>99.85</x:v>
      </x:c>
      <x:c r="N70" s="64" t="n">
        <x:v>46155</x:v>
      </x:c>
      <x:c r="O70" s="61" t="n">
        <x:v>0</x:v>
      </x:c>
      <x:c r="P70" s="62" t="n">
        <x:f>G70-O70</x:f>
        <x:v>28.78</x:v>
      </x:c>
      <x:c r="Q70" s="62" t="n">
        <x:f>IF(G70=0,0,D70*P70/G70)</x:f>
        <x:v>100</x:v>
      </x:c>
      <x:c r="R70" s="25" t="n">
        <x:f>'参数与来源'!$B$4</x:f>
        <x:v>2.685</x:v>
      </x:c>
    </x:row>
    <x:row r="71">
      <x:c r="A71" s="59" t="str">
        <x:v>L067</x:v>
      </x:c>
      <x:c r="B71" s="60" t="n">
        <x:v>46156.45724537037</x:v>
      </x:c>
      <x:c r="C71" s="59" t="str">
        <x:v>定投</x:v>
      </x:c>
      <x:c r="D71" s="61" t="n">
        <x:v>100</x:v>
      </x:c>
      <x:c r="E71" s="62" t="n">
        <x:f>ROUND(D71*L71,2)</x:f>
        <x:v>0.15</x:v>
      </x:c>
      <x:c r="F71" s="25" t="n">
        <x:f>SUMIF('历史净值'!$A$3:$A$1954,N71,'历史净值'!$B$3:$B$1954)</x:f>
        <x:v>3.46</x:v>
      </x:c>
      <x:c r="G71" s="62" t="n">
        <x:f>ROUND(M71/F71,2)</x:f>
        <x:v>28.86</x:v>
      </x:c>
      <x:c r="H71" s="62" t="n">
        <x:f>ROUND(P71*R71,2)</x:f>
        <x:v>77.49</x:v>
      </x:c>
      <x:c r="I71" s="62" t="n">
        <x:f>ROUND(H71-Q71,2)</x:f>
        <x:v>-22.51</x:v>
      </x:c>
      <x:c r="J71" s="27" t="n">
        <x:f>IF(Q71=0,"",I71/Q71)</x:f>
        <x:v>-0.22510000000000002</x:v>
      </x:c>
      <x:c r="K71" s="22" t="str">
        <x:f>IF(I71&gt;=0,"盈利","亏损")</x:f>
        <x:v>亏损</x:v>
      </x:c>
      <x:c r="L71" s="63" t="n">
        <x:f>IF(C71="转换(转入)",'参数与来源'!$B$9,'参数与来源'!$B$8)</x:f>
        <x:v>0.0015</x:v>
      </x:c>
      <x:c r="M71" s="62" t="n">
        <x:f>D71-E71</x:f>
        <x:v>99.85</x:v>
      </x:c>
      <x:c r="N71" s="64" t="n">
        <x:v>46156</x:v>
      </x:c>
      <x:c r="O71" s="61" t="n">
        <x:v>0</x:v>
      </x:c>
      <x:c r="P71" s="62" t="n">
        <x:f>G71-O71</x:f>
        <x:v>28.86</x:v>
      </x:c>
      <x:c r="Q71" s="62" t="n">
        <x:f>IF(G71=0,0,D71*P71/G71)</x:f>
        <x:v>100</x:v>
      </x:c>
      <x:c r="R71" s="25" t="n">
        <x:f>'参数与来源'!$B$4</x:f>
        <x:v>2.685</x:v>
      </x:c>
    </x:row>
    <x:row r="72">
      <x:c r="A72" s="59" t="str">
        <x:v>L068</x:v>
      </x:c>
      <x:c r="B72" s="60" t="n">
        <x:v>46157.4540625</x:v>
      </x:c>
      <x:c r="C72" s="59" t="str">
        <x:v>定投</x:v>
      </x:c>
      <x:c r="D72" s="61" t="n">
        <x:v>100</x:v>
      </x:c>
      <x:c r="E72" s="62" t="n">
        <x:f>ROUND(D72*L72,2)</x:f>
        <x:v>0.15</x:v>
      </x:c>
      <x:c r="F72" s="25" t="n">
        <x:f>SUMIF('历史净值'!$A$3:$A$1954,N72,'历史净值'!$B$3:$B$1954)</x:f>
        <x:v>3.3486</x:v>
      </x:c>
      <x:c r="G72" s="62" t="n">
        <x:f>ROUND(M72/F72,2)</x:f>
        <x:v>29.82</x:v>
      </x:c>
      <x:c r="H72" s="62" t="n">
        <x:f>ROUND(P72*R72,2)</x:f>
        <x:v>80.07</x:v>
      </x:c>
      <x:c r="I72" s="62" t="n">
        <x:f>ROUND(H72-Q72,2)</x:f>
        <x:v>-19.93</x:v>
      </x:c>
      <x:c r="J72" s="27" t="n">
        <x:f>IF(Q72=0,"",I72/Q72)</x:f>
        <x:v>-0.1993</x:v>
      </x:c>
      <x:c r="K72" s="22" t="str">
        <x:f>IF(I72&gt;=0,"盈利","亏损")</x:f>
        <x:v>亏损</x:v>
      </x:c>
      <x:c r="L72" s="63" t="n">
        <x:f>IF(C72="转换(转入)",'参数与来源'!$B$9,'参数与来源'!$B$8)</x:f>
        <x:v>0.0015</x:v>
      </x:c>
      <x:c r="M72" s="62" t="n">
        <x:f>D72-E72</x:f>
        <x:v>99.85</x:v>
      </x:c>
      <x:c r="N72" s="64" t="n">
        <x:v>46157</x:v>
      </x:c>
      <x:c r="O72" s="61" t="n">
        <x:v>0</x:v>
      </x:c>
      <x:c r="P72" s="62" t="n">
        <x:f>G72-O72</x:f>
        <x:v>29.82</x:v>
      </x:c>
      <x:c r="Q72" s="62" t="n">
        <x:f>IF(G72=0,0,D72*P72/G72)</x:f>
        <x:v>100</x:v>
      </x:c>
      <x:c r="R72" s="25" t="n">
        <x:f>'参数与来源'!$B$4</x:f>
        <x:v>2.685</x:v>
      </x:c>
    </x:row>
    <x:row r="73">
      <x:c r="A73" s="59" t="str">
        <x:v>L069</x:v>
      </x:c>
      <x:c r="B73" s="60" t="n">
        <x:v>46160.46181712963</x:v>
      </x:c>
      <x:c r="C73" s="59" t="str">
        <x:v>定投</x:v>
      </x:c>
      <x:c r="D73" s="61" t="n">
        <x:v>100</x:v>
      </x:c>
      <x:c r="E73" s="62" t="n">
        <x:f>ROUND(D73*L73,2)</x:f>
        <x:v>0.15</x:v>
      </x:c>
      <x:c r="F73" s="25" t="n">
        <x:f>SUMIF('历史净值'!$A$3:$A$1954,N73,'历史净值'!$B$3:$B$1954)</x:f>
        <x:v>3.289</x:v>
      </x:c>
      <x:c r="G73" s="62" t="n">
        <x:f>ROUND(M73/F73,2)</x:f>
        <x:v>30.36</x:v>
      </x:c>
      <x:c r="H73" s="62" t="n">
        <x:f>ROUND(P73*R73,2)</x:f>
        <x:v>81.52</x:v>
      </x:c>
      <x:c r="I73" s="62" t="n">
        <x:f>ROUND(H73-Q73,2)</x:f>
        <x:v>-18.48</x:v>
      </x:c>
      <x:c r="J73" s="27" t="n">
        <x:f>IF(Q73=0,"",I73/Q73)</x:f>
        <x:v>-0.1848</x:v>
      </x:c>
      <x:c r="K73" s="22" t="str">
        <x:f>IF(I73&gt;=0,"盈利","亏损")</x:f>
        <x:v>亏损</x:v>
      </x:c>
      <x:c r="L73" s="63" t="n">
        <x:f>IF(C73="转换(转入)",'参数与来源'!$B$9,'参数与来源'!$B$8)</x:f>
        <x:v>0.0015</x:v>
      </x:c>
      <x:c r="M73" s="62" t="n">
        <x:f>D73-E73</x:f>
        <x:v>99.85</x:v>
      </x:c>
      <x:c r="N73" s="64" t="n">
        <x:v>46160</x:v>
      </x:c>
      <x:c r="O73" s="61" t="n">
        <x:v>0</x:v>
      </x:c>
      <x:c r="P73" s="62" t="n">
        <x:f>G73-O73</x:f>
        <x:v>30.36</x:v>
      </x:c>
      <x:c r="Q73" s="62" t="n">
        <x:f>IF(G73=0,0,D73*P73/G73)</x:f>
        <x:v>100</x:v>
      </x:c>
      <x:c r="R73" s="25" t="n">
        <x:f>'参数与来源'!$B$4</x:f>
        <x:v>2.685</x:v>
      </x:c>
    </x:row>
    <x:row r="74">
      <x:c r="A74" s="59" t="str">
        <x:v>L070</x:v>
      </x:c>
      <x:c r="B74" s="60" t="n">
        <x:v>46161.45359953704</x:v>
      </x:c>
      <x:c r="C74" s="59" t="str">
        <x:v>定投</x:v>
      </x:c>
      <x:c r="D74" s="61" t="n">
        <x:v>100</x:v>
      </x:c>
      <x:c r="E74" s="62" t="n">
        <x:f>ROUND(D74*L74,2)</x:f>
        <x:v>0.15</x:v>
      </x:c>
      <x:c r="F74" s="25" t="n">
        <x:f>SUMIF('历史净值'!$A$3:$A$1954,N74,'历史净值'!$B$3:$B$1954)</x:f>
        <x:v>3.2976</x:v>
      </x:c>
      <x:c r="G74" s="62" t="n">
        <x:f>ROUND(M74/F74,2)</x:f>
        <x:v>30.28</x:v>
      </x:c>
      <x:c r="H74" s="62" t="n">
        <x:f>ROUND(P74*R74,2)</x:f>
        <x:v>81.3</x:v>
      </x:c>
      <x:c r="I74" s="62" t="n">
        <x:f>ROUND(H74-Q74,2)</x:f>
        <x:v>-18.7</x:v>
      </x:c>
      <x:c r="J74" s="27" t="n">
        <x:f>IF(Q74=0,"",I74/Q74)</x:f>
        <x:v>-0.187</x:v>
      </x:c>
      <x:c r="K74" s="22" t="str">
        <x:f>IF(I74&gt;=0,"盈利","亏损")</x:f>
        <x:v>亏损</x:v>
      </x:c>
      <x:c r="L74" s="63" t="n">
        <x:f>IF(C74="转换(转入)",'参数与来源'!$B$9,'参数与来源'!$B$8)</x:f>
        <x:v>0.0015</x:v>
      </x:c>
      <x:c r="M74" s="62" t="n">
        <x:f>D74-E74</x:f>
        <x:v>99.85</x:v>
      </x:c>
      <x:c r="N74" s="64" t="n">
        <x:v>46161</x:v>
      </x:c>
      <x:c r="O74" s="61" t="n">
        <x:v>0</x:v>
      </x:c>
      <x:c r="P74" s="62" t="n">
        <x:f>G74-O74</x:f>
        <x:v>30.28</x:v>
      </x:c>
      <x:c r="Q74" s="62" t="n">
        <x:f>IF(G74=0,0,D74*P74/G74)</x:f>
        <x:v>100</x:v>
      </x:c>
      <x:c r="R74" s="25" t="n">
        <x:f>'参数与来源'!$B$4</x:f>
        <x:v>2.685</x:v>
      </x:c>
    </x:row>
    <x:row r="75">
      <x:c r="A75" s="59" t="str">
        <x:v>L071</x:v>
      </x:c>
      <x:c r="B75" s="60" t="n">
        <x:v>46162.45447916666</x:v>
      </x:c>
      <x:c r="C75" s="59" t="str">
        <x:v>定投</x:v>
      </x:c>
      <x:c r="D75" s="61" t="n">
        <x:v>100</x:v>
      </x:c>
      <x:c r="E75" s="62" t="n">
        <x:f>ROUND(D75*L75,2)</x:f>
        <x:v>0.15</x:v>
      </x:c>
      <x:c r="F75" s="25" t="n">
        <x:f>SUMIF('历史净值'!$A$3:$A$1954,N75,'历史净值'!$B$3:$B$1954)</x:f>
        <x:v>3.3782</x:v>
      </x:c>
      <x:c r="G75" s="62" t="n">
        <x:f>ROUND(M75/F75,2)</x:f>
        <x:v>29.56</x:v>
      </x:c>
      <x:c r="H75" s="62" t="n">
        <x:f>ROUND(P75*R75,2)</x:f>
        <x:v>79.37</x:v>
      </x:c>
      <x:c r="I75" s="62" t="n">
        <x:f>ROUND(H75-Q75,2)</x:f>
        <x:v>-20.63</x:v>
      </x:c>
      <x:c r="J75" s="27" t="n">
        <x:f>IF(Q75=0,"",I75/Q75)</x:f>
        <x:v>-0.20629999999999998</x:v>
      </x:c>
      <x:c r="K75" s="22" t="str">
        <x:f>IF(I75&gt;=0,"盈利","亏损")</x:f>
        <x:v>亏损</x:v>
      </x:c>
      <x:c r="L75" s="63" t="n">
        <x:f>IF(C75="转换(转入)",'参数与来源'!$B$9,'参数与来源'!$B$8)</x:f>
        <x:v>0.0015</x:v>
      </x:c>
      <x:c r="M75" s="62" t="n">
        <x:f>D75-E75</x:f>
        <x:v>99.85</x:v>
      </x:c>
      <x:c r="N75" s="64" t="n">
        <x:v>46162</x:v>
      </x:c>
      <x:c r="O75" s="61" t="n">
        <x:v>0</x:v>
      </x:c>
      <x:c r="P75" s="62" t="n">
        <x:f>G75-O75</x:f>
        <x:v>29.56</x:v>
      </x:c>
      <x:c r="Q75" s="62" t="n">
        <x:f>IF(G75=0,0,D75*P75/G75)</x:f>
        <x:v>100</x:v>
      </x:c>
      <x:c r="R75" s="25" t="n">
        <x:f>'参数与来源'!$B$4</x:f>
        <x:v>2.685</x:v>
      </x:c>
    </x:row>
    <x:row r="76">
      <x:c r="A76" s="59" t="str">
        <x:v>L072</x:v>
      </x:c>
      <x:c r="B76" s="60" t="n">
        <x:v>46163.487280092595</x:v>
      </x:c>
      <x:c r="C76" s="59" t="str">
        <x:v>定投</x:v>
      </x:c>
      <x:c r="D76" s="61" t="n">
        <x:v>10</x:v>
      </x:c>
      <x:c r="E76" s="62" t="n">
        <x:f>ROUND(D76*L76,2)</x:f>
        <x:v>0.02</x:v>
      </x:c>
      <x:c r="F76" s="25" t="n">
        <x:f>SUMIF('历史净值'!$A$3:$A$1954,N76,'历史净值'!$B$3:$B$1954)</x:f>
        <x:v>3.359</x:v>
      </x:c>
      <x:c r="G76" s="62" t="n">
        <x:f>ROUND(M76/F76,2)</x:f>
        <x:v>2.97</x:v>
      </x:c>
      <x:c r="H76" s="62" t="n">
        <x:f>ROUND(P76*R76,2)</x:f>
        <x:v>7.97</x:v>
      </x:c>
      <x:c r="I76" s="62" t="n">
        <x:f>ROUND(H76-Q76,2)</x:f>
        <x:v>-2.03</x:v>
      </x:c>
      <x:c r="J76" s="27" t="n">
        <x:f>IF(Q76=0,"",I76/Q76)</x:f>
        <x:v>-0.20299999999999999</x:v>
      </x:c>
      <x:c r="K76" s="22" t="str">
        <x:f>IF(I76&gt;=0,"盈利","亏损")</x:f>
        <x:v>亏损</x:v>
      </x:c>
      <x:c r="L76" s="63" t="n">
        <x:f>IF(C76="转换(转入)",'参数与来源'!$B$9,'参数与来源'!$B$8)</x:f>
        <x:v>0.0015</x:v>
      </x:c>
      <x:c r="M76" s="62" t="n">
        <x:f>D76-E76</x:f>
        <x:v>9.98</x:v>
      </x:c>
      <x:c r="N76" s="64" t="n">
        <x:v>46163</x:v>
      </x:c>
      <x:c r="O76" s="61" t="n">
        <x:v>0</x:v>
      </x:c>
      <x:c r="P76" s="62" t="n">
        <x:f>G76-O76</x:f>
        <x:v>2.97</x:v>
      </x:c>
      <x:c r="Q76" s="62" t="n">
        <x:f>IF(G76=0,0,D76*P76/G76)</x:f>
        <x:v>10</x:v>
      </x:c>
      <x:c r="R76" s="25" t="n">
        <x:f>'参数与来源'!$B$4</x:f>
        <x:v>2.685</x:v>
      </x:c>
    </x:row>
    <x:row r="77">
      <x:c r="A77" s="59" t="str">
        <x:v>L073</x:v>
      </x:c>
      <x:c r="B77" s="60" t="n">
        <x:v>46164.48473379629</x:v>
      </x:c>
      <x:c r="C77" s="59" t="str">
        <x:v>定投</x:v>
      </x:c>
      <x:c r="D77" s="61" t="n">
        <x:v>50</x:v>
      </x:c>
      <x:c r="E77" s="62" t="n">
        <x:f>ROUND(D77*L77,2)</x:f>
        <x:v>0.08</x:v>
      </x:c>
      <x:c r="F77" s="25" t="n">
        <x:f>SUMIF('历史净值'!$A$3:$A$1954,N77,'历史净值'!$B$3:$B$1954)</x:f>
        <x:v>3.4943</x:v>
      </x:c>
      <x:c r="G77" s="62" t="n">
        <x:f>ROUND(M77/F77,2)</x:f>
        <x:v>14.29</x:v>
      </x:c>
      <x:c r="H77" s="62" t="n">
        <x:f>ROUND(P77*R77,2)</x:f>
        <x:v>38.37</x:v>
      </x:c>
      <x:c r="I77" s="62" t="n">
        <x:f>ROUND(H77-Q77,2)</x:f>
        <x:v>-11.63</x:v>
      </x:c>
      <x:c r="J77" s="27" t="n">
        <x:f>IF(Q77=0,"",I77/Q77)</x:f>
        <x:v>-0.23260000000000003</x:v>
      </x:c>
      <x:c r="K77" s="22" t="str">
        <x:f>IF(I77&gt;=0,"盈利","亏损")</x:f>
        <x:v>亏损</x:v>
      </x:c>
      <x:c r="L77" s="63" t="n">
        <x:f>IF(C77="转换(转入)",'参数与来源'!$B$9,'参数与来源'!$B$8)</x:f>
        <x:v>0.0015</x:v>
      </x:c>
      <x:c r="M77" s="62" t="n">
        <x:f>D77-E77</x:f>
        <x:v>49.92</x:v>
      </x:c>
      <x:c r="N77" s="64" t="n">
        <x:v>46164</x:v>
      </x:c>
      <x:c r="O77" s="61" t="n">
        <x:v>0</x:v>
      </x:c>
      <x:c r="P77" s="62" t="n">
        <x:f>G77-O77</x:f>
        <x:v>14.29</x:v>
      </x:c>
      <x:c r="Q77" s="62" t="n">
        <x:f>IF(G77=0,0,D77*P77/G77)</x:f>
        <x:v>50</x:v>
      </x:c>
      <x:c r="R77" s="25" t="n">
        <x:f>'参数与来源'!$B$4</x:f>
        <x:v>2.685</x:v>
      </x:c>
    </x:row>
    <x:row r="78">
      <x:c r="A78" s="59" t="str">
        <x:v>L074</x:v>
      </x:c>
      <x:c r="B78" s="60" t="n">
        <x:v>46168.45606481482</x:v>
      </x:c>
      <x:c r="C78" s="59" t="str">
        <x:v>定投</x:v>
      </x:c>
      <x:c r="D78" s="61" t="n">
        <x:v>50</x:v>
      </x:c>
      <x:c r="E78" s="62" t="n">
        <x:f>ROUND(D78*L78,2)</x:f>
        <x:v>0.08</x:v>
      </x:c>
      <x:c r="F78" s="25" t="n">
        <x:f>SUMIF('历史净值'!$A$3:$A$1954,N78,'历史净值'!$B$3:$B$1954)</x:f>
        <x:v>3.6122</x:v>
      </x:c>
      <x:c r="G78" s="62" t="n">
        <x:f>ROUND(M78/F78,2)</x:f>
        <x:v>13.82</x:v>
      </x:c>
      <x:c r="H78" s="62" t="n">
        <x:f>ROUND(P78*R78,2)</x:f>
        <x:v>37.11</x:v>
      </x:c>
      <x:c r="I78" s="62" t="n">
        <x:f>ROUND(H78-Q78,2)</x:f>
        <x:v>-12.89</x:v>
      </x:c>
      <x:c r="J78" s="27" t="n">
        <x:f>IF(Q78=0,"",I78/Q78)</x:f>
        <x:v>-0.25780000000000003</x:v>
      </x:c>
      <x:c r="K78" s="22" t="str">
        <x:f>IF(I78&gt;=0,"盈利","亏损")</x:f>
        <x:v>亏损</x:v>
      </x:c>
      <x:c r="L78" s="63" t="n">
        <x:f>IF(C78="转换(转入)",'参数与来源'!$B$9,'参数与来源'!$B$8)</x:f>
        <x:v>0.0015</x:v>
      </x:c>
      <x:c r="M78" s="62" t="n">
        <x:f>D78-E78</x:f>
        <x:v>49.92</x:v>
      </x:c>
      <x:c r="N78" s="64" t="n">
        <x:v>46168</x:v>
      </x:c>
      <x:c r="O78" s="61" t="n">
        <x:v>0</x:v>
      </x:c>
      <x:c r="P78" s="62" t="n">
        <x:f>G78-O78</x:f>
        <x:v>13.82</x:v>
      </x:c>
      <x:c r="Q78" s="62" t="n">
        <x:f>IF(G78=0,0,D78*P78/G78)</x:f>
        <x:v>50</x:v>
      </x:c>
      <x:c r="R78" s="25" t="n">
        <x:f>'参数与来源'!$B$4</x:f>
        <x:v>2.685</x:v>
      </x:c>
    </x:row>
    <x:row r="79">
      <x:c r="A79" s="59" t="str">
        <x:v>L075</x:v>
      </x:c>
      <x:c r="B79" s="60" t="n">
        <x:v>46169.449641203704</x:v>
      </x:c>
      <x:c r="C79" s="59" t="str">
        <x:v>定投</x:v>
      </x:c>
      <x:c r="D79" s="61" t="n">
        <x:v>50</x:v>
      </x:c>
      <x:c r="E79" s="62" t="n">
        <x:f>ROUND(D79*L79,2)</x:f>
        <x:v>0.08</x:v>
      </x:c>
      <x:c r="F79" s="25" t="n">
        <x:f>SUMIF('历史净值'!$A$3:$A$1954,N79,'历史净值'!$B$3:$B$1954)</x:f>
        <x:v>3.5766</x:v>
      </x:c>
      <x:c r="G79" s="62" t="n">
        <x:f>ROUND(M79/F79,2)</x:f>
        <x:v>13.96</x:v>
      </x:c>
      <x:c r="H79" s="62" t="n">
        <x:f>ROUND(P79*R79,2)</x:f>
        <x:v>37.48</x:v>
      </x:c>
      <x:c r="I79" s="62" t="n">
        <x:f>ROUND(H79-Q79,2)</x:f>
        <x:v>-12.52</x:v>
      </x:c>
      <x:c r="J79" s="27" t="n">
        <x:f>IF(Q79=0,"",I79/Q79)</x:f>
        <x:v>-0.2504</x:v>
      </x:c>
      <x:c r="K79" s="22" t="str">
        <x:f>IF(I79&gt;=0,"盈利","亏损")</x:f>
        <x:v>亏损</x:v>
      </x:c>
      <x:c r="L79" s="63" t="n">
        <x:f>IF(C79="转换(转入)",'参数与来源'!$B$9,'参数与来源'!$B$8)</x:f>
        <x:v>0.0015</x:v>
      </x:c>
      <x:c r="M79" s="62" t="n">
        <x:f>D79-E79</x:f>
        <x:v>49.92</x:v>
      </x:c>
      <x:c r="N79" s="64" t="n">
        <x:v>46169</x:v>
      </x:c>
      <x:c r="O79" s="61" t="n">
        <x:v>0</x:v>
      </x:c>
      <x:c r="P79" s="62" t="n">
        <x:f>G79-O79</x:f>
        <x:v>13.96</x:v>
      </x:c>
      <x:c r="Q79" s="62" t="n">
        <x:f>IF(G79=0,0,D79*P79/G79)</x:f>
        <x:v>50</x:v>
      </x:c>
      <x:c r="R79" s="25" t="n">
        <x:f>'参数与来源'!$B$4</x:f>
        <x:v>2.685</x:v>
      </x:c>
    </x:row>
    <x:row r="80">
      <x:c r="A80" s="59" t="str">
        <x:v>L076</x:v>
      </x:c>
      <x:c r="B80" s="60" t="n">
        <x:v>46175.950694444444</x:v>
      </x:c>
      <x:c r="C80" s="59" t="str">
        <x:v>买入</x:v>
      </x:c>
      <x:c r="D80" s="61" t="n">
        <x:v>1000</x:v>
      </x:c>
      <x:c r="E80" s="62" t="n">
        <x:f>ROUND(D80*L80,2)</x:f>
        <x:v>1.5</x:v>
      </x:c>
      <x:c r="F80" s="25" t="n">
        <x:f>SUMIF('历史净值'!$A$3:$A$1954,N80,'历史净值'!$B$3:$B$1954)</x:f>
        <x:v>3.7821</x:v>
      </x:c>
      <x:c r="G80" s="62" t="n">
        <x:f>ROUND(M80/F80,2)</x:f>
        <x:v>264.01</x:v>
      </x:c>
      <x:c r="H80" s="62" t="n">
        <x:f>ROUND(P80*R80,2)</x:f>
        <x:v>708.87</x:v>
      </x:c>
      <x:c r="I80" s="62" t="n">
        <x:f>ROUND(H80-Q80,2)</x:f>
        <x:v>-291.13</x:v>
      </x:c>
      <x:c r="J80" s="27" t="n">
        <x:f>IF(Q80=0,"",I80/Q80)</x:f>
        <x:v>-0.29113</x:v>
      </x:c>
      <x:c r="K80" s="22" t="str">
        <x:f>IF(I80&gt;=0,"盈利","亏损")</x:f>
        <x:v>亏损</x:v>
      </x:c>
      <x:c r="L80" s="63" t="n">
        <x:f>IF(C80="转换(转入)",'参数与来源'!$B$9,'参数与来源'!$B$8)</x:f>
        <x:v>0.0015</x:v>
      </x:c>
      <x:c r="M80" s="62" t="n">
        <x:f>D80-E80</x:f>
        <x:v>998.5</x:v>
      </x:c>
      <x:c r="N80" s="64" t="n">
        <x:v>46176</x:v>
      </x:c>
      <x:c r="O80" s="61" t="n">
        <x:v>0</x:v>
      </x:c>
      <x:c r="P80" s="62" t="n">
        <x:f>G80-O80</x:f>
        <x:v>264.01</x:v>
      </x:c>
      <x:c r="Q80" s="62" t="n">
        <x:f>IF(G80=0,0,D80*P80/G80)</x:f>
        <x:v>1000</x:v>
      </x:c>
      <x:c r="R80" s="25" t="n">
        <x:f>'参数与来源'!$B$4</x:f>
        <x:v>2.685</x:v>
      </x:c>
    </x:row>
    <x:row r="81">
      <x:c r="A81" s="59" t="str">
        <x:v>L077</x:v>
      </x:c>
      <x:c r="B81" s="60" t="n">
        <x:v>46181.515381944446</x:v>
      </x:c>
      <x:c r="C81" s="59" t="str">
        <x:v>定投</x:v>
      </x:c>
      <x:c r="D81" s="61" t="n">
        <x:v>50</x:v>
      </x:c>
      <x:c r="E81" s="62" t="n">
        <x:f>ROUND(D81*L81,2)</x:f>
        <x:v>0.08</x:v>
      </x:c>
      <x:c r="F81" s="25" t="n">
        <x:f>SUMIF('历史净值'!$A$3:$A$1954,N81,'历史净值'!$B$3:$B$1954)</x:f>
        <x:v>3.4906</x:v>
      </x:c>
      <x:c r="G81" s="62" t="n">
        <x:f>ROUND(M81/F81,2)</x:f>
        <x:v>14.3</x:v>
      </x:c>
      <x:c r="H81" s="62" t="n">
        <x:f>ROUND(P81*R81,2)</x:f>
        <x:v>38.4</x:v>
      </x:c>
      <x:c r="I81" s="62" t="n">
        <x:f>ROUND(H81-Q81,2)</x:f>
        <x:v>-11.6</x:v>
      </x:c>
      <x:c r="J81" s="27" t="n">
        <x:f>IF(Q81=0,"",I81/Q81)</x:f>
        <x:v>-0.23199999999999998</x:v>
      </x:c>
      <x:c r="K81" s="22" t="str">
        <x:f>IF(I81&gt;=0,"盈利","亏损")</x:f>
        <x:v>亏损</x:v>
      </x:c>
      <x:c r="L81" s="63" t="n">
        <x:f>IF(C81="转换(转入)",'参数与来源'!$B$9,'参数与来源'!$B$8)</x:f>
        <x:v>0.0015</x:v>
      </x:c>
      <x:c r="M81" s="62" t="n">
        <x:f>D81-E81</x:f>
        <x:v>49.92</x:v>
      </x:c>
      <x:c r="N81" s="64" t="n">
        <x:v>46181</x:v>
      </x:c>
      <x:c r="O81" s="61" t="n">
        <x:v>0</x:v>
      </x:c>
      <x:c r="P81" s="62" t="n">
        <x:f>G81-O81</x:f>
        <x:v>14.3</x:v>
      </x:c>
      <x:c r="Q81" s="62" t="n">
        <x:f>IF(G81=0,0,D81*P81/G81)</x:f>
        <x:v>50</x:v>
      </x:c>
      <x:c r="R81" s="25" t="n">
        <x:f>'参数与来源'!$B$4</x:f>
        <x:v>2.685</x:v>
      </x:c>
    </x:row>
    <x:row r="82">
      <x:c r="A82" s="59" t="str">
        <x:v>L078</x:v>
      </x:c>
      <x:c r="B82" s="60" t="n">
        <x:v>46182.50394675926</x:v>
      </x:c>
      <x:c r="C82" s="59" t="str">
        <x:v>定投</x:v>
      </x:c>
      <x:c r="D82" s="61" t="n">
        <x:v>50</x:v>
      </x:c>
      <x:c r="E82" s="62" t="n">
        <x:f>ROUND(D82*L82,2)</x:f>
        <x:v>0.08</x:v>
      </x:c>
      <x:c r="F82" s="25" t="n">
        <x:f>SUMIF('历史净值'!$A$3:$A$1954,N82,'历史净值'!$B$3:$B$1954)</x:f>
        <x:v>3.5462</x:v>
      </x:c>
      <x:c r="G82" s="62" t="n">
        <x:f>ROUND(M82/F82,2)</x:f>
        <x:v>14.08</x:v>
      </x:c>
      <x:c r="H82" s="62" t="n">
        <x:f>ROUND(P82*R82,2)</x:f>
        <x:v>37.8</x:v>
      </x:c>
      <x:c r="I82" s="62" t="n">
        <x:f>ROUND(H82-Q82,2)</x:f>
        <x:v>-12.2</x:v>
      </x:c>
      <x:c r="J82" s="27" t="n">
        <x:f>IF(Q82=0,"",I82/Q82)</x:f>
        <x:v>-0.244</x:v>
      </x:c>
      <x:c r="K82" s="22" t="str">
        <x:f>IF(I82&gt;=0,"盈利","亏损")</x:f>
        <x:v>亏损</x:v>
      </x:c>
      <x:c r="L82" s="63" t="n">
        <x:f>IF(C82="转换(转入)",'参数与来源'!$B$9,'参数与来源'!$B$8)</x:f>
        <x:v>0.0015</x:v>
      </x:c>
      <x:c r="M82" s="62" t="n">
        <x:f>D82-E82</x:f>
        <x:v>49.92</x:v>
      </x:c>
      <x:c r="N82" s="64" t="n">
        <x:v>46182</x:v>
      </x:c>
      <x:c r="O82" s="61" t="n">
        <x:v>0</x:v>
      </x:c>
      <x:c r="P82" s="62" t="n">
        <x:f>G82-O82</x:f>
        <x:v>14.08</x:v>
      </x:c>
      <x:c r="Q82" s="62" t="n">
        <x:f>IF(G82=0,0,D82*P82/G82)</x:f>
        <x:v>50</x:v>
      </x:c>
      <x:c r="R82" s="25" t="n">
        <x:f>'参数与来源'!$B$4</x:f>
        <x:v>2.685</x:v>
      </x:c>
    </x:row>
    <x:row r="83">
      <x:c r="A83" s="59" t="str">
        <x:v>L079</x:v>
      </x:c>
      <x:c r="B83" s="60" t="n">
        <x:v>46183.50234953704</x:v>
      </x:c>
      <x:c r="C83" s="59" t="str">
        <x:v>定投</x:v>
      </x:c>
      <x:c r="D83" s="61" t="n">
        <x:v>50</x:v>
      </x:c>
      <x:c r="E83" s="62" t="n">
        <x:f>ROUND(D83*L83,2)</x:f>
        <x:v>0.08</x:v>
      </x:c>
      <x:c r="F83" s="25" t="n">
        <x:f>SUMIF('历史净值'!$A$3:$A$1954,N83,'历史净值'!$B$3:$B$1954)</x:f>
        <x:v>3.4274</x:v>
      </x:c>
      <x:c r="G83" s="62" t="n">
        <x:f>ROUND(M83/F83,2)</x:f>
        <x:v>14.56</x:v>
      </x:c>
      <x:c r="H83" s="62" t="n">
        <x:f>ROUND(P83*R83,2)</x:f>
        <x:v>39.09</x:v>
      </x:c>
      <x:c r="I83" s="62" t="n">
        <x:f>ROUND(H83-Q83,2)</x:f>
        <x:v>-10.91</x:v>
      </x:c>
      <x:c r="J83" s="27" t="n">
        <x:f>IF(Q83=0,"",I83/Q83)</x:f>
        <x:v>-0.2182</x:v>
      </x:c>
      <x:c r="K83" s="22" t="str">
        <x:f>IF(I83&gt;=0,"盈利","亏损")</x:f>
        <x:v>亏损</x:v>
      </x:c>
      <x:c r="L83" s="63" t="n">
        <x:f>IF(C83="转换(转入)",'参数与来源'!$B$9,'参数与来源'!$B$8)</x:f>
        <x:v>0.0015</x:v>
      </x:c>
      <x:c r="M83" s="62" t="n">
        <x:f>D83-E83</x:f>
        <x:v>49.92</x:v>
      </x:c>
      <x:c r="N83" s="64" t="n">
        <x:v>46183</x:v>
      </x:c>
      <x:c r="O83" s="61" t="n">
        <x:v>0</x:v>
      </x:c>
      <x:c r="P83" s="62" t="n">
        <x:f>G83-O83</x:f>
        <x:v>14.56</x:v>
      </x:c>
      <x:c r="Q83" s="62" t="n">
        <x:f>IF(G83=0,0,D83*P83/G83)</x:f>
        <x:v>50</x:v>
      </x:c>
      <x:c r="R83" s="25" t="n">
        <x:f>'参数与来源'!$B$4</x:f>
        <x:v>2.685</x:v>
      </x:c>
    </x:row>
    <x:row r="84">
      <x:c r="A84" s="59" t="str">
        <x:v>L080</x:v>
      </x:c>
      <x:c r="B84" s="60" t="n">
        <x:v>46184.512511574074</x:v>
      </x:c>
      <x:c r="C84" s="59" t="str">
        <x:v>定投</x:v>
      </x:c>
      <x:c r="D84" s="61" t="n">
        <x:v>100</x:v>
      </x:c>
      <x:c r="E84" s="62" t="n">
        <x:f>ROUND(D84*L84,2)</x:f>
        <x:v>0.15</x:v>
      </x:c>
      <x:c r="F84" s="25" t="n">
        <x:f>SUMIF('历史净值'!$A$3:$A$1954,N84,'历史净值'!$B$3:$B$1954)</x:f>
        <x:v>3.5625</x:v>
      </x:c>
      <x:c r="G84" s="62" t="n">
        <x:f>ROUND(M84/F84,2)</x:f>
        <x:v>28.03</x:v>
      </x:c>
      <x:c r="H84" s="62" t="n">
        <x:f>ROUND(P84*R84,2)</x:f>
        <x:v>75.26</x:v>
      </x:c>
      <x:c r="I84" s="62" t="n">
        <x:f>ROUND(H84-Q84,2)</x:f>
        <x:v>-24.74</x:v>
      </x:c>
      <x:c r="J84" s="27" t="n">
        <x:f>IF(Q84=0,"",I84/Q84)</x:f>
        <x:v>-0.24739999999999998</x:v>
      </x:c>
      <x:c r="K84" s="22" t="str">
        <x:f>IF(I84&gt;=0,"盈利","亏损")</x:f>
        <x:v>亏损</x:v>
      </x:c>
      <x:c r="L84" s="63" t="n">
        <x:f>IF(C84="转换(转入)",'参数与来源'!$B$9,'参数与来源'!$B$8)</x:f>
        <x:v>0.0015</x:v>
      </x:c>
      <x:c r="M84" s="62" t="n">
        <x:f>D84-E84</x:f>
        <x:v>99.85</x:v>
      </x:c>
      <x:c r="N84" s="64" t="n">
        <x:v>46184</x:v>
      </x:c>
      <x:c r="O84" s="61" t="n">
        <x:v>0</x:v>
      </x:c>
      <x:c r="P84" s="62" t="n">
        <x:f>G84-O84</x:f>
        <x:v>28.03</x:v>
      </x:c>
      <x:c r="Q84" s="62" t="n">
        <x:f>IF(G84=0,0,D84*P84/G84)</x:f>
        <x:v>100</x:v>
      </x:c>
      <x:c r="R84" s="25" t="n">
        <x:f>'参数与来源'!$B$4</x:f>
        <x:v>2.685</x:v>
      </x:c>
    </x:row>
    <x:row r="85">
      <x:c r="A85" s="59" t="str">
        <x:v>L081</x:v>
      </x:c>
      <x:c r="B85" s="60" t="n">
        <x:v>46185.50325231482</x:v>
      </x:c>
      <x:c r="C85" s="59" t="str">
        <x:v>定投</x:v>
      </x:c>
      <x:c r="D85" s="61" t="n">
        <x:v>100</x:v>
      </x:c>
      <x:c r="E85" s="62" t="n">
        <x:f>ROUND(D85*L85,2)</x:f>
        <x:v>0.15</x:v>
      </x:c>
      <x:c r="F85" s="25" t="n">
        <x:f>SUMIF('历史净值'!$A$3:$A$1954,N85,'历史净值'!$B$3:$B$1954)</x:f>
        <x:v>3.5728</x:v>
      </x:c>
      <x:c r="G85" s="62" t="n">
        <x:f>ROUND(M85/F85,2)</x:f>
        <x:v>27.95</x:v>
      </x:c>
      <x:c r="H85" s="62" t="n">
        <x:f>ROUND(P85*R85,2)</x:f>
        <x:v>75.05</x:v>
      </x:c>
      <x:c r="I85" s="62" t="n">
        <x:f>ROUND(H85-Q85,2)</x:f>
        <x:v>-24.95</x:v>
      </x:c>
      <x:c r="J85" s="27" t="n">
        <x:f>IF(Q85=0,"",I85/Q85)</x:f>
        <x:v>-0.2495</x:v>
      </x:c>
      <x:c r="K85" s="22" t="str">
        <x:f>IF(I85&gt;=0,"盈利","亏损")</x:f>
        <x:v>亏损</x:v>
      </x:c>
      <x:c r="L85" s="63" t="n">
        <x:f>IF(C85="转换(转入)",'参数与来源'!$B$9,'参数与来源'!$B$8)</x:f>
        <x:v>0.0015</x:v>
      </x:c>
      <x:c r="M85" s="62" t="n">
        <x:f>D85-E85</x:f>
        <x:v>99.85</x:v>
      </x:c>
      <x:c r="N85" s="64" t="n">
        <x:v>46185</x:v>
      </x:c>
      <x:c r="O85" s="61" t="n">
        <x:v>0</x:v>
      </x:c>
      <x:c r="P85" s="62" t="n">
        <x:f>G85-O85</x:f>
        <x:v>27.95</x:v>
      </x:c>
      <x:c r="Q85" s="62" t="n">
        <x:f>IF(G85=0,0,D85*P85/G85)</x:f>
        <x:v>100</x:v>
      </x:c>
      <x:c r="R85" s="25" t="n">
        <x:f>'参数与来源'!$B$4</x:f>
        <x:v>2.685</x:v>
      </x:c>
    </x:row>
    <x:row r="86">
      <x:c r="A86" s="59" t="str">
        <x:v>L082</x:v>
      </x:c>
      <x:c r="B86" s="60" t="n">
        <x:v>46209.56265046296</x:v>
      </x:c>
      <x:c r="C86" s="59" t="str">
        <x:v>买入</x:v>
      </x:c>
      <x:c r="D86" s="61" t="n">
        <x:v>1000</x:v>
      </x:c>
      <x:c r="E86" s="62" t="n">
        <x:f>ROUND(D86*L86,2)</x:f>
        <x:v>1.5</x:v>
      </x:c>
      <x:c r="F86" s="25" t="n">
        <x:f>SUMIF('历史净值'!$A$3:$A$1954,N86,'历史净值'!$B$3:$B$1954)</x:f>
        <x:v>3.4867</x:v>
      </x:c>
      <x:c r="G86" s="62" t="n">
        <x:f>ROUND(M86/F86,2)</x:f>
        <x:v>286.37</x:v>
      </x:c>
      <x:c r="H86" s="62" t="n">
        <x:f>ROUND(P86*R86,2)</x:f>
        <x:v>768.9</x:v>
      </x:c>
      <x:c r="I86" s="62" t="n">
        <x:f>ROUND(H86-Q86,2)</x:f>
        <x:v>-231.1</x:v>
      </x:c>
      <x:c r="J86" s="27" t="n">
        <x:f>IF(Q86=0,"",I86/Q86)</x:f>
        <x:v>-0.2311</x:v>
      </x:c>
      <x:c r="K86" s="22" t="str">
        <x:f>IF(I86&gt;=0,"盈利","亏损")</x:f>
        <x:v>亏损</x:v>
      </x:c>
      <x:c r="L86" s="63" t="n">
        <x:f>IF(C86="转换(转入)",'参数与来源'!$B$9,'参数与来源'!$B$8)</x:f>
        <x:v>0.0015</x:v>
      </x:c>
      <x:c r="M86" s="62" t="n">
        <x:f>D86-E86</x:f>
        <x:v>998.5</x:v>
      </x:c>
      <x:c r="N86" s="64" t="n">
        <x:v>46209</x:v>
      </x:c>
      <x:c r="O86" s="61" t="n">
        <x:v>0</x:v>
      </x:c>
      <x:c r="P86" s="62" t="n">
        <x:f>G86-O86</x:f>
        <x:v>286.37</x:v>
      </x:c>
      <x:c r="Q86" s="62" t="n">
        <x:f>IF(G86=0,0,D86*P86/G86)</x:f>
        <x:v>1000</x:v>
      </x:c>
      <x:c r="R86" s="25" t="n">
        <x:f>'参数与来源'!$B$4</x:f>
        <x:v>2.685</x:v>
      </x:c>
    </x:row>
    <x:row r="87">
      <x:c r="A87" s="59" t="str">
        <x:v>L083</x:v>
      </x:c>
      <x:c r="B87" s="60" t="n">
        <x:v>46210.524097222224</x:v>
      </x:c>
      <x:c r="C87" s="59" t="str">
        <x:v>定投</x:v>
      </x:c>
      <x:c r="D87" s="61" t="n">
        <x:v>1000</x:v>
      </x:c>
      <x:c r="E87" s="62" t="n">
        <x:f>ROUND(D87*L87,2)</x:f>
        <x:v>1.5</x:v>
      </x:c>
      <x:c r="F87" s="25" t="n">
        <x:f>SUMIF('历史净值'!$A$3:$A$1954,N87,'历史净值'!$B$3:$B$1954)</x:f>
        <x:v>3.3646</x:v>
      </x:c>
      <x:c r="G87" s="62" t="n">
        <x:f>ROUND(M87/F87,2)</x:f>
        <x:v>296.77</x:v>
      </x:c>
      <x:c r="H87" s="62" t="n">
        <x:f>ROUND(P87*R87,2)</x:f>
        <x:v>796.83</x:v>
      </x:c>
      <x:c r="I87" s="62" t="n">
        <x:f>ROUND(H87-Q87,2)</x:f>
        <x:v>-203.17</x:v>
      </x:c>
      <x:c r="J87" s="27" t="n">
        <x:f>IF(Q87=0,"",I87/Q87)</x:f>
        <x:v>-0.20316999999999996</x:v>
      </x:c>
      <x:c r="K87" s="22" t="str">
        <x:f>IF(I87&gt;=0,"盈利","亏损")</x:f>
        <x:v>亏损</x:v>
      </x:c>
      <x:c r="L87" s="63" t="n">
        <x:f>IF(C87="转换(转入)",'参数与来源'!$B$9,'参数与来源'!$B$8)</x:f>
        <x:v>0.0015</x:v>
      </x:c>
      <x:c r="M87" s="62" t="n">
        <x:f>D87-E87</x:f>
        <x:v>998.5</x:v>
      </x:c>
      <x:c r="N87" s="64" t="n">
        <x:v>46210</x:v>
      </x:c>
      <x:c r="O87" s="61" t="n">
        <x:v>0</x:v>
      </x:c>
      <x:c r="P87" s="62" t="n">
        <x:f>G87-O87</x:f>
        <x:v>296.77</x:v>
      </x:c>
      <x:c r="Q87" s="62" t="n">
        <x:f>IF(G87=0,0,D87*P87/G87)</x:f>
        <x:v>1000.0000000000001</x:v>
      </x:c>
      <x:c r="R87" s="25" t="n">
        <x:f>'参数与来源'!$B$4</x:f>
        <x:v>2.685</x:v>
      </x:c>
    </x:row>
    <x:row r="88">
      <x:c r="A88" s="59" t="str">
        <x:v>L084</x:v>
      </x:c>
      <x:c r="B88" s="60" t="n">
        <x:v>46211.522152777776</x:v>
      </x:c>
      <x:c r="C88" s="59" t="str">
        <x:v>定投</x:v>
      </x:c>
      <x:c r="D88" s="61" t="n">
        <x:v>1000</x:v>
      </x:c>
      <x:c r="E88" s="62" t="n">
        <x:f>ROUND(D88*L88,2)</x:f>
        <x:v>1.5</x:v>
      </x:c>
      <x:c r="F88" s="25" t="n">
        <x:f>SUMIF('历史净值'!$A$3:$A$1954,N88,'历史净值'!$B$3:$B$1954)</x:f>
        <x:v>3.3565</x:v>
      </x:c>
      <x:c r="G88" s="62" t="n">
        <x:f>ROUND(M88/F88,2)</x:f>
        <x:v>297.48</x:v>
      </x:c>
      <x:c r="H88" s="62" t="n">
        <x:f>ROUND(P88*R88,2)</x:f>
        <x:v>798.73</x:v>
      </x:c>
      <x:c r="I88" s="62" t="n">
        <x:f>ROUND(H88-Q88,2)</x:f>
        <x:v>-201.27</x:v>
      </x:c>
      <x:c r="J88" s="27" t="n">
        <x:f>IF(Q88=0,"",I88/Q88)</x:f>
        <x:v>-0.20127000000000003</x:v>
      </x:c>
      <x:c r="K88" s="22" t="str">
        <x:f>IF(I88&gt;=0,"盈利","亏损")</x:f>
        <x:v>亏损</x:v>
      </x:c>
      <x:c r="L88" s="63" t="n">
        <x:f>IF(C88="转换(转入)",'参数与来源'!$B$9,'参数与来源'!$B$8)</x:f>
        <x:v>0.0015</x:v>
      </x:c>
      <x:c r="M88" s="62" t="n">
        <x:f>D88-E88</x:f>
        <x:v>998.5</x:v>
      </x:c>
      <x:c r="N88" s="64" t="n">
        <x:v>46211</x:v>
      </x:c>
      <x:c r="O88" s="61" t="n">
        <x:v>0</x:v>
      </x:c>
      <x:c r="P88" s="62" t="n">
        <x:f>G88-O88</x:f>
        <x:v>297.48</x:v>
      </x:c>
      <x:c r="Q88" s="62" t="n">
        <x:f>IF(G88=0,0,D88*P88/G88)</x:f>
        <x:v>999.9999999999999</x:v>
      </x:c>
      <x:c r="R88" s="25" t="n">
        <x:f>'参数与来源'!$B$4</x:f>
        <x:v>2.685</x:v>
      </x:c>
    </x:row>
    <x:row r="89">
      <x:c r="A89" s="59" t="str">
        <x:v>L085</x:v>
      </x:c>
      <x:c r="B89" s="60" t="n">
        <x:v>46212.52087962963</x:v>
      </x:c>
      <x:c r="C89" s="59" t="str">
        <x:v>定投</x:v>
      </x:c>
      <x:c r="D89" s="61" t="n">
        <x:v>1000</x:v>
      </x:c>
      <x:c r="E89" s="62" t="n">
        <x:f>ROUND(D89*L89,2)</x:f>
        <x:v>1.5</x:v>
      </x:c>
      <x:c r="F89" s="25" t="n">
        <x:f>SUMIF('历史净值'!$A$3:$A$1954,N89,'历史净值'!$B$3:$B$1954)</x:f>
        <x:v>3.5558</x:v>
      </x:c>
      <x:c r="G89" s="62" t="n">
        <x:f>ROUND(M89/F89,2)</x:f>
        <x:v>280.81</x:v>
      </x:c>
      <x:c r="H89" s="62" t="n">
        <x:f>ROUND(P89*R89,2)</x:f>
        <x:v>753.97</x:v>
      </x:c>
      <x:c r="I89" s="62" t="n">
        <x:f>ROUND(H89-Q89,2)</x:f>
        <x:v>-246.03</x:v>
      </x:c>
      <x:c r="J89" s="27" t="n">
        <x:f>IF(Q89=0,"",I89/Q89)</x:f>
        <x:v>-0.24603</x:v>
      </x:c>
      <x:c r="K89" s="22" t="str">
        <x:f>IF(I89&gt;=0,"盈利","亏损")</x:f>
        <x:v>亏损</x:v>
      </x:c>
      <x:c r="L89" s="63" t="n">
        <x:f>IF(C89="转换(转入)",'参数与来源'!$B$9,'参数与来源'!$B$8)</x:f>
        <x:v>0.0015</x:v>
      </x:c>
      <x:c r="M89" s="62" t="n">
        <x:f>D89-E89</x:f>
        <x:v>998.5</x:v>
      </x:c>
      <x:c r="N89" s="64" t="n">
        <x:v>46212</x:v>
      </x:c>
      <x:c r="O89" s="61" t="n">
        <x:v>0</x:v>
      </x:c>
      <x:c r="P89" s="62" t="n">
        <x:f>G89-O89</x:f>
        <x:v>280.81</x:v>
      </x:c>
      <x:c r="Q89" s="62" t="n">
        <x:f>IF(G89=0,0,D89*P89/G89)</x:f>
        <x:v>1000</x:v>
      </x:c>
      <x:c r="R89" s="25" t="n">
        <x:f>'参数与来源'!$B$4</x:f>
        <x:v>2.685</x:v>
      </x:c>
    </x:row>
    <x:row r="90">
      <x:c r="A90" s="59" t="str">
        <x:v>L086</x:v>
      </x:c>
      <x:c r="B90" s="60" t="n">
        <x:v>46213.60329861111</x:v>
      </x:c>
      <x:c r="C90" s="59" t="str">
        <x:v>买入</x:v>
      </x:c>
      <x:c r="D90" s="61" t="n">
        <x:v>1000</x:v>
      </x:c>
      <x:c r="E90" s="62" t="n">
        <x:f>ROUND(D90*L90,2)</x:f>
        <x:v>1.5</x:v>
      </x:c>
      <x:c r="F90" s="25" t="n">
        <x:f>SUMIF('历史净值'!$A$3:$A$1954,N90,'历史净值'!$B$3:$B$1954)</x:f>
        <x:v>3.3943</x:v>
      </x:c>
      <x:c r="G90" s="62" t="n">
        <x:f>ROUND(M90/F90,2)</x:f>
        <x:v>294.17</x:v>
      </x:c>
      <x:c r="H90" s="62" t="n">
        <x:f>ROUND(P90*R90,2)</x:f>
        <x:v>789.85</x:v>
      </x:c>
      <x:c r="I90" s="62" t="n">
        <x:f>ROUND(H90-Q90,2)</x:f>
        <x:v>-210.15</x:v>
      </x:c>
      <x:c r="J90" s="27" t="n">
        <x:f>IF(Q90=0,"",I90/Q90)</x:f>
        <x:v>-0.21015</x:v>
      </x:c>
      <x:c r="K90" s="22" t="str">
        <x:f>IF(I90&gt;=0,"盈利","亏损")</x:f>
        <x:v>亏损</x:v>
      </x:c>
      <x:c r="L90" s="63" t="n">
        <x:f>IF(C90="转换(转入)",'参数与来源'!$B$9,'参数与来源'!$B$8)</x:f>
        <x:v>0.0015</x:v>
      </x:c>
      <x:c r="M90" s="62" t="n">
        <x:f>D90-E90</x:f>
        <x:v>998.5</x:v>
      </x:c>
      <x:c r="N90" s="64" t="n">
        <x:v>46213</x:v>
      </x:c>
      <x:c r="O90" s="61" t="n">
        <x:v>0</x:v>
      </x:c>
      <x:c r="P90" s="62" t="n">
        <x:f>G90-O90</x:f>
        <x:v>294.17</x:v>
      </x:c>
      <x:c r="Q90" s="62" t="n">
        <x:f>IF(G90=0,0,D90*P90/G90)</x:f>
        <x:v>1000</x:v>
      </x:c>
      <x:c r="R90" s="25" t="n">
        <x:f>'参数与来源'!$B$4</x:f>
        <x:v>2.685</x:v>
      </x:c>
    </x:row>
    <x:row r="91">
      <x:c r="A91" s="59" t="str">
        <x:v>L087</x:v>
      </x:c>
      <x:c r="B91" s="60" t="n">
        <x:v>46216.52679398148</x:v>
      </x:c>
      <x:c r="C91" s="59" t="str">
        <x:v>定投</x:v>
      </x:c>
      <x:c r="D91" s="61" t="n">
        <x:v>1000</x:v>
      </x:c>
      <x:c r="E91" s="62" t="n">
        <x:f>ROUND(D91*L91,2)</x:f>
        <x:v>1.5</x:v>
      </x:c>
      <x:c r="F91" s="25" t="n">
        <x:f>SUMIF('历史净值'!$A$3:$A$1954,N91,'历史净值'!$B$3:$B$1954)</x:f>
        <x:v>3.1753</x:v>
      </x:c>
      <x:c r="G91" s="62" t="n">
        <x:f>ROUND(M91/F91,2)</x:f>
        <x:v>314.46</x:v>
      </x:c>
      <x:c r="H91" s="62" t="n">
        <x:f>ROUND(P91*R91,2)</x:f>
        <x:v>844.33</x:v>
      </x:c>
      <x:c r="I91" s="62" t="n">
        <x:f>ROUND(H91-Q91,2)</x:f>
        <x:v>-155.67</x:v>
      </x:c>
      <x:c r="J91" s="27" t="n">
        <x:f>IF(Q91=0,"",I91/Q91)</x:f>
        <x:v>-0.15566999999999998</x:v>
      </x:c>
      <x:c r="K91" s="22" t="str">
        <x:f>IF(I91&gt;=0,"盈利","亏损")</x:f>
        <x:v>亏损</x:v>
      </x:c>
      <x:c r="L91" s="63" t="n">
        <x:f>IF(C91="转换(转入)",'参数与来源'!$B$9,'参数与来源'!$B$8)</x:f>
        <x:v>0.0015</x:v>
      </x:c>
      <x:c r="M91" s="62" t="n">
        <x:f>D91-E91</x:f>
        <x:v>998.5</x:v>
      </x:c>
      <x:c r="N91" s="64" t="n">
        <x:v>46216</x:v>
      </x:c>
      <x:c r="O91" s="61" t="n">
        <x:v>0</x:v>
      </x:c>
      <x:c r="P91" s="62" t="n">
        <x:f>G91-O91</x:f>
        <x:v>314.46</x:v>
      </x:c>
      <x:c r="Q91" s="62" t="n">
        <x:f>IF(G91=0,0,D91*P91/G91)</x:f>
        <x:v>1000.0000000000001</x:v>
      </x:c>
      <x:c r="R91" s="25" t="n">
        <x:f>'参数与来源'!$B$4</x:f>
        <x:v>2.685</x:v>
      </x:c>
    </x:row>
    <x:row r="92">
      <x:c r="A92" s="59" t="str">
        <x:v>L088</x:v>
      </x:c>
      <x:c r="B92" s="60" t="n">
        <x:v>46217.51803240741</x:v>
      </x:c>
      <x:c r="C92" s="59" t="str">
        <x:v>定投</x:v>
      </x:c>
      <x:c r="D92" s="61" t="n">
        <x:v>1000</x:v>
      </x:c>
      <x:c r="E92" s="62" t="n">
        <x:f>ROUND(D92*L92,2)</x:f>
        <x:v>1.5</x:v>
      </x:c>
      <x:c r="F92" s="25" t="n">
        <x:f>SUMIF('历史净值'!$A$3:$A$1954,N92,'历史净值'!$B$3:$B$1954)</x:f>
        <x:v>3.2807</x:v>
      </x:c>
      <x:c r="G92" s="62" t="n">
        <x:f>ROUND(M92/F92,2)</x:f>
        <x:v>304.36</x:v>
      </x:c>
      <x:c r="H92" s="62" t="n">
        <x:f>ROUND(P92*R92,2)</x:f>
        <x:v>817.21</x:v>
      </x:c>
      <x:c r="I92" s="62" t="n">
        <x:f>ROUND(H92-Q92,2)</x:f>
        <x:v>-182.79</x:v>
      </x:c>
      <x:c r="J92" s="27" t="n">
        <x:f>IF(Q92=0,"",I92/Q92)</x:f>
        <x:v>-0.18278999999999998</x:v>
      </x:c>
      <x:c r="K92" s="22" t="str">
        <x:f>IF(I92&gt;=0,"盈利","亏损")</x:f>
        <x:v>亏损</x:v>
      </x:c>
      <x:c r="L92" s="63" t="n">
        <x:f>IF(C92="转换(转入)",'参数与来源'!$B$9,'参数与来源'!$B$8)</x:f>
        <x:v>0.0015</x:v>
      </x:c>
      <x:c r="M92" s="62" t="n">
        <x:f>D92-E92</x:f>
        <x:v>998.5</x:v>
      </x:c>
      <x:c r="N92" s="64" t="n">
        <x:v>46217</x:v>
      </x:c>
      <x:c r="O92" s="61" t="n">
        <x:v>0</x:v>
      </x:c>
      <x:c r="P92" s="62" t="n">
        <x:f>G92-O92</x:f>
        <x:v>304.36</x:v>
      </x:c>
      <x:c r="Q92" s="62" t="n">
        <x:f>IF(G92=0,0,D92*P92/G92)</x:f>
        <x:v>1000</x:v>
      </x:c>
      <x:c r="R92" s="25" t="n">
        <x:f>'参数与来源'!$B$4</x:f>
        <x:v>2.685</x:v>
      </x:c>
    </x:row>
    <x:row r="93">
      <x:c r="A93" s="59" t="str">
        <x:v>L089</x:v>
      </x:c>
      <x:c r="B93" s="60" t="n">
        <x:v>46218.51513888889</x:v>
      </x:c>
      <x:c r="C93" s="59" t="str">
        <x:v>定投</x:v>
      </x:c>
      <x:c r="D93" s="61" t="n">
        <x:v>1000</x:v>
      </x:c>
      <x:c r="E93" s="62" t="n">
        <x:f>ROUND(D93*L93,2)</x:f>
        <x:v>1.5</x:v>
      </x:c>
      <x:c r="F93" s="25" t="n">
        <x:f>SUMIF('历史净值'!$A$3:$A$1954,N93,'历史净值'!$B$3:$B$1954)</x:f>
        <x:v>3.1877</x:v>
      </x:c>
      <x:c r="G93" s="62" t="n">
        <x:f>ROUND(M93/F93,2)</x:f>
        <x:v>313.24</x:v>
      </x:c>
      <x:c r="H93" s="62" t="n">
        <x:f>ROUND(P93*R93,2)</x:f>
        <x:v>841.05</x:v>
      </x:c>
      <x:c r="I93" s="62" t="n">
        <x:f>ROUND(H93-Q93,2)</x:f>
        <x:v>-158.95</x:v>
      </x:c>
      <x:c r="J93" s="27" t="n">
        <x:f>IF(Q93=0,"",I93/Q93)</x:f>
        <x:v>-0.15894999999999998</x:v>
      </x:c>
      <x:c r="K93" s="22" t="str">
        <x:f>IF(I93&gt;=0,"盈利","亏损")</x:f>
        <x:v>亏损</x:v>
      </x:c>
      <x:c r="L93" s="63" t="n">
        <x:f>IF(C93="转换(转入)",'参数与来源'!$B$9,'参数与来源'!$B$8)</x:f>
        <x:v>0.0015</x:v>
      </x:c>
      <x:c r="M93" s="62" t="n">
        <x:f>D93-E93</x:f>
        <x:v>998.5</x:v>
      </x:c>
      <x:c r="N93" s="64" t="n">
        <x:v>46218</x:v>
      </x:c>
      <x:c r="O93" s="61" t="n">
        <x:v>0</x:v>
      </x:c>
      <x:c r="P93" s="62" t="n">
        <x:f>G93-O93</x:f>
        <x:v>313.24</x:v>
      </x:c>
      <x:c r="Q93" s="62" t="n">
        <x:f>IF(G93=0,0,D93*P93/G93)</x:f>
        <x:v>1000</x:v>
      </x:c>
      <x:c r="R93" s="25" t="n">
        <x:f>'参数与来源'!$B$4</x:f>
        <x:v>2.685</x:v>
      </x:c>
    </x:row>
    <x:row r="94">
      <x:c r="A94" s="59" t="str">
        <x:v>L090</x:v>
      </x:c>
      <x:c r="B94" s="60" t="n">
        <x:v>46219.51583333333</x:v>
      </x:c>
      <x:c r="C94" s="59" t="str">
        <x:v>定投</x:v>
      </x:c>
      <x:c r="D94" s="61" t="n">
        <x:v>1000</x:v>
      </x:c>
      <x:c r="E94" s="62" t="n">
        <x:f>ROUND(D94*L94,2)</x:f>
        <x:v>1.5</x:v>
      </x:c>
      <x:c r="F94" s="25" t="n">
        <x:f>SUMIF('历史净值'!$A$3:$A$1954,N94,'历史净值'!$B$3:$B$1954)</x:f>
        <x:v>3.02</x:v>
      </x:c>
      <x:c r="G94" s="62" t="n">
        <x:f>ROUND(M94/F94,2)</x:f>
        <x:v>330.63</x:v>
      </x:c>
      <x:c r="H94" s="62" t="n">
        <x:f>ROUND(P94*R94,2)</x:f>
        <x:v>887.74</x:v>
      </x:c>
      <x:c r="I94" s="62" t="n">
        <x:f>ROUND(H94-Q94,2)</x:f>
        <x:v>-112.26</x:v>
      </x:c>
      <x:c r="J94" s="27" t="n">
        <x:f>IF(Q94=0,"",I94/Q94)</x:f>
        <x:v>-0.11226</x:v>
      </x:c>
      <x:c r="K94" s="22" t="str">
        <x:f>IF(I94&gt;=0,"盈利","亏损")</x:f>
        <x:v>亏损</x:v>
      </x:c>
      <x:c r="L94" s="63" t="n">
        <x:f>IF(C94="转换(转入)",'参数与来源'!$B$9,'参数与来源'!$B$8)</x:f>
        <x:v>0.0015</x:v>
      </x:c>
      <x:c r="M94" s="62" t="n">
        <x:f>D94-E94</x:f>
        <x:v>998.5</x:v>
      </x:c>
      <x:c r="N94" s="64" t="n">
        <x:v>46219</x:v>
      </x:c>
      <x:c r="O94" s="61" t="n">
        <x:v>0</x:v>
      </x:c>
      <x:c r="P94" s="62" t="n">
        <x:f>G94-O94</x:f>
        <x:v>330.63</x:v>
      </x:c>
      <x:c r="Q94" s="62" t="n">
        <x:f>IF(G94=0,0,D94*P94/G94)</x:f>
        <x:v>1000</x:v>
      </x:c>
      <x:c r="R94" s="25" t="n">
        <x:f>'参数与来源'!$B$4</x:f>
        <x:v>2.685</x:v>
      </x:c>
    </x:row>
    <x:row r="95">
      <x:c r="A95" s="59" t="str">
        <x:v>L091</x:v>
      </x:c>
      <x:c r="B95" s="60" t="n">
        <x:v>46220.50885416667</x:v>
      </x:c>
      <x:c r="C95" s="59" t="str">
        <x:v>定投</x:v>
      </x:c>
      <x:c r="D95" s="61" t="n">
        <x:v>1000</x:v>
      </x:c>
      <x:c r="E95" s="62" t="n">
        <x:f>ROUND(D95*L95,2)</x:f>
        <x:v>1.5</x:v>
      </x:c>
      <x:c r="F95" s="25" t="n">
        <x:f>SUMIF('历史净值'!$A$3:$A$1954,N95,'历史净值'!$B$3:$B$1954)</x:f>
        <x:v>2.8423</x:v>
      </x:c>
      <x:c r="G95" s="62" t="n">
        <x:f>ROUND(M95/F95,2)</x:f>
        <x:v>351.3</x:v>
      </x:c>
      <x:c r="H95" s="62" t="n">
        <x:f>ROUND(P95*R95,2)</x:f>
        <x:v>943.24</x:v>
      </x:c>
      <x:c r="I95" s="62" t="n">
        <x:f>ROUND(H95-Q95,2)</x:f>
        <x:v>-56.76</x:v>
      </x:c>
      <x:c r="J95" s="27" t="n">
        <x:f>IF(Q95=0,"",I95/Q95)</x:f>
        <x:v>-0.05676</x:v>
      </x:c>
      <x:c r="K95" s="22" t="str">
        <x:f>IF(I95&gt;=0,"盈利","亏损")</x:f>
        <x:v>亏损</x:v>
      </x:c>
      <x:c r="L95" s="63" t="n">
        <x:f>IF(C95="转换(转入)",'参数与来源'!$B$9,'参数与来源'!$B$8)</x:f>
        <x:v>0.0015</x:v>
      </x:c>
      <x:c r="M95" s="62" t="n">
        <x:f>D95-E95</x:f>
        <x:v>998.5</x:v>
      </x:c>
      <x:c r="N95" s="64" t="n">
        <x:v>46220</x:v>
      </x:c>
      <x:c r="O95" s="61" t="n">
        <x:v>0</x:v>
      </x:c>
      <x:c r="P95" s="62" t="n">
        <x:f>G95-O95</x:f>
        <x:v>351.3</x:v>
      </x:c>
      <x:c r="Q95" s="62" t="n">
        <x:f>IF(G95=0,0,D95*P95/G95)</x:f>
        <x:v>1000</x:v>
      </x:c>
      <x:c r="R95" s="25" t="n">
        <x:f>'参数与来源'!$B$4</x:f>
        <x:v>2.685</x:v>
      </x:c>
    </x:row>
    <x:row r="96">
      <x:c r="A96" s="59" t="str">
        <x:v>L092</x:v>
      </x:c>
      <x:c r="B96" s="60" t="n">
        <x:v>46223.51672453704</x:v>
      </x:c>
      <x:c r="C96" s="59" t="str">
        <x:v>定投</x:v>
      </x:c>
      <x:c r="D96" s="61" t="n">
        <x:v>200</x:v>
      </x:c>
      <x:c r="E96" s="62" t="n">
        <x:f>ROUND(D96*L96,2)</x:f>
        <x:v>0.3</x:v>
      </x:c>
      <x:c r="F96" s="25" t="n">
        <x:f>SUMIF('历史净值'!$A$3:$A$1954,N96,'历史净值'!$B$3:$B$1954)</x:f>
        <x:v>2.8312</x:v>
      </x:c>
      <x:c r="G96" s="62" t="n">
        <x:f>ROUND(M96/F96,2)</x:f>
        <x:v>70.54</x:v>
      </x:c>
      <x:c r="H96" s="62" t="n">
        <x:f>ROUND(P96*R96,2)</x:f>
        <x:v>189.4</x:v>
      </x:c>
      <x:c r="I96" s="62" t="n">
        <x:f>ROUND(H96-Q96,2)</x:f>
        <x:v>-10.6</x:v>
      </x:c>
      <x:c r="J96" s="27" t="n">
        <x:f>IF(Q96=0,"",I96/Q96)</x:f>
        <x:v>-0.053</x:v>
      </x:c>
      <x:c r="K96" s="22" t="str">
        <x:f>IF(I96&gt;=0,"盈利","亏损")</x:f>
        <x:v>亏损</x:v>
      </x:c>
      <x:c r="L96" s="63" t="n">
        <x:f>IF(C96="转换(转入)",'参数与来源'!$B$9,'参数与来源'!$B$8)</x:f>
        <x:v>0.0015</x:v>
      </x:c>
      <x:c r="M96" s="62" t="n">
        <x:f>D96-E96</x:f>
        <x:v>199.7</x:v>
      </x:c>
      <x:c r="N96" s="64" t="n">
        <x:v>46223</x:v>
      </x:c>
      <x:c r="O96" s="61" t="n">
        <x:v>0</x:v>
      </x:c>
      <x:c r="P96" s="62" t="n">
        <x:f>G96-O96</x:f>
        <x:v>70.54</x:v>
      </x:c>
      <x:c r="Q96" s="62" t="n">
        <x:f>IF(G96=0,0,D96*P96/G96)</x:f>
        <x:v>200</x:v>
      </x:c>
      <x:c r="R96" s="25" t="n">
        <x:f>'参数与来源'!$B$4</x:f>
        <x:v>2.685</x:v>
      </x:c>
    </x:row>
    <x:row r="97">
      <x:c r="A97" s="59" t="str">
        <x:v>L093</x:v>
      </x:c>
      <x:c r="B97" s="60" t="n">
        <x:v>46224.508263888885</x:v>
      </x:c>
      <x:c r="C97" s="59" t="str">
        <x:v>定投</x:v>
      </x:c>
      <x:c r="D97" s="61" t="n">
        <x:v>50</x:v>
      </x:c>
      <x:c r="E97" s="62" t="n">
        <x:f>ROUND(D97*L97,2)</x:f>
        <x:v>0.08</x:v>
      </x:c>
      <x:c r="F97" s="25" t="n">
        <x:f>SUMIF('历史净值'!$A$3:$A$1954,N97,'历史净值'!$B$3:$B$1954)</x:f>
        <x:v>2.9654</x:v>
      </x:c>
      <x:c r="G97" s="62" t="n">
        <x:f>ROUND(M97/F97,2)</x:f>
        <x:v>16.83</x:v>
      </x:c>
      <x:c r="H97" s="62" t="n">
        <x:f>ROUND(P97*R97,2)</x:f>
        <x:v>45.19</x:v>
      </x:c>
      <x:c r="I97" s="62" t="n">
        <x:f>ROUND(H97-Q97,2)</x:f>
        <x:v>-4.81</x:v>
      </x:c>
      <x:c r="J97" s="27" t="n">
        <x:f>IF(Q97=0,"",I97/Q97)</x:f>
        <x:v>-0.0962</x:v>
      </x:c>
      <x:c r="K97" s="22" t="str">
        <x:f>IF(I97&gt;=0,"盈利","亏损")</x:f>
        <x:v>亏损</x:v>
      </x:c>
      <x:c r="L97" s="63" t="n">
        <x:f>IF(C97="转换(转入)",'参数与来源'!$B$9,'参数与来源'!$B$8)</x:f>
        <x:v>0.0015</x:v>
      </x:c>
      <x:c r="M97" s="62" t="n">
        <x:f>D97-E97</x:f>
        <x:v>49.92</x:v>
      </x:c>
      <x:c r="N97" s="64" t="n">
        <x:v>46224</x:v>
      </x:c>
      <x:c r="O97" s="61" t="n">
        <x:v>0</x:v>
      </x:c>
      <x:c r="P97" s="62" t="n">
        <x:f>G97-O97</x:f>
        <x:v>16.83</x:v>
      </x:c>
      <x:c r="Q97" s="62" t="n">
        <x:f>IF(G97=0,0,D97*P97/G97)</x:f>
        <x:v>50</x:v>
      </x:c>
      <x:c r="R97" s="25" t="n">
        <x:f>'参数与来源'!$B$4</x:f>
        <x:v>2.685</x:v>
      </x:c>
    </x:row>
    <x:row r="98">
      <x:c r="A98" s="59" t="str">
        <x:v>L094</x:v>
      </x:c>
      <x:c r="B98" s="60" t="n">
        <x:v>46225.50714120371</x:v>
      </x:c>
      <x:c r="C98" s="59" t="str">
        <x:v>定投</x:v>
      </x:c>
      <x:c r="D98" s="61" t="n">
        <x:v>200</x:v>
      </x:c>
      <x:c r="E98" s="62" t="n">
        <x:f>ROUND(D98*L98,2)</x:f>
        <x:v>0.3</x:v>
      </x:c>
      <x:c r="F98" s="25" t="n">
        <x:f>SUMIF('历史净值'!$A$3:$A$1954,N98,'历史净值'!$B$3:$B$1954)</x:f>
        <x:v>2.9094</x:v>
      </x:c>
      <x:c r="G98" s="62" t="n">
        <x:f>ROUND(M98/F98,2)</x:f>
        <x:v>68.64</x:v>
      </x:c>
      <x:c r="H98" s="62" t="n">
        <x:f>ROUND(P98*R98,2)</x:f>
        <x:v>184.3</x:v>
      </x:c>
      <x:c r="I98" s="62" t="n">
        <x:f>ROUND(H98-Q98,2)</x:f>
        <x:v>-15.7</x:v>
      </x:c>
      <x:c r="J98" s="27" t="n">
        <x:f>IF(Q98=0,"",I98/Q98)</x:f>
        <x:v>-0.0785</x:v>
      </x:c>
      <x:c r="K98" s="22" t="str">
        <x:f>IF(I98&gt;=0,"盈利","亏损")</x:f>
        <x:v>亏损</x:v>
      </x:c>
      <x:c r="L98" s="63" t="n">
        <x:f>IF(C98="转换(转入)",'参数与来源'!$B$9,'参数与来源'!$B$8)</x:f>
        <x:v>0.0015</x:v>
      </x:c>
      <x:c r="M98" s="62" t="n">
        <x:f>D98-E98</x:f>
        <x:v>199.7</x:v>
      </x:c>
      <x:c r="N98" s="64" t="n">
        <x:v>46225</x:v>
      </x:c>
      <x:c r="O98" s="61" t="n">
        <x:v>0</x:v>
      </x:c>
      <x:c r="P98" s="62" t="n">
        <x:f>G98-O98</x:f>
        <x:v>68.64</x:v>
      </x:c>
      <x:c r="Q98" s="62" t="n">
        <x:f>IF(G98=0,0,D98*P98/G98)</x:f>
        <x:v>200</x:v>
      </x:c>
      <x:c r="R98" s="25" t="n">
        <x:f>'参数与来源'!$B$4</x:f>
        <x:v>2.685</x:v>
      </x:c>
    </x:row>
    <x:row r="99">
      <x:c r="A99" s="59" t="str">
        <x:v>L095</x:v>
      </x:c>
      <x:c r="B99" s="60" t="n">
        <x:v>46226.50796296296</x:v>
      </x:c>
      <x:c r="C99" s="59" t="str">
        <x:v>定投</x:v>
      </x:c>
      <x:c r="D99" s="61" t="n">
        <x:v>200</x:v>
      </x:c>
      <x:c r="E99" s="62" t="n">
        <x:f>ROUND(D99*L99,2)</x:f>
        <x:v>0.3</x:v>
      </x:c>
      <x:c r="F99" s="25" t="n">
        <x:f>SUMIF('历史净值'!$A$3:$A$1954,N99,'历史净值'!$B$3:$B$1954)</x:f>
        <x:v>2.8739</x:v>
      </x:c>
      <x:c r="G99" s="62" t="n">
        <x:f>ROUND(M99/F99,2)</x:f>
        <x:v>69.49</x:v>
      </x:c>
      <x:c r="H99" s="62" t="n">
        <x:f>ROUND(P99*R99,2)</x:f>
        <x:v>186.58</x:v>
      </x:c>
      <x:c r="I99" s="62" t="n">
        <x:f>ROUND(H99-Q99,2)</x:f>
        <x:v>-13.42</x:v>
      </x:c>
      <x:c r="J99" s="27" t="n">
        <x:f>IF(Q99=0,"",I99/Q99)</x:f>
        <x:v>-0.06709999999999999</x:v>
      </x:c>
      <x:c r="K99" s="22" t="str">
        <x:f>IF(I99&gt;=0,"盈利","亏损")</x:f>
        <x:v>亏损</x:v>
      </x:c>
      <x:c r="L99" s="63" t="n">
        <x:f>IF(C99="转换(转入)",'参数与来源'!$B$9,'参数与来源'!$B$8)</x:f>
        <x:v>0.0015</x:v>
      </x:c>
      <x:c r="M99" s="62" t="n">
        <x:f>D99-E99</x:f>
        <x:v>199.7</x:v>
      </x:c>
      <x:c r="N99" s="64" t="n">
        <x:v>46226</x:v>
      </x:c>
      <x:c r="O99" s="61" t="n">
        <x:v>0</x:v>
      </x:c>
      <x:c r="P99" s="62" t="n">
        <x:f>G99-O99</x:f>
        <x:v>69.49</x:v>
      </x:c>
      <x:c r="Q99" s="62" t="n">
        <x:f>IF(G99=0,0,D99*P99/G99)</x:f>
        <x:v>200</x:v>
      </x:c>
      <x:c r="R99" s="25" t="n">
        <x:f>'参数与来源'!$B$4</x:f>
        <x:v>2.685</x:v>
      </x:c>
    </x:row>
    <x:row r="100">
      <x:c r="A100" s="59" t="str">
        <x:v>L096</x:v>
      </x:c>
      <x:c r="B100" s="60" t="n">
        <x:v>46227.5021412037</x:v>
      </x:c>
      <x:c r="C100" s="59" t="str">
        <x:v>定投</x:v>
      </x:c>
      <x:c r="D100" s="61" t="n">
        <x:v>200</x:v>
      </x:c>
      <x:c r="E100" s="62" t="n">
        <x:f>ROUND(D100*L100,2)</x:f>
        <x:v>0.3</x:v>
      </x:c>
      <x:c r="F100" s="25" t="n">
        <x:f>SUMIF('历史净值'!$A$3:$A$1954,N100,'历史净值'!$B$3:$B$1954)</x:f>
        <x:v>2.7838</x:v>
      </x:c>
      <x:c r="G100" s="62" t="n">
        <x:f>ROUND(M100/F100,2)</x:f>
        <x:v>71.74</x:v>
      </x:c>
      <x:c r="H100" s="62" t="n">
        <x:f>ROUND(P100*R100,2)</x:f>
        <x:v>192.62</x:v>
      </x:c>
      <x:c r="I100" s="62" t="n">
        <x:f>ROUND(H100-Q100,2)</x:f>
        <x:v>-7.38</x:v>
      </x:c>
      <x:c r="J100" s="27" t="n">
        <x:f>IF(Q100=0,"",I100/Q100)</x:f>
        <x:v>-0.0369</x:v>
      </x:c>
      <x:c r="K100" s="22" t="str">
        <x:f>IF(I100&gt;=0,"盈利","亏损")</x:f>
        <x:v>亏损</x:v>
      </x:c>
      <x:c r="L100" s="63" t="n">
        <x:f>IF(C100="转换(转入)",'参数与来源'!$B$9,'参数与来源'!$B$8)</x:f>
        <x:v>0.0015</x:v>
      </x:c>
      <x:c r="M100" s="62" t="n">
        <x:f>D100-E100</x:f>
        <x:v>199.7</x:v>
      </x:c>
      <x:c r="N100" s="64" t="n">
        <x:v>46227</x:v>
      </x:c>
      <x:c r="O100" s="61" t="n">
        <x:v>0</x:v>
      </x:c>
      <x:c r="P100" s="62" t="n">
        <x:f>G100-O100</x:f>
        <x:v>71.74</x:v>
      </x:c>
      <x:c r="Q100" s="62" t="n">
        <x:f>IF(G100=0,0,D100*P100/G100)</x:f>
        <x:v>200</x:v>
      </x:c>
      <x:c r="R100" s="25" t="n">
        <x:f>'参数与来源'!$B$4</x:f>
        <x:v>2.685</x:v>
      </x:c>
    </x:row>
    <x:row r="101">
      <x:c r="A101" s="59" t="str">
        <x:v>L097</x:v>
      </x:c>
      <x:c r="B101" s="60" t="n">
        <x:v>46230.514016203706</x:v>
      </x:c>
      <x:c r="C101" s="59" t="str">
        <x:v>定投</x:v>
      </x:c>
      <x:c r="D101" s="61" t="n">
        <x:v>200</x:v>
      </x:c>
      <x:c r="E101" s="62" t="n">
        <x:f>ROUND(D101*L101,2)</x:f>
        <x:v>0.3</x:v>
      </x:c>
      <x:c r="F101" s="25" t="n">
        <x:f>SUMIF('历史净值'!$A$3:$A$1954,N101,'历史净值'!$B$3:$B$1954)</x:f>
        <x:v>2.7755</x:v>
      </x:c>
      <x:c r="G101" s="62" t="n">
        <x:f>ROUND(M101/F101,2)</x:f>
        <x:v>71.95</x:v>
      </x:c>
      <x:c r="H101" s="62" t="n">
        <x:f>ROUND(P101*R101,2)</x:f>
        <x:v>193.19</x:v>
      </x:c>
      <x:c r="I101" s="62" t="n">
        <x:f>ROUND(H101-Q101,2)</x:f>
        <x:v>-6.81</x:v>
      </x:c>
      <x:c r="J101" s="27" t="n">
        <x:f>IF(Q101=0,"",I101/Q101)</x:f>
        <x:v>-0.03405</x:v>
      </x:c>
      <x:c r="K101" s="22" t="str">
        <x:f>IF(I101&gt;=0,"盈利","亏损")</x:f>
        <x:v>亏损</x:v>
      </x:c>
      <x:c r="L101" s="63" t="n">
        <x:f>IF(C101="转换(转入)",'参数与来源'!$B$9,'参数与来源'!$B$8)</x:f>
        <x:v>0.0015</x:v>
      </x:c>
      <x:c r="M101" s="62" t="n">
        <x:f>D101-E101</x:f>
        <x:v>199.7</x:v>
      </x:c>
      <x:c r="N101" s="64" t="n">
        <x:v>46230</x:v>
      </x:c>
      <x:c r="O101" s="61" t="n">
        <x:v>0</x:v>
      </x:c>
      <x:c r="P101" s="62" t="n">
        <x:f>G101-O101</x:f>
        <x:v>71.95</x:v>
      </x:c>
      <x:c r="Q101" s="62" t="n">
        <x:f>IF(G101=0,0,D101*P101/G101)</x:f>
        <x:v>200</x:v>
      </x:c>
      <x:c r="R101" s="25" t="n">
        <x:f>'参数与来源'!$B$4</x:f>
        <x:v>2.685</x:v>
      </x:c>
    </x:row>
    <x:row r="102">
      <x:c r="A102" s="59" t="str">
        <x:v>L098</x:v>
      </x:c>
      <x:c r="B102" s="60" t="n">
        <x:v>46231.50383101852</x:v>
      </x:c>
      <x:c r="C102" s="59" t="str">
        <x:v>定投</x:v>
      </x:c>
      <x:c r="D102" s="61" t="n">
        <x:v>200</x:v>
      </x:c>
      <x:c r="E102" s="62" t="n">
        <x:f>ROUND(D102*L102,2)</x:f>
        <x:v>0.3</x:v>
      </x:c>
      <x:c r="F102" s="25" t="n">
        <x:f>SUMIF('历史净值'!$A$3:$A$1954,N102,'历史净值'!$B$3:$B$1954)</x:f>
        <x:v>2.5659</x:v>
      </x:c>
      <x:c r="G102" s="62" t="n">
        <x:f>ROUND(M102/F102,2)</x:f>
        <x:v>77.83</x:v>
      </x:c>
      <x:c r="H102" s="62" t="n">
        <x:f>ROUND(P102*R102,2)</x:f>
        <x:v>208.97</x:v>
      </x:c>
      <x:c r="I102" s="62" t="n">
        <x:f>ROUND(H102-Q102,2)</x:f>
        <x:v>8.97</x:v>
      </x:c>
      <x:c r="J102" s="27" t="n">
        <x:f>IF(Q102=0,"",I102/Q102)</x:f>
        <x:v>0.04485</x:v>
      </x:c>
      <x:c r="K102" s="22" t="str">
        <x:f>IF(I102&gt;=0,"盈利","亏损")</x:f>
        <x:v>盈利</x:v>
      </x:c>
      <x:c r="L102" s="63" t="n">
        <x:f>IF(C102="转换(转入)",'参数与来源'!$B$9,'参数与来源'!$B$8)</x:f>
        <x:v>0.0015</x:v>
      </x:c>
      <x:c r="M102" s="62" t="n">
        <x:f>D102-E102</x:f>
        <x:v>199.7</x:v>
      </x:c>
      <x:c r="N102" s="64" t="n">
        <x:v>46231</x:v>
      </x:c>
      <x:c r="O102" s="61" t="n">
        <x:v>0</x:v>
      </x:c>
      <x:c r="P102" s="62" t="n">
        <x:f>G102-O102</x:f>
        <x:v>77.83</x:v>
      </x:c>
      <x:c r="Q102" s="62" t="n">
        <x:f>IF(G102=0,0,D102*P102/G102)</x:f>
        <x:v>200</x:v>
      </x:c>
      <x:c r="R102" s="25" t="n">
        <x:f>'参数与来源'!$B$4</x:f>
        <x:v>2.685</x:v>
      </x:c>
    </x:row>
    <x:row r="103">
      <x:c r="A103" s="59" t="str">
        <x:v>L099</x:v>
      </x:c>
      <x:c r="B103" s="60" t="n">
        <x:v>46232.501180555555</x:v>
      </x:c>
      <x:c r="C103" s="59" t="str">
        <x:v>定投</x:v>
      </x:c>
      <x:c r="D103" s="61" t="n">
        <x:v>200</x:v>
      </x:c>
      <x:c r="E103" s="62" t="n">
        <x:f>ROUND(D103*L103,2)</x:f>
        <x:v>0.3</x:v>
      </x:c>
      <x:c r="F103" s="25" t="n">
        <x:f>SUMIF('历史净值'!$A$3:$A$1954,N103,'历史净值'!$B$3:$B$1954)</x:f>
        <x:v>2.503</x:v>
      </x:c>
      <x:c r="G103" s="62" t="n">
        <x:f>ROUND(M103/F103,2)</x:f>
        <x:v>79.78</x:v>
      </x:c>
      <x:c r="H103" s="62" t="n">
        <x:f>ROUND(P103*R103,2)</x:f>
        <x:v>214.21</x:v>
      </x:c>
      <x:c r="I103" s="62" t="n">
        <x:f>ROUND(H103-Q103,2)</x:f>
        <x:v>14.21</x:v>
      </x:c>
      <x:c r="J103" s="27" t="n">
        <x:f>IF(Q103=0,"",I103/Q103)</x:f>
        <x:v>0.07105</x:v>
      </x:c>
      <x:c r="K103" s="22" t="str">
        <x:f>IF(I103&gt;=0,"盈利","亏损")</x:f>
        <x:v>盈利</x:v>
      </x:c>
      <x:c r="L103" s="63" t="n">
        <x:f>IF(C103="转换(转入)",'参数与来源'!$B$9,'参数与来源'!$B$8)</x:f>
        <x:v>0.0015</x:v>
      </x:c>
      <x:c r="M103" s="62" t="n">
        <x:f>D103-E103</x:f>
        <x:v>199.7</x:v>
      </x:c>
      <x:c r="N103" s="64" t="n">
        <x:v>46232</x:v>
      </x:c>
      <x:c r="O103" s="61" t="n">
        <x:v>0</x:v>
      </x:c>
      <x:c r="P103" s="62" t="n">
        <x:f>G103-O103</x:f>
        <x:v>79.78</x:v>
      </x:c>
      <x:c r="Q103" s="62" t="n">
        <x:f>IF(G103=0,0,D103*P103/G103)</x:f>
        <x:v>200</x:v>
      </x:c>
      <x:c r="R103" s="25" t="n">
        <x:f>'参数与来源'!$B$4</x:f>
        <x:v>2.685</x:v>
      </x:c>
    </x:row>
    <x:row r="104">
      <x:c r="A104" s="59" t="str">
        <x:v>L100</x:v>
      </x:c>
      <x:c r="B104" s="60" t="n">
        <x:v>46233.502430555556</x:v>
      </x:c>
      <x:c r="C104" s="59" t="str">
        <x:v>定投</x:v>
      </x:c>
      <x:c r="D104" s="61" t="n">
        <x:v>200</x:v>
      </x:c>
      <x:c r="E104" s="62" t="n">
        <x:f>ROUND(D104*L104,2)</x:f>
        <x:v>0.3</x:v>
      </x:c>
      <x:c r="F104" s="25" t="n">
        <x:f>SUMIF('历史净值'!$A$3:$A$1954,N104,'历史净值'!$B$3:$B$1954)</x:f>
        <x:v>2.4661</x:v>
      </x:c>
      <x:c r="G104" s="62" t="n">
        <x:f>ROUND(M104/F104,2)</x:f>
        <x:v>80.98</x:v>
      </x:c>
      <x:c r="H104" s="62" t="n">
        <x:f>ROUND(P104*R104,2)</x:f>
        <x:v>217.43</x:v>
      </x:c>
      <x:c r="I104" s="62" t="n">
        <x:f>ROUND(H104-Q104,2)</x:f>
        <x:v>17.43</x:v>
      </x:c>
      <x:c r="J104" s="27" t="n">
        <x:f>IF(Q104=0,"",I104/Q104)</x:f>
        <x:v>0.08715</x:v>
      </x:c>
      <x:c r="K104" s="22" t="str">
        <x:f>IF(I104&gt;=0,"盈利","亏损")</x:f>
        <x:v>盈利</x:v>
      </x:c>
      <x:c r="L104" s="63" t="n">
        <x:f>IF(C104="转换(转入)",'参数与来源'!$B$9,'参数与来源'!$B$8)</x:f>
        <x:v>0.0015</x:v>
      </x:c>
      <x:c r="M104" s="62" t="n">
        <x:f>D104-E104</x:f>
        <x:v>199.7</x:v>
      </x:c>
      <x:c r="N104" s="64" t="n">
        <x:v>46233</x:v>
      </x:c>
      <x:c r="O104" s="61" t="n">
        <x:v>0</x:v>
      </x:c>
      <x:c r="P104" s="62" t="n">
        <x:f>G104-O104</x:f>
        <x:v>80.98</x:v>
      </x:c>
      <x:c r="Q104" s="62" t="n">
        <x:f>IF(G104=0,0,D104*P104/G104)</x:f>
        <x:v>200</x:v>
      </x:c>
      <x:c r="R104" s="25" t="n">
        <x:f>'参数与来源'!$B$4</x:f>
        <x:v>2.685</x:v>
      </x:c>
    </x:row>
    <x:row r="105">
      <x:c r="A105" s="59" t="str">
        <x:v>L101</x:v>
      </x:c>
      <x:c r="B105" s="60" t="n">
        <x:v>46234.500439814816</x:v>
      </x:c>
      <x:c r="C105" s="59" t="str">
        <x:v>定投</x:v>
      </x:c>
      <x:c r="D105" s="61" t="n">
        <x:v>10</x:v>
      </x:c>
      <x:c r="E105" s="62" t="n">
        <x:f>ROUND(D105*L105,2)</x:f>
        <x:v>0.02</x:v>
      </x:c>
      <x:c r="F105" s="25" t="n">
        <x:f>SUMIF('历史净值'!$A$3:$A$1954,N105,'历史净值'!$B$3:$B$1954)</x:f>
        <x:v>2.4965</x:v>
      </x:c>
      <x:c r="G105" s="62" t="n">
        <x:f>ROUND(M105/F105,2)</x:f>
        <x:v>4</x:v>
      </x:c>
      <x:c r="H105" s="62" t="n">
        <x:f>ROUND(P105*R105,2)</x:f>
        <x:v>10.74</x:v>
      </x:c>
      <x:c r="I105" s="62" t="n">
        <x:f>ROUND(H105-Q105,2)</x:f>
        <x:v>0.74</x:v>
      </x:c>
      <x:c r="J105" s="27" t="n">
        <x:f>IF(Q105=0,"",I105/Q105)</x:f>
        <x:v>0.074</x:v>
      </x:c>
      <x:c r="K105" s="22" t="str">
        <x:f>IF(I105&gt;=0,"盈利","亏损")</x:f>
        <x:v>盈利</x:v>
      </x:c>
      <x:c r="L105" s="63" t="n">
        <x:f>IF(C105="转换(转入)",'参数与来源'!$B$9,'参数与来源'!$B$8)</x:f>
        <x:v>0.0015</x:v>
      </x:c>
      <x:c r="M105" s="62" t="n">
        <x:f>D105-E105</x:f>
        <x:v>9.98</x:v>
      </x:c>
      <x:c r="N105" s="64" t="n">
        <x:v>46234</x:v>
      </x:c>
      <x:c r="O105" s="61" t="n">
        <x:v>0</x:v>
      </x:c>
      <x:c r="P105" s="62" t="n">
        <x:f>G105-O105</x:f>
        <x:v>4</x:v>
      </x:c>
      <x:c r="Q105" s="62" t="n">
        <x:f>IF(G105=0,0,D105*P105/G105)</x:f>
        <x:v>10</x:v>
      </x:c>
      <x:c r="R105" s="25" t="n">
        <x:f>'参数与来源'!$B$4</x:f>
        <x:v>2.685</x:v>
      </x:c>
    </x:row>
    <x:row r="106">
      <x:c r="A106" s="59" t="str">
        <x:v>L102</x:v>
      </x:c>
      <x:c r="B106" s="60" t="n">
        <x:v>46237.510787037034</x:v>
      </x:c>
      <x:c r="C106" s="59" t="str">
        <x:v>定投</x:v>
      </x:c>
      <x:c r="D106" s="61" t="n">
        <x:v>100</x:v>
      </x:c>
      <x:c r="E106" s="62" t="n">
        <x:f>ROUND(D106*L106,2)</x:f>
        <x:v>0.15</x:v>
      </x:c>
      <x:c r="F106" s="25" t="n">
        <x:f>SUMIF('历史净值'!$A$3:$A$1954,N106,'历史净值'!$B$3:$B$1954)</x:f>
        <x:v>2.495</x:v>
      </x:c>
      <x:c r="G106" s="62" t="n">
        <x:f>ROUND(M106/F106,2)</x:f>
        <x:v>40.02</x:v>
      </x:c>
      <x:c r="H106" s="62" t="n">
        <x:f>ROUND(P106*R106,2)</x:f>
        <x:v>107.45</x:v>
      </x:c>
      <x:c r="I106" s="62" t="n">
        <x:f>ROUND(H106-Q106,2)</x:f>
        <x:v>7.45</x:v>
      </x:c>
      <x:c r="J106" s="27" t="n">
        <x:f>IF(Q106=0,"",I106/Q106)</x:f>
        <x:v>0.0745</x:v>
      </x:c>
      <x:c r="K106" s="22" t="str">
        <x:f>IF(I106&gt;=0,"盈利","亏损")</x:f>
        <x:v>盈利</x:v>
      </x:c>
      <x:c r="L106" s="63" t="n">
        <x:f>IF(C106="转换(转入)",'参数与来源'!$B$9,'参数与来源'!$B$8)</x:f>
        <x:v>0.0015</x:v>
      </x:c>
      <x:c r="M106" s="62" t="n">
        <x:f>D106-E106</x:f>
        <x:v>99.85</x:v>
      </x:c>
      <x:c r="N106" s="64" t="n">
        <x:v>46237</x:v>
      </x:c>
      <x:c r="O106" s="61" t="n">
        <x:v>0</x:v>
      </x:c>
      <x:c r="P106" s="62" t="n">
        <x:f>G106-O106</x:f>
        <x:v>40.02</x:v>
      </x:c>
      <x:c r="Q106" s="62" t="n">
        <x:f>IF(G106=0,0,D106*P106/G106)</x:f>
        <x:v>100</x:v>
      </x:c>
      <x:c r="R106" s="25" t="n">
        <x:f>'参数与来源'!$B$4</x:f>
        <x:v>2.685</x:v>
      </x:c>
    </x:row>
    <x:row r="107">
      <x:c r="A107" s="59" t="str">
        <x:v>L103</x:v>
      </x:c>
      <x:c r="B107" s="60" t="n">
        <x:v>46238.498402777775</x:v>
      </x:c>
      <x:c r="C107" s="59" t="str">
        <x:v>定投</x:v>
      </x:c>
      <x:c r="D107" s="61" t="n">
        <x:v>100</x:v>
      </x:c>
      <x:c r="E107" s="62" t="n">
        <x:f>ROUND(D107*L107,2)</x:f>
        <x:v>0.15</x:v>
      </x:c>
      <x:c r="F107" s="25" t="n">
        <x:f>SUMIF('历史净值'!$A$3:$A$1954,N107,'历史净值'!$B$3:$B$1954)</x:f>
        <x:v>2.6103</x:v>
      </x:c>
      <x:c r="G107" s="62" t="n">
        <x:f>ROUND(M107/F107,2)</x:f>
        <x:v>38.25</x:v>
      </x:c>
      <x:c r="H107" s="62" t="n">
        <x:f>ROUND(P107*R107,2)</x:f>
        <x:v>102.7</x:v>
      </x:c>
      <x:c r="I107" s="62" t="n">
        <x:f>ROUND(H107-Q107,2)</x:f>
        <x:v>2.7</x:v>
      </x:c>
      <x:c r="J107" s="27" t="n">
        <x:f>IF(Q107=0,"",I107/Q107)</x:f>
        <x:v>0.027000000000000003</x:v>
      </x:c>
      <x:c r="K107" s="22" t="str">
        <x:f>IF(I107&gt;=0,"盈利","亏损")</x:f>
        <x:v>盈利</x:v>
      </x:c>
      <x:c r="L107" s="63" t="n">
        <x:f>IF(C107="转换(转入)",'参数与来源'!$B$9,'参数与来源'!$B$8)</x:f>
        <x:v>0.0015</x:v>
      </x:c>
      <x:c r="M107" s="62" t="n">
        <x:f>D107-E107</x:f>
        <x:v>99.85</x:v>
      </x:c>
      <x:c r="N107" s="64" t="n">
        <x:v>46238</x:v>
      </x:c>
      <x:c r="O107" s="61" t="n">
        <x:v>0</x:v>
      </x:c>
      <x:c r="P107" s="62" t="n">
        <x:f>G107-O107</x:f>
        <x:v>38.25</x:v>
      </x:c>
      <x:c r="Q107" s="62" t="n">
        <x:f>IF(G107=0,0,D107*P107/G107)</x:f>
        <x:v>100</x:v>
      </x:c>
      <x:c r="R107" s="25" t="n">
        <x:f>'参数与来源'!$B$4</x:f>
        <x:v>2.685</x:v>
      </x:c>
    </x:row>
    <x:row r="108">
      <x:c r="A108" s="59" t="str">
        <x:v>L104</x:v>
      </x:c>
      <x:c r="B108" s="60" t="n">
        <x:v>46239.496979166666</x:v>
      </x:c>
      <x:c r="C108" s="59" t="str">
        <x:v>定投</x:v>
      </x:c>
      <x:c r="D108" s="61" t="n">
        <x:v>100</x:v>
      </x:c>
      <x:c r="E108" s="62" t="n">
        <x:f>ROUND(D108*L108,2)</x:f>
        <x:v>0.15</x:v>
      </x:c>
      <x:c r="F108" s="25" t="n">
        <x:f>SUMIF('历史净值'!$A$3:$A$1954,N108,'历史净值'!$B$3:$B$1954)</x:f>
        <x:v>2.6338</x:v>
      </x:c>
      <x:c r="G108" s="62" t="n">
        <x:f>ROUND(M108/F108,2)</x:f>
        <x:v>37.91</x:v>
      </x:c>
      <x:c r="H108" s="62" t="n">
        <x:f>ROUND(P108*R108,2)</x:f>
        <x:v>101.79</x:v>
      </x:c>
      <x:c r="I108" s="62" t="n">
        <x:f>ROUND(H108-Q108,2)</x:f>
        <x:v>1.79</x:v>
      </x:c>
      <x:c r="J108" s="27" t="n">
        <x:f>IF(Q108=0,"",I108/Q108)</x:f>
        <x:v>0.0179</x:v>
      </x:c>
      <x:c r="K108" s="22" t="str">
        <x:f>IF(I108&gt;=0,"盈利","亏损")</x:f>
        <x:v>盈利</x:v>
      </x:c>
      <x:c r="L108" s="63" t="n">
        <x:f>IF(C108="转换(转入)",'参数与来源'!$B$9,'参数与来源'!$B$8)</x:f>
        <x:v>0.0015</x:v>
      </x:c>
      <x:c r="M108" s="62" t="n">
        <x:f>D108-E108</x:f>
        <x:v>99.85</x:v>
      </x:c>
      <x:c r="N108" s="64" t="n">
        <x:v>46239</x:v>
      </x:c>
      <x:c r="O108" s="61" t="n">
        <x:v>0</x:v>
      </x:c>
      <x:c r="P108" s="62" t="n">
        <x:f>G108-O108</x:f>
        <x:v>37.91</x:v>
      </x:c>
      <x:c r="Q108" s="62" t="n">
        <x:f>IF(G108=0,0,D108*P108/G108)</x:f>
        <x:v>100</x:v>
      </x:c>
      <x:c r="R108" s="25" t="n">
        <x:f>'参数与来源'!$B$4</x:f>
        <x:v>2.685</x:v>
      </x:c>
    </x:row>
    <x:row r="109">
      <x:c r="A109" s="59" t="str">
        <x:v>L105</x:v>
      </x:c>
      <x:c r="B109" s="60" t="n">
        <x:v>46240.504791666666</x:v>
      </x:c>
      <x:c r="C109" s="59" t="str">
        <x:v>定投</x:v>
      </x:c>
      <x:c r="D109" s="61" t="n">
        <x:v>5000</x:v>
      </x:c>
      <x:c r="E109" s="62" t="n">
        <x:f>ROUND(D109*L109,2)</x:f>
        <x:v>7.5</x:v>
      </x:c>
      <x:c r="F109" s="25" t="n">
        <x:f>SUMIF('历史净值'!$A$3:$A$1954,N109,'历史净值'!$B$3:$B$1954)</x:f>
        <x:v>2.6481</x:v>
      </x:c>
      <x:c r="G109" s="62" t="n">
        <x:f>ROUND(M109/F109,2)</x:f>
        <x:v>1885.31</x:v>
      </x:c>
      <x:c r="H109" s="62" t="n">
        <x:f>ROUND(P109*R109,2)</x:f>
        <x:v>5062.06</x:v>
      </x:c>
      <x:c r="I109" s="62" t="n">
        <x:f>ROUND(H109-Q109,2)</x:f>
        <x:v>62.06</x:v>
      </x:c>
      <x:c r="J109" s="27" t="n">
        <x:f>IF(Q109=0,"",I109/Q109)</x:f>
        <x:v>0.012412000000000001</x:v>
      </x:c>
      <x:c r="K109" s="22" t="str">
        <x:f>IF(I109&gt;=0,"盈利","亏损")</x:f>
        <x:v>盈利</x:v>
      </x:c>
      <x:c r="L109" s="63" t="n">
        <x:f>IF(C109="转换(转入)",'参数与来源'!$B$9,'参数与来源'!$B$8)</x:f>
        <x:v>0.0015</x:v>
      </x:c>
      <x:c r="M109" s="62" t="n">
        <x:f>D109-E109</x:f>
        <x:v>4992.5</x:v>
      </x:c>
      <x:c r="N109" s="64" t="n">
        <x:v>46240</x:v>
      </x:c>
      <x:c r="O109" s="61" t="n">
        <x:v>0</x:v>
      </x:c>
      <x:c r="P109" s="62" t="n">
        <x:f>G109-O109</x:f>
        <x:v>1885.31</x:v>
      </x:c>
      <x:c r="Q109" s="62" t="n">
        <x:f>IF(G109=0,0,D109*P109/G109)</x:f>
        <x:v>5000</x:v>
      </x:c>
      <x:c r="R109" s="25" t="n">
        <x:f>'参数与来源'!$B$4</x:f>
        <x:v>2.685</x:v>
      </x:c>
    </x:row>
    <x:row r="110">
      <x:c r="A110" s="59" t="str">
        <x:v>L106</x:v>
      </x:c>
      <x:c r="B110" s="60" t="n">
        <x:v>46241.499930555554</x:v>
      </x:c>
      <x:c r="C110" s="59" t="str">
        <x:v>定投</x:v>
      </x:c>
      <x:c r="D110" s="61" t="n">
        <x:v>5000</x:v>
      </x:c>
      <x:c r="E110" s="62" t="n">
        <x:f>ROUND(D110*L110,2)</x:f>
        <x:v>7.5</x:v>
      </x:c>
      <x:c r="F110" s="25" t="n">
        <x:f>SUMIF('历史净值'!$A$3:$A$1954,N110,'历史净值'!$B$3:$B$1954)</x:f>
        <x:v>2.734</x:v>
      </x:c>
      <x:c r="G110" s="62" t="n">
        <x:f>ROUND(M110/F110,2)</x:f>
        <x:v>1826.08</x:v>
      </x:c>
      <x:c r="H110" s="62" t="n">
        <x:f>ROUND(P110*R110,2)</x:f>
        <x:v>4903.02</x:v>
      </x:c>
      <x:c r="I110" s="62" t="n">
        <x:f>ROUND(H110-Q110,2)</x:f>
        <x:v>-96.98</x:v>
      </x:c>
      <x:c r="J110" s="27" t="n">
        <x:f>IF(Q110=0,"",I110/Q110)</x:f>
        <x:v>-0.019396</x:v>
      </x:c>
      <x:c r="K110" s="22" t="str">
        <x:f>IF(I110&gt;=0,"盈利","亏损")</x:f>
        <x:v>亏损</x:v>
      </x:c>
      <x:c r="L110" s="63" t="n">
        <x:f>IF(C110="转换(转入)",'参数与来源'!$B$9,'参数与来源'!$B$8)</x:f>
        <x:v>0.0015</x:v>
      </x:c>
      <x:c r="M110" s="62" t="n">
        <x:f>D110-E110</x:f>
        <x:v>4992.5</x:v>
      </x:c>
      <x:c r="N110" s="64" t="n">
        <x:v>46241</x:v>
      </x:c>
      <x:c r="O110" s="61" t="n">
        <x:v>0</x:v>
      </x:c>
      <x:c r="P110" s="62" t="n">
        <x:f>G110-O110</x:f>
        <x:v>1826.08</x:v>
      </x:c>
      <x:c r="Q110" s="62" t="n">
        <x:f>IF(G110=0,0,D110*P110/G110)</x:f>
        <x:v>5000</x:v>
      </x:c>
      <x:c r="R110" s="25" t="n">
        <x:f>'参数与来源'!$B$4</x:f>
        <x:v>2.685</x:v>
      </x:c>
    </x:row>
    <x:row r="111">
      <x:c r="A111" s="59" t="str">
        <x:v>L107</x:v>
      </x:c>
      <x:c r="B111" s="60" t="n">
        <x:v>46244.50717592592</x:v>
      </x:c>
      <x:c r="C111" s="59" t="str">
        <x:v>定投</x:v>
      </x:c>
      <x:c r="D111" s="61" t="n">
        <x:v>5000</x:v>
      </x:c>
      <x:c r="E111" s="62" t="n">
        <x:f>ROUND(D111*L111,2)</x:f>
        <x:v>7.5</x:v>
      </x:c>
      <x:c r="F111" s="25" t="n">
        <x:f>SUMIF('历史净值'!$A$3:$A$1954,N111,'历史净值'!$B$3:$B$1954)</x:f>
        <x:v>2.6882</x:v>
      </x:c>
      <x:c r="G111" s="62" t="n">
        <x:f>ROUND(M111/F111,2)</x:f>
        <x:v>1857.19</x:v>
      </x:c>
      <x:c r="H111" s="62" t="n">
        <x:f>ROUND(P111*R111,2)</x:f>
        <x:v>4986.56</x:v>
      </x:c>
      <x:c r="I111" s="62" t="n">
        <x:f>ROUND(H111-Q111,2)</x:f>
        <x:v>-13.44</x:v>
      </x:c>
      <x:c r="J111" s="27" t="n">
        <x:f>IF(Q111=0,"",I111/Q111)</x:f>
        <x:v>-0.002688</x:v>
      </x:c>
      <x:c r="K111" s="22" t="str">
        <x:f>IF(I111&gt;=0,"盈利","亏损")</x:f>
        <x:v>亏损</x:v>
      </x:c>
      <x:c r="L111" s="63" t="n">
        <x:f>IF(C111="转换(转入)",'参数与来源'!$B$9,'参数与来源'!$B$8)</x:f>
        <x:v>0.0015</x:v>
      </x:c>
      <x:c r="M111" s="62" t="n">
        <x:f>D111-E111</x:f>
        <x:v>4992.5</x:v>
      </x:c>
      <x:c r="N111" s="64" t="n">
        <x:v>46244</x:v>
      </x:c>
      <x:c r="O111" s="61" t="n">
        <x:v>0</x:v>
      </x:c>
      <x:c r="P111" s="62" t="n">
        <x:f>G111-O111</x:f>
        <x:v>1857.19</x:v>
      </x:c>
      <x:c r="Q111" s="62" t="n">
        <x:f>IF(G111=0,0,D111*P111/G111)</x:f>
        <x:v>5000</x:v>
      </x:c>
      <x:c r="R111" s="25" t="n">
        <x:f>'参数与来源'!$B$4</x:f>
        <x:v>2.685</x:v>
      </x:c>
    </x:row>
    <x:row r="112">
      <x:c r="A112" s="59" t="str">
        <x:v>L108</x:v>
      </x:c>
      <x:c r="B112" s="60" t="n">
        <x:v>46245.496157407404</x:v>
      </x:c>
      <x:c r="C112" s="59" t="str">
        <x:v>定投</x:v>
      </x:c>
      <x:c r="D112" s="61" t="n">
        <x:v>5000</x:v>
      </x:c>
      <x:c r="E112" s="62" t="n">
        <x:f>ROUND(D112*L112,2)</x:f>
        <x:v>7.5</x:v>
      </x:c>
      <x:c r="F112" s="25" t="n">
        <x:f>SUMIF('历史净值'!$A$3:$A$1954,N112,'历史净值'!$B$3:$B$1954)</x:f>
        <x:v>2.674</x:v>
      </x:c>
      <x:c r="G112" s="62" t="n">
        <x:f>ROUND(M112/F112,2)</x:f>
        <x:v>1867.05</x:v>
      </x:c>
      <x:c r="H112" s="62" t="n">
        <x:f>ROUND(P112*R112,2)</x:f>
        <x:v>5013.03</x:v>
      </x:c>
      <x:c r="I112" s="62" t="n">
        <x:f>ROUND(H112-Q112,2)</x:f>
        <x:v>13.03</x:v>
      </x:c>
      <x:c r="J112" s="27" t="n">
        <x:f>IF(Q112=0,"",I112/Q112)</x:f>
        <x:v>0.002606</x:v>
      </x:c>
      <x:c r="K112" s="22" t="str">
        <x:f>IF(I112&gt;=0,"盈利","亏损")</x:f>
        <x:v>盈利</x:v>
      </x:c>
      <x:c r="L112" s="63" t="n">
        <x:f>IF(C112="转换(转入)",'参数与来源'!$B$9,'参数与来源'!$B$8)</x:f>
        <x:v>0.0015</x:v>
      </x:c>
      <x:c r="M112" s="62" t="n">
        <x:f>D112-E112</x:f>
        <x:v>4992.5</x:v>
      </x:c>
      <x:c r="N112" s="64" t="n">
        <x:v>46245</x:v>
      </x:c>
      <x:c r="O112" s="61" t="n">
        <x:v>0</x:v>
      </x:c>
      <x:c r="P112" s="62" t="n">
        <x:f>G112-O112</x:f>
        <x:v>1867.05</x:v>
      </x:c>
      <x:c r="Q112" s="62" t="n">
        <x:f>IF(G112=0,0,D112*P112/G112)</x:f>
        <x:v>5000</x:v>
      </x:c>
      <x:c r="R112" s="25" t="n">
        <x:f>'参数与来源'!$B$4</x:f>
        <x:v>2.685</x:v>
      </x:c>
    </x:row>
    <x:row r="113">
      <x:c r="A113" s="59" t="str">
        <x:v>L109</x:v>
      </x:c>
      <x:c r="B113" s="60" t="n">
        <x:v>46246.49622685185</x:v>
      </x:c>
      <x:c r="C113" s="59" t="str">
        <x:v>定投</x:v>
      </x:c>
      <x:c r="D113" s="61" t="n">
        <x:v>5000</x:v>
      </x:c>
      <x:c r="E113" s="62" t="n">
        <x:f>ROUND(D113*L113,2)</x:f>
        <x:v>7.5</x:v>
      </x:c>
      <x:c r="F113" s="25" t="n">
        <x:f>SUMIF('历史净值'!$A$3:$A$1954,N113,'历史净值'!$B$3:$B$1954)</x:f>
        <x:v>2.7625</x:v>
      </x:c>
      <x:c r="G113" s="62" t="n">
        <x:f>ROUND(M113/F113,2)</x:f>
        <x:v>1807.24</x:v>
      </x:c>
      <x:c r="H113" s="62" t="n">
        <x:f>ROUND(P113*R113,2)</x:f>
        <x:v>4852.44</x:v>
      </x:c>
      <x:c r="I113" s="62" t="n">
        <x:f>ROUND(H113-Q113,2)</x:f>
        <x:v>-147.56</x:v>
      </x:c>
      <x:c r="J113" s="27" t="n">
        <x:f>IF(Q113=0,"",I113/Q113)</x:f>
        <x:v>-0.029512</x:v>
      </x:c>
      <x:c r="K113" s="22" t="str">
        <x:f>IF(I113&gt;=0,"盈利","亏损")</x:f>
        <x:v>亏损</x:v>
      </x:c>
      <x:c r="L113" s="63" t="n">
        <x:f>IF(C113="转换(转入)",'参数与来源'!$B$9,'参数与来源'!$B$8)</x:f>
        <x:v>0.0015</x:v>
      </x:c>
      <x:c r="M113" s="62" t="n">
        <x:f>D113-E113</x:f>
        <x:v>4992.5</x:v>
      </x:c>
      <x:c r="N113" s="64" t="n">
        <x:v>46246</x:v>
      </x:c>
      <x:c r="O113" s="61" t="n">
        <x:v>0</x:v>
      </x:c>
      <x:c r="P113" s="62" t="n">
        <x:f>G113-O113</x:f>
        <x:v>1807.24</x:v>
      </x:c>
      <x:c r="Q113" s="62" t="n">
        <x:f>IF(G113=0,0,D113*P113/G113)</x:f>
        <x:v>5000</x:v>
      </x:c>
      <x:c r="R113" s="25" t="n">
        <x:f>'参数与来源'!$B$4</x:f>
        <x:v>2.685</x:v>
      </x:c>
    </x:row>
    <x:row r="114">
      <x:c r="A114" s="59" t="str">
        <x:v>L110</x:v>
      </x:c>
      <x:c r="B114" s="60" t="n">
        <x:v>46247.49851851852</x:v>
      </x:c>
      <x:c r="C114" s="59" t="str">
        <x:v>定投</x:v>
      </x:c>
      <x:c r="D114" s="61" t="n">
        <x:v>5000</x:v>
      </x:c>
      <x:c r="E114" s="62" t="n">
        <x:f>ROUND(D114*L114,2)</x:f>
        <x:v>7.5</x:v>
      </x:c>
      <x:c r="F114" s="25" t="n">
        <x:f>SUMIF('历史净值'!$A$3:$A$1954,N114,'历史净值'!$B$3:$B$1954)</x:f>
        <x:v>2.7686</x:v>
      </x:c>
      <x:c r="G114" s="62" t="n">
        <x:f>ROUND(M114/F114,2)</x:f>
        <x:v>1803.26</x:v>
      </x:c>
      <x:c r="H114" s="62" t="n">
        <x:f>ROUND(P114*R114,2)</x:f>
        <x:v>4841.75</x:v>
      </x:c>
      <x:c r="I114" s="62" t="n">
        <x:f>ROUND(H114-Q114,2)</x:f>
        <x:v>-158.25</x:v>
      </x:c>
      <x:c r="J114" s="27" t="n">
        <x:f>IF(Q114=0,"",I114/Q114)</x:f>
        <x:v>-0.03165</x:v>
      </x:c>
      <x:c r="K114" s="22" t="str">
        <x:f>IF(I114&gt;=0,"盈利","亏损")</x:f>
        <x:v>亏损</x:v>
      </x:c>
      <x:c r="L114" s="63" t="n">
        <x:f>IF(C114="转换(转入)",'参数与来源'!$B$9,'参数与来源'!$B$8)</x:f>
        <x:v>0.0015</x:v>
      </x:c>
      <x:c r="M114" s="62" t="n">
        <x:f>D114-E114</x:f>
        <x:v>4992.5</x:v>
      </x:c>
      <x:c r="N114" s="64" t="n">
        <x:v>46247</x:v>
      </x:c>
      <x:c r="O114" s="61" t="n">
        <x:v>0</x:v>
      </x:c>
      <x:c r="P114" s="62" t="n">
        <x:f>G114-O114</x:f>
        <x:v>1803.26</x:v>
      </x:c>
      <x:c r="Q114" s="62" t="n">
        <x:f>IF(G114=0,0,D114*P114/G114)</x:f>
        <x:v>5000</x:v>
      </x:c>
      <x:c r="R114" s="25" t="n">
        <x:f>'参数与来源'!$B$4</x:f>
        <x:v>2.685</x:v>
      </x:c>
    </x:row>
  </x:sheetData>
  <x:mergeCells>
    <x:mergeCell ref="A1:K1"/>
    <x:mergeCell ref="A2:K2"/>
  </x:mergeCells>
  <x:conditionalFormatting sqref="I5:I114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K5:K114">
    <x:cfRule type="containsText" dxfId="2" priority="3" operator="containsText" text="盈利"/>
    <x:cfRule type="containsText" dxfId="3" priority="4" operator="containsText" text="亏损"/>
  </x:conditionalFormatting>
  <x:pageMargins left="0.7" right="0.7" top="0.75" bottom="0.75" header="0.3" footer="0.3"/>
  <x:tableParts count="1">
    <x:tablePart xmlns:r="http://schemas.openxmlformats.org/officeDocument/2006/relationships" r:id="R6dabe6edf41d4e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16" hidden="0" customWidth="1"/>
    <x:col min="5" max="5" width="15" hidden="0" customWidth="1"/>
  </x:cols>
  <x:sheetData>
    <x:row r="1" ht="30" customHeight="1">
      <x:c r="A1" s="3" t="str">
        <x:v>未计入收益的交易记录</x:v>
      </x:c>
      <x:c r="B1" s="3"/>
      <x:c r="C1" s="3"/>
      <x:c r="D1" s="3"/>
      <x:c r="E1" s="3"/>
    </x:row>
    <x:row r="2">
      <x:c r="A2" s="29" t="str">
        <x:v>下单时间</x:v>
      </x:c>
      <x:c r="B2" s="30" t="str">
        <x:v>类型</x:v>
      </x:c>
      <x:c r="C2" s="30" t="str">
        <x:v>金额(元)</x:v>
      </x:c>
      <x:c r="D2" s="30" t="str">
        <x:v>份额</x:v>
      </x:c>
      <x:c r="E2" s="31" t="str">
        <x:v>排除原因</x:v>
      </x:c>
    </x:row>
    <x:row r="3">
      <x:c r="A3" s="65" t="n">
        <x:v>45873.35230324074</x:v>
      </x:c>
      <x:c r="B3" s="22" t="str">
        <x:v>买入</x:v>
      </x:c>
      <x:c r="C3" s="62" t="n">
        <x:v>2000</x:v>
      </x:c>
      <x:c r="D3" s="62"/>
      <x:c r="E3" s="67" t="str">
        <x:v>交易关闭</x:v>
      </x:c>
    </x:row>
    <x:row r="4">
      <x:c r="A4" s="65" t="n">
        <x:v>45876.45355324074</x:v>
      </x:c>
      <x:c r="B4" s="22" t="str">
        <x:v>买入</x:v>
      </x:c>
      <x:c r="C4" s="62" t="n">
        <x:v>10</x:v>
      </x:c>
      <x:c r="D4" s="62"/>
      <x:c r="E4" s="67" t="str">
        <x:v>已撤单</x:v>
      </x:c>
    </x:row>
    <x:row r="5">
      <x:c r="A5" s="65" t="n">
        <x:v>45891.31762731481</x:v>
      </x:c>
      <x:c r="B5" s="22" t="str">
        <x:v>卖出</x:v>
      </x:c>
      <x:c r="C5" s="62"/>
      <x:c r="D5" s="62" t="n">
        <x:v>15622.63</x:v>
      </x:c>
      <x:c r="E5" s="67" t="str">
        <x:v>已撤单</x:v>
      </x:c>
    </x:row>
    <x:row r="6">
      <x:c r="A6" s="65" t="n">
        <x:v>45937.85387731482</x:v>
      </x:c>
      <x:c r="B6" s="22" t="str">
        <x:v>买入</x:v>
      </x:c>
      <x:c r="C6" s="62" t="n">
        <x:v>1000</x:v>
      </x:c>
      <x:c r="D6" s="62"/>
      <x:c r="E6" s="67" t="str">
        <x:v>已撤单</x:v>
      </x:c>
    </x:row>
    <x:row r="7">
      <x:c r="A7" s="65" t="n">
        <x:v>45940.59386574074</x:v>
      </x:c>
      <x:c r="B7" s="22" t="str">
        <x:v>定投</x:v>
      </x:c>
      <x:c r="C7" s="62" t="n">
        <x:v>1000</x:v>
      </x:c>
      <x:c r="D7" s="62"/>
      <x:c r="E7" s="67" t="str">
        <x:v>交易失败</x:v>
      </x:c>
    </x:row>
    <x:row r="8">
      <x:c r="A8" s="65" t="n">
        <x:v>45943.41575231482</x:v>
      </x:c>
      <x:c r="B8" s="22" t="str">
        <x:v>定投</x:v>
      </x:c>
      <x:c r="C8" s="62" t="n">
        <x:v>1000</x:v>
      </x:c>
      <x:c r="D8" s="62"/>
      <x:c r="E8" s="67" t="str">
        <x:v>交易失败</x:v>
      </x:c>
    </x:row>
    <x:row r="9">
      <x:c r="A9" s="65" t="n">
        <x:v>45950.40895833333</x:v>
      </x:c>
      <x:c r="B9" s="22" t="str">
        <x:v>卖出</x:v>
      </x:c>
      <x:c r="C9" s="62"/>
      <x:c r="D9" s="62" t="n">
        <x:v>12000</x:v>
      </x:c>
      <x:c r="E9" s="67" t="str">
        <x:v>已撤单</x:v>
      </x:c>
    </x:row>
    <x:row r="10">
      <x:c r="A10" s="65" t="n">
        <x:v>45954.611909722225</x:v>
      </x:c>
      <x:c r="B10" s="22" t="str">
        <x:v>卖出</x:v>
      </x:c>
      <x:c r="C10" s="62"/>
      <x:c r="D10" s="62" t="n">
        <x:v>5524.25</x:v>
      </x:c>
      <x:c r="E10" s="67" t="str">
        <x:v>已撤单</x:v>
      </x:c>
    </x:row>
    <x:row r="11">
      <x:c r="A11" s="65" t="n">
        <x:v>45961.34711805556</x:v>
      </x:c>
      <x:c r="B11" s="22" t="str">
        <x:v>买入</x:v>
      </x:c>
      <x:c r="C11" s="62" t="n">
        <x:v>100</x:v>
      </x:c>
      <x:c r="D11" s="62"/>
      <x:c r="E11" s="67" t="str">
        <x:v>已撤单</x:v>
      </x:c>
    </x:row>
    <x:row r="12">
      <x:c r="A12" s="65" t="n">
        <x:v>45965.420011574075</x:v>
      </x:c>
      <x:c r="B12" s="22" t="str">
        <x:v>定投</x:v>
      </x:c>
      <x:c r="C12" s="62" t="n">
        <x:v>300</x:v>
      </x:c>
      <x:c r="D12" s="62"/>
      <x:c r="E12" s="67" t="str">
        <x:v>交易失败</x:v>
      </x:c>
    </x:row>
    <x:row r="13">
      <x:c r="A13" s="65" t="n">
        <x:v>45975.72263888889</x:v>
      </x:c>
      <x:c r="B13" s="22" t="str">
        <x:v>卖出</x:v>
      </x:c>
      <x:c r="C13" s="62"/>
      <x:c r="D13" s="62" t="n">
        <x:v>1000</x:v>
      </x:c>
      <x:c r="E13" s="67" t="str">
        <x:v>已撤单</x:v>
      </x:c>
    </x:row>
    <x:row r="14">
      <x:c r="A14" s="65" t="n">
        <x:v>46009.42800925926</x:v>
      </x:c>
      <x:c r="B14" s="22" t="str">
        <x:v>定投</x:v>
      </x:c>
      <x:c r="C14" s="62" t="n">
        <x:v>200</x:v>
      </x:c>
      <x:c r="D14" s="62"/>
      <x:c r="E14" s="67" t="str">
        <x:v>已撤单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9ad1bb0add149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21" t="str">
        <x:v>先进先出（FIFO）卖出分配</x:v>
      </x:c>
      <x:c r="B1" s="21"/>
      <x:c r="C1" s="21"/>
      <x:c r="D1" s="21"/>
      <x:c r="E1" s="21"/>
      <x:c r="F1" s="21"/>
      <x:c r="G1" s="21"/>
      <x:c r="H1" s="21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29" t="str">
        <x:v>卖出批次</x:v>
      </x:c>
      <x:c r="B3" s="30" t="str">
        <x:v>卖出时间</x:v>
      </x:c>
      <x:c r="C3" s="30" t="str">
        <x:v>卖出份额</x:v>
      </x:c>
      <x:c r="D3" s="30" t="str">
        <x:v>对应买入批次</x:v>
      </x:c>
      <x:c r="E3" s="30" t="str">
        <x:v>买入时间</x:v>
      </x:c>
      <x:c r="F3" s="30" t="str">
        <x:v>匹配份额</x:v>
      </x:c>
      <x:c r="G3" s="30" t="str">
        <x:v>匹配成本</x:v>
      </x:c>
      <x:c r="H3" s="31" t="str">
        <x:v>已实现收益</x:v>
      </x:c>
    </x:row>
    <x:row r="4">
      <x:c r="A4" s="22"/>
      <x:c r="B4" s="22"/>
      <x:c r="C4" s="22"/>
      <x:c r="D4" s="22"/>
      <x:c r="E4" s="22"/>
      <x:c r="F4" s="22"/>
      <x:c r="G4" s="22"/>
      <x:c r="H4" s="22"/>
    </x:row>
    <x:row r="5" ht="34" customHeight="1">
      <x:c r="A5" s="70" t="str">
        <x:v>本次截图中4笔卖出均为“已撤单”，成功卖出笔数为0；因此没有FIFO冲减，也没有已实现收益。</x:v>
      </x:c>
      <x:c r="B5" s="70"/>
      <x:c r="C5" s="70"/>
      <x:c r="D5" s="70"/>
      <x:c r="E5" s="70"/>
      <x:c r="F5" s="70"/>
      <x:c r="G5" s="70"/>
      <x:c r="H5" s="70"/>
    </x:row>
  </x:sheetData>
  <x:mergeCells>
    <x:mergeCell ref="A1:H1"/>
    <x:mergeCell ref="A5:H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0" hidden="0" customWidth="1"/>
  </x:cols>
  <x:sheetData>
    <x:row r="1" ht="30" customHeight="1">
      <x:c r="A1" s="3" t="str">
        <x:v>005698 历史单位净值</x:v>
      </x:c>
      <x:c r="B1" s="3"/>
    </x:row>
    <x:row r="2">
      <x:c r="A2" s="29" t="str">
        <x:v>净值日期</x:v>
      </x:c>
      <x:c r="B2" s="30" t="str">
        <x:v>单位净值</x:v>
      </x:c>
      <x:c r="C2" s="31" t="str">
        <x:v>数据源</x:v>
      </x:c>
    </x:row>
    <x:row r="3">
      <x:c r="A3" s="47" t="n">
        <x:v>46265</x:v>
      </x:c>
      <x:c r="B3" s="48" t="n">
        <x:v>2.685</x:v>
      </x:c>
      <x:c r="C3" s="22" t="str">
        <x:v>在线API补充</x:v>
      </x:c>
    </x:row>
    <x:row r="4">
      <x:c r="A4" s="47" t="n">
        <x:v>46262</x:v>
      </x:c>
      <x:c r="B4" s="48" t="n">
        <x:v>2.6503</x:v>
      </x:c>
      <x:c r="C4" s="22" t="str">
        <x:v>在线API补充</x:v>
      </x:c>
    </x:row>
    <x:row r="5">
      <x:c r="A5" s="47" t="n">
        <x:v>46261</x:v>
      </x:c>
      <x:c r="B5" s="48" t="n">
        <x:v>2.7266</x:v>
      </x:c>
      <x:c r="C5" s="22" t="str">
        <x:v>在线API补充</x:v>
      </x:c>
    </x:row>
    <x:row r="6">
      <x:c r="A6" s="47" t="n">
        <x:v>46260</x:v>
      </x:c>
      <x:c r="B6" s="48" t="n">
        <x:v>2.6295</x:v>
      </x:c>
      <x:c r="C6" s="22" t="str">
        <x:v>在线API补充</x:v>
      </x:c>
    </x:row>
    <x:row r="7">
      <x:c r="A7" s="47" t="n">
        <x:v>46259</x:v>
      </x:c>
      <x:c r="B7" s="48" t="n">
        <x:v>2.619</x:v>
      </x:c>
      <x:c r="C7" s="22" t="str">
        <x:v>在线API补充</x:v>
      </x:c>
    </x:row>
    <x:row r="8">
      <x:c r="A8" s="47" t="n">
        <x:v>46258</x:v>
      </x:c>
      <x:c r="B8" s="48" t="n">
        <x:v>2.5864</x:v>
      </x:c>
      <x:c r="C8" s="22" t="str">
        <x:v>在线API补充</x:v>
      </x:c>
    </x:row>
    <x:row r="9">
      <x:c r="A9" s="47" t="n">
        <x:v>46255</x:v>
      </x:c>
      <x:c r="B9" s="48" t="n">
        <x:v>2.6944</x:v>
      </x:c>
      <x:c r="C9" s="22" t="str">
        <x:v>在线API补充</x:v>
      </x:c>
    </x:row>
    <x:row r="10">
      <x:c r="A10" s="47" t="n">
        <x:v>46254</x:v>
      </x:c>
      <x:c r="B10" s="48" t="n">
        <x:v>2.6792</x:v>
      </x:c>
      <x:c r="C10" s="22" t="str">
        <x:v>在线API补充</x:v>
      </x:c>
    </x:row>
    <x:row r="11">
      <x:c r="A11" s="47" t="n">
        <x:v>46253</x:v>
      </x:c>
      <x:c r="B11" s="48" t="n">
        <x:v>2.645</x:v>
      </x:c>
      <x:c r="C11" s="22" t="str">
        <x:v>在线API补充</x:v>
      </x:c>
    </x:row>
    <x:row r="12">
      <x:c r="A12" s="47" t="n">
        <x:v>46252</x:v>
      </x:c>
      <x:c r="B12" s="48" t="n">
        <x:v>2.8118</x:v>
      </x:c>
      <x:c r="C12" s="22" t="str">
        <x:v>在线API补充</x:v>
      </x:c>
    </x:row>
    <x:row r="13">
      <x:c r="A13" s="47" t="n">
        <x:v>46251</x:v>
      </x:c>
      <x:c r="B13" s="48" t="n">
        <x:v>2.918</x:v>
      </x:c>
      <x:c r="C13" s="22" t="str">
        <x:v>在线API补充</x:v>
      </x:c>
    </x:row>
    <x:row r="14">
      <x:c r="A14" s="47" t="n">
        <x:v>46248</x:v>
      </x:c>
      <x:c r="B14" s="48" t="n">
        <x:v>2.8007</x:v>
      </x:c>
      <x:c r="C14" s="22" t="str">
        <x:v>在线API补充</x:v>
      </x:c>
    </x:row>
    <x:row r="15">
      <x:c r="A15" s="47" t="n">
        <x:v>46247</x:v>
      </x:c>
      <x:c r="B15" s="48" t="n">
        <x:v>2.7686</x:v>
      </x:c>
      <x:c r="C15" s="22" t="str">
        <x:v>在线API补充</x:v>
      </x:c>
    </x:row>
    <x:row r="16">
      <x:c r="A16" s="47" t="n">
        <x:v>46246</x:v>
      </x:c>
      <x:c r="B16" s="48" t="n">
        <x:v>2.7625</x:v>
      </x:c>
      <x:c r="C16" s="22" t="str">
        <x:v>在线API补充</x:v>
      </x:c>
    </x:row>
    <x:row r="17">
      <x:c r="A17" s="47" t="n">
        <x:v>46245</x:v>
      </x:c>
      <x:c r="B17" s="48" t="n">
        <x:v>2.674</x:v>
      </x:c>
      <x:c r="C17" s="22" t="str">
        <x:v>在线API补充</x:v>
      </x:c>
    </x:row>
    <x:row r="18">
      <x:c r="A18" s="47" t="n">
        <x:v>46244</x:v>
      </x:c>
      <x:c r="B18" s="48" t="n">
        <x:v>2.6882</x:v>
      </x:c>
      <x:c r="C18" s="22" t="str">
        <x:v>在线API补充</x:v>
      </x:c>
    </x:row>
    <x:row r="19">
      <x:c r="A19" s="47" t="n">
        <x:v>46241</x:v>
      </x:c>
      <x:c r="B19" s="48" t="n">
        <x:v>2.734</x:v>
      </x:c>
      <x:c r="C19" s="22" t="str">
        <x:v>在线API补充</x:v>
      </x:c>
    </x:row>
    <x:row r="20">
      <x:c r="A20" s="47" t="n">
        <x:v>46240</x:v>
      </x:c>
      <x:c r="B20" s="48" t="n">
        <x:v>2.6481</x:v>
      </x:c>
      <x:c r="C20" s="22" t="str">
        <x:v>在线API补充</x:v>
      </x:c>
    </x:row>
    <x:row r="21">
      <x:c r="A21" s="47" t="n">
        <x:v>46239</x:v>
      </x:c>
      <x:c r="B21" s="48" t="n">
        <x:v>2.6338</x:v>
      </x:c>
      <x:c r="C21" s="22" t="str">
        <x:v>在线API补充</x:v>
      </x:c>
    </x:row>
    <x:row r="22">
      <x:c r="A22" s="47" t="n">
        <x:v>46238</x:v>
      </x:c>
      <x:c r="B22" s="48" t="n">
        <x:v>2.6103</x:v>
      </x:c>
      <x:c r="C22" s="22" t="str">
        <x:v>在线API补充</x:v>
      </x:c>
    </x:row>
    <x:row r="23">
      <x:c r="A23" s="47" t="n">
        <x:v>46237</x:v>
      </x:c>
      <x:c r="B23" s="48" t="n">
        <x:v>2.495</x:v>
      </x:c>
      <x:c r="C23" s="22" t="str">
        <x:v>在线API补充</x:v>
      </x:c>
    </x:row>
    <x:row r="24">
      <x:c r="A24" s="47" t="n">
        <x:v>46234</x:v>
      </x:c>
      <x:c r="B24" s="48" t="n">
        <x:v>2.4965</x:v>
      </x:c>
      <x:c r="C24" s="22" t="str">
        <x:v>在线API补充</x:v>
      </x:c>
    </x:row>
    <x:row r="25">
      <x:c r="A25" s="47" t="n">
        <x:v>46233</x:v>
      </x:c>
      <x:c r="B25" s="48" t="n">
        <x:v>2.4661</x:v>
      </x:c>
      <x:c r="C25" s="22" t="str">
        <x:v>在线API补充</x:v>
      </x:c>
    </x:row>
    <x:row r="26">
      <x:c r="A26" s="47" t="n">
        <x:v>46232</x:v>
      </x:c>
      <x:c r="B26" s="48" t="n">
        <x:v>2.503</x:v>
      </x:c>
      <x:c r="C26" s="22" t="str">
        <x:v>在线API补充</x:v>
      </x:c>
    </x:row>
    <x:row r="27">
      <x:c r="A27" s="47" t="n">
        <x:v>46231</x:v>
      </x:c>
      <x:c r="B27" s="48" t="n">
        <x:v>2.5659</x:v>
      </x:c>
      <x:c r="C27" s="22" t="str">
        <x:v>在线API补充</x:v>
      </x:c>
    </x:row>
    <x:row r="28">
      <x:c r="A28" s="47" t="n">
        <x:v>46230</x:v>
      </x:c>
      <x:c r="B28" s="48" t="n">
        <x:v>2.7755</x:v>
      </x:c>
      <x:c r="C28" s="22" t="str">
        <x:v>在线API补充</x:v>
      </x:c>
    </x:row>
    <x:row r="29">
      <x:c r="A29" s="47" t="n">
        <x:v>46227</x:v>
      </x:c>
      <x:c r="B29" s="48" t="n">
        <x:v>2.7838</x:v>
      </x:c>
      <x:c r="C29" s="22" t="str">
        <x:v>在线API补充</x:v>
      </x:c>
    </x:row>
    <x:row r="30">
      <x:c r="A30" s="47" t="n">
        <x:v>46226</x:v>
      </x:c>
      <x:c r="B30" s="48" t="n">
        <x:v>2.8739</x:v>
      </x:c>
      <x:c r="C30" s="22" t="str">
        <x:v>在线API补充</x:v>
      </x:c>
    </x:row>
    <x:row r="31">
      <x:c r="A31" s="47" t="n">
        <x:v>46225</x:v>
      </x:c>
      <x:c r="B31" s="48" t="n">
        <x:v>2.9094</x:v>
      </x:c>
      <x:c r="C31" s="22" t="str">
        <x:v>在线API补充</x:v>
      </x:c>
    </x:row>
    <x:row r="32">
      <x:c r="A32" s="47" t="n">
        <x:v>46224</x:v>
      </x:c>
      <x:c r="B32" s="48" t="n">
        <x:v>2.9654</x:v>
      </x:c>
      <x:c r="C32" s="22" t="str">
        <x:v>在线API补充</x:v>
      </x:c>
    </x:row>
    <x:row r="33">
      <x:c r="A33" s="47" t="n">
        <x:v>46223</x:v>
      </x:c>
      <x:c r="B33" s="48" t="n">
        <x:v>2.8312</x:v>
      </x:c>
      <x:c r="C33" s="22" t="str">
        <x:v>在线API补充</x:v>
      </x:c>
    </x:row>
    <x:row r="34">
      <x:c r="A34" s="47" t="n">
        <x:v>46220</x:v>
      </x:c>
      <x:c r="B34" s="48" t="n">
        <x:v>2.8423</x:v>
      </x:c>
      <x:c r="C34" s="22" t="str">
        <x:v>在线API补充</x:v>
      </x:c>
    </x:row>
    <x:row r="35">
      <x:c r="A35" s="47" t="n">
        <x:v>46219</x:v>
      </x:c>
      <x:c r="B35" s="48" t="n">
        <x:v>3.02</x:v>
      </x:c>
      <x:c r="C35" s="22" t="str">
        <x:v>在线API补充</x:v>
      </x:c>
    </x:row>
    <x:row r="36">
      <x:c r="A36" s="47" t="n">
        <x:v>46218</x:v>
      </x:c>
      <x:c r="B36" s="48" t="n">
        <x:v>3.1877</x:v>
      </x:c>
      <x:c r="C36" s="22" t="str">
        <x:v>在线API补充</x:v>
      </x:c>
    </x:row>
    <x:row r="37">
      <x:c r="A37" s="47" t="n">
        <x:v>46217</x:v>
      </x:c>
      <x:c r="B37" s="48" t="n">
        <x:v>3.2807</x:v>
      </x:c>
      <x:c r="C37" s="22" t="str">
        <x:v>在线API补充</x:v>
      </x:c>
    </x:row>
    <x:row r="38">
      <x:c r="A38" s="47" t="n">
        <x:v>46216</x:v>
      </x:c>
      <x:c r="B38" s="48" t="n">
        <x:v>3.1753</x:v>
      </x:c>
      <x:c r="C38" s="22" t="str">
        <x:v>在线API补充</x:v>
      </x:c>
    </x:row>
    <x:row r="39">
      <x:c r="A39" s="47" t="n">
        <x:v>46213</x:v>
      </x:c>
      <x:c r="B39" s="48" t="n">
        <x:v>3.3943</x:v>
      </x:c>
      <x:c r="C39" s="22" t="str">
        <x:v>在线API补充</x:v>
      </x:c>
    </x:row>
    <x:row r="40">
      <x:c r="A40" s="47" t="n">
        <x:v>46212</x:v>
      </x:c>
      <x:c r="B40" s="48" t="n">
        <x:v>3.5558</x:v>
      </x:c>
      <x:c r="C40" s="22" t="str">
        <x:v>项目空间本地CSV</x:v>
      </x:c>
    </x:row>
    <x:row r="41">
      <x:c r="A41" s="47" t="n">
        <x:v>46211</x:v>
      </x:c>
      <x:c r="B41" s="48" t="n">
        <x:v>3.3565</x:v>
      </x:c>
      <x:c r="C41" s="22" t="str">
        <x:v>项目空间本地CSV</x:v>
      </x:c>
    </x:row>
    <x:row r="42">
      <x:c r="A42" s="47" t="n">
        <x:v>46210</x:v>
      </x:c>
      <x:c r="B42" s="48" t="n">
        <x:v>3.3646</x:v>
      </x:c>
      <x:c r="C42" s="22" t="str">
        <x:v>项目空间本地CSV</x:v>
      </x:c>
    </x:row>
    <x:row r="43">
      <x:c r="A43" s="47" t="n">
        <x:v>46209</x:v>
      </x:c>
      <x:c r="B43" s="48" t="n">
        <x:v>3.4867</x:v>
      </x:c>
      <x:c r="C43" s="22" t="str">
        <x:v>项目空间本地CSV</x:v>
      </x:c>
    </x:row>
    <x:row r="44">
      <x:c r="A44" s="47" t="n">
        <x:v>46206</x:v>
      </x:c>
      <x:c r="B44" s="48" t="n">
        <x:v>3.5709</x:v>
      </x:c>
      <x:c r="C44" s="22" t="str">
        <x:v>项目空间本地CSV</x:v>
      </x:c>
    </x:row>
    <x:row r="45">
      <x:c r="A45" s="47" t="n">
        <x:v>46205</x:v>
      </x:c>
      <x:c r="B45" s="48" t="n">
        <x:v>3.5754</x:v>
      </x:c>
      <x:c r="C45" s="22" t="str">
        <x:v>项目空间本地CSV</x:v>
      </x:c>
    </x:row>
    <x:row r="46">
      <x:c r="A46" s="47" t="n">
        <x:v>46204</x:v>
      </x:c>
      <x:c r="B46" s="48" t="n">
        <x:v>3.9209</x:v>
      </x:c>
      <x:c r="C46" s="22" t="str">
        <x:v>项目空间本地CSV</x:v>
      </x:c>
    </x:row>
    <x:row r="47">
      <x:c r="A47" s="47" t="n">
        <x:v>46203</x:v>
      </x:c>
      <x:c r="B47" s="48" t="n">
        <x:v>4.0813</x:v>
      </x:c>
      <x:c r="C47" s="22" t="str">
        <x:v>项目空间本地CSV</x:v>
      </x:c>
    </x:row>
    <x:row r="48">
      <x:c r="A48" s="47" t="n">
        <x:v>46202</x:v>
      </x:c>
      <x:c r="B48" s="48" t="n">
        <x:v>3.9643</x:v>
      </x:c>
      <x:c r="C48" s="22" t="str">
        <x:v>项目空间本地CSV</x:v>
      </x:c>
    </x:row>
    <x:row r="49">
      <x:c r="A49" s="47" t="n">
        <x:v>46199</x:v>
      </x:c>
      <x:c r="B49" s="48" t="n">
        <x:v>3.9741</x:v>
      </x:c>
      <x:c r="C49" s="22" t="str">
        <x:v>项目空间本地CSV</x:v>
      </x:c>
    </x:row>
    <x:row r="50">
      <x:c r="A50" s="47" t="n">
        <x:v>46198</x:v>
      </x:c>
      <x:c r="B50" s="48" t="n">
        <x:v>4.1847</x:v>
      </x:c>
      <x:c r="C50" s="22" t="str">
        <x:v>项目空间本地CSV</x:v>
      </x:c>
    </x:row>
    <x:row r="51">
      <x:c r="A51" s="47" t="n">
        <x:v>46197</x:v>
      </x:c>
      <x:c r="B51" s="48" t="n">
        <x:v>4.0091</x:v>
      </x:c>
      <x:c r="C51" s="22" t="str">
        <x:v>项目空间本地CSV</x:v>
      </x:c>
    </x:row>
    <x:row r="52">
      <x:c r="A52" s="47" t="n">
        <x:v>46196</x:v>
      </x:c>
      <x:c r="B52" s="48" t="n">
        <x:v>3.9346</x:v>
      </x:c>
      <x:c r="C52" s="22" t="str">
        <x:v>项目空间本地CSV</x:v>
      </x:c>
    </x:row>
    <x:row r="53">
      <x:c r="A53" s="47" t="n">
        <x:v>46195</x:v>
      </x:c>
      <x:c r="B53" s="48" t="n">
        <x:v>4.2494</x:v>
      </x:c>
      <x:c r="C53" s="22" t="str">
        <x:v>项目空间本地CSV</x:v>
      </x:c>
    </x:row>
    <x:row r="54">
      <x:c r="A54" s="47" t="n">
        <x:v>46191</x:v>
      </x:c>
      <x:c r="B54" s="48" t="n">
        <x:v>4.1217</x:v>
      </x:c>
      <x:c r="C54" s="22" t="str">
        <x:v>项目空间本地CSV</x:v>
      </x:c>
    </x:row>
    <x:row r="55">
      <x:c r="A55" s="47" t="n">
        <x:v>46190</x:v>
      </x:c>
      <x:c r="B55" s="48" t="n">
        <x:v>3.9412</x:v>
      </x:c>
      <x:c r="C55" s="22" t="str">
        <x:v>项目空间本地CSV</x:v>
      </x:c>
    </x:row>
    <x:row r="56">
      <x:c r="A56" s="47" t="n">
        <x:v>46189</x:v>
      </x:c>
      <x:c r="B56" s="48" t="n">
        <x:v>3.831</x:v>
      </x:c>
      <x:c r="C56" s="22" t="str">
        <x:v>项目空间本地CSV</x:v>
      </x:c>
    </x:row>
    <x:row r="57">
      <x:c r="A57" s="47" t="n">
        <x:v>46188</x:v>
      </x:c>
      <x:c r="B57" s="48" t="n">
        <x:v>3.8733</x:v>
      </x:c>
      <x:c r="C57" s="22" t="str">
        <x:v>项目空间本地CSV</x:v>
      </x:c>
    </x:row>
    <x:row r="58">
      <x:c r="A58" s="47" t="n">
        <x:v>46185</x:v>
      </x:c>
      <x:c r="B58" s="48" t="n">
        <x:v>3.5728</x:v>
      </x:c>
      <x:c r="C58" s="22" t="str">
        <x:v>项目空间本地CSV</x:v>
      </x:c>
    </x:row>
    <x:row r="59">
      <x:c r="A59" s="47" t="n">
        <x:v>46184</x:v>
      </x:c>
      <x:c r="B59" s="48" t="n">
        <x:v>3.5625</x:v>
      </x:c>
      <x:c r="C59" s="22" t="str">
        <x:v>项目空间本地CSV</x:v>
      </x:c>
    </x:row>
    <x:row r="60">
      <x:c r="A60" s="47" t="n">
        <x:v>46183</x:v>
      </x:c>
      <x:c r="B60" s="48" t="n">
        <x:v>3.4274</x:v>
      </x:c>
      <x:c r="C60" s="22" t="str">
        <x:v>项目空间本地CSV</x:v>
      </x:c>
    </x:row>
    <x:row r="61">
      <x:c r="A61" s="47" t="n">
        <x:v>46182</x:v>
      </x:c>
      <x:c r="B61" s="48" t="n">
        <x:v>3.5462</x:v>
      </x:c>
      <x:c r="C61" s="22" t="str">
        <x:v>项目空间本地CSV</x:v>
      </x:c>
    </x:row>
    <x:row r="62">
      <x:c r="A62" s="47" t="n">
        <x:v>46181</x:v>
      </x:c>
      <x:c r="B62" s="48" t="n">
        <x:v>3.4906</x:v>
      </x:c>
      <x:c r="C62" s="22" t="str">
        <x:v>项目空间本地CSV</x:v>
      </x:c>
    </x:row>
    <x:row r="63">
      <x:c r="A63" s="47" t="n">
        <x:v>46178</x:v>
      </x:c>
      <x:c r="B63" s="48" t="n">
        <x:v>3.4718</x:v>
      </x:c>
      <x:c r="C63" s="22" t="str">
        <x:v>项目空间本地CSV</x:v>
      </x:c>
    </x:row>
    <x:row r="64">
      <x:c r="A64" s="47" t="n">
        <x:v>46177</x:v>
      </x:c>
      <x:c r="B64" s="48" t="n">
        <x:v>3.7721</x:v>
      </x:c>
      <x:c r="C64" s="22" t="str">
        <x:v>项目空间本地CSV</x:v>
      </x:c>
    </x:row>
    <x:row r="65">
      <x:c r="A65" s="47" t="n">
        <x:v>46176</x:v>
      </x:c>
      <x:c r="B65" s="48" t="n">
        <x:v>3.7821</x:v>
      </x:c>
      <x:c r="C65" s="22" t="str">
        <x:v>项目空间本地CSV</x:v>
      </x:c>
    </x:row>
    <x:row r="66">
      <x:c r="A66" s="47" t="n">
        <x:v>46175</x:v>
      </x:c>
      <x:c r="B66" s="48" t="n">
        <x:v>3.718</x:v>
      </x:c>
      <x:c r="C66" s="22" t="str">
        <x:v>项目空间本地CSV</x:v>
      </x:c>
    </x:row>
    <x:row r="67">
      <x:c r="A67" s="47" t="n">
        <x:v>46174</x:v>
      </x:c>
      <x:c r="B67" s="48" t="n">
        <x:v>3.5103</x:v>
      </x:c>
      <x:c r="C67" s="22" t="str">
        <x:v>项目空间本地CSV</x:v>
      </x:c>
    </x:row>
    <x:row r="68">
      <x:c r="A68" s="47" t="n">
        <x:v>46171</x:v>
      </x:c>
      <x:c r="B68" s="48" t="n">
        <x:v>3.5697</x:v>
      </x:c>
      <x:c r="C68" s="22" t="str">
        <x:v>项目空间本地CSV</x:v>
      </x:c>
    </x:row>
    <x:row r="69">
      <x:c r="A69" s="47" t="n">
        <x:v>46170</x:v>
      </x:c>
      <x:c r="B69" s="48" t="n">
        <x:v>3.6366</x:v>
      </x:c>
      <x:c r="C69" s="22" t="str">
        <x:v>项目空间本地CSV</x:v>
      </x:c>
    </x:row>
    <x:row r="70">
      <x:c r="A70" s="47" t="n">
        <x:v>46169</x:v>
      </x:c>
      <x:c r="B70" s="48" t="n">
        <x:v>3.5766</x:v>
      </x:c>
      <x:c r="C70" s="22" t="str">
        <x:v>项目空间本地CSV</x:v>
      </x:c>
    </x:row>
    <x:row r="71">
      <x:c r="A71" s="47" t="n">
        <x:v>46168</x:v>
      </x:c>
      <x:c r="B71" s="48" t="n">
        <x:v>3.6122</x:v>
      </x:c>
      <x:c r="C71" s="22" t="str">
        <x:v>项目空间本地CSV</x:v>
      </x:c>
    </x:row>
    <x:row r="72">
      <x:c r="A72" s="47" t="n">
        <x:v>46167</x:v>
      </x:c>
      <x:c r="B72" s="48" t="n">
        <x:v>3.5318</x:v>
      </x:c>
      <x:c r="C72" s="22" t="str">
        <x:v>项目空间本地CSV</x:v>
      </x:c>
    </x:row>
    <x:row r="73">
      <x:c r="A73" s="47" t="n">
        <x:v>46164</x:v>
      </x:c>
      <x:c r="B73" s="48" t="n">
        <x:v>3.4943</x:v>
      </x:c>
      <x:c r="C73" s="22" t="str">
        <x:v>项目空间本地CSV</x:v>
      </x:c>
    </x:row>
    <x:row r="74">
      <x:c r="A74" s="47" t="n">
        <x:v>46163</x:v>
      </x:c>
      <x:c r="B74" s="48" t="n">
        <x:v>3.359</x:v>
      </x:c>
      <x:c r="C74" s="22" t="str">
        <x:v>项目空间本地CSV</x:v>
      </x:c>
    </x:row>
    <x:row r="75">
      <x:c r="A75" s="47" t="n">
        <x:v>46162</x:v>
      </x:c>
      <x:c r="B75" s="48" t="n">
        <x:v>3.3782</x:v>
      </x:c>
      <x:c r="C75" s="22" t="str">
        <x:v>项目空间本地CSV</x:v>
      </x:c>
    </x:row>
    <x:row r="76">
      <x:c r="A76" s="47" t="n">
        <x:v>46161</x:v>
      </x:c>
      <x:c r="B76" s="48" t="n">
        <x:v>3.2976</x:v>
      </x:c>
      <x:c r="C76" s="22" t="str">
        <x:v>项目空间本地CSV</x:v>
      </x:c>
    </x:row>
    <x:row r="77">
      <x:c r="A77" s="47" t="n">
        <x:v>46160</x:v>
      </x:c>
      <x:c r="B77" s="48" t="n">
        <x:v>3.289</x:v>
      </x:c>
      <x:c r="C77" s="22" t="str">
        <x:v>项目空间本地CSV</x:v>
      </x:c>
    </x:row>
    <x:row r="78">
      <x:c r="A78" s="47" t="n">
        <x:v>46157</x:v>
      </x:c>
      <x:c r="B78" s="48" t="n">
        <x:v>3.3486</x:v>
      </x:c>
      <x:c r="C78" s="22" t="str">
        <x:v>项目空间本地CSV</x:v>
      </x:c>
    </x:row>
    <x:row r="79">
      <x:c r="A79" s="47" t="n">
        <x:v>46156</x:v>
      </x:c>
      <x:c r="B79" s="48" t="n">
        <x:v>3.46</x:v>
      </x:c>
      <x:c r="C79" s="22" t="str">
        <x:v>项目空间本地CSV</x:v>
      </x:c>
    </x:row>
    <x:row r="80">
      <x:c r="A80" s="47" t="n">
        <x:v>46155</x:v>
      </x:c>
      <x:c r="B80" s="48" t="n">
        <x:v>3.4695</x:v>
      </x:c>
      <x:c r="C80" s="22" t="str">
        <x:v>项目空间本地CSV</x:v>
      </x:c>
    </x:row>
    <x:row r="81">
      <x:c r="A81" s="47" t="n">
        <x:v>46154</x:v>
      </x:c>
      <x:c r="B81" s="48" t="n">
        <x:v>3.3708</x:v>
      </x:c>
      <x:c r="C81" s="22" t="str">
        <x:v>项目空间本地CSV</x:v>
      </x:c>
    </x:row>
    <x:row r="82">
      <x:c r="A82" s="47" t="n">
        <x:v>46153</x:v>
      </x:c>
      <x:c r="B82" s="48" t="n">
        <x:v>3.428</x:v>
      </x:c>
      <x:c r="C82" s="22" t="str">
        <x:v>项目空间本地CSV</x:v>
      </x:c>
    </x:row>
    <x:row r="83">
      <x:c r="A83" s="47" t="n">
        <x:v>46150</x:v>
      </x:c>
      <x:c r="B83" s="48" t="n">
        <x:v>3.3002</x:v>
      </x:c>
      <x:c r="C83" s="22" t="str">
        <x:v>项目空间本地CSV</x:v>
      </x:c>
    </x:row>
    <x:row r="84">
      <x:c r="A84" s="47" t="n">
        <x:v>46149</x:v>
      </x:c>
      <x:c r="B84" s="48" t="n">
        <x:v>3.1936</x:v>
      </x:c>
      <x:c r="C84" s="22" t="str">
        <x:v>项目空间本地CSV</x:v>
      </x:c>
    </x:row>
    <x:row r="85">
      <x:c r="A85" s="47" t="n">
        <x:v>46148</x:v>
      </x:c>
      <x:c r="B85" s="48" t="n">
        <x:v>3.2266</x:v>
      </x:c>
      <x:c r="C85" s="22" t="str">
        <x:v>项目空间本地CSV</x:v>
      </x:c>
    </x:row>
    <x:row r="86">
      <x:c r="A86" s="47" t="n">
        <x:v>46142</x:v>
      </x:c>
      <x:c r="B86" s="48" t="n">
        <x:v>3.0193</x:v>
      </x:c>
      <x:c r="C86" s="22" t="str">
        <x:v>项目空间本地CSV</x:v>
      </x:c>
    </x:row>
    <x:row r="87">
      <x:c r="A87" s="47" t="n">
        <x:v>46141</x:v>
      </x:c>
      <x:c r="B87" s="48" t="n">
        <x:v>2.9503</x:v>
      </x:c>
      <x:c r="C87" s="22" t="str">
        <x:v>项目空间本地CSV</x:v>
      </x:c>
    </x:row>
    <x:row r="88">
      <x:c r="A88" s="47" t="n">
        <x:v>46140</x:v>
      </x:c>
      <x:c r="B88" s="48" t="n">
        <x:v>2.8963</x:v>
      </x:c>
      <x:c r="C88" s="22" t="str">
        <x:v>项目空间本地CSV</x:v>
      </x:c>
    </x:row>
    <x:row r="89">
      <x:c r="A89" s="47" t="n">
        <x:v>46139</x:v>
      </x:c>
      <x:c r="B89" s="48" t="n">
        <x:v>3.0093</x:v>
      </x:c>
      <x:c r="C89" s="22" t="str">
        <x:v>项目空间本地CSV</x:v>
      </x:c>
    </x:row>
    <x:row r="90">
      <x:c r="A90" s="47" t="n">
        <x:v>46136</x:v>
      </x:c>
      <x:c r="B90" s="48" t="n">
        <x:v>3.0441</x:v>
      </x:c>
      <x:c r="C90" s="22" t="str">
        <x:v>项目空间本地CSV</x:v>
      </x:c>
    </x:row>
    <x:row r="91">
      <x:c r="A91" s="47" t="n">
        <x:v>46135</x:v>
      </x:c>
      <x:c r="B91" s="48" t="n">
        <x:v>3.0007</x:v>
      </x:c>
      <x:c r="C91" s="22" t="str">
        <x:v>项目空间本地CSV</x:v>
      </x:c>
    </x:row>
    <x:row r="92">
      <x:c r="A92" s="47" t="n">
        <x:v>46134</x:v>
      </x:c>
      <x:c r="B92" s="48" t="n">
        <x:v>3.0173</x:v>
      </x:c>
      <x:c r="C92" s="22" t="str">
        <x:v>项目空间本地CSV</x:v>
      </x:c>
    </x:row>
    <x:row r="93">
      <x:c r="A93" s="47" t="n">
        <x:v>46133</x:v>
      </x:c>
      <x:c r="B93" s="48" t="n">
        <x:v>2.9182</x:v>
      </x:c>
      <x:c r="C93" s="22" t="str">
        <x:v>项目空间本地CSV</x:v>
      </x:c>
    </x:row>
    <x:row r="94">
      <x:c r="A94" s="47" t="n">
        <x:v>46132</x:v>
      </x:c>
      <x:c r="B94" s="48" t="n">
        <x:v>2.9213</x:v>
      </x:c>
      <x:c r="C94" s="22" t="str">
        <x:v>项目空间本地CSV</x:v>
      </x:c>
    </x:row>
    <x:row r="95">
      <x:c r="A95" s="47" t="n">
        <x:v>46129</x:v>
      </x:c>
      <x:c r="B95" s="48" t="n">
        <x:v>2.9198</x:v>
      </x:c>
      <x:c r="C95" s="22" t="str">
        <x:v>项目空间本地CSV</x:v>
      </x:c>
    </x:row>
    <x:row r="96">
      <x:c r="A96" s="47" t="n">
        <x:v>46128</x:v>
      </x:c>
      <x:c r="B96" s="48" t="n">
        <x:v>2.8388</x:v>
      </x:c>
      <x:c r="C96" s="22" t="str">
        <x:v>项目空间本地CSV</x:v>
      </x:c>
    </x:row>
    <x:row r="97">
      <x:c r="A97" s="47" t="n">
        <x:v>46127</x:v>
      </x:c>
      <x:c r="B97" s="48" t="n">
        <x:v>2.7851</x:v>
      </x:c>
      <x:c r="C97" s="22" t="str">
        <x:v>项目空间本地CSV</x:v>
      </x:c>
    </x:row>
    <x:row r="98">
      <x:c r="A98" s="47" t="n">
        <x:v>46126</x:v>
      </x:c>
      <x:c r="B98" s="48" t="n">
        <x:v>2.8248</x:v>
      </x:c>
      <x:c r="C98" s="22" t="str">
        <x:v>项目空间本地CSV</x:v>
      </x:c>
    </x:row>
    <x:row r="99">
      <x:c r="A99" s="47" t="n">
        <x:v>46125</x:v>
      </x:c>
      <x:c r="B99" s="48" t="n">
        <x:v>2.7823</x:v>
      </x:c>
      <x:c r="C99" s="22" t="str">
        <x:v>项目空间本地CSV</x:v>
      </x:c>
    </x:row>
    <x:row r="100">
      <x:c r="A100" s="47" t="n">
        <x:v>46122</x:v>
      </x:c>
      <x:c r="B100" s="48" t="n">
        <x:v>2.7522</x:v>
      </x:c>
      <x:c r="C100" s="22" t="str">
        <x:v>项目空间本地CSV</x:v>
      </x:c>
    </x:row>
    <x:row r="101">
      <x:c r="A101" s="47" t="n">
        <x:v>46121</x:v>
      </x:c>
      <x:c r="B101" s="48" t="n">
        <x:v>2.7035</x:v>
      </x:c>
      <x:c r="C101" s="22" t="str">
        <x:v>项目空间本地CSV</x:v>
      </x:c>
    </x:row>
    <x:row r="102">
      <x:c r="A102" s="47" t="n">
        <x:v>46120</x:v>
      </x:c>
      <x:c r="B102" s="48" t="n">
        <x:v>2.6651</x:v>
      </x:c>
      <x:c r="C102" s="22" t="str">
        <x:v>项目空间本地CSV</x:v>
      </x:c>
    </x:row>
    <x:row r="103">
      <x:c r="A103" s="47" t="n">
        <x:v>46119</x:v>
      </x:c>
      <x:c r="B103" s="48" t="n">
        <x:v>2.4712</x:v>
      </x:c>
      <x:c r="C103" s="22" t="str">
        <x:v>项目空间本地CSV</x:v>
      </x:c>
    </x:row>
    <x:row r="104">
      <x:c r="A104" s="47" t="n">
        <x:v>46115</x:v>
      </x:c>
      <x:c r="B104" s="48" t="n">
        <x:v>2.4458</x:v>
      </x:c>
      <x:c r="C104" s="22" t="str">
        <x:v>项目空间本地CSV</x:v>
      </x:c>
    </x:row>
    <x:row r="105">
      <x:c r="A105" s="47" t="n">
        <x:v>46114</x:v>
      </x:c>
      <x:c r="B105" s="48" t="n">
        <x:v>2.4321</x:v>
      </x:c>
      <x:c r="C105" s="22" t="str">
        <x:v>项目空间本地CSV</x:v>
      </x:c>
    </x:row>
    <x:row r="106">
      <x:c r="A106" s="47" t="n">
        <x:v>46113</x:v>
      </x:c>
      <x:c r="B106" s="48" t="n">
        <x:v>2.4071</x:v>
      </x:c>
      <x:c r="C106" s="22" t="str">
        <x:v>项目空间本地CSV</x:v>
      </x:c>
    </x:row>
    <x:row r="107">
      <x:c r="A107" s="47" t="n">
        <x:v>46112</x:v>
      </x:c>
      <x:c r="B107" s="48" t="n">
        <x:v>2.3201</x:v>
      </x:c>
      <x:c r="C107" s="22" t="str">
        <x:v>项目空间本地CSV</x:v>
      </x:c>
    </x:row>
    <x:row r="108">
      <x:c r="A108" s="47" t="n">
        <x:v>46111</x:v>
      </x:c>
      <x:c r="B108" s="48" t="n">
        <x:v>2.2427</x:v>
      </x:c>
      <x:c r="C108" s="22" t="str">
        <x:v>项目空间本地CSV</x:v>
      </x:c>
    </x:row>
    <x:row r="109">
      <x:c r="A109" s="47" t="n">
        <x:v>46108</x:v>
      </x:c>
      <x:c r="B109" s="48" t="n">
        <x:v>2.3406</x:v>
      </x:c>
      <x:c r="C109" s="22" t="str">
        <x:v>项目空间本地CSV</x:v>
      </x:c>
    </x:row>
    <x:row r="110">
      <x:c r="A110" s="47" t="n">
        <x:v>46107</x:v>
      </x:c>
      <x:c r="B110" s="48" t="n">
        <x:v>2.336</x:v>
      </x:c>
      <x:c r="C110" s="22" t="str">
        <x:v>项目空间本地CSV</x:v>
      </x:c>
    </x:row>
    <x:row r="111">
      <x:c r="A111" s="47" t="n">
        <x:v>46106</x:v>
      </x:c>
      <x:c r="B111" s="48" t="n">
        <x:v>2.4873</x:v>
      </x:c>
      <x:c r="C111" s="22" t="str">
        <x:v>项目空间本地CSV</x:v>
      </x:c>
    </x:row>
    <x:row r="112">
      <x:c r="A112" s="47" t="n">
        <x:v>46105</x:v>
      </x:c>
      <x:c r="B112" s="48" t="n">
        <x:v>2.4664</x:v>
      </x:c>
      <x:c r="C112" s="22" t="str">
        <x:v>项目空间本地CSV</x:v>
      </x:c>
    </x:row>
    <x:row r="113">
      <x:c r="A113" s="47" t="n">
        <x:v>46104</x:v>
      </x:c>
      <x:c r="B113" s="48" t="n">
        <x:v>2.3858</x:v>
      </x:c>
      <x:c r="C113" s="22" t="str">
        <x:v>项目空间本地CSV</x:v>
      </x:c>
    </x:row>
    <x:row r="114">
      <x:c r="A114" s="47" t="n">
        <x:v>46101</x:v>
      </x:c>
      <x:c r="B114" s="48" t="n">
        <x:v>2.3708</x:v>
      </x:c>
      <x:c r="C114" s="22" t="str">
        <x:v>项目空间本地CSV</x:v>
      </x:c>
    </x:row>
    <x:row r="115">
      <x:c r="A115" s="47" t="n">
        <x:v>46100</x:v>
      </x:c>
      <x:c r="B115" s="48" t="n">
        <x:v>2.4562</x:v>
      </x:c>
      <x:c r="C115" s="22" t="str">
        <x:v>项目空间本地CSV</x:v>
      </x:c>
    </x:row>
    <x:row r="116">
      <x:c r="A116" s="47" t="n">
        <x:v>46099</x:v>
      </x:c>
      <x:c r="B116" s="48" t="n">
        <x:v>2.4235</x:v>
      </x:c>
      <x:c r="C116" s="22" t="str">
        <x:v>项目空间本地CSV</x:v>
      </x:c>
    </x:row>
    <x:row r="117">
      <x:c r="A117" s="47" t="n">
        <x:v>46098</x:v>
      </x:c>
      <x:c r="B117" s="48" t="n">
        <x:v>2.3788</x:v>
      </x:c>
      <x:c r="C117" s="22" t="str">
        <x:v>项目空间本地CSV</x:v>
      </x:c>
    </x:row>
    <x:row r="118">
      <x:c r="A118" s="47" t="n">
        <x:v>46097</x:v>
      </x:c>
      <x:c r="B118" s="48" t="n">
        <x:v>2.3934</x:v>
      </x:c>
      <x:c r="C118" s="22" t="str">
        <x:v>项目空间本地CSV</x:v>
      </x:c>
    </x:row>
    <x:row r="119">
      <x:c r="A119" s="47" t="n">
        <x:v>46094</x:v>
      </x:c>
      <x:c r="B119" s="48" t="n">
        <x:v>2.3437</x:v>
      </x:c>
      <x:c r="C119" s="22" t="str">
        <x:v>项目空间本地CSV</x:v>
      </x:c>
    </x:row>
    <x:row r="120">
      <x:c r="A120" s="47" t="n">
        <x:v>46093</x:v>
      </x:c>
      <x:c r="B120" s="48" t="n">
        <x:v>2.3365</x:v>
      </x:c>
      <x:c r="C120" s="22" t="str">
        <x:v>项目空间本地CSV</x:v>
      </x:c>
    </x:row>
    <x:row r="121">
      <x:c r="A121" s="47" t="n">
        <x:v>46092</x:v>
      </x:c>
      <x:c r="B121" s="48" t="n">
        <x:v>2.4146</x:v>
      </x:c>
      <x:c r="C121" s="22" t="str">
        <x:v>项目空间本地CSV</x:v>
      </x:c>
    </x:row>
    <x:row r="122">
      <x:c r="A122" s="47" t="n">
        <x:v>46091</x:v>
      </x:c>
      <x:c r="B122" s="48" t="n">
        <x:v>2.4064</x:v>
      </x:c>
      <x:c r="C122" s="22" t="str">
        <x:v>项目空间本地CSV</x:v>
      </x:c>
    </x:row>
    <x:row r="123">
      <x:c r="A123" s="47" t="n">
        <x:v>46090</x:v>
      </x:c>
      <x:c r="B123" s="48" t="n">
        <x:v>2.3414</x:v>
      </x:c>
      <x:c r="C123" s="22" t="str">
        <x:v>项目空间本地CSV</x:v>
      </x:c>
    </x:row>
    <x:row r="124">
      <x:c r="A124" s="47" t="n">
        <x:v>46087</x:v>
      </x:c>
      <x:c r="B124" s="48" t="n">
        <x:v>2.2497</x:v>
      </x:c>
      <x:c r="C124" s="22" t="str">
        <x:v>项目空间本地CSV</x:v>
      </x:c>
    </x:row>
    <x:row r="125">
      <x:c r="A125" s="47" t="n">
        <x:v>46086</x:v>
      </x:c>
      <x:c r="B125" s="48" t="n">
        <x:v>2.3759</x:v>
      </x:c>
      <x:c r="C125" s="22" t="str">
        <x:v>项目空间本地CSV</x:v>
      </x:c>
    </x:row>
    <x:row r="126">
      <x:c r="A126" s="47" t="n">
        <x:v>46085</x:v>
      </x:c>
      <x:c r="B126" s="48" t="n">
        <x:v>2.4468</x:v>
      </x:c>
      <x:c r="C126" s="22" t="str">
        <x:v>项目空间本地CSV</x:v>
      </x:c>
    </x:row>
    <x:row r="127">
      <x:c r="A127" s="47" t="n">
        <x:v>46084</x:v>
      </x:c>
      <x:c r="B127" s="48" t="n">
        <x:v>2.4321</x:v>
      </x:c>
      <x:c r="C127" s="22" t="str">
        <x:v>项目空间本地CSV</x:v>
      </x:c>
    </x:row>
    <x:row r="128">
      <x:c r="A128" s="47" t="n">
        <x:v>46083</x:v>
      </x:c>
      <x:c r="B128" s="48" t="n">
        <x:v>2.5854</x:v>
      </x:c>
      <x:c r="C128" s="22" t="str">
        <x:v>项目空间本地CSV</x:v>
      </x:c>
    </x:row>
    <x:row r="129">
      <x:c r="A129" s="47" t="n">
        <x:v>46080</x:v>
      </x:c>
      <x:c r="B129" s="48" t="n">
        <x:v>2.5031</x:v>
      </x:c>
      <x:c r="C129" s="22" t="str">
        <x:v>项目空间本地CSV</x:v>
      </x:c>
    </x:row>
    <x:row r="130">
      <x:c r="A130" s="47" t="n">
        <x:v>46079</x:v>
      </x:c>
      <x:c r="B130" s="48" t="n">
        <x:v>2.5293</x:v>
      </x:c>
      <x:c r="C130" s="22" t="str">
        <x:v>项目空间本地CSV</x:v>
      </x:c>
    </x:row>
    <x:row r="131">
      <x:c r="A131" s="47" t="n">
        <x:v>46078</x:v>
      </x:c>
      <x:c r="B131" s="48" t="n">
        <x:v>2.593</x:v>
      </x:c>
      <x:c r="C131" s="22" t="str">
        <x:v>项目空间本地CSV</x:v>
      </x:c>
    </x:row>
    <x:row r="132">
      <x:c r="A132" s="47" t="n">
        <x:v>46077</x:v>
      </x:c>
      <x:c r="B132" s="48" t="n">
        <x:v>2.5315</x:v>
      </x:c>
      <x:c r="C132" s="22" t="str">
        <x:v>项目空间本地CSV</x:v>
      </x:c>
    </x:row>
    <x:row r="133">
      <x:c r="A133" s="47" t="n">
        <x:v>46066</x:v>
      </x:c>
      <x:c r="B133" s="48" t="n">
        <x:v>2.3999</x:v>
      </x:c>
      <x:c r="C133" s="22" t="str">
        <x:v>项目空间本地CSV</x:v>
      </x:c>
    </x:row>
    <x:row r="134">
      <x:c r="A134" s="47" t="n">
        <x:v>46065</x:v>
      </x:c>
      <x:c r="B134" s="48" t="n">
        <x:v>2.4121</x:v>
      </x:c>
      <x:c r="C134" s="22" t="str">
        <x:v>项目空间本地CSV</x:v>
      </x:c>
    </x:row>
    <x:row r="135">
      <x:c r="A135" s="47" t="n">
        <x:v>46064</x:v>
      </x:c>
      <x:c r="B135" s="48" t="n">
        <x:v>2.4322</x:v>
      </x:c>
      <x:c r="C135" s="22" t="str">
        <x:v>项目空间本地CSV</x:v>
      </x:c>
    </x:row>
    <x:row r="136">
      <x:c r="A136" s="47" t="n">
        <x:v>46063</x:v>
      </x:c>
      <x:c r="B136" s="48" t="n">
        <x:v>2.3823</x:v>
      </x:c>
      <x:c r="C136" s="22" t="str">
        <x:v>项目空间本地CSV</x:v>
      </x:c>
    </x:row>
    <x:row r="137">
      <x:c r="A137" s="47" t="n">
        <x:v>46062</x:v>
      </x:c>
      <x:c r="B137" s="48" t="n">
        <x:v>2.4205</x:v>
      </x:c>
      <x:c r="C137" s="22" t="str">
        <x:v>项目空间本地CSV</x:v>
      </x:c>
    </x:row>
    <x:row r="138">
      <x:c r="A138" s="47" t="n">
        <x:v>46059</x:v>
      </x:c>
      <x:c r="B138" s="48" t="n">
        <x:v>2.3668</x:v>
      </x:c>
      <x:c r="C138" s="22" t="str">
        <x:v>项目空间本地CSV</x:v>
      </x:c>
    </x:row>
    <x:row r="139">
      <x:c r="A139" s="47" t="n">
        <x:v>46058</x:v>
      </x:c>
      <x:c r="B139" s="48" t="n">
        <x:v>2.2674</x:v>
      </x:c>
      <x:c r="C139" s="22" t="str">
        <x:v>项目空间本地CSV</x:v>
      </x:c>
    </x:row>
    <x:row r="140">
      <x:c r="A140" s="47" t="n">
        <x:v>46057</x:v>
      </x:c>
      <x:c r="B140" s="48" t="n">
        <x:v>2.2587</x:v>
      </x:c>
      <x:c r="C140" s="22" t="str">
        <x:v>项目空间本地CSV</x:v>
      </x:c>
    </x:row>
    <x:row r="141">
      <x:c r="A141" s="47" t="n">
        <x:v>46056</x:v>
      </x:c>
      <x:c r="B141" s="48" t="n">
        <x:v>2.3652</x:v>
      </x:c>
      <x:c r="C141" s="22" t="str">
        <x:v>项目空间本地CSV</x:v>
      </x:c>
    </x:row>
    <x:row r="142">
      <x:c r="A142" s="47" t="n">
        <x:v>46055</x:v>
      </x:c>
      <x:c r="B142" s="48" t="n">
        <x:v>2.369</x:v>
      </x:c>
      <x:c r="C142" s="22" t="str">
        <x:v>项目空间本地CSV</x:v>
      </x:c>
    </x:row>
    <x:row r="143">
      <x:c r="A143" s="47" t="n">
        <x:v>46052</x:v>
      </x:c>
      <x:c r="B143" s="48" t="n">
        <x:v>2.319</x:v>
      </x:c>
      <x:c r="C143" s="22" t="str">
        <x:v>项目空间本地CSV</x:v>
      </x:c>
    </x:row>
    <x:row r="144">
      <x:c r="A144" s="47" t="n">
        <x:v>46051</x:v>
      </x:c>
      <x:c r="B144" s="48" t="n">
        <x:v>2.3481</x:v>
      </x:c>
      <x:c r="C144" s="22" t="str">
        <x:v>项目空间本地CSV</x:v>
      </x:c>
    </x:row>
    <x:row r="145">
      <x:c r="A145" s="47" t="n">
        <x:v>46050</x:v>
      </x:c>
      <x:c r="B145" s="48" t="n">
        <x:v>2.3646</x:v>
      </x:c>
      <x:c r="C145" s="22" t="str">
        <x:v>项目空间本地CSV</x:v>
      </x:c>
    </x:row>
    <x:row r="146">
      <x:c r="A146" s="47" t="n">
        <x:v>46049</x:v>
      </x:c>
      <x:c r="B146" s="48" t="n">
        <x:v>2.3291</x:v>
      </x:c>
      <x:c r="C146" s="22" t="str">
        <x:v>项目空间本地CSV</x:v>
      </x:c>
    </x:row>
    <x:row r="147">
      <x:c r="A147" s="47" t="n">
        <x:v>46048</x:v>
      </x:c>
      <x:c r="B147" s="48" t="n">
        <x:v>2.2735</x:v>
      </x:c>
      <x:c r="C147" s="22" t="str">
        <x:v>项目空间本地CSV</x:v>
      </x:c>
    </x:row>
    <x:row r="148">
      <x:c r="A148" s="47" t="n">
        <x:v>46045</x:v>
      </x:c>
      <x:c r="B148" s="48" t="n">
        <x:v>2.2786</x:v>
      </x:c>
      <x:c r="C148" s="22" t="str">
        <x:v>项目空间本地CSV</x:v>
      </x:c>
    </x:row>
    <x:row r="149">
      <x:c r="A149" s="47" t="n">
        <x:v>46044</x:v>
      </x:c>
      <x:c r="B149" s="48" t="n">
        <x:v>2.3009</x:v>
      </x:c>
      <x:c r="C149" s="22" t="str">
        <x:v>项目空间本地CSV</x:v>
      </x:c>
    </x:row>
    <x:row r="150">
      <x:c r="A150" s="47" t="n">
        <x:v>46043</x:v>
      </x:c>
      <x:c r="B150" s="48" t="n">
        <x:v>2.2894</x:v>
      </x:c>
      <x:c r="C150" s="22" t="str">
        <x:v>项目空间本地CSV</x:v>
      </x:c>
    </x:row>
    <x:row r="151">
      <x:c r="A151" s="47" t="n">
        <x:v>46042</x:v>
      </x:c>
      <x:c r="B151" s="48" t="n">
        <x:v>2.2366</x:v>
      </x:c>
      <x:c r="C151" s="22" t="str">
        <x:v>项目空间本地CSV</x:v>
      </x:c>
    </x:row>
    <x:row r="152">
      <x:c r="A152" s="47" t="n">
        <x:v>46041</x:v>
      </x:c>
      <x:c r="B152" s="48" t="n">
        <x:v>2.2883</x:v>
      </x:c>
      <x:c r="C152" s="22" t="str">
        <x:v>项目空间本地CSV</x:v>
      </x:c>
    </x:row>
    <x:row r="153">
      <x:c r="A153" s="47" t="n">
        <x:v>46038</x:v>
      </x:c>
      <x:c r="B153" s="48" t="n">
        <x:v>2.2932</x:v>
      </x:c>
      <x:c r="C153" s="22" t="str">
        <x:v>项目空间本地CSV</x:v>
      </x:c>
    </x:row>
    <x:row r="154">
      <x:c r="A154" s="47" t="n">
        <x:v>46037</x:v>
      </x:c>
      <x:c r="B154" s="48" t="n">
        <x:v>2.2807</x:v>
      </x:c>
      <x:c r="C154" s="22" t="str">
        <x:v>项目空间本地CSV</x:v>
      </x:c>
    </x:row>
    <x:row r="155">
      <x:c r="A155" s="47" t="n">
        <x:v>46036</x:v>
      </x:c>
      <x:c r="B155" s="48" t="n">
        <x:v>2.2394</x:v>
      </x:c>
      <x:c r="C155" s="22" t="str">
        <x:v>项目空间本地CSV</x:v>
      </x:c>
    </x:row>
    <x:row r="156">
      <x:c r="A156" s="47" t="n">
        <x:v>46035</x:v>
      </x:c>
      <x:c r="B156" s="48" t="n">
        <x:v>2.2551</x:v>
      </x:c>
      <x:c r="C156" s="22" t="str">
        <x:v>项目空间本地CSV</x:v>
      </x:c>
    </x:row>
    <x:row r="157">
      <x:c r="A157" s="47" t="n">
        <x:v>46034</x:v>
      </x:c>
      <x:c r="B157" s="48" t="n">
        <x:v>2.2343</x:v>
      </x:c>
      <x:c r="C157" s="22" t="str">
        <x:v>项目空间本地CSV</x:v>
      </x:c>
    </x:row>
    <x:row r="158">
      <x:c r="A158" s="47" t="n">
        <x:v>46031</x:v>
      </x:c>
      <x:c r="B158" s="48" t="n">
        <x:v>2.213</x:v>
      </x:c>
      <x:c r="C158" s="22" t="str">
        <x:v>项目空间本地CSV</x:v>
      </x:c>
    </x:row>
    <x:row r="159">
      <x:c r="A159" s="47" t="n">
        <x:v>46030</x:v>
      </x:c>
      <x:c r="B159" s="48" t="n">
        <x:v>2.17</x:v>
      </x:c>
      <x:c r="C159" s="22" t="str">
        <x:v>项目空间本地CSV</x:v>
      </x:c>
    </x:row>
    <x:row r="160">
      <x:c r="A160" s="47" t="n">
        <x:v>46029</x:v>
      </x:c>
      <x:c r="B160" s="48" t="n">
        <x:v>2.2215</x:v>
      </x:c>
      <x:c r="C160" s="22" t="str">
        <x:v>项目空间本地CSV</x:v>
      </x:c>
    </x:row>
    <x:row r="161">
      <x:c r="A161" s="47" t="n">
        <x:v>46028</x:v>
      </x:c>
      <x:c r="B161" s="48" t="n">
        <x:v>2.2227</x:v>
      </x:c>
      <x:c r="C161" s="22" t="str">
        <x:v>项目空间本地CSV</x:v>
      </x:c>
    </x:row>
    <x:row r="162">
      <x:c r="A162" s="47" t="n">
        <x:v>46027</x:v>
      </x:c>
      <x:c r="B162" s="48" t="n">
        <x:v>2.1882</x:v>
      </x:c>
      <x:c r="C162" s="22" t="str">
        <x:v>项目空间本地CSV</x:v>
      </x:c>
    </x:row>
    <x:row r="163">
      <x:c r="A163" s="47" t="n">
        <x:v>46022</x:v>
      </x:c>
      <x:c r="B163" s="48" t="n">
        <x:v>2.1476</x:v>
      </x:c>
      <x:c r="C163" s="22" t="str">
        <x:v>项目空间本地CSV</x:v>
      </x:c>
    </x:row>
    <x:row r="164">
      <x:c r="A164" s="47" t="n">
        <x:v>46021</x:v>
      </x:c>
      <x:c r="B164" s="48" t="n">
        <x:v>2.1733</x:v>
      </x:c>
      <x:c r="C164" s="22" t="str">
        <x:v>项目空间本地CSV</x:v>
      </x:c>
    </x:row>
    <x:row r="165">
      <x:c r="A165" s="47" t="n">
        <x:v>46020</x:v>
      </x:c>
      <x:c r="B165" s="48" t="n">
        <x:v>2.1801</x:v>
      </x:c>
      <x:c r="C165" s="22" t="str">
        <x:v>项目空间本地CSV</x:v>
      </x:c>
    </x:row>
    <x:row r="166">
      <x:c r="A166" s="47" t="n">
        <x:v>46017</x:v>
      </x:c>
      <x:c r="B166" s="48" t="n">
        <x:v>2.1931</x:v>
      </x:c>
      <x:c r="C166" s="22" t="str">
        <x:v>项目空间本地CSV</x:v>
      </x:c>
    </x:row>
    <x:row r="167">
      <x:c r="A167" s="47" t="n">
        <x:v>46016</x:v>
      </x:c>
      <x:c r="B167" s="48" t="n">
        <x:v>2.1993</x:v>
      </x:c>
      <x:c r="C167" s="22" t="str">
        <x:v>项目空间本地CSV</x:v>
      </x:c>
    </x:row>
    <x:row r="168">
      <x:c r="A168" s="47" t="n">
        <x:v>46015</x:v>
      </x:c>
      <x:c r="B168" s="48" t="n">
        <x:v>2.2023</x:v>
      </x:c>
      <x:c r="C168" s="22" t="str">
        <x:v>项目空间本地CSV</x:v>
      </x:c>
    </x:row>
    <x:row r="169">
      <x:c r="A169" s="47" t="n">
        <x:v>46014</x:v>
      </x:c>
      <x:c r="B169" s="48" t="n">
        <x:v>2.1905</x:v>
      </x:c>
      <x:c r="C169" s="22" t="str">
        <x:v>项目空间本地CSV</x:v>
      </x:c>
    </x:row>
    <x:row r="170">
      <x:c r="A170" s="47" t="n">
        <x:v>46013</x:v>
      </x:c>
      <x:c r="B170" s="48" t="n">
        <x:v>2.1669</x:v>
      </x:c>
      <x:c r="C170" s="22" t="str">
        <x:v>项目空间本地CSV</x:v>
      </x:c>
    </x:row>
    <x:row r="171">
      <x:c r="A171" s="47" t="n">
        <x:v>46010</x:v>
      </x:c>
      <x:c r="B171" s="48" t="n">
        <x:v>2.1357</x:v>
      </x:c>
      <x:c r="C171" s="22" t="str">
        <x:v>项目空间本地CSV</x:v>
      </x:c>
    </x:row>
    <x:row r="172">
      <x:c r="A172" s="47" t="n">
        <x:v>46009</x:v>
      </x:c>
      <x:c r="B172" s="48" t="n">
        <x:v>2.0972</x:v>
      </x:c>
      <x:c r="C172" s="22" t="str">
        <x:v>项目空间本地CSV</x:v>
      </x:c>
    </x:row>
    <x:row r="173">
      <x:c r="A173" s="47" t="n">
        <x:v>46008</x:v>
      </x:c>
      <x:c r="B173" s="48" t="n">
        <x:v>2.0716</x:v>
      </x:c>
      <x:c r="C173" s="22" t="str">
        <x:v>项目空间本地CSV</x:v>
      </x:c>
    </x:row>
    <x:row r="174">
      <x:c r="A174" s="47" t="n">
        <x:v>46007</x:v>
      </x:c>
      <x:c r="B174" s="48" t="n">
        <x:v>2.1043</x:v>
      </x:c>
      <x:c r="C174" s="22" t="str">
        <x:v>项目空间本地CSV</x:v>
      </x:c>
    </x:row>
    <x:row r="175">
      <x:c r="A175" s="47" t="n">
        <x:v>46006</x:v>
      </x:c>
      <x:c r="B175" s="48" t="n">
        <x:v>2.1177</x:v>
      </x:c>
      <x:c r="C175" s="22" t="str">
        <x:v>项目空间本地CSV</x:v>
      </x:c>
    </x:row>
    <x:row r="176">
      <x:c r="A176" s="47" t="n">
        <x:v>46003</x:v>
      </x:c>
      <x:c r="B176" s="48" t="n">
        <x:v>2.1506</x:v>
      </x:c>
      <x:c r="C176" s="22" t="str">
        <x:v>项目空间本地CSV</x:v>
      </x:c>
    </x:row>
    <x:row r="177">
      <x:c r="A177" s="47" t="n">
        <x:v>46002</x:v>
      </x:c>
      <x:c r="B177" s="48" t="n">
        <x:v>2.2297</x:v>
      </x:c>
      <x:c r="C177" s="22" t="str">
        <x:v>项目空间本地CSV</x:v>
      </x:c>
    </x:row>
    <x:row r="178">
      <x:c r="A178" s="47" t="n">
        <x:v>46001</x:v>
      </x:c>
      <x:c r="B178" s="48" t="n">
        <x:v>2.2544</x:v>
      </x:c>
      <x:c r="C178" s="22" t="str">
        <x:v>项目空间本地CSV</x:v>
      </x:c>
    </x:row>
    <x:row r="179">
      <x:c r="A179" s="47" t="n">
        <x:v>46000</x:v>
      </x:c>
      <x:c r="B179" s="48" t="n">
        <x:v>2.2384</x:v>
      </x:c>
      <x:c r="C179" s="22" t="str">
        <x:v>项目空间本地CSV</x:v>
      </x:c>
    </x:row>
    <x:row r="180">
      <x:c r="A180" s="47" t="n">
        <x:v>45999</x:v>
      </x:c>
      <x:c r="B180" s="48" t="n">
        <x:v>2.2196</x:v>
      </x:c>
      <x:c r="C180" s="22" t="str">
        <x:v>项目空间本地CSV</x:v>
      </x:c>
    </x:row>
    <x:row r="181">
      <x:c r="A181" s="47" t="n">
        <x:v>45996</x:v>
      </x:c>
      <x:c r="B181" s="48" t="n">
        <x:v>2.1945</x:v>
      </x:c>
      <x:c r="C181" s="22" t="str">
        <x:v>项目空间本地CSV</x:v>
      </x:c>
    </x:row>
    <x:row r="182">
      <x:c r="A182" s="47" t="n">
        <x:v>45995</x:v>
      </x:c>
      <x:c r="B182" s="48" t="n">
        <x:v>2.1759</x:v>
      </x:c>
      <x:c r="C182" s="22" t="str">
        <x:v>项目空间本地CSV</x:v>
      </x:c>
    </x:row>
    <x:row r="183">
      <x:c r="A183" s="47" t="n">
        <x:v>45994</x:v>
      </x:c>
      <x:c r="B183" s="48" t="n">
        <x:v>2.169</x:v>
      </x:c>
      <x:c r="C183" s="22" t="str">
        <x:v>项目空间本地CSV</x:v>
      </x:c>
    </x:row>
    <x:row r="184">
      <x:c r="A184" s="47" t="n">
        <x:v>45993</x:v>
      </x:c>
      <x:c r="B184" s="48" t="n">
        <x:v>2.1753</x:v>
      </x:c>
      <x:c r="C184" s="22" t="str">
        <x:v>项目空间本地CSV</x:v>
      </x:c>
    </x:row>
    <x:row r="185">
      <x:c r="A185" s="47" t="n">
        <x:v>45992</x:v>
      </x:c>
      <x:c r="B185" s="48" t="n">
        <x:v>2.1654</x:v>
      </x:c>
      <x:c r="C185" s="22" t="str">
        <x:v>项目空间本地CSV</x:v>
      </x:c>
    </x:row>
    <x:row r="186">
      <x:c r="A186" s="47" t="n">
        <x:v>45989</x:v>
      </x:c>
      <x:c r="B186" s="48" t="n">
        <x:v>2.1815</x:v>
      </x:c>
      <x:c r="C186" s="22" t="str">
        <x:v>项目空间本地CSV</x:v>
      </x:c>
    </x:row>
    <x:row r="187">
      <x:c r="A187" s="47" t="n">
        <x:v>45988</x:v>
      </x:c>
      <x:c r="B187" s="48" t="n">
        <x:v>2.1624</x:v>
      </x:c>
      <x:c r="C187" s="22" t="str">
        <x:v>项目空间本地CSV</x:v>
      </x:c>
    </x:row>
    <x:row r="188">
      <x:c r="A188" s="47" t="n">
        <x:v>45987</x:v>
      </x:c>
      <x:c r="B188" s="48" t="n">
        <x:v>2.1629</x:v>
      </x:c>
      <x:c r="C188" s="22" t="str">
        <x:v>项目空间本地CSV</x:v>
      </x:c>
    </x:row>
    <x:row r="189">
      <x:c r="A189" s="47" t="n">
        <x:v>45986</x:v>
      </x:c>
      <x:c r="B189" s="48" t="n">
        <x:v>2.1432</x:v>
      </x:c>
      <x:c r="C189" s="22" t="str">
        <x:v>项目空间本地CSV</x:v>
      </x:c>
    </x:row>
    <x:row r="190">
      <x:c r="A190" s="47" t="n">
        <x:v>45985</x:v>
      </x:c>
      <x:c r="B190" s="48" t="n">
        <x:v>2.1329</x:v>
      </x:c>
      <x:c r="C190" s="22" t="str">
        <x:v>项目空间本地CSV</x:v>
      </x:c>
    </x:row>
    <x:row r="191">
      <x:c r="A191" s="47" t="n">
        <x:v>45982</x:v>
      </x:c>
      <x:c r="B191" s="48" t="n">
        <x:v>2.0407</x:v>
      </x:c>
      <x:c r="C191" s="22" t="str">
        <x:v>项目空间本地CSV</x:v>
      </x:c>
    </x:row>
    <x:row r="192">
      <x:c r="A192" s="47" t="n">
        <x:v>45981</x:v>
      </x:c>
      <x:c r="B192" s="48" t="n">
        <x:v>2.0346</x:v>
      </x:c>
      <x:c r="C192" s="22" t="str">
        <x:v>项目空间本地CSV</x:v>
      </x:c>
    </x:row>
    <x:row r="193">
      <x:c r="A193" s="47" t="n">
        <x:v>45980</x:v>
      </x:c>
      <x:c r="B193" s="48" t="n">
        <x:v>2.0984</x:v>
      </x:c>
      <x:c r="C193" s="22" t="str">
        <x:v>项目空间本地CSV</x:v>
      </x:c>
    </x:row>
    <x:row r="194">
      <x:c r="A194" s="47" t="n">
        <x:v>45979</x:v>
      </x:c>
      <x:c r="B194" s="48" t="n">
        <x:v>2.0739</x:v>
      </x:c>
      <x:c r="C194" s="22" t="str">
        <x:v>项目空间本地CSV</x:v>
      </x:c>
    </x:row>
    <x:row r="195">
      <x:c r="A195" s="47" t="n">
        <x:v>45978</x:v>
      </x:c>
      <x:c r="B195" s="48" t="n">
        <x:v>2.1068</x:v>
      </x:c>
      <x:c r="C195" s="22" t="str">
        <x:v>项目空间本地CSV</x:v>
      </x:c>
    </x:row>
    <x:row r="196">
      <x:c r="A196" s="47" t="n">
        <x:v>45975</x:v>
      </x:c>
      <x:c r="B196" s="48" t="n">
        <x:v>2.1246</x:v>
      </x:c>
      <x:c r="C196" s="22" t="str">
        <x:v>项目空间本地CSV</x:v>
      </x:c>
    </x:row>
    <x:row r="197">
      <x:c r="A197" s="47" t="n">
        <x:v>45974</x:v>
      </x:c>
      <x:c r="B197" s="48" t="n">
        <x:v>2.1174</x:v>
      </x:c>
      <x:c r="C197" s="22" t="str">
        <x:v>项目空间本地CSV</x:v>
      </x:c>
    </x:row>
    <x:row r="198">
      <x:c r="A198" s="47" t="n">
        <x:v>45973</x:v>
      </x:c>
      <x:c r="B198" s="48" t="n">
        <x:v>2.1914</x:v>
      </x:c>
      <x:c r="C198" s="22" t="str">
        <x:v>项目空间本地CSV</x:v>
      </x:c>
    </x:row>
    <x:row r="199">
      <x:c r="A199" s="47" t="n">
        <x:v>45972</x:v>
      </x:c>
      <x:c r="B199" s="48" t="n">
        <x:v>2.2049</x:v>
      </x:c>
      <x:c r="C199" s="22" t="str">
        <x:v>项目空间本地CSV</x:v>
      </x:c>
    </x:row>
    <x:row r="200">
      <x:c r="A200" s="47" t="n">
        <x:v>45971</x:v>
      </x:c>
      <x:c r="B200" s="48" t="n">
        <x:v>2.2236</x:v>
      </x:c>
      <x:c r="C200" s="22" t="str">
        <x:v>项目空间本地CSV</x:v>
      </x:c>
    </x:row>
    <x:row r="201">
      <x:c r="A201" s="47" t="n">
        <x:v>45968</x:v>
      </x:c>
      <x:c r="B201" s="48" t="n">
        <x:v>2.1523</x:v>
      </x:c>
      <x:c r="C201" s="22" t="str">
        <x:v>项目空间本地CSV</x:v>
      </x:c>
    </x:row>
    <x:row r="202">
      <x:c r="A202" s="47" t="n">
        <x:v>45967</x:v>
      </x:c>
      <x:c r="B202" s="48" t="n">
        <x:v>2.1643</x:v>
      </x:c>
      <x:c r="C202" s="22" t="str">
        <x:v>项目空间本地CSV</x:v>
      </x:c>
    </x:row>
    <x:row r="203">
      <x:c r="A203" s="47" t="n">
        <x:v>45966</x:v>
      </x:c>
      <x:c r="B203" s="48" t="n">
        <x:v>2.2152</x:v>
      </x:c>
      <x:c r="C203" s="22" t="str">
        <x:v>项目空间本地CSV</x:v>
      </x:c>
    </x:row>
    <x:row r="204">
      <x:c r="A204" s="47" t="n">
        <x:v>45965</x:v>
      </x:c>
      <x:c r="B204" s="48" t="n">
        <x:v>2.1901</x:v>
      </x:c>
      <x:c r="C204" s="22" t="str">
        <x:v>项目空间本地CSV</x:v>
      </x:c>
    </x:row>
    <x:row r="205">
      <x:c r="A205" s="47" t="n">
        <x:v>45964</x:v>
      </x:c>
      <x:c r="B205" s="48" t="n">
        <x:v>2.2572</x:v>
      </x:c>
      <x:c r="C205" s="22" t="str">
        <x:v>项目空间本地CSV</x:v>
      </x:c>
    </x:row>
    <x:row r="206">
      <x:c r="A206" s="47" t="n">
        <x:v>45961</x:v>
      </x:c>
      <x:c r="B206" s="48" t="n">
        <x:v>2.2415</x:v>
      </x:c>
      <x:c r="C206" s="22" t="str">
        <x:v>项目空间本地CSV</x:v>
      </x:c>
    </x:row>
    <x:row r="207">
      <x:c r="A207" s="47" t="n">
        <x:v>45960</x:v>
      </x:c>
      <x:c r="B207" s="48" t="n">
        <x:v>2.2229</x:v>
      </x:c>
      <x:c r="C207" s="22" t="str">
        <x:v>项目空间本地CSV</x:v>
      </x:c>
    </x:row>
    <x:row r="208">
      <x:c r="A208" s="47" t="n">
        <x:v>45959</x:v>
      </x:c>
      <x:c r="B208" s="48" t="n">
        <x:v>2.2799</x:v>
      </x:c>
      <x:c r="C208" s="22" t="str">
        <x:v>项目空间本地CSV</x:v>
      </x:c>
    </x:row>
    <x:row r="209">
      <x:c r="A209" s="47" t="n">
        <x:v>45958</x:v>
      </x:c>
      <x:c r="B209" s="48" t="n">
        <x:v>2.2421</x:v>
      </x:c>
      <x:c r="C209" s="22" t="str">
        <x:v>项目空间本地CSV</x:v>
      </x:c>
    </x:row>
    <x:row r="210">
      <x:c r="A210" s="47" t="n">
        <x:v>45957</x:v>
      </x:c>
      <x:c r="B210" s="48" t="n">
        <x:v>2.2088</x:v>
      </x:c>
      <x:c r="C210" s="22" t="str">
        <x:v>项目空间本地CSV</x:v>
      </x:c>
    </x:row>
    <x:row r="211">
      <x:c r="A211" s="47" t="n">
        <x:v>45954</x:v>
      </x:c>
      <x:c r="B211" s="48" t="n">
        <x:v>2.1623</x:v>
      </x:c>
      <x:c r="C211" s="22" t="str">
        <x:v>项目空间本地CSV</x:v>
      </x:c>
    </x:row>
    <x:row r="212">
      <x:c r="A212" s="47" t="n">
        <x:v>45953</x:v>
      </x:c>
      <x:c r="B212" s="48" t="n">
        <x:v>2.1312</x:v>
      </x:c>
      <x:c r="C212" s="22" t="str">
        <x:v>项目空间本地CSV</x:v>
      </x:c>
    </x:row>
    <x:row r="213">
      <x:c r="A213" s="47" t="n">
        <x:v>45952</x:v>
      </x:c>
      <x:c r="B213" s="48" t="n">
        <x:v>2.098</x:v>
      </x:c>
      <x:c r="C213" s="22" t="str">
        <x:v>项目空间本地CSV</x:v>
      </x:c>
    </x:row>
    <x:row r="214">
      <x:c r="A214" s="47" t="n">
        <x:v>45951</x:v>
      </x:c>
      <x:c r="B214" s="48" t="n">
        <x:v>2.1265</x:v>
      </x:c>
      <x:c r="C214" s="22" t="str">
        <x:v>项目空间本地CSV</x:v>
      </x:c>
    </x:row>
    <x:row r="215">
      <x:c r="A215" s="47" t="n">
        <x:v>45950</x:v>
      </x:c>
      <x:c r="B215" s="48" t="n">
        <x:v>2.1406</x:v>
      </x:c>
      <x:c r="C215" s="22" t="str">
        <x:v>项目空间本地CSV</x:v>
      </x:c>
    </x:row>
    <x:row r="216">
      <x:c r="A216" s="47" t="n">
        <x:v>45947</x:v>
      </x:c>
      <x:c r="B216" s="48" t="n">
        <x:v>2.1102</x:v>
      </x:c>
      <x:c r="C216" s="22" t="str">
        <x:v>项目空间本地CSV</x:v>
      </x:c>
    </x:row>
    <x:row r="217">
      <x:c r="A217" s="47" t="n">
        <x:v>45946</x:v>
      </x:c>
      <x:c r="B217" s="48" t="n">
        <x:v>2.1133</x:v>
      </x:c>
      <x:c r="C217" s="22" t="str">
        <x:v>项目空间本地CSV</x:v>
      </x:c>
    </x:row>
    <x:row r="218">
      <x:c r="A218" s="47" t="n">
        <x:v>45945</x:v>
      </x:c>
      <x:c r="B218" s="48" t="n">
        <x:v>2.118</x:v>
      </x:c>
      <x:c r="C218" s="22" t="str">
        <x:v>项目空间本地CSV</x:v>
      </x:c>
    </x:row>
    <x:row r="219">
      <x:c r="A219" s="47" t="n">
        <x:v>45944</x:v>
      </x:c>
      <x:c r="B219" s="48" t="n">
        <x:v>2.0938</x:v>
      </x:c>
      <x:c r="C219" s="22" t="str">
        <x:v>项目空间本地CSV</x:v>
      </x:c>
    </x:row>
    <x:row r="220">
      <x:c r="A220" s="47" t="n">
        <x:v>45943</x:v>
      </x:c>
      <x:c r="B220" s="48" t="n">
        <x:v>2.1369</x:v>
      </x:c>
      <x:c r="C220" s="22" t="str">
        <x:v>项目空间本地CSV</x:v>
      </x:c>
    </x:row>
    <x:row r="221">
      <x:c r="A221" s="47" t="n">
        <x:v>45940</x:v>
      </x:c>
      <x:c r="B221" s="48" t="n">
        <x:v>2.0671</x:v>
      </x:c>
      <x:c r="C221" s="22" t="str">
        <x:v>项目空间本地CSV</x:v>
      </x:c>
    </x:row>
    <x:row r="222">
      <x:c r="A222" s="47" t="n">
        <x:v>45939</x:v>
      </x:c>
      <x:c r="B222" s="48" t="n">
        <x:v>2.1663</x:v>
      </x:c>
      <x:c r="C222" s="22" t="str">
        <x:v>项目空间本地CSV</x:v>
      </x:c>
    </x:row>
    <x:row r="223">
      <x:c r="A223" s="47" t="n">
        <x:v>45930</x:v>
      </x:c>
      <x:c r="B223" s="48" t="n">
        <x:v>2.1165</x:v>
      </x:c>
      <x:c r="C223" s="22" t="str">
        <x:v>项目空间本地CSV</x:v>
      </x:c>
    </x:row>
    <x:row r="224">
      <x:c r="A224" s="47" t="n">
        <x:v>45929</x:v>
      </x:c>
      <x:c r="B224" s="48" t="n">
        <x:v>2.1057</x:v>
      </x:c>
      <x:c r="C224" s="22" t="str">
        <x:v>项目空间本地CSV</x:v>
      </x:c>
    </x:row>
    <x:row r="225">
      <x:c r="A225" s="47" t="n">
        <x:v>45926</x:v>
      </x:c>
      <x:c r="B225" s="48" t="n">
        <x:v>2.0945</x:v>
      </x:c>
      <x:c r="C225" s="22" t="str">
        <x:v>项目空间本地CSV</x:v>
      </x:c>
    </x:row>
    <x:row r="226">
      <x:c r="A226" s="47" t="n">
        <x:v>45925</x:v>
      </x:c>
      <x:c r="B226" s="48" t="n">
        <x:v>2.0896</x:v>
      </x:c>
      <x:c r="C226" s="22" t="str">
        <x:v>项目空间本地CSV</x:v>
      </x:c>
    </x:row>
    <x:row r="227">
      <x:c r="A227" s="47" t="n">
        <x:v>45924</x:v>
      </x:c>
      <x:c r="B227" s="48" t="n">
        <x:v>2.1056</x:v>
      </x:c>
      <x:c r="C227" s="22" t="str">
        <x:v>项目空间本地CSV</x:v>
      </x:c>
    </x:row>
    <x:row r="228">
      <x:c r="A228" s="47" t="n">
        <x:v>45923</x:v>
      </x:c>
      <x:c r="B228" s="48" t="n">
        <x:v>2.1188</x:v>
      </x:c>
      <x:c r="C228" s="22" t="str">
        <x:v>项目空间本地CSV</x:v>
      </x:c>
    </x:row>
    <x:row r="229">
      <x:c r="A229" s="47" t="n">
        <x:v>45922</x:v>
      </x:c>
      <x:c r="B229" s="48" t="n">
        <x:v>2.1433</x:v>
      </x:c>
      <x:c r="C229" s="22" t="str">
        <x:v>项目空间本地CSV</x:v>
      </x:c>
    </x:row>
    <x:row r="230">
      <x:c r="A230" s="47" t="n">
        <x:v>45919</x:v>
      </x:c>
      <x:c r="B230" s="48" t="n">
        <x:v>2.1377</x:v>
      </x:c>
      <x:c r="C230" s="22" t="str">
        <x:v>项目空间本地CSV</x:v>
      </x:c>
    </x:row>
    <x:row r="231">
      <x:c r="A231" s="47" t="n">
        <x:v>45918</x:v>
      </x:c>
      <x:c r="B231" s="48" t="n">
        <x:v>2.1178</x:v>
      </x:c>
      <x:c r="C231" s="22" t="str">
        <x:v>项目空间本地CSV</x:v>
      </x:c>
    </x:row>
    <x:row r="232">
      <x:c r="A232" s="47" t="n">
        <x:v>45917</x:v>
      </x:c>
      <x:c r="B232" s="48" t="n">
        <x:v>2.088</x:v>
      </x:c>
      <x:c r="C232" s="22" t="str">
        <x:v>项目空间本地CSV</x:v>
      </x:c>
    </x:row>
    <x:row r="233">
      <x:c r="A233" s="47" t="n">
        <x:v>45916</x:v>
      </x:c>
      <x:c r="B233" s="48" t="n">
        <x:v>2.108</x:v>
      </x:c>
      <x:c r="C233" s="22" t="str">
        <x:v>项目空间本地CSV</x:v>
      </x:c>
    </x:row>
    <x:row r="234">
      <x:c r="A234" s="47" t="n">
        <x:v>45915</x:v>
      </x:c>
      <x:c r="B234" s="48" t="n">
        <x:v>2.1086</x:v>
      </x:c>
      <x:c r="C234" s="22" t="str">
        <x:v>项目空间本地CSV</x:v>
      </x:c>
    </x:row>
    <x:row r="235">
      <x:c r="A235" s="47" t="n">
        <x:v>45912</x:v>
      </x:c>
      <x:c r="B235" s="48" t="n">
        <x:v>2.072</x:v>
      </x:c>
      <x:c r="C235" s="22" t="str">
        <x:v>项目空间本地CSV</x:v>
      </x:c>
    </x:row>
    <x:row r="236">
      <x:c r="A236" s="47" t="n">
        <x:v>45911</x:v>
      </x:c>
      <x:c r="B236" s="48" t="n">
        <x:v>2.062</x:v>
      </x:c>
      <x:c r="C236" s="22" t="str">
        <x:v>项目空间本地CSV</x:v>
      </x:c>
    </x:row>
    <x:row r="237">
      <x:c r="A237" s="47" t="n">
        <x:v>45910</x:v>
      </x:c>
      <x:c r="B237" s="48" t="n">
        <x:v>2.0694</x:v>
      </x:c>
      <x:c r="C237" s="22" t="str">
        <x:v>项目空间本地CSV</x:v>
      </x:c>
    </x:row>
    <x:row r="238">
      <x:c r="A238" s="47" t="n">
        <x:v>45909</x:v>
      </x:c>
      <x:c r="B238" s="48" t="n">
        <x:v>2.0341</x:v>
      </x:c>
      <x:c r="C238" s="22" t="str">
        <x:v>项目空间本地CSV</x:v>
      </x:c>
    </x:row>
    <x:row r="239">
      <x:c r="A239" s="47" t="n">
        <x:v>45908</x:v>
      </x:c>
      <x:c r="B239" s="48" t="n">
        <x:v>2.0238</x:v>
      </x:c>
      <x:c r="C239" s="22" t="str">
        <x:v>项目空间本地CSV</x:v>
      </x:c>
    </x:row>
    <x:row r="240">
      <x:c r="A240" s="47" t="n">
        <x:v>45905</x:v>
      </x:c>
      <x:c r="B240" s="48" t="n">
        <x:v>2.0006</x:v>
      </x:c>
      <x:c r="C240" s="22" t="str">
        <x:v>项目空间本地CSV</x:v>
      </x:c>
    </x:row>
    <x:row r="241">
      <x:c r="A241" s="47" t="n">
        <x:v>45904</x:v>
      </x:c>
      <x:c r="B241" s="48" t="n">
        <x:v>1.9822</x:v>
      </x:c>
      <x:c r="C241" s="22" t="str">
        <x:v>项目空间本地CSV</x:v>
      </x:c>
    </x:row>
    <x:row r="242">
      <x:c r="A242" s="47" t="n">
        <x:v>45903</x:v>
      </x:c>
      <x:c r="B242" s="48" t="n">
        <x:v>1.9554</x:v>
      </x:c>
      <x:c r="C242" s="22" t="str">
        <x:v>项目空间本地CSV</x:v>
      </x:c>
    </x:row>
    <x:row r="243">
      <x:c r="A243" s="47" t="n">
        <x:v>45902</x:v>
      </x:c>
      <x:c r="B243" s="48" t="n">
        <x:v>1.923</x:v>
      </x:c>
      <x:c r="C243" s="22" t="str">
        <x:v>项目空间本地CSV</x:v>
      </x:c>
    </x:row>
    <x:row r="244">
      <x:c r="A244" s="47" t="n">
        <x:v>45901</x:v>
      </x:c>
      <x:c r="B244" s="48" t="n">
        <x:v>1.9399</x:v>
      </x:c>
      <x:c r="C244" s="22" t="str">
        <x:v>项目空间本地CSV</x:v>
      </x:c>
    </x:row>
    <x:row r="245">
      <x:c r="A245" s="47" t="n">
        <x:v>45898</x:v>
      </x:c>
      <x:c r="B245" s="48" t="n">
        <x:v>1.9389</x:v>
      </x:c>
      <x:c r="C245" s="22" t="str">
        <x:v>项目空间本地CSV</x:v>
      </x:c>
    </x:row>
    <x:row r="246">
      <x:c r="A246" s="47" t="n">
        <x:v>45897</x:v>
      </x:c>
      <x:c r="B246" s="48" t="n">
        <x:v>1.9855</x:v>
      </x:c>
      <x:c r="C246" s="22" t="str">
        <x:v>项目空间本地CSV</x:v>
      </x:c>
    </x:row>
    <x:row r="247">
      <x:c r="A247" s="47" t="n">
        <x:v>45896</x:v>
      </x:c>
      <x:c r="B247" s="48" t="n">
        <x:v>1.9625</x:v>
      </x:c>
      <x:c r="C247" s="22" t="str">
        <x:v>项目空间本地CSV</x:v>
      </x:c>
    </x:row>
    <x:row r="248">
      <x:c r="A248" s="47" t="n">
        <x:v>45895</x:v>
      </x:c>
      <x:c r="B248" s="48" t="n">
        <x:v>1.9615</x:v>
      </x:c>
      <x:c r="C248" s="22" t="str">
        <x:v>项目空间本地CSV</x:v>
      </x:c>
    </x:row>
    <x:row r="249">
      <x:c r="A249" s="47" t="n">
        <x:v>45894</x:v>
      </x:c>
      <x:c r="B249" s="48" t="n">
        <x:v>1.946</x:v>
      </x:c>
      <x:c r="C249" s="22" t="str">
        <x:v>项目空间本地CSV</x:v>
      </x:c>
    </x:row>
    <x:row r="250">
      <x:c r="A250" s="47" t="n">
        <x:v>45891</x:v>
      </x:c>
      <x:c r="B250" s="48" t="n">
        <x:v>1.9494</x:v>
      </x:c>
      <x:c r="C250" s="22" t="str">
        <x:v>项目空间本地CSV</x:v>
      </x:c>
    </x:row>
    <x:row r="251">
      <x:c r="A251" s="47" t="n">
        <x:v>45890</x:v>
      </x:c>
      <x:c r="B251" s="48" t="n">
        <x:v>1.9079</x:v>
      </x:c>
      <x:c r="C251" s="22" t="str">
        <x:v>项目空间本地CSV</x:v>
      </x:c>
    </x:row>
    <x:row r="252">
      <x:c r="A252" s="47" t="n">
        <x:v>45889</x:v>
      </x:c>
      <x:c r="B252" s="48" t="n">
        <x:v>1.9196</x:v>
      </x:c>
      <x:c r="C252" s="22" t="str">
        <x:v>项目空间本地CSV</x:v>
      </x:c>
    </x:row>
    <x:row r="253">
      <x:c r="A253" s="47" t="n">
        <x:v>45888</x:v>
      </x:c>
      <x:c r="B253" s="48" t="n">
        <x:v>1.9383</x:v>
      </x:c>
      <x:c r="C253" s="22" t="str">
        <x:v>项目空间本地CSV</x:v>
      </x:c>
    </x:row>
    <x:row r="254">
      <x:c r="A254" s="47" t="n">
        <x:v>45887</x:v>
      </x:c>
      <x:c r="B254" s="48" t="n">
        <x:v>2.0021</x:v>
      </x:c>
      <x:c r="C254" s="22" t="str">
        <x:v>项目空间本地CSV</x:v>
      </x:c>
    </x:row>
    <x:row r="255">
      <x:c r="A255" s="47" t="n">
        <x:v>45884</x:v>
      </x:c>
      <x:c r="B255" s="48" t="n">
        <x:v>2.0048</x:v>
      </x:c>
      <x:c r="C255" s="22" t="str">
        <x:v>项目空间本地CSV</x:v>
      </x:c>
    </x:row>
    <x:row r="256">
      <x:c r="A256" s="47" t="n">
        <x:v>45883</x:v>
      </x:c>
      <x:c r="B256" s="48" t="n">
        <x:v>2.0255</x:v>
      </x:c>
      <x:c r="C256" s="22" t="str">
        <x:v>项目空间本地CSV</x:v>
      </x:c>
    </x:row>
    <x:row r="257">
      <x:c r="A257" s="47" t="n">
        <x:v>45882</x:v>
      </x:c>
      <x:c r="B257" s="48" t="n">
        <x:v>2.0419</x:v>
      </x:c>
      <x:c r="C257" s="22" t="str">
        <x:v>项目空间本地CSV</x:v>
      </x:c>
    </x:row>
    <x:row r="258">
      <x:c r="A258" s="47" t="n">
        <x:v>45881</x:v>
      </x:c>
      <x:c r="B258" s="48" t="n">
        <x:v>2.0713</x:v>
      </x:c>
      <x:c r="C258" s="22" t="str">
        <x:v>项目空间本地CSV</x:v>
      </x:c>
    </x:row>
    <x:row r="259">
      <x:c r="A259" s="47" t="n">
        <x:v>45880</x:v>
      </x:c>
      <x:c r="B259" s="48" t="n">
        <x:v>2.0314</x:v>
      </x:c>
      <x:c r="C259" s="22" t="str">
        <x:v>项目空间本地CSV</x:v>
      </x:c>
    </x:row>
    <x:row r="260">
      <x:c r="A260" s="47" t="n">
        <x:v>45877</x:v>
      </x:c>
      <x:c r="B260" s="48" t="n">
        <x:v>2.0347</x:v>
      </x:c>
      <x:c r="C260" s="22" t="str">
        <x:v>项目空间本地CSV</x:v>
      </x:c>
    </x:row>
    <x:row r="261">
      <x:c r="A261" s="47" t="n">
        <x:v>45876</x:v>
      </x:c>
      <x:c r="B261" s="48" t="n">
        <x:v>2.0159</x:v>
      </x:c>
      <x:c r="C261" s="22" t="str">
        <x:v>项目空间本地CSV</x:v>
      </x:c>
    </x:row>
    <x:row r="262">
      <x:c r="A262" s="47" t="n">
        <x:v>45875</x:v>
      </x:c>
      <x:c r="B262" s="48" t="n">
        <x:v>2.0113</x:v>
      </x:c>
      <x:c r="C262" s="22" t="str">
        <x:v>项目空间本地CSV</x:v>
      </x:c>
    </x:row>
    <x:row r="263">
      <x:c r="A263" s="47" t="n">
        <x:v>45874</x:v>
      </x:c>
      <x:c r="B263" s="48" t="n">
        <x:v>1.9761</x:v>
      </x:c>
      <x:c r="C263" s="22" t="str">
        <x:v>项目空间本地CSV</x:v>
      </x:c>
    </x:row>
    <x:row r="264">
      <x:c r="A264" s="47" t="n">
        <x:v>45873</x:v>
      </x:c>
      <x:c r="B264" s="48" t="n">
        <x:v>1.9949</x:v>
      </x:c>
      <x:c r="C264" s="22" t="str">
        <x:v>项目空间本地CSV</x:v>
      </x:c>
    </x:row>
    <x:row r="265">
      <x:c r="A265" s="47" t="n">
        <x:v>45870</x:v>
      </x:c>
      <x:c r="B265" s="48" t="n">
        <x:v>1.937</x:v>
      </x:c>
      <x:c r="C265" s="22" t="str">
        <x:v>项目空间本地CSV</x:v>
      </x:c>
    </x:row>
    <x:row r="266">
      <x:c r="A266" s="47" t="n">
        <x:v>45869</x:v>
      </x:c>
      <x:c r="B266" s="48" t="n">
        <x:v>2.0146</x:v>
      </x:c>
      <x:c r="C266" s="22" t="str">
        <x:v>项目空间本地CSV</x:v>
      </x:c>
    </x:row>
    <x:row r="267">
      <x:c r="A267" s="47" t="n">
        <x:v>45868</x:v>
      </x:c>
      <x:c r="B267" s="48" t="n">
        <x:v>1.9938</x:v>
      </x:c>
      <x:c r="C267" s="22" t="str">
        <x:v>项目空间本地CSV</x:v>
      </x:c>
    </x:row>
    <x:row r="268">
      <x:c r="A268" s="47" t="n">
        <x:v>45867</x:v>
      </x:c>
      <x:c r="B268" s="48" t="n">
        <x:v>1.9747</x:v>
      </x:c>
      <x:c r="C268" s="22" t="str">
        <x:v>项目空间本地CSV</x:v>
      </x:c>
    </x:row>
    <x:row r="269">
      <x:c r="A269" s="47" t="n">
        <x:v>45866</x:v>
      </x:c>
      <x:c r="B269" s="48" t="n">
        <x:v>1.9724</x:v>
      </x:c>
      <x:c r="C269" s="22" t="str">
        <x:v>项目空间本地CSV</x:v>
      </x:c>
    </x:row>
    <x:row r="270">
      <x:c r="A270" s="47" t="n">
        <x:v>45863</x:v>
      </x:c>
      <x:c r="B270" s="48" t="n">
        <x:v>1.9497</x:v>
      </x:c>
      <x:c r="C270" s="22" t="str">
        <x:v>项目空间本地CSV</x:v>
      </x:c>
    </x:row>
    <x:row r="271">
      <x:c r="A271" s="47" t="n">
        <x:v>45862</x:v>
      </x:c>
      <x:c r="B271" s="48" t="n">
        <x:v>1.9355</x:v>
      </x:c>
      <x:c r="C271" s="22" t="str">
        <x:v>项目空间本地CSV</x:v>
      </x:c>
    </x:row>
    <x:row r="272">
      <x:c r="A272" s="47" t="n">
        <x:v>45861</x:v>
      </x:c>
      <x:c r="B272" s="48" t="n">
        <x:v>1.9285</x:v>
      </x:c>
      <x:c r="C272" s="22" t="str">
        <x:v>项目空间本地CSV</x:v>
      </x:c>
    </x:row>
    <x:row r="273">
      <x:c r="A273" s="47" t="n">
        <x:v>45860</x:v>
      </x:c>
      <x:c r="B273" s="48" t="n">
        <x:v>1.9092</x:v>
      </x:c>
      <x:c r="C273" s="22" t="str">
        <x:v>项目空间本地CSV</x:v>
      </x:c>
    </x:row>
    <x:row r="274">
      <x:c r="A274" s="47" t="n">
        <x:v>45859</x:v>
      </x:c>
      <x:c r="B274" s="48" t="n">
        <x:v>1.9514</x:v>
      </x:c>
      <x:c r="C274" s="22" t="str">
        <x:v>项目空间本地CSV</x:v>
      </x:c>
    </x:row>
    <x:row r="275">
      <x:c r="A275" s="47" t="n">
        <x:v>45856</x:v>
      </x:c>
      <x:c r="B275" s="48" t="n">
        <x:v>1.9422</x:v>
      </x:c>
      <x:c r="C275" s="22" t="str">
        <x:v>项目空间本地CSV</x:v>
      </x:c>
    </x:row>
    <x:row r="276">
      <x:c r="A276" s="47" t="n">
        <x:v>45855</x:v>
      </x:c>
      <x:c r="B276" s="48" t="n">
        <x:v>1.9512</x:v>
      </x:c>
      <x:c r="C276" s="22" t="str">
        <x:v>项目空间本地CSV</x:v>
      </x:c>
    </x:row>
    <x:row r="277">
      <x:c r="A277" s="47" t="n">
        <x:v>45854</x:v>
      </x:c>
      <x:c r="B277" s="48" t="n">
        <x:v>1.9315</x:v>
      </x:c>
      <x:c r="C277" s="22" t="str">
        <x:v>项目空间本地CSV</x:v>
      </x:c>
    </x:row>
    <x:row r="278">
      <x:c r="A278" s="47" t="n">
        <x:v>45853</x:v>
      </x:c>
      <x:c r="B278" s="48" t="n">
        <x:v>1.9196</x:v>
      </x:c>
      <x:c r="C278" s="22" t="str">
        <x:v>项目空间本地CSV</x:v>
      </x:c>
    </x:row>
    <x:row r="279">
      <x:c r="A279" s="47" t="n">
        <x:v>45852</x:v>
      </x:c>
      <x:c r="B279" s="48" t="n">
        <x:v>1.9026</x:v>
      </x:c>
      <x:c r="C279" s="22" t="str">
        <x:v>项目空间本地CSV</x:v>
      </x:c>
    </x:row>
    <x:row r="280">
      <x:c r="A280" s="47" t="n">
        <x:v>45849</x:v>
      </x:c>
      <x:c r="B280" s="48" t="n">
        <x:v>1.8874</x:v>
      </x:c>
      <x:c r="C280" s="22" t="str">
        <x:v>项目空间本地CSV</x:v>
      </x:c>
    </x:row>
    <x:row r="281">
      <x:c r="A281" s="47" t="n">
        <x:v>45848</x:v>
      </x:c>
      <x:c r="B281" s="48" t="n">
        <x:v>1.8901</x:v>
      </x:c>
      <x:c r="C281" s="22" t="str">
        <x:v>项目空间本地CSV</x:v>
      </x:c>
    </x:row>
    <x:row r="282">
      <x:c r="A282" s="47" t="n">
        <x:v>45847</x:v>
      </x:c>
      <x:c r="B282" s="48" t="n">
        <x:v>1.9077</x:v>
      </x:c>
      <x:c r="C282" s="22" t="str">
        <x:v>项目空间本地CSV</x:v>
      </x:c>
    </x:row>
    <x:row r="283">
      <x:c r="A283" s="47" t="n">
        <x:v>45846</x:v>
      </x:c>
      <x:c r="B283" s="48" t="n">
        <x:v>1.8792</x:v>
      </x:c>
      <x:c r="C283" s="22" t="str">
        <x:v>项目空间本地CSV</x:v>
      </x:c>
    </x:row>
    <x:row r="284">
      <x:c r="A284" s="47" t="n">
        <x:v>45845</x:v>
      </x:c>
      <x:c r="B284" s="48" t="n">
        <x:v>1.8868</x:v>
      </x:c>
      <x:c r="C284" s="22" t="str">
        <x:v>项目空间本地CSV</x:v>
      </x:c>
    </x:row>
    <x:row r="285">
      <x:c r="A285" s="47" t="n">
        <x:v>45842</x:v>
      </x:c>
      <x:c r="B285" s="48" t="n">
        <x:v>1.9004</x:v>
      </x:c>
      <x:c r="C285" s="22" t="str">
        <x:v>项目空间本地CSV</x:v>
      </x:c>
    </x:row>
    <x:row r="286">
      <x:c r="A286" s="47" t="n">
        <x:v>45841</x:v>
      </x:c>
      <x:c r="B286" s="48" t="n">
        <x:v>1.9001</x:v>
      </x:c>
      <x:c r="C286" s="22" t="str">
        <x:v>项目空间本地CSV</x:v>
      </x:c>
    </x:row>
    <x:row r="287">
      <x:c r="A287" s="47" t="n">
        <x:v>45840</x:v>
      </x:c>
      <x:c r="B287" s="48" t="n">
        <x:v>1.8693</x:v>
      </x:c>
      <x:c r="C287" s="22" t="str">
        <x:v>项目空间本地CSV</x:v>
      </x:c>
    </x:row>
    <x:row r="288">
      <x:c r="A288" s="47" t="n">
        <x:v>45839</x:v>
      </x:c>
      <x:c r="B288" s="48" t="n">
        <x:v>1.8512</x:v>
      </x:c>
      <x:c r="C288" s="22" t="str">
        <x:v>项目空间本地CSV</x:v>
      </x:c>
    </x:row>
    <x:row r="289">
      <x:c r="A289" s="47" t="n">
        <x:v>45838</x:v>
      </x:c>
      <x:c r="B289" s="48" t="n">
        <x:v>1.9048</x:v>
      </x:c>
      <x:c r="C289" s="22" t="str">
        <x:v>项目空间本地CSV</x:v>
      </x:c>
    </x:row>
    <x:row r="290">
      <x:c r="A290" s="47" t="n">
        <x:v>45835</x:v>
      </x:c>
      <x:c r="B290" s="48" t="n">
        <x:v>1.8917</x:v>
      </x:c>
      <x:c r="C290" s="22" t="str">
        <x:v>项目空间本地CSV</x:v>
      </x:c>
    </x:row>
    <x:row r="291">
      <x:c r="A291" s="47" t="n">
        <x:v>45834</x:v>
      </x:c>
      <x:c r="B291" s="48" t="n">
        <x:v>1.8894</x:v>
      </x:c>
      <x:c r="C291" s="22" t="str">
        <x:v>项目空间本地CSV</x:v>
      </x:c>
    </x:row>
    <x:row r="292">
      <x:c r="A292" s="47" t="n">
        <x:v>45833</x:v>
      </x:c>
      <x:c r="B292" s="48" t="n">
        <x:v>1.8579</x:v>
      </x:c>
      <x:c r="C292" s="22" t="str">
        <x:v>项目空间本地CSV</x:v>
      </x:c>
    </x:row>
    <x:row r="293">
      <x:c r="A293" s="47" t="n">
        <x:v>45832</x:v>
      </x:c>
      <x:c r="B293" s="48" t="n">
        <x:v>1.8511</x:v>
      </x:c>
      <x:c r="C293" s="22" t="str">
        <x:v>项目空间本地CSV</x:v>
      </x:c>
    </x:row>
    <x:row r="294">
      <x:c r="A294" s="47" t="n">
        <x:v>45831</x:v>
      </x:c>
      <x:c r="B294" s="48" t="n">
        <x:v>1.8222</x:v>
      </x:c>
      <x:c r="C294" s="22" t="str">
        <x:v>项目空间本地CSV</x:v>
      </x:c>
    </x:row>
    <x:row r="295">
      <x:c r="A295" s="47" t="n">
        <x:v>45828</x:v>
      </x:c>
      <x:c r="B295" s="48" t="n">
        <x:v>1.7985</x:v>
      </x:c>
      <x:c r="C295" s="22" t="str">
        <x:v>项目空间本地CSV</x:v>
      </x:c>
    </x:row>
    <x:row r="296">
      <x:c r="A296" s="47" t="n">
        <x:v>45827</x:v>
      </x:c>
      <x:c r="B296" s="48" t="n">
        <x:v>1.8202</x:v>
      </x:c>
      <x:c r="C296" s="22" t="str">
        <x:v>项目空间本地CSV</x:v>
      </x:c>
    </x:row>
    <x:row r="297">
      <x:c r="A297" s="47" t="n">
        <x:v>45826</x:v>
      </x:c>
      <x:c r="B297" s="48" t="n">
        <x:v>1.821</x:v>
      </x:c>
      <x:c r="C297" s="22" t="str">
        <x:v>项目空间本地CSV</x:v>
      </x:c>
    </x:row>
    <x:row r="298">
      <x:c r="A298" s="47" t="n">
        <x:v>45825</x:v>
      </x:c>
      <x:c r="B298" s="48" t="n">
        <x:v>1.8228</x:v>
      </x:c>
      <x:c r="C298" s="22" t="str">
        <x:v>项目空间本地CSV</x:v>
      </x:c>
    </x:row>
    <x:row r="299">
      <x:c r="A299" s="47" t="n">
        <x:v>45824</x:v>
      </x:c>
      <x:c r="B299" s="48" t="n">
        <x:v>1.8348</x:v>
      </x:c>
      <x:c r="C299" s="22" t="str">
        <x:v>项目空间本地CSV</x:v>
      </x:c>
    </x:row>
    <x:row r="300">
      <x:c r="A300" s="47" t="n">
        <x:v>45821</x:v>
      </x:c>
      <x:c r="B300" s="48" t="n">
        <x:v>1.803</x:v>
      </x:c>
      <x:c r="C300" s="22" t="str">
        <x:v>项目空间本地CSV</x:v>
      </x:c>
    </x:row>
    <x:row r="301">
      <x:c r="A301" s="47" t="n">
        <x:v>45820</x:v>
      </x:c>
      <x:c r="B301" s="48" t="n">
        <x:v>1.8215</x:v>
      </x:c>
      <x:c r="C301" s="22" t="str">
        <x:v>项目空间本地CSV</x:v>
      </x:c>
    </x:row>
    <x:row r="302">
      <x:c r="A302" s="47" t="n">
        <x:v>45819</x:v>
      </x:c>
      <x:c r="B302" s="48" t="n">
        <x:v>1.8155</x:v>
      </x:c>
      <x:c r="C302" s="22" t="str">
        <x:v>项目空间本地CSV</x:v>
      </x:c>
    </x:row>
    <x:row r="303">
      <x:c r="A303" s="47" t="n">
        <x:v>45818</x:v>
      </x:c>
      <x:c r="B303" s="48" t="n">
        <x:v>1.8091</x:v>
      </x:c>
      <x:c r="C303" s="22" t="str">
        <x:v>项目空间本地CSV</x:v>
      </x:c>
    </x:row>
    <x:row r="304">
      <x:c r="A304" s="47" t="n">
        <x:v>45817</x:v>
      </x:c>
      <x:c r="B304" s="48" t="n">
        <x:v>1.8068</x:v>
      </x:c>
      <x:c r="C304" s="22" t="str">
        <x:v>项目空间本地CSV</x:v>
      </x:c>
    </x:row>
    <x:row r="305">
      <x:c r="A305" s="47" t="n">
        <x:v>45814</x:v>
      </x:c>
      <x:c r="B305" s="48" t="n">
        <x:v>1.8013</x:v>
      </x:c>
      <x:c r="C305" s="22" t="str">
        <x:v>项目空间本地CSV</x:v>
      </x:c>
    </x:row>
    <x:row r="306">
      <x:c r="A306" s="47" t="n">
        <x:v>45813</x:v>
      </x:c>
      <x:c r="B306" s="48" t="n">
        <x:v>1.7804</x:v>
      </x:c>
      <x:c r="C306" s="22" t="str">
        <x:v>项目空间本地CSV</x:v>
      </x:c>
    </x:row>
    <x:row r="307">
      <x:c r="A307" s="47" t="n">
        <x:v>45812</x:v>
      </x:c>
      <x:c r="B307" s="48" t="n">
        <x:v>1.8047</x:v>
      </x:c>
      <x:c r="C307" s="22" t="str">
        <x:v>项目空间本地CSV</x:v>
      </x:c>
    </x:row>
    <x:row r="308">
      <x:c r="A308" s="47" t="n">
        <x:v>45811</x:v>
      </x:c>
      <x:c r="B308" s="48" t="n">
        <x:v>1.8008</x:v>
      </x:c>
      <x:c r="C308" s="22" t="str">
        <x:v>项目空间本地CSV</x:v>
      </x:c>
    </x:row>
    <x:row r="309">
      <x:c r="A309" s="47" t="n">
        <x:v>45807</x:v>
      </x:c>
      <x:c r="B309" s="48" t="n">
        <x:v>1.7699</x:v>
      </x:c>
      <x:c r="C309" s="22" t="str">
        <x:v>项目空间本地CSV</x:v>
      </x:c>
    </x:row>
    <x:row r="310">
      <x:c r="A310" s="47" t="n">
        <x:v>45806</x:v>
      </x:c>
      <x:c r="B310" s="48" t="n">
        <x:v>1.763</x:v>
      </x:c>
      <x:c r="C310" s="22" t="str">
        <x:v>项目空间本地CSV</x:v>
      </x:c>
    </x:row>
    <x:row r="311">
      <x:c r="A311" s="47" t="n">
        <x:v>45805</x:v>
      </x:c>
      <x:c r="B311" s="48" t="n">
        <x:v>1.767</x:v>
      </x:c>
      <x:c r="C311" s="22" t="str">
        <x:v>项目空间本地CSV</x:v>
      </x:c>
    </x:row>
    <x:row r="312">
      <x:c r="A312" s="47" t="n">
        <x:v>45804</x:v>
      </x:c>
      <x:c r="B312" s="48" t="n">
        <x:v>1.7737</x:v>
      </x:c>
      <x:c r="C312" s="22" t="str">
        <x:v>项目空间本地CSV</x:v>
      </x:c>
    </x:row>
    <x:row r="313">
      <x:c r="A313" s="47" t="n">
        <x:v>45803</x:v>
      </x:c>
      <x:c r="B313" s="48" t="n">
        <x:v>1.7267</x:v>
      </x:c>
      <x:c r="C313" s="22" t="str">
        <x:v>项目空间本地CSV</x:v>
      </x:c>
    </x:row>
    <x:row r="314">
      <x:c r="A314" s="47" t="n">
        <x:v>45800</x:v>
      </x:c>
      <x:c r="B314" s="48" t="n">
        <x:v>1.7288</x:v>
      </x:c>
      <x:c r="C314" s="22" t="str">
        <x:v>项目空间本地CSV</x:v>
      </x:c>
    </x:row>
    <x:row r="315">
      <x:c r="A315" s="47" t="n">
        <x:v>45799</x:v>
      </x:c>
      <x:c r="B315" s="48" t="n">
        <x:v>1.7397</x:v>
      </x:c>
      <x:c r="C315" s="22" t="str">
        <x:v>项目空间本地CSV</x:v>
      </x:c>
    </x:row>
    <x:row r="316">
      <x:c r="A316" s="47" t="n">
        <x:v>45798</x:v>
      </x:c>
      <x:c r="B316" s="48" t="n">
        <x:v>1.7298</x:v>
      </x:c>
      <x:c r="C316" s="22" t="str">
        <x:v>项目空间本地CSV</x:v>
      </x:c>
    </x:row>
    <x:row r="317">
      <x:c r="A317" s="47" t="n">
        <x:v>45797</x:v>
      </x:c>
      <x:c r="B317" s="48" t="n">
        <x:v>1.753</x:v>
      </x:c>
      <x:c r="C317" s="22" t="str">
        <x:v>项目空间本地CSV</x:v>
      </x:c>
    </x:row>
    <x:row r="318">
      <x:c r="A318" s="47" t="n">
        <x:v>45796</x:v>
      </x:c>
      <x:c r="B318" s="48" t="n">
        <x:v>1.7611</x:v>
      </x:c>
      <x:c r="C318" s="22" t="str">
        <x:v>项目空间本地CSV</x:v>
      </x:c>
    </x:row>
    <x:row r="319">
      <x:c r="A319" s="47" t="n">
        <x:v>45793</x:v>
      </x:c>
      <x:c r="B319" s="48" t="n">
        <x:v>1.7644</x:v>
      </x:c>
      <x:c r="C319" s="22" t="str">
        <x:v>项目空间本地CSV</x:v>
      </x:c>
    </x:row>
    <x:row r="320">
      <x:c r="A320" s="47" t="n">
        <x:v>45792</x:v>
      </x:c>
      <x:c r="B320" s="48" t="n">
        <x:v>1.755</x:v>
      </x:c>
      <x:c r="C320" s="22" t="str">
        <x:v>项目空间本地CSV</x:v>
      </x:c>
    </x:row>
    <x:row r="321">
      <x:c r="A321" s="47" t="n">
        <x:v>45791</x:v>
      </x:c>
      <x:c r="B321" s="48" t="n">
        <x:v>1.7635</x:v>
      </x:c>
      <x:c r="C321" s="22" t="str">
        <x:v>项目空间本地CSV</x:v>
      </x:c>
    </x:row>
    <x:row r="322">
      <x:c r="A322" s="47" t="n">
        <x:v>45790</x:v>
      </x:c>
      <x:c r="B322" s="48" t="n">
        <x:v>1.7504</x:v>
      </x:c>
      <x:c r="C322" s="22" t="str">
        <x:v>项目空间本地CSV</x:v>
      </x:c>
    </x:row>
    <x:row r="323">
      <x:c r="A323" s="47" t="n">
        <x:v>45789</x:v>
      </x:c>
      <x:c r="B323" s="48" t="n">
        <x:v>1.7105</x:v>
      </x:c>
      <x:c r="C323" s="22" t="str">
        <x:v>项目空间本地CSV</x:v>
      </x:c>
    </x:row>
    <x:row r="324">
      <x:c r="A324" s="47" t="n">
        <x:v>45786</x:v>
      </x:c>
      <x:c r="B324" s="48" t="n">
        <x:v>1.6629</x:v>
      </x:c>
      <x:c r="C324" s="22" t="str">
        <x:v>项目空间本地CSV</x:v>
      </x:c>
    </x:row>
    <x:row r="325">
      <x:c r="A325" s="47" t="n">
        <x:v>45785</x:v>
      </x:c>
      <x:c r="B325" s="48" t="n">
        <x:v>1.6672</x:v>
      </x:c>
      <x:c r="C325" s="22" t="str">
        <x:v>项目空间本地CSV</x:v>
      </x:c>
    </x:row>
    <x:row r="326">
      <x:c r="A326" s="47" t="n">
        <x:v>45784</x:v>
      </x:c>
      <x:c r="B326" s="48" t="n">
        <x:v>1.65</x:v>
      </x:c>
      <x:c r="C326" s="22" t="str">
        <x:v>项目空间本地CSV</x:v>
      </x:c>
    </x:row>
    <x:row r="327">
      <x:c r="A327" s="47" t="n">
        <x:v>45783</x:v>
      </x:c>
      <x:c r="B327" s="48" t="n">
        <x:v>1.6479</x:v>
      </x:c>
      <x:c r="C327" s="22" t="str">
        <x:v>项目空间本地CSV</x:v>
      </x:c>
    </x:row>
    <x:row r="328">
      <x:c r="A328" s="47" t="n">
        <x:v>45777</x:v>
      </x:c>
      <x:c r="B328" s="48" t="n">
        <x:v>1.6063</x:v>
      </x:c>
      <x:c r="C328" s="22" t="str">
        <x:v>项目空间本地CSV</x:v>
      </x:c>
    </x:row>
    <x:row r="329">
      <x:c r="A329" s="47" t="n">
        <x:v>45776</x:v>
      </x:c>
      <x:c r="B329" s="48" t="n">
        <x:v>1.6073</x:v>
      </x:c>
      <x:c r="C329" s="22" t="str">
        <x:v>项目空间本地CSV</x:v>
      </x:c>
    </x:row>
    <x:row r="330">
      <x:c r="A330" s="47" t="n">
        <x:v>45775</x:v>
      </x:c>
      <x:c r="B330" s="48" t="n">
        <x:v>1.5952</x:v>
      </x:c>
      <x:c r="C330" s="22" t="str">
        <x:v>项目空间本地CSV</x:v>
      </x:c>
    </x:row>
    <x:row r="331">
      <x:c r="A331" s="47" t="n">
        <x:v>45772</x:v>
      </x:c>
      <x:c r="B331" s="48" t="n">
        <x:v>1.5995</x:v>
      </x:c>
      <x:c r="C331" s="22" t="str">
        <x:v>项目空间本地CSV</x:v>
      </x:c>
    </x:row>
    <x:row r="332">
      <x:c r="A332" s="47" t="n">
        <x:v>45771</x:v>
      </x:c>
      <x:c r="B332" s="48" t="n">
        <x:v>1.5687</x:v>
      </x:c>
      <x:c r="C332" s="22" t="str">
        <x:v>项目空间本地CSV</x:v>
      </x:c>
    </x:row>
    <x:row r="333">
      <x:c r="A333" s="47" t="n">
        <x:v>45770</x:v>
      </x:c>
      <x:c r="B333" s="48" t="n">
        <x:v>1.5026</x:v>
      </x:c>
      <x:c r="C333" s="22" t="str">
        <x:v>项目空间本地CSV</x:v>
      </x:c>
    </x:row>
    <x:row r="334">
      <x:c r="A334" s="47" t="n">
        <x:v>45769</x:v>
      </x:c>
      <x:c r="B334" s="48" t="n">
        <x:v>1.455</x:v>
      </x:c>
      <x:c r="C334" s="22" t="str">
        <x:v>项目空间本地CSV</x:v>
      </x:c>
    </x:row>
    <x:row r="335">
      <x:c r="A335" s="47" t="n">
        <x:v>45768</x:v>
      </x:c>
      <x:c r="B335" s="48" t="n">
        <x:v>1.4203</x:v>
      </x:c>
      <x:c r="C335" s="22" t="str">
        <x:v>项目空间本地CSV</x:v>
      </x:c>
    </x:row>
    <x:row r="336">
      <x:c r="A336" s="47" t="n">
        <x:v>45765</x:v>
      </x:c>
      <x:c r="B336" s="48" t="n">
        <x:v>1.4556</x:v>
      </x:c>
      <x:c r="C336" s="22" t="str">
        <x:v>项目空间本地CSV</x:v>
      </x:c>
    </x:row>
    <x:row r="337">
      <x:c r="A337" s="47" t="n">
        <x:v>45764</x:v>
      </x:c>
      <x:c r="B337" s="48" t="n">
        <x:v>1.4559</x:v>
      </x:c>
      <x:c r="C337" s="22" t="str">
        <x:v>项目空间本地CSV</x:v>
      </x:c>
    </x:row>
    <x:row r="338">
      <x:c r="A338" s="47" t="n">
        <x:v>45763</x:v>
      </x:c>
      <x:c r="B338" s="48" t="n">
        <x:v>1.468</x:v>
      </x:c>
      <x:c r="C338" s="22" t="str">
        <x:v>项目空间本地CSV</x:v>
      </x:c>
    </x:row>
    <x:row r="339">
      <x:c r="A339" s="47" t="n">
        <x:v>45762</x:v>
      </x:c>
      <x:c r="B339" s="48" t="n">
        <x:v>1.5165</x:v>
      </x:c>
      <x:c r="C339" s="22" t="str">
        <x:v>项目空间本地CSV</x:v>
      </x:c>
    </x:row>
    <x:row r="340">
      <x:c r="A340" s="47" t="n">
        <x:v>45761</x:v>
      </x:c>
      <x:c r="B340" s="48" t="n">
        <x:v>1.507</x:v>
      </x:c>
      <x:c r="C340" s="22" t="str">
        <x:v>项目空间本地CSV</x:v>
      </x:c>
    </x:row>
    <x:row r="341">
      <x:c r="A341" s="47" t="n">
        <x:v>45758</x:v>
      </x:c>
      <x:c r="B341" s="48" t="n">
        <x:v>1.5051</x:v>
      </x:c>
      <x:c r="C341" s="22" t="str">
        <x:v>项目空间本地CSV</x:v>
      </x:c>
    </x:row>
    <x:row r="342">
      <x:c r="A342" s="47" t="n">
        <x:v>45757</x:v>
      </x:c>
      <x:c r="B342" s="48" t="n">
        <x:v>1.477</x:v>
      </x:c>
      <x:c r="C342" s="22" t="str">
        <x:v>项目空间本地CSV</x:v>
      </x:c>
    </x:row>
    <x:row r="343">
      <x:c r="A343" s="47" t="n">
        <x:v>45756</x:v>
      </x:c>
      <x:c r="B343" s="48" t="n">
        <x:v>1.5489</x:v>
      </x:c>
      <x:c r="C343" s="22" t="str">
        <x:v>项目空间本地CSV</x:v>
      </x:c>
    </x:row>
    <x:row r="344">
      <x:c r="A344" s="47" t="n">
        <x:v>45755</x:v>
      </x:c>
      <x:c r="B344" s="48" t="n">
        <x:v>1.3687</x:v>
      </x:c>
      <x:c r="C344" s="22" t="str">
        <x:v>项目空间本地CSV</x:v>
      </x:c>
    </x:row>
    <x:row r="345">
      <x:c r="A345" s="47" t="n">
        <x:v>45754</x:v>
      </x:c>
      <x:c r="B345" s="48" t="n">
        <x:v>1.3906</x:v>
      </x:c>
      <x:c r="C345" s="22" t="str">
        <x:v>项目空间本地CSV</x:v>
      </x:c>
    </x:row>
    <x:row r="346">
      <x:c r="A346" s="47" t="n">
        <x:v>45750</x:v>
      </x:c>
      <x:c r="B346" s="48" t="n">
        <x:v>1.4581</x:v>
      </x:c>
      <x:c r="C346" s="22" t="str">
        <x:v>项目空间本地CSV</x:v>
      </x:c>
    </x:row>
    <x:row r="347">
      <x:c r="A347" s="47" t="n">
        <x:v>45749</x:v>
      </x:c>
      <x:c r="B347" s="48" t="n">
        <x:v>1.5547</x:v>
      </x:c>
      <x:c r="C347" s="22" t="str">
        <x:v>项目空间本地CSV</x:v>
      </x:c>
    </x:row>
    <x:row r="348">
      <x:c r="A348" s="47" t="n">
        <x:v>45748</x:v>
      </x:c>
      <x:c r="B348" s="48" t="n">
        <x:v>1.5402</x:v>
      </x:c>
      <x:c r="C348" s="22" t="str">
        <x:v>项目空间本地CSV</x:v>
      </x:c>
    </x:row>
    <x:row r="349">
      <x:c r="A349" s="47" t="n">
        <x:v>45747</x:v>
      </x:c>
      <x:c r="B349" s="48" t="n">
        <x:v>1.5215</x:v>
      </x:c>
      <x:c r="C349" s="22" t="str">
        <x:v>项目空间本地CSV</x:v>
      </x:c>
    </x:row>
    <x:row r="350">
      <x:c r="A350" s="47" t="n">
        <x:v>45744</x:v>
      </x:c>
      <x:c r="B350" s="48" t="n">
        <x:v>1.5262</x:v>
      </x:c>
      <x:c r="C350" s="22" t="str">
        <x:v>项目空间本地CSV</x:v>
      </x:c>
    </x:row>
    <x:row r="351">
      <x:c r="A351" s="47" t="n">
        <x:v>45743</x:v>
      </x:c>
      <x:c r="B351" s="48" t="n">
        <x:v>1.5741</x:v>
      </x:c>
      <x:c r="C351" s="22" t="str">
        <x:v>项目空间本地CSV</x:v>
      </x:c>
    </x:row>
    <x:row r="352">
      <x:c r="A352" s="47" t="n">
        <x:v>45742</x:v>
      </x:c>
      <x:c r="B352" s="48" t="n">
        <x:v>1.5954</x:v>
      </x:c>
      <x:c r="C352" s="22" t="str">
        <x:v>项目空间本地CSV</x:v>
      </x:c>
    </x:row>
    <x:row r="353">
      <x:c r="A353" s="47" t="n">
        <x:v>45741</x:v>
      </x:c>
      <x:c r="B353" s="48" t="n">
        <x:v>1.6519</x:v>
      </x:c>
      <x:c r="C353" s="22" t="str">
        <x:v>项目空间本地CSV</x:v>
      </x:c>
    </x:row>
    <x:row r="354">
      <x:c r="A354" s="47" t="n">
        <x:v>45740</x:v>
      </x:c>
      <x:c r="B354" s="48" t="n">
        <x:v>1.638</x:v>
      </x:c>
      <x:c r="C354" s="22" t="str">
        <x:v>项目空间本地CSV</x:v>
      </x:c>
    </x:row>
    <x:row r="355">
      <x:c r="A355" s="47" t="n">
        <x:v>45737</x:v>
      </x:c>
      <x:c r="B355" s="48" t="n">
        <x:v>1.5988</x:v>
      </x:c>
      <x:c r="C355" s="22" t="str">
        <x:v>项目空间本地CSV</x:v>
      </x:c>
    </x:row>
    <x:row r="356">
      <x:c r="A356" s="47" t="n">
        <x:v>45736</x:v>
      </x:c>
      <x:c r="B356" s="48" t="n">
        <x:v>1.5889</x:v>
      </x:c>
      <x:c r="C356" s="22" t="str">
        <x:v>项目空间本地CSV</x:v>
      </x:c>
    </x:row>
    <x:row r="357">
      <x:c r="A357" s="47" t="n">
        <x:v>45735</x:v>
      </x:c>
      <x:c r="B357" s="48" t="n">
        <x:v>1.5925</x:v>
      </x:c>
      <x:c r="C357" s="22" t="str">
        <x:v>项目空间本地CSV</x:v>
      </x:c>
    </x:row>
    <x:row r="358">
      <x:c r="A358" s="47" t="n">
        <x:v>45734</x:v>
      </x:c>
      <x:c r="B358" s="48" t="n">
        <x:v>1.5661</x:v>
      </x:c>
      <x:c r="C358" s="22" t="str">
        <x:v>项目空间本地CSV</x:v>
      </x:c>
    </x:row>
    <x:row r="359">
      <x:c r="A359" s="47" t="n">
        <x:v>45733</x:v>
      </x:c>
      <x:c r="B359" s="48" t="n">
        <x:v>1.5999</x:v>
      </x:c>
      <x:c r="C359" s="22" t="str">
        <x:v>项目空间本地CSV</x:v>
      </x:c>
    </x:row>
    <x:row r="360">
      <x:c r="A360" s="47" t="n">
        <x:v>45730</x:v>
      </x:c>
      <x:c r="B360" s="48" t="n">
        <x:v>1.5973</x:v>
      </x:c>
      <x:c r="C360" s="22" t="str">
        <x:v>项目空间本地CSV</x:v>
      </x:c>
    </x:row>
    <x:row r="361">
      <x:c r="A361" s="47" t="n">
        <x:v>45729</x:v>
      </x:c>
      <x:c r="B361" s="48" t="n">
        <x:v>1.5495</x:v>
      </x:c>
      <x:c r="C361" s="22" t="str">
        <x:v>项目空间本地CSV</x:v>
      </x:c>
    </x:row>
    <x:row r="362">
      <x:c r="A362" s="47" t="n">
        <x:v>45728</x:v>
      </x:c>
      <x:c r="B362" s="48" t="n">
        <x:v>1.5926</x:v>
      </x:c>
      <x:c r="C362" s="22" t="str">
        <x:v>项目空间本地CSV</x:v>
      </x:c>
    </x:row>
    <x:row r="363">
      <x:c r="A363" s="47" t="n">
        <x:v>45727</x:v>
      </x:c>
      <x:c r="B363" s="48" t="n">
        <x:v>1.5508</x:v>
      </x:c>
      <x:c r="C363" s="22" t="str">
        <x:v>项目空间本地CSV</x:v>
      </x:c>
    </x:row>
    <x:row r="364">
      <x:c r="A364" s="47" t="n">
        <x:v>45726</x:v>
      </x:c>
      <x:c r="B364" s="48" t="n">
        <x:v>1.5356</x:v>
      </x:c>
      <x:c r="C364" s="22" t="str">
        <x:v>项目空间本地CSV</x:v>
      </x:c>
    </x:row>
    <x:row r="365">
      <x:c r="A365" s="47" t="n">
        <x:v>45723</x:v>
      </x:c>
      <x:c r="B365" s="48" t="n">
        <x:v>1.6175</x:v>
      </x:c>
      <x:c r="C365" s="22" t="str">
        <x:v>项目空间本地CSV</x:v>
      </x:c>
    </x:row>
    <x:row r="366">
      <x:c r="A366" s="47" t="n">
        <x:v>45722</x:v>
      </x:c>
      <x:c r="B366" s="48" t="n">
        <x:v>1.6094</x:v>
      </x:c>
      <x:c r="C366" s="22" t="str">
        <x:v>项目空间本地CSV</x:v>
      </x:c>
    </x:row>
    <x:row r="367">
      <x:c r="A367" s="47" t="n">
        <x:v>45721</x:v>
      </x:c>
      <x:c r="B367" s="48" t="n">
        <x:v>1.6807</x:v>
      </x:c>
      <x:c r="C367" s="22" t="str">
        <x:v>项目空间本地CSV</x:v>
      </x:c>
    </x:row>
    <x:row r="368">
      <x:c r="A368" s="47" t="n">
        <x:v>45720</x:v>
      </x:c>
      <x:c r="B368" s="48" t="n">
        <x:v>1.6563</x:v>
      </x:c>
      <x:c r="C368" s="22" t="str">
        <x:v>项目空间本地CSV</x:v>
      </x:c>
    </x:row>
    <x:row r="369">
      <x:c r="A369" s="47" t="n">
        <x:v>45719</x:v>
      </x:c>
      <x:c r="B369" s="48" t="n">
        <x:v>1.6543</x:v>
      </x:c>
      <x:c r="C369" s="22" t="str">
        <x:v>项目空间本地CSV</x:v>
      </x:c>
    </x:row>
    <x:row r="370">
      <x:c r="A370" s="47" t="n">
        <x:v>45716</x:v>
      </x:c>
      <x:c r="B370" s="48" t="n">
        <x:v>1.715</x:v>
      </x:c>
      <x:c r="C370" s="22" t="str">
        <x:v>项目空间本地CSV</x:v>
      </x:c>
    </x:row>
    <x:row r="371">
      <x:c r="A371" s="47" t="n">
        <x:v>45715</x:v>
      </x:c>
      <x:c r="B371" s="48" t="n">
        <x:v>1.6883</x:v>
      </x:c>
      <x:c r="C371" s="22" t="str">
        <x:v>项目空间本地CSV</x:v>
      </x:c>
    </x:row>
    <x:row r="372">
      <x:c r="A372" s="47" t="n">
        <x:v>45714</x:v>
      </x:c>
      <x:c r="B372" s="48" t="n">
        <x:v>1.7575</x:v>
      </x:c>
      <x:c r="C372" s="22" t="str">
        <x:v>项目空间本地CSV</x:v>
      </x:c>
    </x:row>
    <x:row r="373">
      <x:c r="A373" s="47" t="n">
        <x:v>45713</x:v>
      </x:c>
      <x:c r="B373" s="48" t="n">
        <x:v>1.7367</x:v>
      </x:c>
      <x:c r="C373" s="22" t="str">
        <x:v>项目空间本地CSV</x:v>
      </x:c>
    </x:row>
    <x:row r="374">
      <x:c r="A374" s="47" t="n">
        <x:v>45712</x:v>
      </x:c>
      <x:c r="B374" s="48" t="n">
        <x:v>1.7709</x:v>
      </x:c>
      <x:c r="C374" s="22" t="str">
        <x:v>项目空间本地CSV</x:v>
      </x:c>
    </x:row>
    <x:row r="375">
      <x:c r="A375" s="47" t="n">
        <x:v>45709</x:v>
      </x:c>
      <x:c r="B375" s="48" t="n">
        <x:v>1.8148</x:v>
      </x:c>
      <x:c r="C375" s="22" t="str">
        <x:v>项目空间本地CSV</x:v>
      </x:c>
    </x:row>
    <x:row r="376">
      <x:c r="A376" s="47" t="n">
        <x:v>45708</x:v>
      </x:c>
      <x:c r="B376" s="48" t="n">
        <x:v>1.8631</x:v>
      </x:c>
      <x:c r="C376" s="22" t="str">
        <x:v>项目空间本地CSV</x:v>
      </x:c>
    </x:row>
    <x:row r="377">
      <x:c r="A377" s="47" t="n">
        <x:v>45707</x:v>
      </x:c>
      <x:c r="B377" s="48" t="n">
        <x:v>1.8879</x:v>
      </x:c>
      <x:c r="C377" s="22" t="str">
        <x:v>项目空间本地CSV</x:v>
      </x:c>
    </x:row>
    <x:row r="378">
      <x:c r="A378" s="47" t="n">
        <x:v>45706</x:v>
      </x:c>
      <x:c r="B378" s="48" t="n">
        <x:v>1.8963</x:v>
      </x:c>
      <x:c r="C378" s="22" t="str">
        <x:v>项目空间本地CSV</x:v>
      </x:c>
    </x:row>
    <x:row r="379">
      <x:c r="A379" s="47" t="n">
        <x:v>45705</x:v>
      </x:c>
      <x:c r="B379" s="48" t="n">
        <x:v>1.9043</x:v>
      </x:c>
      <x:c r="C379" s="22" t="str">
        <x:v>项目空间本地CSV</x:v>
      </x:c>
    </x:row>
    <x:row r="380">
      <x:c r="A380" s="47" t="n">
        <x:v>45702</x:v>
      </x:c>
      <x:c r="B380" s="48" t="n">
        <x:v>1.9</x:v>
      </x:c>
      <x:c r="C380" s="22" t="str">
        <x:v>项目空间本地CSV</x:v>
      </x:c>
    </x:row>
    <x:row r="381">
      <x:c r="A381" s="47" t="n">
        <x:v>45701</x:v>
      </x:c>
      <x:c r="B381" s="48" t="n">
        <x:v>1.8942</x:v>
      </x:c>
      <x:c r="C381" s="22" t="str">
        <x:v>项目空间本地CSV</x:v>
      </x:c>
    </x:row>
    <x:row r="382">
      <x:c r="A382" s="47" t="n">
        <x:v>45700</x:v>
      </x:c>
      <x:c r="B382" s="48" t="n">
        <x:v>1.8847</x:v>
      </x:c>
      <x:c r="C382" s="22" t="str">
        <x:v>项目空间本地CSV</x:v>
      </x:c>
    </x:row>
    <x:row r="383">
      <x:c r="A383" s="47" t="n">
        <x:v>45699</x:v>
      </x:c>
      <x:c r="B383" s="48" t="n">
        <x:v>1.8835</x:v>
      </x:c>
      <x:c r="C383" s="22" t="str">
        <x:v>项目空间本地CSV</x:v>
      </x:c>
    </x:row>
    <x:row r="384">
      <x:c r="A384" s="47" t="n">
        <x:v>45698</x:v>
      </x:c>
      <x:c r="B384" s="48" t="n">
        <x:v>1.9022</x:v>
      </x:c>
      <x:c r="C384" s="22" t="str">
        <x:v>项目空间本地CSV</x:v>
      </x:c>
    </x:row>
    <x:row r="385">
      <x:c r="A385" s="47" t="n">
        <x:v>45695</x:v>
      </x:c>
      <x:c r="B385" s="48" t="n">
        <x:v>1.8914</x:v>
      </x:c>
      <x:c r="C385" s="22" t="str">
        <x:v>项目空间本地CSV</x:v>
      </x:c>
    </x:row>
    <x:row r="386">
      <x:c r="A386" s="47" t="n">
        <x:v>45694</x:v>
      </x:c>
      <x:c r="B386" s="48" t="n">
        <x:v>1.9163</x:v>
      </x:c>
      <x:c r="C386" s="22" t="str">
        <x:v>项目空间本地CSV</x:v>
      </x:c>
    </x:row>
    <x:row r="387">
      <x:c r="A387" s="47" t="n">
        <x:v>45693</x:v>
      </x:c>
      <x:c r="B387" s="48" t="n">
        <x:v>1.9119</x:v>
      </x:c>
      <x:c r="C387" s="22" t="str">
        <x:v>项目空间本地CSV</x:v>
      </x:c>
    </x:row>
    <x:row r="388">
      <x:c r="A388" s="47" t="n">
        <x:v>45684</x:v>
      </x:c>
      <x:c r="B388" s="48" t="n">
        <x:v>1.7884</x:v>
      </x:c>
      <x:c r="C388" s="22" t="str">
        <x:v>项目空间本地CSV</x:v>
      </x:c>
    </x:row>
    <x:row r="389">
      <x:c r="A389" s="47" t="n">
        <x:v>45681</x:v>
      </x:c>
      <x:c r="B389" s="48" t="n">
        <x:v>1.9479</x:v>
      </x:c>
      <x:c r="C389" s="22" t="str">
        <x:v>项目空间本地CSV</x:v>
      </x:c>
    </x:row>
    <x:row r="390">
      <x:c r="A390" s="47" t="n">
        <x:v>45680</x:v>
      </x:c>
      <x:c r="B390" s="48" t="n">
        <x:v>1.957</x:v>
      </x:c>
      <x:c r="C390" s="22" t="str">
        <x:v>项目空间本地CSV</x:v>
      </x:c>
    </x:row>
    <x:row r="391">
      <x:c r="A391" s="47" t="n">
        <x:v>45679</x:v>
      </x:c>
      <x:c r="B391" s="48" t="n">
        <x:v>1.9543</x:v>
      </x:c>
      <x:c r="C391" s="22" t="str">
        <x:v>项目空间本地CSV</x:v>
      </x:c>
    </x:row>
    <x:row r="392">
      <x:c r="A392" s="47" t="n">
        <x:v>45678</x:v>
      </x:c>
      <x:c r="B392" s="48" t="n">
        <x:v>1.9213</x:v>
      </x:c>
      <x:c r="C392" s="22" t="str">
        <x:v>项目空间本地CSV</x:v>
      </x:c>
    </x:row>
    <x:row r="393">
      <x:c r="A393" s="47" t="n">
        <x:v>45677</x:v>
      </x:c>
      <x:c r="B393" s="48" t="n">
        <x:v>1.9026</x:v>
      </x:c>
      <x:c r="C393" s="22" t="str">
        <x:v>项目空间本地CSV</x:v>
      </x:c>
    </x:row>
    <x:row r="394">
      <x:c r="A394" s="47" t="n">
        <x:v>45674</x:v>
      </x:c>
      <x:c r="B394" s="48" t="n">
        <x:v>1.8988</x:v>
      </x:c>
      <x:c r="C394" s="22" t="str">
        <x:v>项目空间本地CSV</x:v>
      </x:c>
    </x:row>
    <x:row r="395">
      <x:c r="A395" s="47" t="n">
        <x:v>45673</x:v>
      </x:c>
      <x:c r="B395" s="48" t="n">
        <x:v>1.8694</x:v>
      </x:c>
      <x:c r="C395" s="22" t="str">
        <x:v>项目空间本地CSV</x:v>
      </x:c>
    </x:row>
    <x:row r="396">
      <x:c r="A396" s="47" t="n">
        <x:v>45672</x:v>
      </x:c>
      <x:c r="B396" s="48" t="n">
        <x:v>1.8781</x:v>
      </x:c>
      <x:c r="C396" s="22" t="str">
        <x:v>项目空间本地CSV</x:v>
      </x:c>
    </x:row>
    <x:row r="397">
      <x:c r="A397" s="47" t="n">
        <x:v>45671</x:v>
      </x:c>
      <x:c r="B397" s="48" t="n">
        <x:v>1.832</x:v>
      </x:c>
      <x:c r="C397" s="22" t="str">
        <x:v>项目空间本地CSV</x:v>
      </x:c>
    </x:row>
    <x:row r="398">
      <x:c r="A398" s="47" t="n">
        <x:v>45670</x:v>
      </x:c>
      <x:c r="B398" s="48" t="n">
        <x:v>1.8336</x:v>
      </x:c>
      <x:c r="C398" s="22" t="str">
        <x:v>项目空间本地CSV</x:v>
      </x:c>
    </x:row>
    <x:row r="399">
      <x:c r="A399" s="47" t="n">
        <x:v>45667</x:v>
      </x:c>
      <x:c r="B399" s="48" t="n">
        <x:v>1.8493</x:v>
      </x:c>
      <x:c r="C399" s="22" t="str">
        <x:v>项目空间本地CSV</x:v>
      </x:c>
    </x:row>
    <x:row r="400">
      <x:c r="A400" s="47" t="n">
        <x:v>45666</x:v>
      </x:c>
      <x:c r="B400" s="48" t="n">
        <x:v>1.8783</x:v>
      </x:c>
      <x:c r="C400" s="22" t="str">
        <x:v>项目空间本地CSV</x:v>
      </x:c>
    </x:row>
    <x:row r="401">
      <x:c r="A401" s="47" t="n">
        <x:v>45665</x:v>
      </x:c>
      <x:c r="B401" s="48" t="n">
        <x:v>1.8755</x:v>
      </x:c>
      <x:c r="C401" s="22" t="str">
        <x:v>项目空间本地CSV</x:v>
      </x:c>
    </x:row>
    <x:row r="402">
      <x:c r="A402" s="47" t="n">
        <x:v>45664</x:v>
      </x:c>
      <x:c r="B402" s="48" t="n">
        <x:v>1.8827</x:v>
      </x:c>
      <x:c r="C402" s="22" t="str">
        <x:v>项目空间本地CSV</x:v>
      </x:c>
    </x:row>
    <x:row r="403">
      <x:c r="A403" s="47" t="n">
        <x:v>45663</x:v>
      </x:c>
      <x:c r="B403" s="48" t="n">
        <x:v>1.9341</x:v>
      </x:c>
      <x:c r="C403" s="22" t="str">
        <x:v>项目空间本地CSV</x:v>
      </x:c>
    </x:row>
    <x:row r="404">
      <x:c r="A404" s="47" t="n">
        <x:v>45660</x:v>
      </x:c>
      <x:c r="B404" s="48" t="n">
        <x:v>1.9024</x:v>
      </x:c>
      <x:c r="C404" s="22" t="str">
        <x:v>项目空间本地CSV</x:v>
      </x:c>
    </x:row>
    <x:row r="405">
      <x:c r="A405" s="47" t="n">
        <x:v>45659</x:v>
      </x:c>
      <x:c r="B405" s="48" t="n">
        <x:v>1.8596</x:v>
      </x:c>
      <x:c r="C405" s="22" t="str">
        <x:v>项目空间本地CSV</x:v>
      </x:c>
    </x:row>
    <x:row r="406">
      <x:c r="A406" s="47" t="n">
        <x:v>45657</x:v>
      </x:c>
      <x:c r="B406" s="48" t="n">
        <x:v>1.8595</x:v>
      </x:c>
      <x:c r="C406" s="22" t="str">
        <x:v>项目空间本地CSV</x:v>
      </x:c>
    </x:row>
    <x:row r="407">
      <x:c r="A407" s="47" t="n">
        <x:v>45656</x:v>
      </x:c>
      <x:c r="B407" s="48" t="n">
        <x:v>1.8894</x:v>
      </x:c>
      <x:c r="C407" s="22" t="str">
        <x:v>项目空间本地CSV</x:v>
      </x:c>
    </x:row>
    <x:row r="408">
      <x:c r="A408" s="47" t="n">
        <x:v>45653</x:v>
      </x:c>
      <x:c r="B408" s="48" t="n">
        <x:v>1.9192</x:v>
      </x:c>
      <x:c r="C408" s="22" t="str">
        <x:v>项目空间本地CSV</x:v>
      </x:c>
    </x:row>
    <x:row r="409">
      <x:c r="A409" s="47" t="n">
        <x:v>45652</x:v>
      </x:c>
      <x:c r="B409" s="48" t="n">
        <x:v>1.9543</x:v>
      </x:c>
      <x:c r="C409" s="22" t="str">
        <x:v>项目空间本地CSV</x:v>
      </x:c>
    </x:row>
    <x:row r="410">
      <x:c r="A410" s="47" t="n">
        <x:v>45651</x:v>
      </x:c>
      <x:c r="B410" s="48" t="n">
        <x:v>1.9569</x:v>
      </x:c>
      <x:c r="C410" s="22" t="str">
        <x:v>项目空间本地CSV</x:v>
      </x:c>
    </x:row>
    <x:row r="411">
      <x:c r="A411" s="47" t="n">
        <x:v>45650</x:v>
      </x:c>
      <x:c r="B411" s="48" t="n">
        <x:v>1.9571</x:v>
      </x:c>
      <x:c r="C411" s="22" t="str">
        <x:v>项目空间本地CSV</x:v>
      </x:c>
    </x:row>
    <x:row r="412">
      <x:c r="A412" s="47" t="n">
        <x:v>45649</x:v>
      </x:c>
      <x:c r="B412" s="48" t="n">
        <x:v>1.9276</x:v>
      </x:c>
      <x:c r="C412" s="22" t="str">
        <x:v>项目空间本地CSV</x:v>
      </x:c>
    </x:row>
    <x:row r="413">
      <x:c r="A413" s="47" t="n">
        <x:v>45646</x:v>
      </x:c>
      <x:c r="B413" s="48" t="n">
        <x:v>1.8996</x:v>
      </x:c>
      <x:c r="C413" s="22" t="str">
        <x:v>项目空间本地CSV</x:v>
      </x:c>
    </x:row>
    <x:row r="414">
      <x:c r="A414" s="47" t="n">
        <x:v>45645</x:v>
      </x:c>
      <x:c r="B414" s="48" t="n">
        <x:v>1.886</x:v>
      </x:c>
      <x:c r="C414" s="22" t="str">
        <x:v>项目空间本地CSV</x:v>
      </x:c>
    </x:row>
    <x:row r="415">
      <x:c r="A415" s="47" t="n">
        <x:v>45644</x:v>
      </x:c>
      <x:c r="B415" s="48" t="n">
        <x:v>1.8845</x:v>
      </x:c>
      <x:c r="C415" s="22" t="str">
        <x:v>项目空间本地CSV</x:v>
      </x:c>
    </x:row>
    <x:row r="416">
      <x:c r="A416" s="47" t="n">
        <x:v>45643</x:v>
      </x:c>
      <x:c r="B416" s="48" t="n">
        <x:v>1.9723</x:v>
      </x:c>
      <x:c r="C416" s="22" t="str">
        <x:v>项目空间本地CSV</x:v>
      </x:c>
    </x:row>
    <x:row r="417">
      <x:c r="A417" s="47" t="n">
        <x:v>45642</x:v>
      </x:c>
      <x:c r="B417" s="48" t="n">
        <x:v>1.9876</x:v>
      </x:c>
      <x:c r="C417" s="22" t="str">
        <x:v>项目空间本地CSV</x:v>
      </x:c>
    </x:row>
    <x:row r="418">
      <x:c r="A418" s="47" t="n">
        <x:v>45639</x:v>
      </x:c>
      <x:c r="B418" s="48" t="n">
        <x:v>1.9364</x:v>
      </x:c>
      <x:c r="C418" s="22" t="str">
        <x:v>项目空间本地CSV</x:v>
      </x:c>
    </x:row>
    <x:row r="419">
      <x:c r="A419" s="47" t="n">
        <x:v>45638</x:v>
      </x:c>
      <x:c r="B419" s="48" t="n">
        <x:v>1.8925</x:v>
      </x:c>
      <x:c r="C419" s="22" t="str">
        <x:v>项目空间本地CSV</x:v>
      </x:c>
    </x:row>
    <x:row r="420">
      <x:c r="A420" s="47" t="n">
        <x:v>45637</x:v>
      </x:c>
      <x:c r="B420" s="48" t="n">
        <x:v>1.9078</x:v>
      </x:c>
      <x:c r="C420" s="22" t="str">
        <x:v>项目空间本地CSV</x:v>
      </x:c>
    </x:row>
    <x:row r="421">
      <x:c r="A421" s="47" t="n">
        <x:v>45636</x:v>
      </x:c>
      <x:c r="B421" s="48" t="n">
        <x:v>1.8529</x:v>
      </x:c>
      <x:c r="C421" s="22" t="str">
        <x:v>项目空间本地CSV</x:v>
      </x:c>
    </x:row>
    <x:row r="422">
      <x:c r="A422" s="47" t="n">
        <x:v>45635</x:v>
      </x:c>
      <x:c r="B422" s="48" t="n">
        <x:v>1.8642</x:v>
      </x:c>
      <x:c r="C422" s="22" t="str">
        <x:v>项目空间本地CSV</x:v>
      </x:c>
    </x:row>
    <x:row r="423">
      <x:c r="A423" s="47" t="n">
        <x:v>45632</x:v>
      </x:c>
      <x:c r="B423" s="48" t="n">
        <x:v>1.8845</x:v>
      </x:c>
      <x:c r="C423" s="22" t="str">
        <x:v>项目空间本地CSV</x:v>
      </x:c>
    </x:row>
    <x:row r="424">
      <x:c r="A424" s="47" t="n">
        <x:v>45631</x:v>
      </x:c>
      <x:c r="B424" s="48" t="n">
        <x:v>1.8552</x:v>
      </x:c>
      <x:c r="C424" s="22" t="str">
        <x:v>项目空间本地CSV</x:v>
      </x:c>
    </x:row>
    <x:row r="425">
      <x:c r="A425" s="47" t="n">
        <x:v>45630</x:v>
      </x:c>
      <x:c r="B425" s="48" t="n">
        <x:v>1.8504</x:v>
      </x:c>
      <x:c r="C425" s="22" t="str">
        <x:v>项目空间本地CSV</x:v>
      </x:c>
    </x:row>
    <x:row r="426">
      <x:c r="A426" s="47" t="n">
        <x:v>45629</x:v>
      </x:c>
      <x:c r="B426" s="48" t="n">
        <x:v>1.8159</x:v>
      </x:c>
      <x:c r="C426" s="22" t="str">
        <x:v>项目空间本地CSV</x:v>
      </x:c>
    </x:row>
    <x:row r="427">
      <x:c r="A427" s="47" t="n">
        <x:v>45628</x:v>
      </x:c>
      <x:c r="B427" s="48" t="n">
        <x:v>1.7937</x:v>
      </x:c>
      <x:c r="C427" s="22" t="str">
        <x:v>项目空间本地CSV</x:v>
      </x:c>
    </x:row>
    <x:row r="428">
      <x:c r="A428" s="47" t="n">
        <x:v>45625</x:v>
      </x:c>
      <x:c r="B428" s="48" t="n">
        <x:v>1.763</x:v>
      </x:c>
      <x:c r="C428" s="22" t="str">
        <x:v>项目空间本地CSV</x:v>
      </x:c>
    </x:row>
    <x:row r="429">
      <x:c r="A429" s="47" t="n">
        <x:v>45624</x:v>
      </x:c>
      <x:c r="B429" s="48" t="n">
        <x:v>1.7423</x:v>
      </x:c>
      <x:c r="C429" s="22" t="str">
        <x:v>项目空间本地CSV</x:v>
      </x:c>
    </x:row>
    <x:row r="430">
      <x:c r="A430" s="47" t="n">
        <x:v>45623</x:v>
      </x:c>
      <x:c r="B430" s="48" t="n">
        <x:v>1.7446</x:v>
      </x:c>
      <x:c r="C430" s="22" t="str">
        <x:v>项目空间本地CSV</x:v>
      </x:c>
    </x:row>
    <x:row r="431">
      <x:c r="A431" s="47" t="n">
        <x:v>45622</x:v>
      </x:c>
      <x:c r="B431" s="48" t="n">
        <x:v>1.7634</x:v>
      </x:c>
      <x:c r="C431" s="22" t="str">
        <x:v>项目空间本地CSV</x:v>
      </x:c>
    </x:row>
    <x:row r="432">
      <x:c r="A432" s="47" t="n">
        <x:v>45621</x:v>
      </x:c>
      <x:c r="B432" s="48" t="n">
        <x:v>1.7519</x:v>
      </x:c>
      <x:c r="C432" s="22" t="str">
        <x:v>项目空间本地CSV</x:v>
      </x:c>
    </x:row>
    <x:row r="433">
      <x:c r="A433" s="47" t="n">
        <x:v>45618</x:v>
      </x:c>
      <x:c r="B433" s="48" t="n">
        <x:v>1.765</x:v>
      </x:c>
      <x:c r="C433" s="22" t="str">
        <x:v>项目空间本地CSV</x:v>
      </x:c>
    </x:row>
    <x:row r="434">
      <x:c r="A434" s="47" t="n">
        <x:v>45617</x:v>
      </x:c>
      <x:c r="B434" s="48" t="n">
        <x:v>1.7775</x:v>
      </x:c>
      <x:c r="C434" s="22" t="str">
        <x:v>项目空间本地CSV</x:v>
      </x:c>
    </x:row>
    <x:row r="435">
      <x:c r="A435" s="47" t="n">
        <x:v>45616</x:v>
      </x:c>
      <x:c r="B435" s="48" t="n">
        <x:v>1.7824</x:v>
      </x:c>
      <x:c r="C435" s="22" t="str">
        <x:v>项目空间本地CSV</x:v>
      </x:c>
    </x:row>
    <x:row r="436">
      <x:c r="A436" s="47" t="n">
        <x:v>45615</x:v>
      </x:c>
      <x:c r="B436" s="48" t="n">
        <x:v>1.7846</x:v>
      </x:c>
      <x:c r="C436" s="22" t="str">
        <x:v>项目空间本地CSV</x:v>
      </x:c>
    </x:row>
    <x:row r="437">
      <x:c r="A437" s="47" t="n">
        <x:v>45614</x:v>
      </x:c>
      <x:c r="B437" s="48" t="n">
        <x:v>1.7553</x:v>
      </x:c>
      <x:c r="C437" s="22" t="str">
        <x:v>项目空间本地CSV</x:v>
      </x:c>
    </x:row>
    <x:row r="438">
      <x:c r="A438" s="47" t="n">
        <x:v>45611</x:v>
      </x:c>
      <x:c r="B438" s="48" t="n">
        <x:v>1.7527</x:v>
      </x:c>
      <x:c r="C438" s="22" t="str">
        <x:v>项目空间本地CSV</x:v>
      </x:c>
    </x:row>
    <x:row r="439">
      <x:c r="A439" s="47" t="n">
        <x:v>45610</x:v>
      </x:c>
      <x:c r="B439" s="48" t="n">
        <x:v>1.7967</x:v>
      </x:c>
      <x:c r="C439" s="22" t="str">
        <x:v>项目空间本地CSV</x:v>
      </x:c>
    </x:row>
    <x:row r="440">
      <x:c r="A440" s="47" t="n">
        <x:v>45609</x:v>
      </x:c>
      <x:c r="B440" s="48" t="n">
        <x:v>1.813</x:v>
      </x:c>
      <x:c r="C440" s="22" t="str">
        <x:v>项目空间本地CSV</x:v>
      </x:c>
    </x:row>
    <x:row r="441">
      <x:c r="A441" s="47" t="n">
        <x:v>45608</x:v>
      </x:c>
      <x:c r="B441" s="48" t="n">
        <x:v>1.8137</x:v>
      </x:c>
      <x:c r="C441" s="22" t="str">
        <x:v>项目空间本地CSV</x:v>
      </x:c>
    </x:row>
    <x:row r="442">
      <x:c r="A442" s="47" t="n">
        <x:v>45607</x:v>
      </x:c>
      <x:c r="B442" s="48" t="n">
        <x:v>1.8185</x:v>
      </x:c>
      <x:c r="C442" s="22" t="str">
        <x:v>项目空间本地CSV</x:v>
      </x:c>
    </x:row>
    <x:row r="443">
      <x:c r="A443" s="47" t="n">
        <x:v>45604</x:v>
      </x:c>
      <x:c r="B443" s="48" t="n">
        <x:v>1.8268</x:v>
      </x:c>
      <x:c r="C443" s="22" t="str">
        <x:v>项目空间本地CSV</x:v>
      </x:c>
    </x:row>
    <x:row r="444">
      <x:c r="A444" s="47" t="n">
        <x:v>45603</x:v>
      </x:c>
      <x:c r="B444" s="48" t="n">
        <x:v>1.8452</x:v>
      </x:c>
      <x:c r="C444" s="22" t="str">
        <x:v>项目空间本地CSV</x:v>
      </x:c>
    </x:row>
    <x:row r="445">
      <x:c r="A445" s="47" t="n">
        <x:v>45602</x:v>
      </x:c>
      <x:c r="B445" s="48" t="n">
        <x:v>1.7878</x:v>
      </x:c>
      <x:c r="C445" s="22" t="str">
        <x:v>项目空间本地CSV</x:v>
      </x:c>
    </x:row>
    <x:row r="446">
      <x:c r="A446" s="47" t="n">
        <x:v>45601</x:v>
      </x:c>
      <x:c r="B446" s="48" t="n">
        <x:v>1.762</x:v>
      </x:c>
      <x:c r="C446" s="22" t="str">
        <x:v>项目空间本地CSV</x:v>
      </x:c>
    </x:row>
    <x:row r="447">
      <x:c r="A447" s="47" t="n">
        <x:v>45600</x:v>
      </x:c>
      <x:c r="B447" s="48" t="n">
        <x:v>1.7329</x:v>
      </x:c>
      <x:c r="C447" s="22" t="str">
        <x:v>项目空间本地CSV</x:v>
      </x:c>
    </x:row>
    <x:row r="448">
      <x:c r="A448" s="47" t="n">
        <x:v>45597</x:v>
      </x:c>
      <x:c r="B448" s="48" t="n">
        <x:v>1.7388</x:v>
      </x:c>
      <x:c r="C448" s="22" t="str">
        <x:v>项目空间本地CSV</x:v>
      </x:c>
    </x:row>
    <x:row r="449">
      <x:c r="A449" s="47" t="n">
        <x:v>45596</x:v>
      </x:c>
      <x:c r="B449" s="48" t="n">
        <x:v>1.7249</x:v>
      </x:c>
      <x:c r="C449" s="22" t="str">
        <x:v>项目空间本地CSV</x:v>
      </x:c>
    </x:row>
    <x:row r="450">
      <x:c r="A450" s="47" t="n">
        <x:v>45595</x:v>
      </x:c>
      <x:c r="B450" s="48" t="n">
        <x:v>1.7788</x:v>
      </x:c>
      <x:c r="C450" s="22" t="str">
        <x:v>项目空间本地CSV</x:v>
      </x:c>
    </x:row>
    <x:row r="451">
      <x:c r="A451" s="47" t="n">
        <x:v>45594</x:v>
      </x:c>
      <x:c r="B451" s="48" t="n">
        <x:v>1.7842</x:v>
      </x:c>
      <x:c r="C451" s="22" t="str">
        <x:v>项目空间本地CSV</x:v>
      </x:c>
    </x:row>
    <x:row r="452">
      <x:c r="A452" s="47" t="n">
        <x:v>45593</x:v>
      </x:c>
      <x:c r="B452" s="48" t="n">
        <x:v>1.7601</x:v>
      </x:c>
      <x:c r="C452" s="22" t="str">
        <x:v>项目空间本地CSV</x:v>
      </x:c>
    </x:row>
    <x:row r="453">
      <x:c r="A453" s="47" t="n">
        <x:v>45590</x:v>
      </x:c>
      <x:c r="B453" s="48" t="n">
        <x:v>1.7627</x:v>
      </x:c>
      <x:c r="C453" s="22" t="str">
        <x:v>项目空间本地CSV</x:v>
      </x:c>
    </x:row>
    <x:row r="454">
      <x:c r="A454" s="47" t="n">
        <x:v>45589</x:v>
      </x:c>
      <x:c r="B454" s="48" t="n">
        <x:v>1.7543</x:v>
      </x:c>
      <x:c r="C454" s="22" t="str">
        <x:v>项目空间本地CSV</x:v>
      </x:c>
    </x:row>
    <x:row r="455">
      <x:c r="A455" s="47" t="n">
        <x:v>45588</x:v>
      </x:c>
      <x:c r="B455" s="48" t="n">
        <x:v>1.7533</x:v>
      </x:c>
      <x:c r="C455" s="22" t="str">
        <x:v>项目空间本地CSV</x:v>
      </x:c>
    </x:row>
    <x:row r="456">
      <x:c r="A456" s="47" t="n">
        <x:v>45587</x:v>
      </x:c>
      <x:c r="B456" s="48" t="n">
        <x:v>1.7805</x:v>
      </x:c>
      <x:c r="C456" s="22" t="str">
        <x:v>项目空间本地CSV</x:v>
      </x:c>
    </x:row>
    <x:row r="457">
      <x:c r="A457" s="47" t="n">
        <x:v>45586</x:v>
      </x:c>
      <x:c r="B457" s="48" t="n">
        <x:v>1.7741</x:v>
      </x:c>
      <x:c r="C457" s="22" t="str">
        <x:v>项目空间本地CSV</x:v>
      </x:c>
    </x:row>
    <x:row r="458">
      <x:c r="A458" s="47" t="n">
        <x:v>45583</x:v>
      </x:c>
      <x:c r="B458" s="48" t="n">
        <x:v>1.7696</x:v>
      </x:c>
      <x:c r="C458" s="22" t="str">
        <x:v>项目空间本地CSV</x:v>
      </x:c>
    </x:row>
    <x:row r="459">
      <x:c r="A459" s="47" t="n">
        <x:v>45582</x:v>
      </x:c>
      <x:c r="B459" s="48" t="n">
        <x:v>1.7507</x:v>
      </x:c>
      <x:c r="C459" s="22" t="str">
        <x:v>项目空间本地CSV</x:v>
      </x:c>
    </x:row>
    <x:row r="460">
      <x:c r="A460" s="47" t="n">
        <x:v>45581</x:v>
      </x:c>
      <x:c r="B460" s="48" t="n">
        <x:v>1.7337</x:v>
      </x:c>
      <x:c r="C460" s="22" t="str">
        <x:v>项目空间本地CSV</x:v>
      </x:c>
    </x:row>
    <x:row r="461">
      <x:c r="A461" s="47" t="n">
        <x:v>45580</x:v>
      </x:c>
      <x:c r="B461" s="48" t="n">
        <x:v>1.735</x:v>
      </x:c>
      <x:c r="C461" s="22" t="str">
        <x:v>项目空间本地CSV</x:v>
      </x:c>
    </x:row>
    <x:row r="462">
      <x:c r="A462" s="47" t="n">
        <x:v>45579</x:v>
      </x:c>
      <x:c r="B462" s="48" t="n">
        <x:v>1.7701</x:v>
      </x:c>
      <x:c r="C462" s="22" t="str">
        <x:v>项目空间本地CSV</x:v>
      </x:c>
    </x:row>
    <x:row r="463">
      <x:c r="A463" s="47" t="n">
        <x:v>45576</x:v>
      </x:c>
      <x:c r="B463" s="48" t="n">
        <x:v>1.7594</x:v>
      </x:c>
      <x:c r="C463" s="22" t="str">
        <x:v>项目空间本地CSV</x:v>
      </x:c>
    </x:row>
    <x:row r="464">
      <x:c r="A464" s="47" t="n">
        <x:v>45575</x:v>
      </x:c>
      <x:c r="B464" s="48" t="n">
        <x:v>1.7591</x:v>
      </x:c>
      <x:c r="C464" s="22" t="str">
        <x:v>项目空间本地CSV</x:v>
      </x:c>
    </x:row>
    <x:row r="465">
      <x:c r="A465" s="47" t="n">
        <x:v>45574</x:v>
      </x:c>
      <x:c r="B465" s="48" t="n">
        <x:v>1.7444</x:v>
      </x:c>
      <x:c r="C465" s="22" t="str">
        <x:v>项目空间本地CSV</x:v>
      </x:c>
    </x:row>
    <x:row r="466">
      <x:c r="A466" s="47" t="n">
        <x:v>45573</x:v>
      </x:c>
      <x:c r="B466" s="48" t="n">
        <x:v>1.7561</x:v>
      </x:c>
      <x:c r="C466" s="22" t="str">
        <x:v>项目空间本地CSV</x:v>
      </x:c>
    </x:row>
    <x:row r="467">
      <x:c r="A467" s="47" t="n">
        <x:v>45565</x:v>
      </x:c>
      <x:c r="B467" s="48" t="n">
        <x:v>1.6943</x:v>
      </x:c>
      <x:c r="C467" s="22" t="str">
        <x:v>项目空间本地CSV</x:v>
      </x:c>
    </x:row>
    <x:row r="468">
      <x:c r="A468" s="47" t="n">
        <x:v>45562</x:v>
      </x:c>
      <x:c r="B468" s="48" t="n">
        <x:v>1.6711</x:v>
      </x:c>
      <x:c r="C468" s="22" t="str">
        <x:v>项目空间本地CSV</x:v>
      </x:c>
    </x:row>
    <x:row r="469">
      <x:c r="A469" s="47" t="n">
        <x:v>45561</x:v>
      </x:c>
      <x:c r="B469" s="48" t="n">
        <x:v>1.6769</x:v>
      </x:c>
      <x:c r="C469" s="22" t="str">
        <x:v>项目空间本地CSV</x:v>
      </x:c>
    </x:row>
    <x:row r="470">
      <x:c r="A470" s="47" t="n">
        <x:v>45560</x:v>
      </x:c>
      <x:c r="B470" s="48" t="n">
        <x:v>1.6605</x:v>
      </x:c>
      <x:c r="C470" s="22" t="str">
        <x:v>项目空间本地CSV</x:v>
      </x:c>
    </x:row>
    <x:row r="471">
      <x:c r="A471" s="47" t="n">
        <x:v>45559</x:v>
      </x:c>
      <x:c r="B471" s="48" t="n">
        <x:v>1.6615</x:v>
      </x:c>
      <x:c r="C471" s="22" t="str">
        <x:v>项目空间本地CSV</x:v>
      </x:c>
    </x:row>
    <x:row r="472">
      <x:c r="A472" s="47" t="n">
        <x:v>45558</x:v>
      </x:c>
      <x:c r="B472" s="48" t="n">
        <x:v>1.6276</x:v>
      </x:c>
      <x:c r="C472" s="22" t="str">
        <x:v>项目空间本地CSV</x:v>
      </x:c>
    </x:row>
    <x:row r="473">
      <x:c r="A473" s="47" t="n">
        <x:v>45555</x:v>
      </x:c>
      <x:c r="B473" s="48" t="n">
        <x:v>1.6292</x:v>
      </x:c>
      <x:c r="C473" s="22" t="str">
        <x:v>项目空间本地CSV</x:v>
      </x:c>
    </x:row>
    <x:row r="474">
      <x:c r="A474" s="47" t="n">
        <x:v>45554</x:v>
      </x:c>
      <x:c r="B474" s="48" t="n">
        <x:v>1.6378</x:v>
      </x:c>
      <x:c r="C474" s="22" t="str">
        <x:v>项目空间本地CSV</x:v>
      </x:c>
    </x:row>
    <x:row r="475">
      <x:c r="A475" s="47" t="n">
        <x:v>45553</x:v>
      </x:c>
      <x:c r="B475" s="48" t="n">
        <x:v>1.5908</x:v>
      </x:c>
      <x:c r="C475" s="22" t="str">
        <x:v>项目空间本地CSV</x:v>
      </x:c>
    </x:row>
    <x:row r="476">
      <x:c r="A476" s="47" t="n">
        <x:v>45548</x:v>
      </x:c>
      <x:c r="B476" s="48" t="n">
        <x:v>1.6142</x:v>
      </x:c>
      <x:c r="C476" s="22" t="str">
        <x:v>项目空间本地CSV</x:v>
      </x:c>
    </x:row>
    <x:row r="477">
      <x:c r="A477" s="47" t="n">
        <x:v>45547</x:v>
      </x:c>
      <x:c r="B477" s="48" t="n">
        <x:v>1.6005</x:v>
      </x:c>
      <x:c r="C477" s="22" t="str">
        <x:v>项目空间本地CSV</x:v>
      </x:c>
    </x:row>
    <x:row r="478">
      <x:c r="A478" s="47" t="n">
        <x:v>45546</x:v>
      </x:c>
      <x:c r="B478" s="48" t="n">
        <x:v>1.584</x:v>
      </x:c>
      <x:c r="C478" s="22" t="str">
        <x:v>项目空间本地CSV</x:v>
      </x:c>
    </x:row>
    <x:row r="479">
      <x:c r="A479" s="47" t="n">
        <x:v>45545</x:v>
      </x:c>
      <x:c r="B479" s="48" t="n">
        <x:v>1.5433</x:v>
      </x:c>
      <x:c r="C479" s="22" t="str">
        <x:v>项目空间本地CSV</x:v>
      </x:c>
    </x:row>
    <x:row r="480">
      <x:c r="A480" s="47" t="n">
        <x:v>45544</x:v>
      </x:c>
      <x:c r="B480" s="48" t="n">
        <x:v>1.5276</x:v>
      </x:c>
      <x:c r="C480" s="22" t="str">
        <x:v>项目空间本地CSV</x:v>
      </x:c>
    </x:row>
    <x:row r="481">
      <x:c r="A481" s="47" t="n">
        <x:v>45541</x:v>
      </x:c>
      <x:c r="B481" s="48" t="n">
        <x:v>1.5147</x:v>
      </x:c>
      <x:c r="C481" s="22" t="str">
        <x:v>项目空间本地CSV</x:v>
      </x:c>
    </x:row>
    <x:row r="482">
      <x:c r="A482" s="47" t="n">
        <x:v>45540</x:v>
      </x:c>
      <x:c r="B482" s="48" t="n">
        <x:v>1.5637</x:v>
      </x:c>
      <x:c r="C482" s="22" t="str">
        <x:v>项目空间本地CSV</x:v>
      </x:c>
    </x:row>
    <x:row r="483">
      <x:c r="A483" s="47" t="n">
        <x:v>45539</x:v>
      </x:c>
      <x:c r="B483" s="48" t="n">
        <x:v>1.5595</x:v>
      </x:c>
      <x:c r="C483" s="22" t="str">
        <x:v>项目空间本地CSV</x:v>
      </x:c>
    </x:row>
    <x:row r="484">
      <x:c r="A484" s="47" t="n">
        <x:v>45538</x:v>
      </x:c>
      <x:c r="B484" s="48" t="n">
        <x:v>1.5701</x:v>
      </x:c>
      <x:c r="C484" s="22" t="str">
        <x:v>项目空间本地CSV</x:v>
      </x:c>
    </x:row>
    <x:row r="485">
      <x:c r="A485" s="47" t="n">
        <x:v>45537</x:v>
      </x:c>
      <x:c r="B485" s="48" t="n">
        <x:v>1.629</x:v>
      </x:c>
      <x:c r="C485" s="22" t="str">
        <x:v>项目空间本地CSV</x:v>
      </x:c>
    </x:row>
    <x:row r="486">
      <x:c r="A486" s="47" t="n">
        <x:v>45534</x:v>
      </x:c>
      <x:c r="B486" s="48" t="n">
        <x:v>1.6387</x:v>
      </x:c>
      <x:c r="C486" s="22" t="str">
        <x:v>项目空间本地CSV</x:v>
      </x:c>
    </x:row>
    <x:row r="487">
      <x:c r="A487" s="47" t="n">
        <x:v>45533</x:v>
      </x:c>
      <x:c r="B487" s="48" t="n">
        <x:v>1.6154</x:v>
      </x:c>
      <x:c r="C487" s="22" t="str">
        <x:v>项目空间本地CSV</x:v>
      </x:c>
    </x:row>
    <x:row r="488">
      <x:c r="A488" s="47" t="n">
        <x:v>45532</x:v>
      </x:c>
      <x:c r="B488" s="48" t="n">
        <x:v>1.6277</x:v>
      </x:c>
      <x:c r="C488" s="22" t="str">
        <x:v>项目空间本地CSV</x:v>
      </x:c>
    </x:row>
    <x:row r="489">
      <x:c r="A489" s="47" t="n">
        <x:v>45531</x:v>
      </x:c>
      <x:c r="B489" s="48" t="n">
        <x:v>1.6468</x:v>
      </x:c>
      <x:c r="C489" s="22" t="str">
        <x:v>项目空间本地CSV</x:v>
      </x:c>
    </x:row>
    <x:row r="490">
      <x:c r="A490" s="47" t="n">
        <x:v>45530</x:v>
      </x:c>
      <x:c r="B490" s="48" t="n">
        <x:v>1.6396</x:v>
      </x:c>
      <x:c r="C490" s="22" t="str">
        <x:v>项目空间本地CSV</x:v>
      </x:c>
    </x:row>
    <x:row r="491">
      <x:c r="A491" s="47" t="n">
        <x:v>45527</x:v>
      </x:c>
      <x:c r="B491" s="48" t="n">
        <x:v>1.6601</x:v>
      </x:c>
      <x:c r="C491" s="22" t="str">
        <x:v>项目空间本地CSV</x:v>
      </x:c>
    </x:row>
    <x:row r="492">
      <x:c r="A492" s="47" t="n">
        <x:v>45526</x:v>
      </x:c>
      <x:c r="B492" s="48" t="n">
        <x:v>1.6362</x:v>
      </x:c>
      <x:c r="C492" s="22" t="str">
        <x:v>项目空间本地CSV</x:v>
      </x:c>
    </x:row>
    <x:row r="493">
      <x:c r="A493" s="47" t="n">
        <x:v>45525</x:v>
      </x:c>
      <x:c r="B493" s="48" t="n">
        <x:v>1.6717</x:v>
      </x:c>
      <x:c r="C493" s="22" t="str">
        <x:v>项目空间本地CSV</x:v>
      </x:c>
    </x:row>
    <x:row r="494">
      <x:c r="A494" s="47" t="n">
        <x:v>45524</x:v>
      </x:c>
      <x:c r="B494" s="48" t="n">
        <x:v>1.6642</x:v>
      </x:c>
      <x:c r="C494" s="22" t="str">
        <x:v>项目空间本地CSV</x:v>
      </x:c>
    </x:row>
    <x:row r="495">
      <x:c r="A495" s="47" t="n">
        <x:v>45523</x:v>
      </x:c>
      <x:c r="B495" s="48" t="n">
        <x:v>1.6774</x:v>
      </x:c>
      <x:c r="C495" s="22" t="str">
        <x:v>项目空间本地CSV</x:v>
      </x:c>
    </x:row>
    <x:row r="496">
      <x:c r="A496" s="47" t="n">
        <x:v>45520</x:v>
      </x:c>
      <x:c r="B496" s="48" t="n">
        <x:v>1.6586</x:v>
      </x:c>
      <x:c r="C496" s="22" t="str">
        <x:v>项目空间本地CSV</x:v>
      </x:c>
    </x:row>
    <x:row r="497">
      <x:c r="A497" s="47" t="n">
        <x:v>45519</x:v>
      </x:c>
      <x:c r="B497" s="48" t="n">
        <x:v>1.6456</x:v>
      </x:c>
      <x:c r="C497" s="22" t="str">
        <x:v>项目空间本地CSV</x:v>
      </x:c>
    </x:row>
    <x:row r="498">
      <x:c r="A498" s="47" t="n">
        <x:v>45518</x:v>
      </x:c>
      <x:c r="B498" s="48" t="n">
        <x:v>1.6117</x:v>
      </x:c>
      <x:c r="C498" s="22" t="str">
        <x:v>项目空间本地CSV</x:v>
      </x:c>
    </x:row>
    <x:row r="499">
      <x:c r="A499" s="47" t="n">
        <x:v>45517</x:v>
      </x:c>
      <x:c r="B499" s="48" t="n">
        <x:v>1.6148</x:v>
      </x:c>
      <x:c r="C499" s="22" t="str">
        <x:v>项目空间本地CSV</x:v>
      </x:c>
    </x:row>
    <x:row r="500">
      <x:c r="A500" s="47" t="n">
        <x:v>45516</x:v>
      </x:c>
      <x:c r="B500" s="48" t="n">
        <x:v>1.5703</x:v>
      </x:c>
      <x:c r="C500" s="22" t="str">
        <x:v>项目空间本地CSV</x:v>
      </x:c>
    </x:row>
    <x:row r="501">
      <x:c r="A501" s="47" t="n">
        <x:v>45513</x:v>
      </x:c>
      <x:c r="B501" s="48" t="n">
        <x:v>1.5617</x:v>
      </x:c>
      <x:c r="C501" s="22" t="str">
        <x:v>项目空间本地CSV</x:v>
      </x:c>
    </x:row>
    <x:row r="502">
      <x:c r="A502" s="47" t="n">
        <x:v>45512</x:v>
      </x:c>
      <x:c r="B502" s="48" t="n">
        <x:v>1.5526</x:v>
      </x:c>
      <x:c r="C502" s="22" t="str">
        <x:v>项目空间本地CSV</x:v>
      </x:c>
    </x:row>
    <x:row r="503">
      <x:c r="A503" s="47" t="n">
        <x:v>45511</x:v>
      </x:c>
      <x:c r="B503" s="48" t="n">
        <x:v>1.5028</x:v>
      </x:c>
      <x:c r="C503" s="22" t="str">
        <x:v>项目空间本地CSV</x:v>
      </x:c>
    </x:row>
    <x:row r="504">
      <x:c r="A504" s="47" t="n">
        <x:v>45510</x:v>
      </x:c>
      <x:c r="B504" s="48" t="n">
        <x:v>1.5147</x:v>
      </x:c>
      <x:c r="C504" s="22" t="str">
        <x:v>项目空间本地CSV</x:v>
      </x:c>
    </x:row>
    <x:row r="505">
      <x:c r="A505" s="47" t="n">
        <x:v>45509</x:v>
      </x:c>
      <x:c r="B505" s="48" t="n">
        <x:v>1.4972</x:v>
      </x:c>
      <x:c r="C505" s="22" t="str">
        <x:v>项目空间本地CSV</x:v>
      </x:c>
    </x:row>
    <x:row r="506">
      <x:c r="A506" s="47" t="n">
        <x:v>45506</x:v>
      </x:c>
      <x:c r="B506" s="48" t="n">
        <x:v>1.5489</x:v>
      </x:c>
      <x:c r="C506" s="22" t="str">
        <x:v>项目空间本地CSV</x:v>
      </x:c>
    </x:row>
    <x:row r="507">
      <x:c r="A507" s="47" t="n">
        <x:v>45505</x:v>
      </x:c>
      <x:c r="B507" s="48" t="n">
        <x:v>1.5978</x:v>
      </x:c>
      <x:c r="C507" s="22" t="str">
        <x:v>项目空间本地CSV</x:v>
      </x:c>
    </x:row>
    <x:row r="508">
      <x:c r="A508" s="47" t="n">
        <x:v>45504</x:v>
      </x:c>
      <x:c r="B508" s="48" t="n">
        <x:v>1.642</x:v>
      </x:c>
      <x:c r="C508" s="22" t="str">
        <x:v>项目空间本地CSV</x:v>
      </x:c>
    </x:row>
    <x:row r="509">
      <x:c r="A509" s="47" t="n">
        <x:v>45503</x:v>
      </x:c>
      <x:c r="B509" s="48" t="n">
        <x:v>1.5753</x:v>
      </x:c>
      <x:c r="C509" s="22" t="str">
        <x:v>项目空间本地CSV</x:v>
      </x:c>
    </x:row>
    <x:row r="510">
      <x:c r="A510" s="47" t="n">
        <x:v>45502</x:v>
      </x:c>
      <x:c r="B510" s="48" t="n">
        <x:v>1.6164</x:v>
      </x:c>
      <x:c r="C510" s="22" t="str">
        <x:v>项目空间本地CSV</x:v>
      </x:c>
    </x:row>
    <x:row r="511">
      <x:c r="A511" s="47" t="n">
        <x:v>45499</x:v>
      </x:c>
      <x:c r="B511" s="48" t="n">
        <x:v>1.611</x:v>
      </x:c>
      <x:c r="C511" s="22" t="str">
        <x:v>项目空间本地CSV</x:v>
      </x:c>
    </x:row>
    <x:row r="512">
      <x:c r="A512" s="47" t="n">
        <x:v>45498</x:v>
      </x:c>
      <x:c r="B512" s="48" t="n">
        <x:v>1.5981</x:v>
      </x:c>
      <x:c r="C512" s="22" t="str">
        <x:v>项目空间本地CSV</x:v>
      </x:c>
    </x:row>
    <x:row r="513">
      <x:c r="A513" s="47" t="n">
        <x:v>45497</x:v>
      </x:c>
      <x:c r="B513" s="48" t="n">
        <x:v>1.626</x:v>
      </x:c>
      <x:c r="C513" s="22" t="str">
        <x:v>项目空间本地CSV</x:v>
      </x:c>
    </x:row>
    <x:row r="514">
      <x:c r="A514" s="47" t="n">
        <x:v>45496</x:v>
      </x:c>
      <x:c r="B514" s="48" t="n">
        <x:v>1.683</x:v>
      </x:c>
      <x:c r="C514" s="22" t="str">
        <x:v>项目空间本地CSV</x:v>
      </x:c>
    </x:row>
    <x:row r="515">
      <x:c r="A515" s="47" t="n">
        <x:v>45495</x:v>
      </x:c>
      <x:c r="B515" s="48" t="n">
        <x:v>1.6931</x:v>
      </x:c>
      <x:c r="C515" s="22" t="str">
        <x:v>项目空间本地CSV</x:v>
      </x:c>
    </x:row>
    <x:row r="516">
      <x:c r="A516" s="47" t="n">
        <x:v>45492</x:v>
      </x:c>
      <x:c r="B516" s="48" t="n">
        <x:v>1.6551</x:v>
      </x:c>
      <x:c r="C516" s="22" t="str">
        <x:v>项目空间本地CSV</x:v>
      </x:c>
    </x:row>
    <x:row r="517">
      <x:c r="A517" s="47" t="n">
        <x:v>45491</x:v>
      </x:c>
      <x:c r="B517" s="48" t="n">
        <x:v>1.6866</x:v>
      </x:c>
      <x:c r="C517" s="22" t="str">
        <x:v>项目空间本地CSV</x:v>
      </x:c>
    </x:row>
    <x:row r="518">
      <x:c r="A518" s="47" t="n">
        <x:v>45490</x:v>
      </x:c>
      <x:c r="B518" s="48" t="n">
        <x:v>1.6821</x:v>
      </x:c>
      <x:c r="C518" s="22" t="str">
        <x:v>项目空间本地CSV</x:v>
      </x:c>
    </x:row>
    <x:row r="519">
      <x:c r="A519" s="47" t="n">
        <x:v>45489</x:v>
      </x:c>
      <x:c r="B519" s="48" t="n">
        <x:v>1.7581</x:v>
      </x:c>
      <x:c r="C519" s="22" t="str">
        <x:v>项目空间本地CSV</x:v>
      </x:c>
    </x:row>
    <x:row r="520">
      <x:c r="A520" s="47" t="n">
        <x:v>45488</x:v>
      </x:c>
      <x:c r="B520" s="48" t="n">
        <x:v>1.7646</x:v>
      </x:c>
      <x:c r="C520" s="22" t="str">
        <x:v>项目空间本地CSV</x:v>
      </x:c>
    </x:row>
    <x:row r="521">
      <x:c r="A521" s="47" t="n">
        <x:v>45485</x:v>
      </x:c>
      <x:c r="B521" s="48" t="n">
        <x:v>1.7729</x:v>
      </x:c>
      <x:c r="C521" s="22" t="str">
        <x:v>项目空间本地CSV</x:v>
      </x:c>
    </x:row>
    <x:row r="522">
      <x:c r="A522" s="47" t="n">
        <x:v>45484</x:v>
      </x:c>
      <x:c r="B522" s="48" t="n">
        <x:v>1.7642</x:v>
      </x:c>
      <x:c r="C522" s="22" t="str">
        <x:v>项目空间本地CSV</x:v>
      </x:c>
    </x:row>
    <x:row r="523">
      <x:c r="A523" s="47" t="n">
        <x:v>45483</x:v>
      </x:c>
      <x:c r="B523" s="48" t="n">
        <x:v>1.8001</x:v>
      </x:c>
      <x:c r="C523" s="22" t="str">
        <x:v>项目空间本地CSV</x:v>
      </x:c>
    </x:row>
    <x:row r="524">
      <x:c r="A524" s="47" t="n">
        <x:v>45482</x:v>
      </x:c>
      <x:c r="B524" s="48" t="n">
        <x:v>1.785</x:v>
      </x:c>
      <x:c r="C524" s="22" t="str">
        <x:v>项目空间本地CSV</x:v>
      </x:c>
    </x:row>
    <x:row r="525">
      <x:c r="A525" s="47" t="n">
        <x:v>45481</x:v>
      </x:c>
      <x:c r="B525" s="48" t="n">
        <x:v>1.7794</x:v>
      </x:c>
      <x:c r="C525" s="22" t="str">
        <x:v>项目空间本地CSV</x:v>
      </x:c>
    </x:row>
    <x:row r="526">
      <x:c r="A526" s="47" t="n">
        <x:v>45478</x:v>
      </x:c>
      <x:c r="B526" s="48" t="n">
        <x:v>1.7753</x:v>
      </x:c>
      <x:c r="C526" s="22" t="str">
        <x:v>项目空间本地CSV</x:v>
      </x:c>
    </x:row>
    <x:row r="527">
      <x:c r="A527" s="47" t="n">
        <x:v>45477</x:v>
      </x:c>
      <x:c r="B527" s="48" t="n">
        <x:v>1.772</x:v>
      </x:c>
      <x:c r="C527" s="22" t="str">
        <x:v>项目空间本地CSV</x:v>
      </x:c>
    </x:row>
    <x:row r="528">
      <x:c r="A528" s="47" t="n">
        <x:v>45476</x:v>
      </x:c>
      <x:c r="B528" s="48" t="n">
        <x:v>1.7702</x:v>
      </x:c>
      <x:c r="C528" s="22" t="str">
        <x:v>项目空间本地CSV</x:v>
      </x:c>
    </x:row>
    <x:row r="529">
      <x:c r="A529" s="47" t="n">
        <x:v>45475</x:v>
      </x:c>
      <x:c r="B529" s="48" t="n">
        <x:v>1.7434</x:v>
      </x:c>
      <x:c r="C529" s="22" t="str">
        <x:v>项目空间本地CSV</x:v>
      </x:c>
    </x:row>
    <x:row r="530">
      <x:c r="A530" s="47" t="n">
        <x:v>45474</x:v>
      </x:c>
      <x:c r="B530" s="48" t="n">
        <x:v>1.7319</x:v>
      </x:c>
      <x:c r="C530" s="22" t="str">
        <x:v>项目空间本地CSV</x:v>
      </x:c>
    </x:row>
    <x:row r="531">
      <x:c r="A531" s="47" t="n">
        <x:v>45473</x:v>
      </x:c>
      <x:c r="B531" s="48" t="n">
        <x:v>1.719</x:v>
      </x:c>
      <x:c r="C531" s="22" t="str">
        <x:v>项目空间本地CSV</x:v>
      </x:c>
    </x:row>
    <x:row r="532">
      <x:c r="A532" s="47" t="n">
        <x:v>45471</x:v>
      </x:c>
      <x:c r="B532" s="48" t="n">
        <x:v>1.7192</x:v>
      </x:c>
      <x:c r="C532" s="22" t="str">
        <x:v>项目空间本地CSV</x:v>
      </x:c>
    </x:row>
    <x:row r="533">
      <x:c r="A533" s="47" t="n">
        <x:v>45470</x:v>
      </x:c>
      <x:c r="B533" s="48" t="n">
        <x:v>1.719</x:v>
      </x:c>
      <x:c r="C533" s="22" t="str">
        <x:v>项目空间本地CSV</x:v>
      </x:c>
    </x:row>
    <x:row r="534">
      <x:c r="A534" s="47" t="n">
        <x:v>45469</x:v>
      </x:c>
      <x:c r="B534" s="48" t="n">
        <x:v>1.7305</x:v>
      </x:c>
      <x:c r="C534" s="22" t="str">
        <x:v>项目空间本地CSV</x:v>
      </x:c>
    </x:row>
    <x:row r="535">
      <x:c r="A535" s="47" t="n">
        <x:v>45468</x:v>
      </x:c>
      <x:c r="B535" s="48" t="n">
        <x:v>1.7262</x:v>
      </x:c>
      <x:c r="C535" s="22" t="str">
        <x:v>项目空间本地CSV</x:v>
      </x:c>
    </x:row>
    <x:row r="536">
      <x:c r="A536" s="47" t="n">
        <x:v>45467</x:v>
      </x:c>
      <x:c r="B536" s="48" t="n">
        <x:v>1.7053</x:v>
      </x:c>
      <x:c r="C536" s="22" t="str">
        <x:v>项目空间本地CSV</x:v>
      </x:c>
    </x:row>
    <x:row r="537">
      <x:c r="A537" s="47" t="n">
        <x:v>45464</x:v>
      </x:c>
      <x:c r="B537" s="48" t="n">
        <x:v>1.7407</x:v>
      </x:c>
      <x:c r="C537" s="22" t="str">
        <x:v>项目空间本地CSV</x:v>
      </x:c>
    </x:row>
    <x:row r="538">
      <x:c r="A538" s="47" t="n">
        <x:v>45463</x:v>
      </x:c>
      <x:c r="B538" s="48" t="n">
        <x:v>1.763</x:v>
      </x:c>
      <x:c r="C538" s="22" t="str">
        <x:v>项目空间本地CSV</x:v>
      </x:c>
    </x:row>
    <x:row r="539">
      <x:c r="A539" s="47" t="n">
        <x:v>45462</x:v>
      </x:c>
      <x:c r="B539" s="48" t="n">
        <x:v>1.7887</x:v>
      </x:c>
      <x:c r="C539" s="22" t="str">
        <x:v>项目空间本地CSV</x:v>
      </x:c>
    </x:row>
    <x:row r="540">
      <x:c r="A540" s="47" t="n">
        <x:v>45461</x:v>
      </x:c>
      <x:c r="B540" s="48" t="n">
        <x:v>1.779</x:v>
      </x:c>
      <x:c r="C540" s="22" t="str">
        <x:v>项目空间本地CSV</x:v>
      </x:c>
    </x:row>
    <x:row r="541">
      <x:c r="A541" s="47" t="n">
        <x:v>45460</x:v>
      </x:c>
      <x:c r="B541" s="48" t="n">
        <x:v>1.7681</x:v>
      </x:c>
      <x:c r="C541" s="22" t="str">
        <x:v>项目空间本地CSV</x:v>
      </x:c>
    </x:row>
    <x:row r="542">
      <x:c r="A542" s="47" t="n">
        <x:v>45457</x:v>
      </x:c>
      <x:c r="B542" s="48" t="n">
        <x:v>1.7534</x:v>
      </x:c>
      <x:c r="C542" s="22" t="str">
        <x:v>项目空间本地CSV</x:v>
      </x:c>
    </x:row>
    <x:row r="543">
      <x:c r="A543" s="47" t="n">
        <x:v>45456</x:v>
      </x:c>
      <x:c r="B543" s="48" t="n">
        <x:v>1.7443</x:v>
      </x:c>
      <x:c r="C543" s="22" t="str">
        <x:v>项目空间本地CSV</x:v>
      </x:c>
    </x:row>
    <x:row r="544">
      <x:c r="A544" s="47" t="n">
        <x:v>45455</x:v>
      </x:c>
      <x:c r="B544" s="48" t="n">
        <x:v>1.717</x:v>
      </x:c>
      <x:c r="C544" s="22" t="str">
        <x:v>项目空间本地CSV</x:v>
      </x:c>
    </x:row>
    <x:row r="545">
      <x:c r="A545" s="47" t="n">
        <x:v>45454</x:v>
      </x:c>
      <x:c r="B545" s="48" t="n">
        <x:v>1.6902</x:v>
      </x:c>
      <x:c r="C545" s="22" t="str">
        <x:v>项目空间本地CSV</x:v>
      </x:c>
    </x:row>
    <x:row r="546">
      <x:c r="A546" s="47" t="n">
        <x:v>45450</x:v>
      </x:c>
      <x:c r="B546" s="48" t="n">
        <x:v>1.6759</x:v>
      </x:c>
      <x:c r="C546" s="22" t="str">
        <x:v>项目空间本地CSV</x:v>
      </x:c>
    </x:row>
    <x:row r="547">
      <x:c r="A547" s="47" t="n">
        <x:v>45449</x:v>
      </x:c>
      <x:c r="B547" s="48" t="n">
        <x:v>1.6809</x:v>
      </x:c>
      <x:c r="C547" s="22" t="str">
        <x:v>项目空间本地CSV</x:v>
      </x:c>
    </x:row>
    <x:row r="548">
      <x:c r="A548" s="47" t="n">
        <x:v>45448</x:v>
      </x:c>
      <x:c r="B548" s="48" t="n">
        <x:v>1.6816</x:v>
      </x:c>
      <x:c r="C548" s="22" t="str">
        <x:v>项目空间本地CSV</x:v>
      </x:c>
    </x:row>
    <x:row r="549">
      <x:c r="A549" s="47" t="n">
        <x:v>45447</x:v>
      </x:c>
      <x:c r="B549" s="48" t="n">
        <x:v>1.6451</x:v>
      </x:c>
      <x:c r="C549" s="22" t="str">
        <x:v>项目空间本地CSV</x:v>
      </x:c>
    </x:row>
    <x:row r="550">
      <x:c r="A550" s="47" t="n">
        <x:v>45446</x:v>
      </x:c>
      <x:c r="B550" s="48" t="n">
        <x:v>1.641</x:v>
      </x:c>
      <x:c r="C550" s="22" t="str">
        <x:v>项目空间本地CSV</x:v>
      </x:c>
    </x:row>
    <x:row r="551">
      <x:c r="A551" s="47" t="n">
        <x:v>45443</x:v>
      </x:c>
      <x:c r="B551" s="48" t="n">
        <x:v>1.6228</x:v>
      </x:c>
      <x:c r="C551" s="22" t="str">
        <x:v>项目空间本地CSV</x:v>
      </x:c>
    </x:row>
    <x:row r="552">
      <x:c r="A552" s="47" t="n">
        <x:v>45442</x:v>
      </x:c>
      <x:c r="B552" s="48" t="n">
        <x:v>1.6364</x:v>
      </x:c>
      <x:c r="C552" s="22" t="str">
        <x:v>项目空间本地CSV</x:v>
      </x:c>
    </x:row>
    <x:row r="553">
      <x:c r="A553" s="47" t="n">
        <x:v>45441</x:v>
      </x:c>
      <x:c r="B553" s="48" t="n">
        <x:v>1.662</x:v>
      </x:c>
      <x:c r="C553" s="22" t="str">
        <x:v>项目空间本地CSV</x:v>
      </x:c>
    </x:row>
    <x:row r="554">
      <x:c r="A554" s="47" t="n">
        <x:v>45440</x:v>
      </x:c>
      <x:c r="B554" s="48" t="n">
        <x:v>1.6828</x:v>
      </x:c>
      <x:c r="C554" s="22" t="str">
        <x:v>项目空间本地CSV</x:v>
      </x:c>
    </x:row>
    <x:row r="555">
      <x:c r="A555" s="47" t="n">
        <x:v>45439</x:v>
      </x:c>
      <x:c r="B555" s="48" t="n">
        <x:v>1.6611</x:v>
      </x:c>
      <x:c r="C555" s="22" t="str">
        <x:v>项目空间本地CSV</x:v>
      </x:c>
    </x:row>
    <x:row r="556">
      <x:c r="A556" s="47" t="n">
        <x:v>45436</x:v>
      </x:c>
      <x:c r="B556" s="48" t="n">
        <x:v>1.6566</x:v>
      </x:c>
      <x:c r="C556" s="22" t="str">
        <x:v>项目空间本地CSV</x:v>
      </x:c>
    </x:row>
    <x:row r="557">
      <x:c r="A557" s="47" t="n">
        <x:v>45435</x:v>
      </x:c>
      <x:c r="B557" s="48" t="n">
        <x:v>1.6396</x:v>
      </x:c>
      <x:c r="C557" s="22" t="str">
        <x:v>项目空间本地CSV</x:v>
      </x:c>
    </x:row>
    <x:row r="558">
      <x:c r="A558" s="47" t="n">
        <x:v>45434</x:v>
      </x:c>
      <x:c r="B558" s="48" t="n">
        <x:v>1.6349</x:v>
      </x:c>
      <x:c r="C558" s="22" t="str">
        <x:v>项目空间本地CSV</x:v>
      </x:c>
    </x:row>
    <x:row r="559">
      <x:c r="A559" s="47" t="n">
        <x:v>45433</x:v>
      </x:c>
      <x:c r="B559" s="48" t="n">
        <x:v>1.6292</x:v>
      </x:c>
      <x:c r="C559" s="22" t="str">
        <x:v>项目空间本地CSV</x:v>
      </x:c>
    </x:row>
    <x:row r="560">
      <x:c r="A560" s="47" t="n">
        <x:v>45432</x:v>
      </x:c>
      <x:c r="B560" s="48" t="n">
        <x:v>1.6324</x:v>
      </x:c>
      <x:c r="C560" s="22" t="str">
        <x:v>项目空间本地CSV</x:v>
      </x:c>
    </x:row>
    <x:row r="561">
      <x:c r="A561" s="47" t="n">
        <x:v>45429</x:v>
      </x:c>
      <x:c r="B561" s="48" t="n">
        <x:v>1.6134</x:v>
      </x:c>
      <x:c r="C561" s="22" t="str">
        <x:v>项目空间本地CSV</x:v>
      </x:c>
    </x:row>
    <x:row r="562">
      <x:c r="A562" s="47" t="n">
        <x:v>45428</x:v>
      </x:c>
      <x:c r="B562" s="48" t="n">
        <x:v>1.6178</x:v>
      </x:c>
      <x:c r="C562" s="22" t="str">
        <x:v>项目空间本地CSV</x:v>
      </x:c>
    </x:row>
    <x:row r="563">
      <x:c r="A563" s="47" t="n">
        <x:v>45427</x:v>
      </x:c>
      <x:c r="B563" s="48" t="n">
        <x:v>1.6265</x:v>
      </x:c>
      <x:c r="C563" s="22" t="str">
        <x:v>项目空间本地CSV</x:v>
      </x:c>
    </x:row>
    <x:row r="564">
      <x:c r="A564" s="47" t="n">
        <x:v>45426</x:v>
      </x:c>
      <x:c r="B564" s="48" t="n">
        <x:v>1.5945</x:v>
      </x:c>
      <x:c r="C564" s="22" t="str">
        <x:v>项目空间本地CSV</x:v>
      </x:c>
    </x:row>
    <x:row r="565">
      <x:c r="A565" s="47" t="n">
        <x:v>45425</x:v>
      </x:c>
      <x:c r="B565" s="48" t="n">
        <x:v>1.5769</x:v>
      </x:c>
      <x:c r="C565" s="22" t="str">
        <x:v>项目空间本地CSV</x:v>
      </x:c>
    </x:row>
    <x:row r="566">
      <x:c r="A566" s="47" t="n">
        <x:v>45422</x:v>
      </x:c>
      <x:c r="B566" s="48" t="n">
        <x:v>1.5784</x:v>
      </x:c>
      <x:c r="C566" s="22" t="str">
        <x:v>项目空间本地CSV</x:v>
      </x:c>
    </x:row>
    <x:row r="567">
      <x:c r="A567" s="47" t="n">
        <x:v>45421</x:v>
      </x:c>
      <x:c r="B567" s="48" t="n">
        <x:v>1.5678</x:v>
      </x:c>
      <x:c r="C567" s="22" t="str">
        <x:v>项目空间本地CSV</x:v>
      </x:c>
    </x:row>
    <x:row r="568">
      <x:c r="A568" s="47" t="n">
        <x:v>45420</x:v>
      </x:c>
      <x:c r="B568" s="48" t="n">
        <x:v>1.5661</x:v>
      </x:c>
      <x:c r="C568" s="22" t="str">
        <x:v>项目空间本地CSV</x:v>
      </x:c>
    </x:row>
    <x:row r="569">
      <x:c r="A569" s="47" t="n">
        <x:v>45419</x:v>
      </x:c>
      <x:c r="B569" s="48" t="n">
        <x:v>1.5665</x:v>
      </x:c>
      <x:c r="C569" s="22" t="str">
        <x:v>项目空间本地CSV</x:v>
      </x:c>
    </x:row>
    <x:row r="570">
      <x:c r="A570" s="47" t="n">
        <x:v>45418</x:v>
      </x:c>
      <x:c r="B570" s="48" t="n">
        <x:v>1.5739</x:v>
      </x:c>
      <x:c r="C570" s="22" t="str">
        <x:v>项目空间本地CSV</x:v>
      </x:c>
    </x:row>
    <x:row r="571">
      <x:c r="A571" s="47" t="n">
        <x:v>45412</x:v>
      </x:c>
      <x:c r="B571" s="48" t="n">
        <x:v>1.5115</x:v>
      </x:c>
      <x:c r="C571" s="22" t="str">
        <x:v>项目空间本地CSV</x:v>
      </x:c>
    </x:row>
    <x:row r="572">
      <x:c r="A572" s="47" t="n">
        <x:v>45411</x:v>
      </x:c>
      <x:c r="B572" s="48" t="n">
        <x:v>1.5364</x:v>
      </x:c>
      <x:c r="C572" s="22" t="str">
        <x:v>项目空间本地CSV</x:v>
      </x:c>
    </x:row>
    <x:row r="573">
      <x:c r="A573" s="47" t="n">
        <x:v>45408</x:v>
      </x:c>
      <x:c r="B573" s="48" t="n">
        <x:v>1.5405</x:v>
      </x:c>
      <x:c r="C573" s="22" t="str">
        <x:v>项目空间本地CSV</x:v>
      </x:c>
    </x:row>
    <x:row r="574">
      <x:c r="A574" s="47" t="n">
        <x:v>45407</x:v>
      </x:c>
      <x:c r="B574" s="48" t="n">
        <x:v>1.4874</x:v>
      </x:c>
      <x:c r="C574" s="22" t="str">
        <x:v>项目空间本地CSV</x:v>
      </x:c>
    </x:row>
    <x:row r="575">
      <x:c r="A575" s="47" t="n">
        <x:v>45406</x:v>
      </x:c>
      <x:c r="B575" s="48" t="n">
        <x:v>1.4839</x:v>
      </x:c>
      <x:c r="C575" s="22" t="str">
        <x:v>项目空间本地CSV</x:v>
      </x:c>
    </x:row>
    <x:row r="576">
      <x:c r="A576" s="47" t="n">
        <x:v>45405</x:v>
      </x:c>
      <x:c r="B576" s="48" t="n">
        <x:v>1.4704</x:v>
      </x:c>
      <x:c r="C576" s="22" t="str">
        <x:v>项目空间本地CSV</x:v>
      </x:c>
    </x:row>
    <x:row r="577">
      <x:c r="A577" s="47" t="n">
        <x:v>45404</x:v>
      </x:c>
      <x:c r="B577" s="48" t="n">
        <x:v>1.4405</x:v>
      </x:c>
      <x:c r="C577" s="22" t="str">
        <x:v>项目空间本地CSV</x:v>
      </x:c>
    </x:row>
    <x:row r="578">
      <x:c r="A578" s="47" t="n">
        <x:v>45401</x:v>
      </x:c>
      <x:c r="B578" s="48" t="n">
        <x:v>1.428</x:v>
      </x:c>
      <x:c r="C578" s="22" t="str">
        <x:v>项目空间本地CSV</x:v>
      </x:c>
    </x:row>
    <x:row r="579">
      <x:c r="A579" s="47" t="n">
        <x:v>45400</x:v>
      </x:c>
      <x:c r="B579" s="48" t="n">
        <x:v>1.4801</x:v>
      </x:c>
      <x:c r="C579" s="22" t="str">
        <x:v>项目空间本地CSV</x:v>
      </x:c>
    </x:row>
    <x:row r="580">
      <x:c r="A580" s="47" t="n">
        <x:v>45399</x:v>
      </x:c>
      <x:c r="B580" s="48" t="n">
        <x:v>1.495</x:v>
      </x:c>
      <x:c r="C580" s="22" t="str">
        <x:v>项目空间本地CSV</x:v>
      </x:c>
    </x:row>
    <x:row r="581">
      <x:c r="A581" s="47" t="n">
        <x:v>45398</x:v>
      </x:c>
      <x:c r="B581" s="48" t="n">
        <x:v>1.5145</x:v>
      </x:c>
      <x:c r="C581" s="22" t="str">
        <x:v>项目空间本地CSV</x:v>
      </x:c>
    </x:row>
    <x:row r="582">
      <x:c r="A582" s="47" t="n">
        <x:v>45397</x:v>
      </x:c>
      <x:c r="B582" s="48" t="n">
        <x:v>1.5143</x:v>
      </x:c>
      <x:c r="C582" s="22" t="str">
        <x:v>项目空间本地CSV</x:v>
      </x:c>
    </x:row>
    <x:row r="583">
      <x:c r="A583" s="47" t="n">
        <x:v>45394</x:v>
      </x:c>
      <x:c r="B583" s="48" t="n">
        <x:v>1.538</x:v>
      </x:c>
      <x:c r="C583" s="22" t="str">
        <x:v>项目空间本地CSV</x:v>
      </x:c>
    </x:row>
    <x:row r="584">
      <x:c r="A584" s="47" t="n">
        <x:v>45393</x:v>
      </x:c>
      <x:c r="B584" s="48" t="n">
        <x:v>1.5733</x:v>
      </x:c>
      <x:c r="C584" s="22" t="str">
        <x:v>项目空间本地CSV</x:v>
      </x:c>
    </x:row>
    <x:row r="585">
      <x:c r="A585" s="47" t="n">
        <x:v>45392</x:v>
      </x:c>
      <x:c r="B585" s="48" t="n">
        <x:v>1.5486</x:v>
      </x:c>
      <x:c r="C585" s="22" t="str">
        <x:v>项目空间本地CSV</x:v>
      </x:c>
    </x:row>
    <x:row r="586">
      <x:c r="A586" s="47" t="n">
        <x:v>45391</x:v>
      </x:c>
      <x:c r="B586" s="48" t="n">
        <x:v>1.554</x:v>
      </x:c>
      <x:c r="C586" s="22" t="str">
        <x:v>项目空间本地CSV</x:v>
      </x:c>
    </x:row>
    <x:row r="587">
      <x:c r="A587" s="47" t="n">
        <x:v>45390</x:v>
      </x:c>
      <x:c r="B587" s="48" t="n">
        <x:v>1.5542</x:v>
      </x:c>
      <x:c r="C587" s="22" t="str">
        <x:v>项目空间本地CSV</x:v>
      </x:c>
    </x:row>
    <x:row r="588">
      <x:c r="A588" s="47" t="n">
        <x:v>45385</x:v>
      </x:c>
      <x:c r="B588" s="48" t="n">
        <x:v>1.5696</x:v>
      </x:c>
      <x:c r="C588" s="22" t="str">
        <x:v>项目空间本地CSV</x:v>
      </x:c>
    </x:row>
    <x:row r="589">
      <x:c r="A589" s="47" t="n">
        <x:v>45384</x:v>
      </x:c>
      <x:c r="B589" s="48" t="n">
        <x:v>1.5623</x:v>
      </x:c>
      <x:c r="C589" s="22" t="str">
        <x:v>项目空间本地CSV</x:v>
      </x:c>
    </x:row>
    <x:row r="590">
      <x:c r="A590" s="47" t="n">
        <x:v>45383</x:v>
      </x:c>
      <x:c r="B590" s="48" t="n">
        <x:v>1.5716</x:v>
      </x:c>
      <x:c r="C590" s="22" t="str">
        <x:v>项目空间本地CSV</x:v>
      </x:c>
    </x:row>
    <x:row r="591">
      <x:c r="A591" s="47" t="n">
        <x:v>45380</x:v>
      </x:c>
      <x:c r="B591" s="48" t="n">
        <x:v>1.5532</x:v>
      </x:c>
      <x:c r="C591" s="22" t="str">
        <x:v>项目空间本地CSV</x:v>
      </x:c>
    </x:row>
    <x:row r="592">
      <x:c r="A592" s="47" t="n">
        <x:v>45379</x:v>
      </x:c>
      <x:c r="B592" s="48" t="n">
        <x:v>1.5535</x:v>
      </x:c>
      <x:c r="C592" s="22" t="str">
        <x:v>项目空间本地CSV</x:v>
      </x:c>
    </x:row>
    <x:row r="593">
      <x:c r="A593" s="47" t="n">
        <x:v>45378</x:v>
      </x:c>
      <x:c r="B593" s="48" t="n">
        <x:v>1.5504</x:v>
      </x:c>
      <x:c r="C593" s="22" t="str">
        <x:v>项目空间本地CSV</x:v>
      </x:c>
    </x:row>
    <x:row r="594">
      <x:c r="A594" s="47" t="n">
        <x:v>45377</x:v>
      </x:c>
      <x:c r="B594" s="48" t="n">
        <x:v>1.5544</x:v>
      </x:c>
      <x:c r="C594" s="22" t="str">
        <x:v>项目空间本地CSV</x:v>
      </x:c>
    </x:row>
    <x:row r="595">
      <x:c r="A595" s="47" t="n">
        <x:v>45376</x:v>
      </x:c>
      <x:c r="B595" s="48" t="n">
        <x:v>1.5667</x:v>
      </x:c>
      <x:c r="C595" s="22" t="str">
        <x:v>项目空间本地CSV</x:v>
      </x:c>
    </x:row>
    <x:row r="596">
      <x:c r="A596" s="47" t="n">
        <x:v>45373</x:v>
      </x:c>
      <x:c r="B596" s="48" t="n">
        <x:v>1.5678</x:v>
      </x:c>
      <x:c r="C596" s="22" t="str">
        <x:v>项目空间本地CSV</x:v>
      </x:c>
    </x:row>
    <x:row r="597">
      <x:c r="A597" s="47" t="n">
        <x:v>45372</x:v>
      </x:c>
      <x:c r="B597" s="48" t="n">
        <x:v>1.5635</x:v>
      </x:c>
      <x:c r="C597" s="22" t="str">
        <x:v>项目空间本地CSV</x:v>
      </x:c>
    </x:row>
    <x:row r="598">
      <x:c r="A598" s="47" t="n">
        <x:v>45371</x:v>
      </x:c>
      <x:c r="B598" s="48" t="n">
        <x:v>1.5331</x:v>
      </x:c>
      <x:c r="C598" s="22" t="str">
        <x:v>项目空间本地CSV</x:v>
      </x:c>
    </x:row>
    <x:row r="599">
      <x:c r="A599" s="47" t="n">
        <x:v>45370</x:v>
      </x:c>
      <x:c r="B599" s="48" t="n">
        <x:v>1.5176</x:v>
      </x:c>
      <x:c r="C599" s="22" t="str">
        <x:v>项目空间本地CSV</x:v>
      </x:c>
    </x:row>
    <x:row r="600">
      <x:c r="A600" s="47" t="n">
        <x:v>45369</x:v>
      </x:c>
      <x:c r="B600" s="48" t="n">
        <x:v>1.5333</x:v>
      </x:c>
      <x:c r="C600" s="22" t="str">
        <x:v>项目空间本地CSV</x:v>
      </x:c>
    </x:row>
    <x:row r="601">
      <x:c r="A601" s="47" t="n">
        <x:v>45366</x:v>
      </x:c>
      <x:c r="B601" s="48" t="n">
        <x:v>1.5327</x:v>
      </x:c>
      <x:c r="C601" s="22" t="str">
        <x:v>项目空间本地CSV</x:v>
      </x:c>
    </x:row>
    <x:row r="602">
      <x:c r="A602" s="47" t="n">
        <x:v>45365</x:v>
      </x:c>
      <x:c r="B602" s="48" t="n">
        <x:v>1.5429</x:v>
      </x:c>
      <x:c r="C602" s="22" t="str">
        <x:v>项目空间本地CSV</x:v>
      </x:c>
    </x:row>
    <x:row r="603">
      <x:c r="A603" s="47" t="n">
        <x:v>45364</x:v>
      </x:c>
      <x:c r="B603" s="48" t="n">
        <x:v>1.569</x:v>
      </x:c>
      <x:c r="C603" s="22" t="str">
        <x:v>项目空间本地CSV</x:v>
      </x:c>
    </x:row>
    <x:row r="604">
      <x:c r="A604" s="47" t="n">
        <x:v>45363</x:v>
      </x:c>
      <x:c r="B604" s="48" t="n">
        <x:v>1.5963</x:v>
      </x:c>
      <x:c r="C604" s="22" t="str">
        <x:v>项目空间本地CSV</x:v>
      </x:c>
    </x:row>
    <x:row r="605">
      <x:c r="A605" s="47" t="n">
        <x:v>45362</x:v>
      </x:c>
      <x:c r="B605" s="48" t="n">
        <x:v>1.5614</x:v>
      </x:c>
      <x:c r="C605" s="22" t="str">
        <x:v>项目空间本地CSV</x:v>
      </x:c>
    </x:row>
    <x:row r="606">
      <x:c r="A606" s="47" t="n">
        <x:v>45359</x:v>
      </x:c>
      <x:c r="B606" s="48" t="n">
        <x:v>1.602</x:v>
      </x:c>
      <x:c r="C606" s="22" t="str">
        <x:v>项目空间本地CSV</x:v>
      </x:c>
    </x:row>
    <x:row r="607">
      <x:c r="A607" s="47" t="n">
        <x:v>45358</x:v>
      </x:c>
      <x:c r="B607" s="48" t="n">
        <x:v>1.6698</x:v>
      </x:c>
      <x:c r="C607" s="22" t="str">
        <x:v>项目空间本地CSV</x:v>
      </x:c>
    </x:row>
    <x:row r="608">
      <x:c r="A608" s="47" t="n">
        <x:v>45357</x:v>
      </x:c>
      <x:c r="B608" s="48" t="n">
        <x:v>1.6249</x:v>
      </x:c>
      <x:c r="C608" s="22" t="str">
        <x:v>项目空间本地CSV</x:v>
      </x:c>
    </x:row>
    <x:row r="609">
      <x:c r="A609" s="47" t="n">
        <x:v>45356</x:v>
      </x:c>
      <x:c r="B609" s="48" t="n">
        <x:v>1.5953</x:v>
      </x:c>
      <x:c r="C609" s="22" t="str">
        <x:v>项目空间本地CSV</x:v>
      </x:c>
    </x:row>
    <x:row r="610">
      <x:c r="A610" s="47" t="n">
        <x:v>45355</x:v>
      </x:c>
      <x:c r="B610" s="48" t="n">
        <x:v>1.6226</x:v>
      </x:c>
      <x:c r="C610" s="22" t="str">
        <x:v>项目空间本地CSV</x:v>
      </x:c>
    </x:row>
    <x:row r="611">
      <x:c r="A611" s="47" t="n">
        <x:v>45352</x:v>
      </x:c>
      <x:c r="B611" s="48" t="n">
        <x:v>1.6061</x:v>
      </x:c>
      <x:c r="C611" s="22" t="str">
        <x:v>项目空间本地CSV</x:v>
      </x:c>
    </x:row>
    <x:row r="612">
      <x:c r="A612" s="47" t="n">
        <x:v>45351</x:v>
      </x:c>
      <x:c r="B612" s="48" t="n">
        <x:v>1.5611</x:v>
      </x:c>
      <x:c r="C612" s="22" t="str">
        <x:v>项目空间本地CSV</x:v>
      </x:c>
    </x:row>
    <x:row r="613">
      <x:c r="A613" s="47" t="n">
        <x:v>45350</x:v>
      </x:c>
      <x:c r="B613" s="48" t="n">
        <x:v>1.5333</x:v>
      </x:c>
      <x:c r="C613" s="22" t="str">
        <x:v>项目空间本地CSV</x:v>
      </x:c>
    </x:row>
    <x:row r="614">
      <x:c r="A614" s="47" t="n">
        <x:v>45349</x:v>
      </x:c>
      <x:c r="B614" s="48" t="n">
        <x:v>1.542</x:v>
      </x:c>
      <x:c r="C614" s="22" t="str">
        <x:v>项目空间本地CSV</x:v>
      </x:c>
    </x:row>
    <x:row r="615">
      <x:c r="A615" s="47" t="n">
        <x:v>45348</x:v>
      </x:c>
      <x:c r="B615" s="48" t="n">
        <x:v>1.541</x:v>
      </x:c>
      <x:c r="C615" s="22" t="str">
        <x:v>项目空间本地CSV</x:v>
      </x:c>
    </x:row>
    <x:row r="616">
      <x:c r="A616" s="47" t="n">
        <x:v>45345</x:v>
      </x:c>
      <x:c r="B616" s="48" t="n">
        <x:v>1.5475</x:v>
      </x:c>
      <x:c r="C616" s="22" t="str">
        <x:v>项目空间本地CSV</x:v>
      </x:c>
    </x:row>
    <x:row r="617">
      <x:c r="A617" s="47" t="n">
        <x:v>45344</x:v>
      </x:c>
      <x:c r="B617" s="48" t="n">
        <x:v>1.5545</x:v>
      </x:c>
      <x:c r="C617" s="22" t="str">
        <x:v>项目空间本地CSV</x:v>
      </x:c>
    </x:row>
    <x:row r="618">
      <x:c r="A618" s="47" t="n">
        <x:v>45343</x:v>
      </x:c>
      <x:c r="B618" s="48" t="n">
        <x:v>1.482</x:v>
      </x:c>
      <x:c r="C618" s="22" t="str">
        <x:v>项目空间本地CSV</x:v>
      </x:c>
    </x:row>
    <x:row r="619">
      <x:c r="A619" s="47" t="n">
        <x:v>45342</x:v>
      </x:c>
      <x:c r="B619" s="48" t="n">
        <x:v>1.4894</x:v>
      </x:c>
      <x:c r="C619" s="22" t="str">
        <x:v>项目空间本地CSV</x:v>
      </x:c>
    </x:row>
    <x:row r="620">
      <x:c r="A620" s="47" t="n">
        <x:v>45341</x:v>
      </x:c>
      <x:c r="B620" s="48" t="n">
        <x:v>1.5087</x:v>
      </x:c>
      <x:c r="C620" s="22" t="str">
        <x:v>项目空间本地CSV</x:v>
      </x:c>
    </x:row>
    <x:row r="621">
      <x:c r="A621" s="47" t="n">
        <x:v>45330</x:v>
      </x:c>
      <x:c r="B621" s="48" t="n">
        <x:v>1.5105</x:v>
      </x:c>
      <x:c r="C621" s="22" t="str">
        <x:v>项目空间本地CSV</x:v>
      </x:c>
    </x:row>
    <x:row r="622">
      <x:c r="A622" s="47" t="n">
        <x:v>45329</x:v>
      </x:c>
      <x:c r="B622" s="48" t="n">
        <x:v>1.5101</x:v>
      </x:c>
      <x:c r="C622" s="22" t="str">
        <x:v>项目空间本地CSV</x:v>
      </x:c>
    </x:row>
    <x:row r="623">
      <x:c r="A623" s="47" t="n">
        <x:v>45328</x:v>
      </x:c>
      <x:c r="B623" s="48" t="n">
        <x:v>1.4889</x:v>
      </x:c>
      <x:c r="C623" s="22" t="str">
        <x:v>项目空间本地CSV</x:v>
      </x:c>
    </x:row>
    <x:row r="624">
      <x:c r="A624" s="47" t="n">
        <x:v>45327</x:v>
      </x:c>
      <x:c r="B624" s="48" t="n">
        <x:v>1.501</x:v>
      </x:c>
      <x:c r="C624" s="22" t="str">
        <x:v>项目空间本地CSV</x:v>
      </x:c>
    </x:row>
    <x:row r="625">
      <x:c r="A625" s="47" t="n">
        <x:v>45324</x:v>
      </x:c>
      <x:c r="B625" s="48" t="n">
        <x:v>1.5015</x:v>
      </x:c>
      <x:c r="C625" s="22" t="str">
        <x:v>项目空间本地CSV</x:v>
      </x:c>
    </x:row>
    <x:row r="626">
      <x:c r="A626" s="47" t="n">
        <x:v>45323</x:v>
      </x:c>
      <x:c r="B626" s="48" t="n">
        <x:v>1.4464</x:v>
      </x:c>
      <x:c r="C626" s="22" t="str">
        <x:v>项目空间本地CSV</x:v>
      </x:c>
    </x:row>
    <x:row r="627">
      <x:c r="A627" s="47" t="n">
        <x:v>45322</x:v>
      </x:c>
      <x:c r="B627" s="48" t="n">
        <x:v>1.4286</x:v>
      </x:c>
      <x:c r="C627" s="22" t="str">
        <x:v>项目空间本地CSV</x:v>
      </x:c>
    </x:row>
    <x:row r="628">
      <x:c r="A628" s="47" t="n">
        <x:v>45321</x:v>
      </x:c>
      <x:c r="B628" s="48" t="n">
        <x:v>1.46</x:v>
      </x:c>
      <x:c r="C628" s="22" t="str">
        <x:v>项目空间本地CSV</x:v>
      </x:c>
    </x:row>
    <x:row r="629">
      <x:c r="A629" s="47" t="n">
        <x:v>45320</x:v>
      </x:c>
      <x:c r="B629" s="48" t="n">
        <x:v>1.473</x:v>
      </x:c>
      <x:c r="C629" s="22" t="str">
        <x:v>项目空间本地CSV</x:v>
      </x:c>
    </x:row>
    <x:row r="630">
      <x:c r="A630" s="47" t="n">
        <x:v>45317</x:v>
      </x:c>
      <x:c r="B630" s="48" t="n">
        <x:v>1.459</x:v>
      </x:c>
      <x:c r="C630" s="22" t="str">
        <x:v>项目空间本地CSV</x:v>
      </x:c>
    </x:row>
    <x:row r="631">
      <x:c r="A631" s="47" t="n">
        <x:v>45316</x:v>
      </x:c>
      <x:c r="B631" s="48" t="n">
        <x:v>1.4819</x:v>
      </x:c>
      <x:c r="C631" s="22" t="str">
        <x:v>项目空间本地CSV</x:v>
      </x:c>
    </x:row>
    <x:row r="632">
      <x:c r="A632" s="47" t="n">
        <x:v>45315</x:v>
      </x:c>
      <x:c r="B632" s="48" t="n">
        <x:v>1.4769</x:v>
      </x:c>
      <x:c r="C632" s="22" t="str">
        <x:v>项目空间本地CSV</x:v>
      </x:c>
    </x:row>
    <x:row r="633">
      <x:c r="A633" s="47" t="n">
        <x:v>45314</x:v>
      </x:c>
      <x:c r="B633" s="48" t="n">
        <x:v>1.4572</x:v>
      </x:c>
      <x:c r="C633" s="22" t="str">
        <x:v>项目空间本地CSV</x:v>
      </x:c>
    </x:row>
    <x:row r="634">
      <x:c r="A634" s="47" t="n">
        <x:v>45313</x:v>
      </x:c>
      <x:c r="B634" s="48" t="n">
        <x:v>1.4494</x:v>
      </x:c>
      <x:c r="C634" s="22" t="str">
        <x:v>项目空间本地CSV</x:v>
      </x:c>
    </x:row>
    <x:row r="635">
      <x:c r="A635" s="47" t="n">
        <x:v>45310</x:v>
      </x:c>
      <x:c r="B635" s="48" t="n">
        <x:v>1.4539</x:v>
      </x:c>
      <x:c r="C635" s="22" t="str">
        <x:v>项目空间本地CSV</x:v>
      </x:c>
    </x:row>
    <x:row r="636">
      <x:c r="A636" s="47" t="n">
        <x:v>45309</x:v>
      </x:c>
      <x:c r="B636" s="48" t="n">
        <x:v>1.4149</x:v>
      </x:c>
      <x:c r="C636" s="22" t="str">
        <x:v>项目空间本地CSV</x:v>
      </x:c>
    </x:row>
    <x:row r="637">
      <x:c r="A637" s="47" t="n">
        <x:v>45308</x:v>
      </x:c>
      <x:c r="B637" s="48" t="n">
        <x:v>1.3907</x:v>
      </x:c>
      <x:c r="C637" s="22" t="str">
        <x:v>项目空间本地CSV</x:v>
      </x:c>
    </x:row>
    <x:row r="638">
      <x:c r="A638" s="47" t="n">
        <x:v>45307</x:v>
      </x:c>
      <x:c r="B638" s="48" t="n">
        <x:v>1.398</x:v>
      </x:c>
      <x:c r="C638" s="22" t="str">
        <x:v>项目空间本地CSV</x:v>
      </x:c>
    </x:row>
    <x:row r="639">
      <x:c r="A639" s="47" t="n">
        <x:v>45306</x:v>
      </x:c>
      <x:c r="B639" s="48" t="n">
        <x:v>1.3885</x:v>
      </x:c>
      <x:c r="C639" s="22" t="str">
        <x:v>项目空间本地CSV</x:v>
      </x:c>
    </x:row>
    <x:row r="640">
      <x:c r="A640" s="47" t="n">
        <x:v>45303</x:v>
      </x:c>
      <x:c r="B640" s="48" t="n">
        <x:v>1.3881</x:v>
      </x:c>
      <x:c r="C640" s="22" t="str">
        <x:v>项目空间本地CSV</x:v>
      </x:c>
    </x:row>
    <x:row r="641">
      <x:c r="A641" s="47" t="n">
        <x:v>45302</x:v>
      </x:c>
      <x:c r="B641" s="48" t="n">
        <x:v>1.3895</x:v>
      </x:c>
      <x:c r="C641" s="22" t="str">
        <x:v>项目空间本地CSV</x:v>
      </x:c>
    </x:row>
    <x:row r="642">
      <x:c r="A642" s="47" t="n">
        <x:v>45301</x:v>
      </x:c>
      <x:c r="B642" s="48" t="n">
        <x:v>1.3883</x:v>
      </x:c>
      <x:c r="C642" s="22" t="str">
        <x:v>项目空间本地CSV</x:v>
      </x:c>
    </x:row>
    <x:row r="643">
      <x:c r="A643" s="47" t="n">
        <x:v>45300</x:v>
      </x:c>
      <x:c r="B643" s="48" t="n">
        <x:v>1.3756</x:v>
      </x:c>
      <x:c r="C643" s="22" t="str">
        <x:v>项目空间本地CSV</x:v>
      </x:c>
    </x:row>
    <x:row r="644">
      <x:c r="A644" s="47" t="n">
        <x:v>45299</x:v>
      </x:c>
      <x:c r="B644" s="48" t="n">
        <x:v>1.3702</x:v>
      </x:c>
      <x:c r="C644" s="22" t="str">
        <x:v>项目空间本地CSV</x:v>
      </x:c>
    </x:row>
    <x:row r="645">
      <x:c r="A645" s="47" t="n">
        <x:v>45296</x:v>
      </x:c>
      <x:c r="B645" s="48" t="n">
        <x:v>1.3349</x:v>
      </x:c>
      <x:c r="C645" s="22" t="str">
        <x:v>项目空间本地CSV</x:v>
      </x:c>
    </x:row>
    <x:row r="646">
      <x:c r="A646" s="47" t="n">
        <x:v>45295</x:v>
      </x:c>
      <x:c r="B646" s="48" t="n">
        <x:v>1.3278</x:v>
      </x:c>
      <x:c r="C646" s="22" t="str">
        <x:v>项目空间本地CSV</x:v>
      </x:c>
    </x:row>
    <x:row r="647">
      <x:c r="A647" s="47" t="n">
        <x:v>45294</x:v>
      </x:c>
      <x:c r="B647" s="48" t="n">
        <x:v>1.335</x:v>
      </x:c>
      <x:c r="C647" s="22" t="str">
        <x:v>项目空间本地CSV</x:v>
      </x:c>
    </x:row>
    <x:row r="648">
      <x:c r="A648" s="47" t="n">
        <x:v>45293</x:v>
      </x:c>
      <x:c r="B648" s="48" t="n">
        <x:v>1.3479</x:v>
      </x:c>
      <x:c r="C648" s="22" t="str">
        <x:v>项目空间本地CSV</x:v>
      </x:c>
    </x:row>
    <x:row r="649">
      <x:c r="A649" s="47" t="n">
        <x:v>45291</x:v>
      </x:c>
      <x:c r="B649" s="48" t="n">
        <x:v>1.381</x:v>
      </x:c>
      <x:c r="C649" s="22" t="str">
        <x:v>项目空间本地CSV</x:v>
      </x:c>
    </x:row>
    <x:row r="650">
      <x:c r="A650" s="47" t="n">
        <x:v>45289</x:v>
      </x:c>
      <x:c r="B650" s="48" t="n">
        <x:v>1.3812</x:v>
      </x:c>
      <x:c r="C650" s="22" t="str">
        <x:v>项目空间本地CSV</x:v>
      </x:c>
    </x:row>
    <x:row r="651">
      <x:c r="A651" s="47" t="n">
        <x:v>45288</x:v>
      </x:c>
      <x:c r="B651" s="48" t="n">
        <x:v>1.3931</x:v>
      </x:c>
      <x:c r="C651" s="22" t="str">
        <x:v>项目空间本地CSV</x:v>
      </x:c>
    </x:row>
    <x:row r="652">
      <x:c r="A652" s="47" t="n">
        <x:v>45287</x:v>
      </x:c>
      <x:c r="B652" s="48" t="n">
        <x:v>1.3949</x:v>
      </x:c>
      <x:c r="C652" s="22" t="str">
        <x:v>项目空间本地CSV</x:v>
      </x:c>
    </x:row>
    <x:row r="653">
      <x:c r="A653" s="47" t="n">
        <x:v>45286</x:v>
      </x:c>
      <x:c r="B653" s="48" t="n">
        <x:v>1.3895</x:v>
      </x:c>
      <x:c r="C653" s="22" t="str">
        <x:v>项目空间本地CSV</x:v>
      </x:c>
    </x:row>
    <x:row r="654">
      <x:c r="A654" s="47" t="n">
        <x:v>45285</x:v>
      </x:c>
      <x:c r="B654" s="48" t="n">
        <x:v>1.3801</x:v>
      </x:c>
      <x:c r="C654" s="22" t="str">
        <x:v>项目空间本地CSV</x:v>
      </x:c>
    </x:row>
    <x:row r="655">
      <x:c r="A655" s="47" t="n">
        <x:v>45282</x:v>
      </x:c>
      <x:c r="B655" s="48" t="n">
        <x:v>1.3793</x:v>
      </x:c>
      <x:c r="C655" s="22" t="str">
        <x:v>项目空间本地CSV</x:v>
      </x:c>
    </x:row>
    <x:row r="656">
      <x:c r="A656" s="47" t="n">
        <x:v>45281</x:v>
      </x:c>
      <x:c r="B656" s="48" t="n">
        <x:v>1.3822</x:v>
      </x:c>
      <x:c r="C656" s="22" t="str">
        <x:v>项目空间本地CSV</x:v>
      </x:c>
    </x:row>
    <x:row r="657">
      <x:c r="A657" s="47" t="n">
        <x:v>45280</x:v>
      </x:c>
      <x:c r="B657" s="48" t="n">
        <x:v>1.3624</x:v>
      </x:c>
      <x:c r="C657" s="22" t="str">
        <x:v>项目空间本地CSV</x:v>
      </x:c>
    </x:row>
    <x:row r="658">
      <x:c r="A658" s="47" t="n">
        <x:v>45279</x:v>
      </x:c>
      <x:c r="B658" s="48" t="n">
        <x:v>1.3847</x:v>
      </x:c>
      <x:c r="C658" s="22" t="str">
        <x:v>项目空间本地CSV</x:v>
      </x:c>
    </x:row>
    <x:row r="659">
      <x:c r="A659" s="47" t="n">
        <x:v>45278</x:v>
      </x:c>
      <x:c r="B659" s="48" t="n">
        <x:v>1.3771</x:v>
      </x:c>
      <x:c r="C659" s="22" t="str">
        <x:v>项目空间本地CSV</x:v>
      </x:c>
    </x:row>
    <x:row r="660">
      <x:c r="A660" s="47" t="n">
        <x:v>45275</x:v>
      </x:c>
      <x:c r="B660" s="48" t="n">
        <x:v>1.3646</x:v>
      </x:c>
      <x:c r="C660" s="22" t="str">
        <x:v>项目空间本地CSV</x:v>
      </x:c>
    </x:row>
    <x:row r="661">
      <x:c r="A661" s="47" t="n">
        <x:v>45274</x:v>
      </x:c>
      <x:c r="B661" s="48" t="n">
        <x:v>1.3561</x:v>
      </x:c>
      <x:c r="C661" s="22" t="str">
        <x:v>项目空间本地CSV</x:v>
      </x:c>
    </x:row>
    <x:row r="662">
      <x:c r="A662" s="47" t="n">
        <x:v>45273</x:v>
      </x:c>
      <x:c r="B662" s="48" t="n">
        <x:v>1.3551</x:v>
      </x:c>
      <x:c r="C662" s="22" t="str">
        <x:v>项目空间本地CSV</x:v>
      </x:c>
    </x:row>
    <x:row r="663">
      <x:c r="A663" s="47" t="n">
        <x:v>45272</x:v>
      </x:c>
      <x:c r="B663" s="48" t="n">
        <x:v>1.3475</x:v>
      </x:c>
      <x:c r="C663" s="22" t="str">
        <x:v>项目空间本地CSV</x:v>
      </x:c>
    </x:row>
    <x:row r="664">
      <x:c r="A664" s="47" t="n">
        <x:v>45271</x:v>
      </x:c>
      <x:c r="B664" s="48" t="n">
        <x:v>1.3307</x:v>
      </x:c>
      <x:c r="C664" s="22" t="str">
        <x:v>项目空间本地CSV</x:v>
      </x:c>
    </x:row>
    <x:row r="665">
      <x:c r="A665" s="47" t="n">
        <x:v>45268</x:v>
      </x:c>
      <x:c r="B665" s="48" t="n">
        <x:v>1.322</x:v>
      </x:c>
      <x:c r="C665" s="22" t="str">
        <x:v>项目空间本地CSV</x:v>
      </x:c>
    </x:row>
    <x:row r="666">
      <x:c r="A666" s="47" t="n">
        <x:v>45267</x:v>
      </x:c>
      <x:c r="B666" s="48" t="n">
        <x:v>1.3138</x:v>
      </x:c>
      <x:c r="C666" s="22" t="str">
        <x:v>项目空间本地CSV</x:v>
      </x:c>
    </x:row>
    <x:row r="667">
      <x:c r="A667" s="47" t="n">
        <x:v>45266</x:v>
      </x:c>
      <x:c r="B667" s="48" t="n">
        <x:v>1.2788</x:v>
      </x:c>
      <x:c r="C667" s="22" t="str">
        <x:v>项目空间本地CSV</x:v>
      </x:c>
    </x:row>
    <x:row r="668">
      <x:c r="A668" s="47" t="n">
        <x:v>45265</x:v>
      </x:c>
      <x:c r="B668" s="48" t="n">
        <x:v>1.2898</x:v>
      </x:c>
      <x:c r="C668" s="22" t="str">
        <x:v>项目空间本地CSV</x:v>
      </x:c>
    </x:row>
    <x:row r="669">
      <x:c r="A669" s="47" t="n">
        <x:v>45264</x:v>
      </x:c>
      <x:c r="B669" s="48" t="n">
        <x:v>1.2801</x:v>
      </x:c>
      <x:c r="C669" s="22" t="str">
        <x:v>项目空间本地CSV</x:v>
      </x:c>
    </x:row>
    <x:row r="670">
      <x:c r="A670" s="47" t="n">
        <x:v>45261</x:v>
      </x:c>
      <x:c r="B670" s="48" t="n">
        <x:v>1.3006</x:v>
      </x:c>
      <x:c r="C670" s="22" t="str">
        <x:v>项目空间本地CSV</x:v>
      </x:c>
    </x:row>
    <x:row r="671">
      <x:c r="A671" s="47" t="n">
        <x:v>45260</x:v>
      </x:c>
      <x:c r="B671" s="48" t="n">
        <x:v>1.2995</x:v>
      </x:c>
      <x:c r="C671" s="22" t="str">
        <x:v>项目空间本地CSV</x:v>
      </x:c>
    </x:row>
    <x:row r="672">
      <x:c r="A672" s="47" t="n">
        <x:v>45259</x:v>
      </x:c>
      <x:c r="B672" s="48" t="n">
        <x:v>1.3136</x:v>
      </x:c>
      <x:c r="C672" s="22" t="str">
        <x:v>项目空间本地CSV</x:v>
      </x:c>
    </x:row>
    <x:row r="673">
      <x:c r="A673" s="47" t="n">
        <x:v>45258</x:v>
      </x:c>
      <x:c r="B673" s="48" t="n">
        <x:v>1.3215</x:v>
      </x:c>
      <x:c r="C673" s="22" t="str">
        <x:v>项目空间本地CSV</x:v>
      </x:c>
    </x:row>
    <x:row r="674">
      <x:c r="A674" s="47" t="n">
        <x:v>45257</x:v>
      </x:c>
      <x:c r="B674" s="48" t="n">
        <x:v>1.3169</x:v>
      </x:c>
      <x:c r="C674" s="22" t="str">
        <x:v>项目空间本地CSV</x:v>
      </x:c>
    </x:row>
    <x:row r="675">
      <x:c r="A675" s="47" t="n">
        <x:v>45254</x:v>
      </x:c>
      <x:c r="B675" s="48" t="n">
        <x:v>1.3187</x:v>
      </x:c>
      <x:c r="C675" s="22" t="str">
        <x:v>项目空间本地CSV</x:v>
      </x:c>
    </x:row>
    <x:row r="676">
      <x:c r="A676" s="47" t="n">
        <x:v>45253</x:v>
      </x:c>
      <x:c r="B676" s="48" t="n">
        <x:v>1.3243</x:v>
      </x:c>
      <x:c r="C676" s="22" t="str">
        <x:v>项目空间本地CSV</x:v>
      </x:c>
    </x:row>
    <x:row r="677">
      <x:c r="A677" s="47" t="n">
        <x:v>45252</x:v>
      </x:c>
      <x:c r="B677" s="48" t="n">
        <x:v>1.3251</x:v>
      </x:c>
      <x:c r="C677" s="22" t="str">
        <x:v>项目空间本地CSV</x:v>
      </x:c>
    </x:row>
    <x:row r="678">
      <x:c r="A678" s="47" t="n">
        <x:v>45251</x:v>
      </x:c>
      <x:c r="B678" s="48" t="n">
        <x:v>1.3243</x:v>
      </x:c>
      <x:c r="C678" s="22" t="str">
        <x:v>项目空间本地CSV</x:v>
      </x:c>
    </x:row>
    <x:row r="679">
      <x:c r="A679" s="47" t="n">
        <x:v>45250</x:v>
      </x:c>
      <x:c r="B679" s="48" t="n">
        <x:v>1.3359</x:v>
      </x:c>
      <x:c r="C679" s="22" t="str">
        <x:v>项目空间本地CSV</x:v>
      </x:c>
    </x:row>
    <x:row r="680">
      <x:c r="A680" s="47" t="n">
        <x:v>45247</x:v>
      </x:c>
      <x:c r="B680" s="48" t="n">
        <x:v>1.3218</x:v>
      </x:c>
      <x:c r="C680" s="22" t="str">
        <x:v>项目空间本地CSV</x:v>
      </x:c>
    </x:row>
    <x:row r="681">
      <x:c r="A681" s="47" t="n">
        <x:v>45246</x:v>
      </x:c>
      <x:c r="B681" s="48" t="n">
        <x:v>1.3212</x:v>
      </x:c>
      <x:c r="C681" s="22" t="str">
        <x:v>项目空间本地CSV</x:v>
      </x:c>
    </x:row>
    <x:row r="682">
      <x:c r="A682" s="47" t="n">
        <x:v>45245</x:v>
      </x:c>
      <x:c r="B682" s="48" t="n">
        <x:v>1.3193</x:v>
      </x:c>
      <x:c r="C682" s="22" t="str">
        <x:v>项目空间本地CSV</x:v>
      </x:c>
    </x:row>
    <x:row r="683">
      <x:c r="A683" s="47" t="n">
        <x:v>45244</x:v>
      </x:c>
      <x:c r="B683" s="48" t="n">
        <x:v>1.3228</x:v>
      </x:c>
      <x:c r="C683" s="22" t="str">
        <x:v>项目空间本地CSV</x:v>
      </x:c>
    </x:row>
    <x:row r="684">
      <x:c r="A684" s="47" t="n">
        <x:v>45243</x:v>
      </x:c>
      <x:c r="B684" s="48" t="n">
        <x:v>1.293</x:v>
      </x:c>
      <x:c r="C684" s="22" t="str">
        <x:v>项目空间本地CSV</x:v>
      </x:c>
    </x:row>
    <x:row r="685">
      <x:c r="A685" s="47" t="n">
        <x:v>45240</x:v>
      </x:c>
      <x:c r="B685" s="48" t="n">
        <x:v>1.2953</x:v>
      </x:c>
      <x:c r="C685" s="22" t="str">
        <x:v>项目空间本地CSV</x:v>
      </x:c>
    </x:row>
    <x:row r="686">
      <x:c r="A686" s="47" t="n">
        <x:v>45239</x:v>
      </x:c>
      <x:c r="B686" s="48" t="n">
        <x:v>1.2591</x:v>
      </x:c>
      <x:c r="C686" s="22" t="str">
        <x:v>项目空间本地CSV</x:v>
      </x:c>
    </x:row>
    <x:row r="687">
      <x:c r="A687" s="47" t="n">
        <x:v>45238</x:v>
      </x:c>
      <x:c r="B687" s="48" t="n">
        <x:v>1.269</x:v>
      </x:c>
      <x:c r="C687" s="22" t="str">
        <x:v>项目空间本地CSV</x:v>
      </x:c>
    </x:row>
    <x:row r="688">
      <x:c r="A688" s="47" t="n">
        <x:v>45237</x:v>
      </x:c>
      <x:c r="B688" s="48" t="n">
        <x:v>1.2621</x:v>
      </x:c>
      <x:c r="C688" s="22" t="str">
        <x:v>项目空间本地CSV</x:v>
      </x:c>
    </x:row>
    <x:row r="689">
      <x:c r="A689" s="47" t="n">
        <x:v>45236</x:v>
      </x:c>
      <x:c r="B689" s="48" t="n">
        <x:v>1.2474</x:v>
      </x:c>
      <x:c r="C689" s="22" t="str">
        <x:v>项目空间本地CSV</x:v>
      </x:c>
    </x:row>
    <x:row r="690">
      <x:c r="A690" s="47" t="n">
        <x:v>45233</x:v>
      </x:c>
      <x:c r="B690" s="48" t="n">
        <x:v>1.2417</x:v>
      </x:c>
      <x:c r="C690" s="22" t="str">
        <x:v>项目空间本地CSV</x:v>
      </x:c>
    </x:row>
    <x:row r="691">
      <x:c r="A691" s="47" t="n">
        <x:v>45232</x:v>
      </x:c>
      <x:c r="B691" s="48" t="n">
        <x:v>1.2261</x:v>
      </x:c>
      <x:c r="C691" s="22" t="str">
        <x:v>项目空间本地CSV</x:v>
      </x:c>
    </x:row>
    <x:row r="692">
      <x:c r="A692" s="47" t="n">
        <x:v>45231</x:v>
      </x:c>
      <x:c r="B692" s="48" t="n">
        <x:v>1.207</x:v>
      </x:c>
      <x:c r="C692" s="22" t="str">
        <x:v>项目空间本地CSV</x:v>
      </x:c>
    </x:row>
    <x:row r="693">
      <x:c r="A693" s="47" t="n">
        <x:v>45230</x:v>
      </x:c>
      <x:c r="B693" s="48" t="n">
        <x:v>1.1743</x:v>
      </x:c>
      <x:c r="C693" s="22" t="str">
        <x:v>项目空间本地CSV</x:v>
      </x:c>
    </x:row>
    <x:row r="694">
      <x:c r="A694" s="47" t="n">
        <x:v>45229</x:v>
      </x:c>
      <x:c r="B694" s="48" t="n">
        <x:v>1.1713</x:v>
      </x:c>
      <x:c r="C694" s="22" t="str">
        <x:v>项目空间本地CSV</x:v>
      </x:c>
    </x:row>
    <x:row r="695">
      <x:c r="A695" s="47" t="n">
        <x:v>45226</x:v>
      </x:c>
      <x:c r="B695" s="48" t="n">
        <x:v>1.1646</x:v>
      </x:c>
      <x:c r="C695" s="22" t="str">
        <x:v>项目空间本地CSV</x:v>
      </x:c>
    </x:row>
    <x:row r="696">
      <x:c r="A696" s="47" t="n">
        <x:v>45225</x:v>
      </x:c>
      <x:c r="B696" s="48" t="n">
        <x:v>1.1477</x:v>
      </x:c>
      <x:c r="C696" s="22" t="str">
        <x:v>项目空间本地CSV</x:v>
      </x:c>
    </x:row>
    <x:row r="697">
      <x:c r="A697" s="47" t="n">
        <x:v>45224</x:v>
      </x:c>
      <x:c r="B697" s="48" t="n">
        <x:v>1.1752</x:v>
      </x:c>
      <x:c r="C697" s="22" t="str">
        <x:v>项目空间本地CSV</x:v>
      </x:c>
    </x:row>
    <x:row r="698">
      <x:c r="A698" s="47" t="n">
        <x:v>45223</x:v>
      </x:c>
      <x:c r="B698" s="48" t="n">
        <x:v>1.2167</x:v>
      </x:c>
      <x:c r="C698" s="22" t="str">
        <x:v>项目空间本地CSV</x:v>
      </x:c>
    </x:row>
    <x:row r="699">
      <x:c r="A699" s="47" t="n">
        <x:v>45222</x:v>
      </x:c>
      <x:c r="B699" s="48" t="n">
        <x:v>1.2044</x:v>
      </x:c>
      <x:c r="C699" s="22" t="str">
        <x:v>项目空间本地CSV</x:v>
      </x:c>
    </x:row>
    <x:row r="700">
      <x:c r="A700" s="47" t="n">
        <x:v>45219</x:v>
      </x:c>
      <x:c r="B700" s="48" t="n">
        <x:v>1.1953</x:v>
      </x:c>
      <x:c r="C700" s="22" t="str">
        <x:v>项目空间本地CSV</x:v>
      </x:c>
    </x:row>
    <x:row r="701">
      <x:c r="A701" s="47" t="n">
        <x:v>45218</x:v>
      </x:c>
      <x:c r="B701" s="48" t="n">
        <x:v>1.2154</x:v>
      </x:c>
      <x:c r="C701" s="22" t="str">
        <x:v>项目空间本地CSV</x:v>
      </x:c>
    </x:row>
    <x:row r="702">
      <x:c r="A702" s="47" t="n">
        <x:v>45217</x:v>
      </x:c>
      <x:c r="B702" s="48" t="n">
        <x:v>1.234</x:v>
      </x:c>
      <x:c r="C702" s="22" t="str">
        <x:v>项目空间本地CSV</x:v>
      </x:c>
    </x:row>
    <x:row r="703">
      <x:c r="A703" s="47" t="n">
        <x:v>45216</x:v>
      </x:c>
      <x:c r="B703" s="48" t="n">
        <x:v>1.2565</x:v>
      </x:c>
      <x:c r="C703" s="22" t="str">
        <x:v>项目空间本地CSV</x:v>
      </x:c>
    </x:row>
    <x:row r="704">
      <x:c r="A704" s="47" t="n">
        <x:v>45215</x:v>
      </x:c>
      <x:c r="B704" s="48" t="n">
        <x:v>1.2656</x:v>
      </x:c>
      <x:c r="C704" s="22" t="str">
        <x:v>项目空间本地CSV</x:v>
      </x:c>
    </x:row>
    <x:row r="705">
      <x:c r="A705" s="47" t="n">
        <x:v>45212</x:v>
      </x:c>
      <x:c r="B705" s="48" t="n">
        <x:v>1.2491</x:v>
      </x:c>
      <x:c r="C705" s="22" t="str">
        <x:v>项目空间本地CSV</x:v>
      </x:c>
    </x:row>
    <x:row r="706">
      <x:c r="A706" s="47" t="n">
        <x:v>45211</x:v>
      </x:c>
      <x:c r="B706" s="48" t="n">
        <x:v>1.2759</x:v>
      </x:c>
      <x:c r="C706" s="22" t="str">
        <x:v>项目空间本地CSV</x:v>
      </x:c>
    </x:row>
    <x:row r="707">
      <x:c r="A707" s="47" t="n">
        <x:v>45210</x:v>
      </x:c>
      <x:c r="B707" s="48" t="n">
        <x:v>1.2728</x:v>
      </x:c>
      <x:c r="C707" s="22" t="str">
        <x:v>项目空间本地CSV</x:v>
      </x:c>
    </x:row>
    <x:row r="708">
      <x:c r="A708" s="47" t="n">
        <x:v>45209</x:v>
      </x:c>
      <x:c r="B708" s="48" t="n">
        <x:v>1.2572</x:v>
      </x:c>
      <x:c r="C708" s="22" t="str">
        <x:v>项目空间本地CSV</x:v>
      </x:c>
    </x:row>
    <x:row r="709">
      <x:c r="A709" s="47" t="n">
        <x:v>45208</x:v>
      </x:c>
      <x:c r="B709" s="48" t="n">
        <x:v>1.2497</x:v>
      </x:c>
      <x:c r="C709" s="22" t="str">
        <x:v>项目空间本地CSV</x:v>
      </x:c>
    </x:row>
    <x:row r="710">
      <x:c r="A710" s="47" t="n">
        <x:v>45197</x:v>
      </x:c>
      <x:c r="B710" s="48" t="n">
        <x:v>1.206</x:v>
      </x:c>
      <x:c r="C710" s="22" t="str">
        <x:v>项目空间本地CSV</x:v>
      </x:c>
    </x:row>
    <x:row r="711">
      <x:c r="A711" s="47" t="n">
        <x:v>45196</x:v>
      </x:c>
      <x:c r="B711" s="48" t="n">
        <x:v>1.188</x:v>
      </x:c>
      <x:c r="C711" s="22" t="str">
        <x:v>项目空间本地CSV</x:v>
      </x:c>
    </x:row>
    <x:row r="712">
      <x:c r="A712" s="47" t="n">
        <x:v>45195</x:v>
      </x:c>
      <x:c r="B712" s="48" t="n">
        <x:v>1.185</x:v>
      </x:c>
      <x:c r="C712" s="22" t="str">
        <x:v>项目空间本地CSV</x:v>
      </x:c>
    </x:row>
    <x:row r="713">
      <x:c r="A713" s="47" t="n">
        <x:v>45194</x:v>
      </x:c>
      <x:c r="B713" s="48" t="n">
        <x:v>1.2062</x:v>
      </x:c>
      <x:c r="C713" s="22" t="str">
        <x:v>项目空间本地CSV</x:v>
      </x:c>
    </x:row>
    <x:row r="714">
      <x:c r="A714" s="47" t="n">
        <x:v>45191</x:v>
      </x:c>
      <x:c r="B714" s="48" t="n">
        <x:v>1.1966</x:v>
      </x:c>
      <x:c r="C714" s="22" t="str">
        <x:v>项目空间本地CSV</x:v>
      </x:c>
    </x:row>
    <x:row r="715">
      <x:c r="A715" s="47" t="n">
        <x:v>45190</x:v>
      </x:c>
      <x:c r="B715" s="48" t="n">
        <x:v>1.195</x:v>
      </x:c>
      <x:c r="C715" s="22" t="str">
        <x:v>项目空间本地CSV</x:v>
      </x:c>
    </x:row>
    <x:row r="716">
      <x:c r="A716" s="47" t="n">
        <x:v>45189</x:v>
      </x:c>
      <x:c r="B716" s="48" t="n">
        <x:v>1.2213</x:v>
      </x:c>
      <x:c r="C716" s="22" t="str">
        <x:v>项目空间本地CSV</x:v>
      </x:c>
    </x:row>
    <x:row r="717">
      <x:c r="A717" s="47" t="n">
        <x:v>45188</x:v>
      </x:c>
      <x:c r="B717" s="48" t="n">
        <x:v>1.2442</x:v>
      </x:c>
      <x:c r="C717" s="22" t="str">
        <x:v>项目空间本地CSV</x:v>
      </x:c>
    </x:row>
    <x:row r="718">
      <x:c r="A718" s="47" t="n">
        <x:v>45187</x:v>
      </x:c>
      <x:c r="B718" s="48" t="n">
        <x:v>1.246</x:v>
      </x:c>
      <x:c r="C718" s="22" t="str">
        <x:v>项目空间本地CSV</x:v>
      </x:c>
    </x:row>
    <x:row r="719">
      <x:c r="A719" s="47" t="n">
        <x:v>45184</x:v>
      </x:c>
      <x:c r="B719" s="48" t="n">
        <x:v>1.2471</x:v>
      </x:c>
      <x:c r="C719" s="22" t="str">
        <x:v>项目空间本地CSV</x:v>
      </x:c>
    </x:row>
    <x:row r="720">
      <x:c r="A720" s="47" t="n">
        <x:v>45183</x:v>
      </x:c>
      <x:c r="B720" s="48" t="n">
        <x:v>1.2777</x:v>
      </x:c>
      <x:c r="C720" s="22" t="str">
        <x:v>项目空间本地CSV</x:v>
      </x:c>
    </x:row>
    <x:row r="721">
      <x:c r="A721" s="47" t="n">
        <x:v>45182</x:v>
      </x:c>
      <x:c r="B721" s="48" t="n">
        <x:v>1.2691</x:v>
      </x:c>
      <x:c r="C721" s="22" t="str">
        <x:v>项目空间本地CSV</x:v>
      </x:c>
    </x:row>
    <x:row r="722">
      <x:c r="A722" s="47" t="n">
        <x:v>45181</x:v>
      </x:c>
      <x:c r="B722" s="48" t="n">
        <x:v>1.2594</x:v>
      </x:c>
      <x:c r="C722" s="22" t="str">
        <x:v>项目空间本地CSV</x:v>
      </x:c>
    </x:row>
    <x:row r="723">
      <x:c r="A723" s="47" t="n">
        <x:v>45180</x:v>
      </x:c>
      <x:c r="B723" s="48" t="n">
        <x:v>1.2815</x:v>
      </x:c>
      <x:c r="C723" s="22" t="str">
        <x:v>项目空间本地CSV</x:v>
      </x:c>
    </x:row>
    <x:row r="724">
      <x:c r="A724" s="47" t="n">
        <x:v>45177</x:v>
      </x:c>
      <x:c r="B724" s="48" t="n">
        <x:v>1.26</x:v>
      </x:c>
      <x:c r="C724" s="22" t="str">
        <x:v>项目空间本地CSV</x:v>
      </x:c>
    </x:row>
    <x:row r="725">
      <x:c r="A725" s="47" t="n">
        <x:v>45176</x:v>
      </x:c>
      <x:c r="B725" s="48" t="n">
        <x:v>1.258</x:v>
      </x:c>
      <x:c r="C725" s="22" t="str">
        <x:v>项目空间本地CSV</x:v>
      </x:c>
    </x:row>
    <x:row r="726">
      <x:c r="A726" s="47" t="n">
        <x:v>45175</x:v>
      </x:c>
      <x:c r="B726" s="48" t="n">
        <x:v>1.2678</x:v>
      </x:c>
      <x:c r="C726" s="22" t="str">
        <x:v>项目空间本地CSV</x:v>
      </x:c>
    </x:row>
    <x:row r="727">
      <x:c r="A727" s="47" t="n">
        <x:v>45174</x:v>
      </x:c>
      <x:c r="B727" s="48" t="n">
        <x:v>1.2794</x:v>
      </x:c>
      <x:c r="C727" s="22" t="str">
        <x:v>项目空间本地CSV</x:v>
      </x:c>
    </x:row>
    <x:row r="728">
      <x:c r="A728" s="47" t="n">
        <x:v>45173</x:v>
      </x:c>
      <x:c r="B728" s="48" t="n">
        <x:v>1.2713</x:v>
      </x:c>
      <x:c r="C728" s="22" t="str">
        <x:v>项目空间本地CSV</x:v>
      </x:c>
    </x:row>
    <x:row r="729">
      <x:c r="A729" s="47" t="n">
        <x:v>45170</x:v>
      </x:c>
      <x:c r="B729" s="48" t="n">
        <x:v>1.2715</x:v>
      </x:c>
      <x:c r="C729" s="22" t="str">
        <x:v>项目空间本地CSV</x:v>
      </x:c>
    </x:row>
    <x:row r="730">
      <x:c r="A730" s="47" t="n">
        <x:v>45169</x:v>
      </x:c>
      <x:c r="B730" s="48" t="n">
        <x:v>1.2836</x:v>
      </x:c>
      <x:c r="C730" s="22" t="str">
        <x:v>项目空间本地CSV</x:v>
      </x:c>
    </x:row>
    <x:row r="731">
      <x:c r="A731" s="47" t="n">
        <x:v>45168</x:v>
      </x:c>
      <x:c r="B731" s="48" t="n">
        <x:v>1.2745</x:v>
      </x:c>
      <x:c r="C731" s="22" t="str">
        <x:v>项目空间本地CSV</x:v>
      </x:c>
    </x:row>
    <x:row r="732">
      <x:c r="A732" s="47" t="n">
        <x:v>45167</x:v>
      </x:c>
      <x:c r="B732" s="48" t="n">
        <x:v>1.269</x:v>
      </x:c>
      <x:c r="C732" s="22" t="str">
        <x:v>项目空间本地CSV</x:v>
      </x:c>
    </x:row>
    <x:row r="733">
      <x:c r="A733" s="47" t="n">
        <x:v>45166</x:v>
      </x:c>
      <x:c r="B733" s="48" t="n">
        <x:v>1.2352</x:v>
      </x:c>
      <x:c r="C733" s="22" t="str">
        <x:v>项目空间本地CSV</x:v>
      </x:c>
    </x:row>
    <x:row r="734">
      <x:c r="A734" s="47" t="n">
        <x:v>45163</x:v>
      </x:c>
      <x:c r="B734" s="48" t="n">
        <x:v>1.2272</x:v>
      </x:c>
      <x:c r="C734" s="22" t="str">
        <x:v>项目空间本地CSV</x:v>
      </x:c>
    </x:row>
    <x:row r="735">
      <x:c r="A735" s="47" t="n">
        <x:v>45162</x:v>
      </x:c>
      <x:c r="B735" s="48" t="n">
        <x:v>1.2199</x:v>
      </x:c>
      <x:c r="C735" s="22" t="str">
        <x:v>项目空间本地CSV</x:v>
      </x:c>
    </x:row>
    <x:row r="736">
      <x:c r="A736" s="47" t="n">
        <x:v>45161</x:v>
      </x:c>
      <x:c r="B736" s="48" t="n">
        <x:v>1.2492</x:v>
      </x:c>
      <x:c r="C736" s="22" t="str">
        <x:v>项目空间本地CSV</x:v>
      </x:c>
    </x:row>
    <x:row r="737">
      <x:c r="A737" s="47" t="n">
        <x:v>45160</x:v>
      </x:c>
      <x:c r="B737" s="48" t="n">
        <x:v>1.2237</x:v>
      </x:c>
      <x:c r="C737" s="22" t="str">
        <x:v>项目空间本地CSV</x:v>
      </x:c>
    </x:row>
    <x:row r="738">
      <x:c r="A738" s="47" t="n">
        <x:v>45159</x:v>
      </x:c>
      <x:c r="B738" s="48" t="n">
        <x:v>1.2278</x:v>
      </x:c>
      <x:c r="C738" s="22" t="str">
        <x:v>项目空间本地CSV</x:v>
      </x:c>
    </x:row>
    <x:row r="739">
      <x:c r="A739" s="47" t="n">
        <x:v>45156</x:v>
      </x:c>
      <x:c r="B739" s="48" t="n">
        <x:v>1.1951</x:v>
      </x:c>
      <x:c r="C739" s="22" t="str">
        <x:v>项目空间本地CSV</x:v>
      </x:c>
    </x:row>
    <x:row r="740">
      <x:c r="A740" s="47" t="n">
        <x:v>45155</x:v>
      </x:c>
      <x:c r="B740" s="48" t="n">
        <x:v>1.1997</x:v>
      </x:c>
      <x:c r="C740" s="22" t="str">
        <x:v>项目空间本地CSV</x:v>
      </x:c>
    </x:row>
    <x:row r="741">
      <x:c r="A741" s="47" t="n">
        <x:v>45154</x:v>
      </x:c>
      <x:c r="B741" s="48" t="n">
        <x:v>1.2149</x:v>
      </x:c>
      <x:c r="C741" s="22" t="str">
        <x:v>项目空间本地CSV</x:v>
      </x:c>
    </x:row>
    <x:row r="742">
      <x:c r="A742" s="47" t="n">
        <x:v>45153</x:v>
      </x:c>
      <x:c r="B742" s="48" t="n">
        <x:v>1.2341</x:v>
      </x:c>
      <x:c r="C742" s="22" t="str">
        <x:v>项目空间本地CSV</x:v>
      </x:c>
    </x:row>
    <x:row r="743">
      <x:c r="A743" s="47" t="n">
        <x:v>45152</x:v>
      </x:c>
      <x:c r="B743" s="48" t="n">
        <x:v>1.2467</x:v>
      </x:c>
      <x:c r="C743" s="22" t="str">
        <x:v>项目空间本地CSV</x:v>
      </x:c>
    </x:row>
    <x:row r="744">
      <x:c r="A744" s="47" t="n">
        <x:v>45149</x:v>
      </x:c>
      <x:c r="B744" s="48" t="n">
        <x:v>1.2247</x:v>
      </x:c>
      <x:c r="C744" s="22" t="str">
        <x:v>项目空间本地CSV</x:v>
      </x:c>
    </x:row>
    <x:row r="745">
      <x:c r="A745" s="47" t="n">
        <x:v>45148</x:v>
      </x:c>
      <x:c r="B745" s="48" t="n">
        <x:v>1.2369</x:v>
      </x:c>
      <x:c r="C745" s="22" t="str">
        <x:v>项目空间本地CSV</x:v>
      </x:c>
    </x:row>
    <x:row r="746">
      <x:c r="A746" s="47" t="n">
        <x:v>45147</x:v>
      </x:c>
      <x:c r="B746" s="48" t="n">
        <x:v>1.2331</x:v>
      </x:c>
      <x:c r="C746" s="22" t="str">
        <x:v>项目空间本地CSV</x:v>
      </x:c>
    </x:row>
    <x:row r="747">
      <x:c r="A747" s="47" t="n">
        <x:v>45146</x:v>
      </x:c>
      <x:c r="B747" s="48" t="n">
        <x:v>1.257</x:v>
      </x:c>
      <x:c r="C747" s="22" t="str">
        <x:v>项目空间本地CSV</x:v>
      </x:c>
    </x:row>
    <x:row r="748">
      <x:c r="A748" s="47" t="n">
        <x:v>45145</x:v>
      </x:c>
      <x:c r="B748" s="48" t="n">
        <x:v>1.2699</x:v>
      </x:c>
      <x:c r="C748" s="22" t="str">
        <x:v>项目空间本地CSV</x:v>
      </x:c>
    </x:row>
    <x:row r="749">
      <x:c r="A749" s="47" t="n">
        <x:v>45142</x:v>
      </x:c>
      <x:c r="B749" s="48" t="n">
        <x:v>1.2581</x:v>
      </x:c>
      <x:c r="C749" s="22" t="str">
        <x:v>项目空间本地CSV</x:v>
      </x:c>
    </x:row>
    <x:row r="750">
      <x:c r="A750" s="47" t="n">
        <x:v>45141</x:v>
      </x:c>
      <x:c r="B750" s="48" t="n">
        <x:v>1.2616</x:v>
      </x:c>
      <x:c r="C750" s="22" t="str">
        <x:v>项目空间本地CSV</x:v>
      </x:c>
    </x:row>
    <x:row r="751">
      <x:c r="A751" s="47" t="n">
        <x:v>45140</x:v>
      </x:c>
      <x:c r="B751" s="48" t="n">
        <x:v>1.2581</x:v>
      </x:c>
      <x:c r="C751" s="22" t="str">
        <x:v>项目空间本地CSV</x:v>
      </x:c>
    </x:row>
    <x:row r="752">
      <x:c r="A752" s="47" t="n">
        <x:v>45139</x:v>
      </x:c>
      <x:c r="B752" s="48" t="n">
        <x:v>1.296</x:v>
      </x:c>
      <x:c r="C752" s="22" t="str">
        <x:v>项目空间本地CSV</x:v>
      </x:c>
    </x:row>
    <x:row r="753">
      <x:c r="A753" s="47" t="n">
        <x:v>45138</x:v>
      </x:c>
      <x:c r="B753" s="48" t="n">
        <x:v>1.2993</x:v>
      </x:c>
      <x:c r="C753" s="22" t="str">
        <x:v>项目空间本地CSV</x:v>
      </x:c>
    </x:row>
    <x:row r="754">
      <x:c r="A754" s="47" t="n">
        <x:v>45135</x:v>
      </x:c>
      <x:c r="B754" s="48" t="n">
        <x:v>1.295</x:v>
      </x:c>
      <x:c r="C754" s="22" t="str">
        <x:v>项目空间本地CSV</x:v>
      </x:c>
    </x:row>
    <x:row r="755">
      <x:c r="A755" s="47" t="n">
        <x:v>45134</x:v>
      </x:c>
      <x:c r="B755" s="48" t="n">
        <x:v>1.2647</x:v>
      </x:c>
      <x:c r="C755" s="22" t="str">
        <x:v>项目空间本地CSV</x:v>
      </x:c>
    </x:row>
    <x:row r="756">
      <x:c r="A756" s="47" t="n">
        <x:v>45133</x:v>
      </x:c>
      <x:c r="B756" s="48" t="n">
        <x:v>1.2645</x:v>
      </x:c>
      <x:c r="C756" s="22" t="str">
        <x:v>项目空间本地CSV</x:v>
      </x:c>
    </x:row>
    <x:row r="757">
      <x:c r="A757" s="47" t="n">
        <x:v>45132</x:v>
      </x:c>
      <x:c r="B757" s="48" t="n">
        <x:v>1.2697</x:v>
      </x:c>
      <x:c r="C757" s="22" t="str">
        <x:v>项目空间本地CSV</x:v>
      </x:c>
    </x:row>
    <x:row r="758">
      <x:c r="A758" s="47" t="n">
        <x:v>45131</x:v>
      </x:c>
      <x:c r="B758" s="48" t="n">
        <x:v>1.262</x:v>
      </x:c>
      <x:c r="C758" s="22" t="str">
        <x:v>项目空间本地CSV</x:v>
      </x:c>
    </x:row>
    <x:row r="759">
      <x:c r="A759" s="47" t="n">
        <x:v>45128</x:v>
      </x:c>
      <x:c r="B759" s="48" t="n">
        <x:v>1.2586</x:v>
      </x:c>
      <x:c r="C759" s="22" t="str">
        <x:v>项目空间本地CSV</x:v>
      </x:c>
    </x:row>
    <x:row r="760">
      <x:c r="A760" s="47" t="n">
        <x:v>45127</x:v>
      </x:c>
      <x:c r="B760" s="48" t="n">
        <x:v>1.2663</x:v>
      </x:c>
      <x:c r="C760" s="22" t="str">
        <x:v>项目空间本地CSV</x:v>
      </x:c>
    </x:row>
    <x:row r="761">
      <x:c r="A761" s="47" t="n">
        <x:v>45126</x:v>
      </x:c>
      <x:c r="B761" s="48" t="n">
        <x:v>1.3103</x:v>
      </x:c>
      <x:c r="C761" s="22" t="str">
        <x:v>项目空间本地CSV</x:v>
      </x:c>
    </x:row>
    <x:row r="762">
      <x:c r="A762" s="47" t="n">
        <x:v>45125</x:v>
      </x:c>
      <x:c r="B762" s="48" t="n">
        <x:v>1.3121</x:v>
      </x:c>
      <x:c r="C762" s="22" t="str">
        <x:v>项目空间本地CSV</x:v>
      </x:c>
    </x:row>
    <x:row r="763">
      <x:c r="A763" s="47" t="n">
        <x:v>45124</x:v>
      </x:c>
      <x:c r="B763" s="48" t="n">
        <x:v>1.2987</x:v>
      </x:c>
      <x:c r="C763" s="22" t="str">
        <x:v>项目空间本地CSV</x:v>
      </x:c>
    </x:row>
    <x:row r="764">
      <x:c r="A764" s="47" t="n">
        <x:v>45121</x:v>
      </x:c>
      <x:c r="B764" s="48" t="n">
        <x:v>1.2837</x:v>
      </x:c>
      <x:c r="C764" s="22" t="str">
        <x:v>项目空间本地CSV</x:v>
      </x:c>
    </x:row>
    <x:row r="765">
      <x:c r="A765" s="47" t="n">
        <x:v>45120</x:v>
      </x:c>
      <x:c r="B765" s="48" t="n">
        <x:v>1.2909</x:v>
      </x:c>
      <x:c r="C765" s="22" t="str">
        <x:v>项目空间本地CSV</x:v>
      </x:c>
    </x:row>
    <x:row r="766">
      <x:c r="A766" s="47" t="n">
        <x:v>45119</x:v>
      </x:c>
      <x:c r="B766" s="48" t="n">
        <x:v>1.2675</x:v>
      </x:c>
      <x:c r="C766" s="22" t="str">
        <x:v>项目空间本地CSV</x:v>
      </x:c>
    </x:row>
    <x:row r="767">
      <x:c r="A767" s="47" t="n">
        <x:v>45118</x:v>
      </x:c>
      <x:c r="B767" s="48" t="n">
        <x:v>1.2513</x:v>
      </x:c>
      <x:c r="C767" s="22" t="str">
        <x:v>项目空间本地CSV</x:v>
      </x:c>
    </x:row>
    <x:row r="768">
      <x:c r="A768" s="47" t="n">
        <x:v>45117</x:v>
      </x:c>
      <x:c r="B768" s="48" t="n">
        <x:v>1.248</x:v>
      </x:c>
      <x:c r="C768" s="22" t="str">
        <x:v>项目空间本地CSV</x:v>
      </x:c>
    </x:row>
    <x:row r="769">
      <x:c r="A769" s="47" t="n">
        <x:v>45114</x:v>
      </x:c>
      <x:c r="B769" s="48" t="n">
        <x:v>1.2532</x:v>
      </x:c>
      <x:c r="C769" s="22" t="str">
        <x:v>项目空间本地CSV</x:v>
      </x:c>
    </x:row>
    <x:row r="770">
      <x:c r="A770" s="47" t="n">
        <x:v>45113</x:v>
      </x:c>
      <x:c r="B770" s="48" t="n">
        <x:v>1.2563</x:v>
      </x:c>
      <x:c r="C770" s="22" t="str">
        <x:v>项目空间本地CSV</x:v>
      </x:c>
    </x:row>
    <x:row r="771">
      <x:c r="A771" s="47" t="n">
        <x:v>45112</x:v>
      </x:c>
      <x:c r="B771" s="48" t="n">
        <x:v>1.267</x:v>
      </x:c>
      <x:c r="C771" s="22" t="str">
        <x:v>项目空间本地CSV</x:v>
      </x:c>
    </x:row>
    <x:row r="772">
      <x:c r="A772" s="47" t="n">
        <x:v>45111</x:v>
      </x:c>
      <x:c r="B772" s="48" t="n">
        <x:v>1.2636</x:v>
      </x:c>
      <x:c r="C772" s="22" t="str">
        <x:v>项目空间本地CSV</x:v>
      </x:c>
    </x:row>
    <x:row r="773">
      <x:c r="A773" s="47" t="n">
        <x:v>45110</x:v>
      </x:c>
      <x:c r="B773" s="48" t="n">
        <x:v>1.2652</x:v>
      </x:c>
      <x:c r="C773" s="22" t="str">
        <x:v>项目空间本地CSV</x:v>
      </x:c>
    </x:row>
    <x:row r="774">
      <x:c r="A774" s="47" t="n">
        <x:v>45107</x:v>
      </x:c>
      <x:c r="B774" s="48" t="n">
        <x:v>1.2569</x:v>
      </x:c>
      <x:c r="C774" s="22" t="str">
        <x:v>项目空间本地CSV</x:v>
      </x:c>
    </x:row>
    <x:row r="775">
      <x:c r="A775" s="47" t="n">
        <x:v>45106</x:v>
      </x:c>
      <x:c r="B775" s="48" t="n">
        <x:v>1.2331</x:v>
      </x:c>
      <x:c r="C775" s="22" t="str">
        <x:v>项目空间本地CSV</x:v>
      </x:c>
    </x:row>
    <x:row r="776">
      <x:c r="A776" s="47" t="n">
        <x:v>45105</x:v>
      </x:c>
      <x:c r="B776" s="48" t="n">
        <x:v>1.2318</x:v>
      </x:c>
      <x:c r="C776" s="22" t="str">
        <x:v>项目空间本地CSV</x:v>
      </x:c>
    </x:row>
    <x:row r="777">
      <x:c r="A777" s="47" t="n">
        <x:v>45104</x:v>
      </x:c>
      <x:c r="B777" s="48" t="n">
        <x:v>1.2278</x:v>
      </x:c>
      <x:c r="C777" s="22" t="str">
        <x:v>项目空间本地CSV</x:v>
      </x:c>
    </x:row>
    <x:row r="778">
      <x:c r="A778" s="47" t="n">
        <x:v>45103</x:v>
      </x:c>
      <x:c r="B778" s="48" t="n">
        <x:v>1.2026</x:v>
      </x:c>
      <x:c r="C778" s="22" t="str">
        <x:v>项目空间本地CSV</x:v>
      </x:c>
    </x:row>
    <x:row r="779">
      <x:c r="A779" s="47" t="n">
        <x:v>45098</x:v>
      </x:c>
      <x:c r="B779" s="48" t="n">
        <x:v>1.2235</x:v>
      </x:c>
      <x:c r="C779" s="22" t="str">
        <x:v>项目空间本地CSV</x:v>
      </x:c>
    </x:row>
    <x:row r="780">
      <x:c r="A780" s="47" t="n">
        <x:v>45097</x:v>
      </x:c>
      <x:c r="B780" s="48" t="n">
        <x:v>1.2516</x:v>
      </x:c>
      <x:c r="C780" s="22" t="str">
        <x:v>项目空间本地CSV</x:v>
      </x:c>
    </x:row>
    <x:row r="781">
      <x:c r="A781" s="47" t="n">
        <x:v>45096</x:v>
      </x:c>
      <x:c r="B781" s="48" t="n">
        <x:v>1.2436</x:v>
      </x:c>
      <x:c r="C781" s="22" t="str">
        <x:v>项目空间本地CSV</x:v>
      </x:c>
    </x:row>
    <x:row r="782">
      <x:c r="A782" s="47" t="n">
        <x:v>45093</x:v>
      </x:c>
      <x:c r="B782" s="48" t="n">
        <x:v>1.2454</x:v>
      </x:c>
      <x:c r="C782" s="22" t="str">
        <x:v>项目空间本地CSV</x:v>
      </x:c>
    </x:row>
    <x:row r="783">
      <x:c r="A783" s="47" t="n">
        <x:v>45092</x:v>
      </x:c>
      <x:c r="B783" s="48" t="n">
        <x:v>1.2575</x:v>
      </x:c>
      <x:c r="C783" s="22" t="str">
        <x:v>项目空间本地CSV</x:v>
      </x:c>
    </x:row>
    <x:row r="784">
      <x:c r="A784" s="47" t="n">
        <x:v>45091</x:v>
      </x:c>
      <x:c r="B784" s="48" t="n">
        <x:v>1.2524</x:v>
      </x:c>
      <x:c r="C784" s="22" t="str">
        <x:v>项目空间本地CSV</x:v>
      </x:c>
    </x:row>
    <x:row r="785">
      <x:c r="A785" s="47" t="n">
        <x:v>45090</x:v>
      </x:c>
      <x:c r="B785" s="48" t="n">
        <x:v>1.2415</x:v>
      </x:c>
      <x:c r="C785" s="22" t="str">
        <x:v>项目空间本地CSV</x:v>
      </x:c>
    </x:row>
    <x:row r="786">
      <x:c r="A786" s="47" t="n">
        <x:v>45089</x:v>
      </x:c>
      <x:c r="B786" s="48" t="n">
        <x:v>1.2267</x:v>
      </x:c>
      <x:c r="C786" s="22" t="str">
        <x:v>项目空间本地CSV</x:v>
      </x:c>
    </x:row>
    <x:row r="787">
      <x:c r="A787" s="47" t="n">
        <x:v>45086</x:v>
      </x:c>
      <x:c r="B787" s="48" t="n">
        <x:v>1.2031</x:v>
      </x:c>
      <x:c r="C787" s="22" t="str">
        <x:v>项目空间本地CSV</x:v>
      </x:c>
    </x:row>
    <x:row r="788">
      <x:c r="A788" s="47" t="n">
        <x:v>45085</x:v>
      </x:c>
      <x:c r="B788" s="48" t="n">
        <x:v>1.1962</x:v>
      </x:c>
      <x:c r="C788" s="22" t="str">
        <x:v>项目空间本地CSV</x:v>
      </x:c>
    </x:row>
    <x:row r="789">
      <x:c r="A789" s="47" t="n">
        <x:v>45084</x:v>
      </x:c>
      <x:c r="B789" s="48" t="n">
        <x:v>1.1749</x:v>
      </x:c>
      <x:c r="C789" s="22" t="str">
        <x:v>项目空间本地CSV</x:v>
      </x:c>
    </x:row>
    <x:row r="790">
      <x:c r="A790" s="47" t="n">
        <x:v>45083</x:v>
      </x:c>
      <x:c r="B790" s="48" t="n">
        <x:v>1.2034</x:v>
      </x:c>
      <x:c r="C790" s="22" t="str">
        <x:v>项目空间本地CSV</x:v>
      </x:c>
    </x:row>
    <x:row r="791">
      <x:c r="A791" s="47" t="n">
        <x:v>45082</x:v>
      </x:c>
      <x:c r="B791" s="48" t="n">
        <x:v>1.1962</x:v>
      </x:c>
      <x:c r="C791" s="22" t="str">
        <x:v>项目空间本地CSV</x:v>
      </x:c>
    </x:row>
    <x:row r="792">
      <x:c r="A792" s="47" t="n">
        <x:v>45079</x:v>
      </x:c>
      <x:c r="B792" s="48" t="n">
        <x:v>1.193</x:v>
      </x:c>
      <x:c r="C792" s="22" t="str">
        <x:v>项目空间本地CSV</x:v>
      </x:c>
    </x:row>
    <x:row r="793">
      <x:c r="A793" s="47" t="n">
        <x:v>45078</x:v>
      </x:c>
      <x:c r="B793" s="48" t="n">
        <x:v>1.192</x:v>
      </x:c>
      <x:c r="C793" s="22" t="str">
        <x:v>项目空间本地CSV</x:v>
      </x:c>
    </x:row>
    <x:row r="794">
      <x:c r="A794" s="47" t="n">
        <x:v>45077</x:v>
      </x:c>
      <x:c r="B794" s="48" t="n">
        <x:v>1.1724</x:v>
      </x:c>
      <x:c r="C794" s="22" t="str">
        <x:v>项目空间本地CSV</x:v>
      </x:c>
    </x:row>
    <x:row r="795">
      <x:c r="A795" s="47" t="n">
        <x:v>45076</x:v>
      </x:c>
      <x:c r="B795" s="48" t="n">
        <x:v>1.187</x:v>
      </x:c>
      <x:c r="C795" s="22" t="str">
        <x:v>项目空间本地CSV</x:v>
      </x:c>
    </x:row>
    <x:row r="796">
      <x:c r="A796" s="47" t="n">
        <x:v>45075</x:v>
      </x:c>
      <x:c r="B796" s="48" t="n">
        <x:v>1.1729</x:v>
      </x:c>
      <x:c r="C796" s="22" t="str">
        <x:v>项目空间本地CSV</x:v>
      </x:c>
    </x:row>
    <x:row r="797">
      <x:c r="A797" s="47" t="n">
        <x:v>45072</x:v>
      </x:c>
      <x:c r="B797" s="48" t="n">
        <x:v>1.1766</x:v>
      </x:c>
      <x:c r="C797" s="22" t="str">
        <x:v>项目空间本地CSV</x:v>
      </x:c>
    </x:row>
    <x:row r="798">
      <x:c r="A798" s="47" t="n">
        <x:v>45071</x:v>
      </x:c>
      <x:c r="B798" s="48" t="n">
        <x:v>1.1394</x:v>
      </x:c>
      <x:c r="C798" s="22" t="str">
        <x:v>项目空间本地CSV</x:v>
      </x:c>
    </x:row>
    <x:row r="799">
      <x:c r="A799" s="47" t="n">
        <x:v>45070</x:v>
      </x:c>
      <x:c r="B799" s="48" t="n">
        <x:v>1.0917</x:v>
      </x:c>
      <x:c r="C799" s="22" t="str">
        <x:v>项目空间本地CSV</x:v>
      </x:c>
    </x:row>
    <x:row r="800">
      <x:c r="A800" s="47" t="n">
        <x:v>45069</x:v>
      </x:c>
      <x:c r="B800" s="48" t="n">
        <x:v>1.0926</x:v>
      </x:c>
      <x:c r="C800" s="22" t="str">
        <x:v>项目空间本地CSV</x:v>
      </x:c>
    </x:row>
    <x:row r="801">
      <x:c r="A801" s="47" t="n">
        <x:v>45068</x:v>
      </x:c>
      <x:c r="B801" s="48" t="n">
        <x:v>1.1026</x:v>
      </x:c>
      <x:c r="C801" s="22" t="str">
        <x:v>项目空间本地CSV</x:v>
      </x:c>
    </x:row>
    <x:row r="802">
      <x:c r="A802" s="47" t="n">
        <x:v>45065</x:v>
      </x:c>
      <x:c r="B802" s="48" t="n">
        <x:v>1.0963</x:v>
      </x:c>
      <x:c r="C802" s="22" t="str">
        <x:v>项目空间本地CSV</x:v>
      </x:c>
    </x:row>
    <x:row r="803">
      <x:c r="A803" s="47" t="n">
        <x:v>45064</x:v>
      </x:c>
      <x:c r="B803" s="48" t="n">
        <x:v>1.0941</x:v>
      </x:c>
      <x:c r="C803" s="22" t="str">
        <x:v>项目空间本地CSV</x:v>
      </x:c>
    </x:row>
    <x:row r="804">
      <x:c r="A804" s="47" t="n">
        <x:v>45063</x:v>
      </x:c>
      <x:c r="B804" s="48" t="n">
        <x:v>1.0629</x:v>
      </x:c>
      <x:c r="C804" s="22" t="str">
        <x:v>项目空间本地CSV</x:v>
      </x:c>
    </x:row>
    <x:row r="805">
      <x:c r="A805" s="47" t="n">
        <x:v>45062</x:v>
      </x:c>
      <x:c r="B805" s="48" t="n">
        <x:v>1.0421</x:v>
      </x:c>
      <x:c r="C805" s="22" t="str">
        <x:v>项目空间本地CSV</x:v>
      </x:c>
    </x:row>
    <x:row r="806">
      <x:c r="A806" s="47" t="n">
        <x:v>45061</x:v>
      </x:c>
      <x:c r="B806" s="48" t="n">
        <x:v>1.0321</x:v>
      </x:c>
      <x:c r="C806" s="22" t="str">
        <x:v>项目空间本地CSV</x:v>
      </x:c>
    </x:row>
    <x:row r="807">
      <x:c r="A807" s="47" t="n">
        <x:v>45058</x:v>
      </x:c>
      <x:c r="B807" s="48" t="n">
        <x:v>1.0229</x:v>
      </x:c>
      <x:c r="C807" s="22" t="str">
        <x:v>项目空间本地CSV</x:v>
      </x:c>
    </x:row>
    <x:row r="808">
      <x:c r="A808" s="47" t="n">
        <x:v>45057</x:v>
      </x:c>
      <x:c r="B808" s="48" t="n">
        <x:v>1.0241</x:v>
      </x:c>
      <x:c r="C808" s="22" t="str">
        <x:v>项目空间本地CSV</x:v>
      </x:c>
    </x:row>
    <x:row r="809">
      <x:c r="A809" s="47" t="n">
        <x:v>45056</x:v>
      </x:c>
      <x:c r="B809" s="48" t="n">
        <x:v>1.0262</x:v>
      </x:c>
      <x:c r="C809" s="22" t="str">
        <x:v>项目空间本地CSV</x:v>
      </x:c>
    </x:row>
    <x:row r="810">
      <x:c r="A810" s="47" t="n">
        <x:v>45055</x:v>
      </x:c>
      <x:c r="B810" s="48" t="n">
        <x:v>1.0117</x:v>
      </x:c>
      <x:c r="C810" s="22" t="str">
        <x:v>项目空间本地CSV</x:v>
      </x:c>
    </x:row>
    <x:row r="811">
      <x:c r="A811" s="47" t="n">
        <x:v>45054</x:v>
      </x:c>
      <x:c r="B811" s="48" t="n">
        <x:v>1.0177</x:v>
      </x:c>
      <x:c r="C811" s="22" t="str">
        <x:v>项目空间本地CSV</x:v>
      </x:c>
    </x:row>
    <x:row r="812">
      <x:c r="A812" s="47" t="n">
        <x:v>45051</x:v>
      </x:c>
      <x:c r="B812" s="48" t="n">
        <x:v>1.0069</x:v>
      </x:c>
      <x:c r="C812" s="22" t="str">
        <x:v>项目空间本地CSV</x:v>
      </x:c>
    </x:row>
    <x:row r="813">
      <x:c r="A813" s="47" t="n">
        <x:v>45050</x:v>
      </x:c>
      <x:c r="B813" s="48" t="n">
        <x:v>0.9789</x:v>
      </x:c>
      <x:c r="C813" s="22" t="str">
        <x:v>项目空间本地CSV</x:v>
      </x:c>
    </x:row>
    <x:row r="814">
      <x:c r="A814" s="47" t="n">
        <x:v>45044</x:v>
      </x:c>
      <x:c r="B814" s="48" t="n">
        <x:v>1.0021</x:v>
      </x:c>
      <x:c r="C814" s="22" t="str">
        <x:v>项目空间本地CSV</x:v>
      </x:c>
    </x:row>
    <x:row r="815">
      <x:c r="A815" s="47" t="n">
        <x:v>45043</x:v>
      </x:c>
      <x:c r="B815" s="48" t="n">
        <x:v>0.9891</x:v>
      </x:c>
      <x:c r="C815" s="22" t="str">
        <x:v>项目空间本地CSV</x:v>
      </x:c>
    </x:row>
    <x:row r="816">
      <x:c r="A816" s="47" t="n">
        <x:v>45042</x:v>
      </x:c>
      <x:c r="B816" s="48" t="n">
        <x:v>0.9702</x:v>
      </x:c>
      <x:c r="C816" s="22" t="str">
        <x:v>项目空间本地CSV</x:v>
      </x:c>
    </x:row>
    <x:row r="817">
      <x:c r="A817" s="47" t="n">
        <x:v>45041</x:v>
      </x:c>
      <x:c r="B817" s="48" t="n">
        <x:v>0.9571</x:v>
      </x:c>
      <x:c r="C817" s="22" t="str">
        <x:v>项目空间本地CSV</x:v>
      </x:c>
    </x:row>
    <x:row r="818">
      <x:c r="A818" s="47" t="n">
        <x:v>45040</x:v>
      </x:c>
      <x:c r="B818" s="48" t="n">
        <x:v>0.9836</x:v>
      </x:c>
      <x:c r="C818" s="22" t="str">
        <x:v>项目空间本地CSV</x:v>
      </x:c>
    </x:row>
    <x:row r="819">
      <x:c r="A819" s="47" t="n">
        <x:v>45037</x:v>
      </x:c>
      <x:c r="B819" s="48" t="n">
        <x:v>0.9877</x:v>
      </x:c>
      <x:c r="C819" s="22" t="str">
        <x:v>项目空间本地CSV</x:v>
      </x:c>
    </x:row>
    <x:row r="820">
      <x:c r="A820" s="47" t="n">
        <x:v>45036</x:v>
      </x:c>
      <x:c r="B820" s="48" t="n">
        <x:v>0.9933</x:v>
      </x:c>
      <x:c r="C820" s="22" t="str">
        <x:v>项目空间本地CSV</x:v>
      </x:c>
    </x:row>
    <x:row r="821">
      <x:c r="A821" s="47" t="n">
        <x:v>45035</x:v>
      </x:c>
      <x:c r="B821" s="48" t="n">
        <x:v>1.0068</x:v>
      </x:c>
      <x:c r="C821" s="22" t="str">
        <x:v>项目空间本地CSV</x:v>
      </x:c>
    </x:row>
    <x:row r="822">
      <x:c r="A822" s="47" t="n">
        <x:v>45034</x:v>
      </x:c>
      <x:c r="B822" s="48" t="n">
        <x:v>1.0138</x:v>
      </x:c>
      <x:c r="C822" s="22" t="str">
        <x:v>项目空间本地CSV</x:v>
      </x:c>
    </x:row>
    <x:row r="823">
      <x:c r="A823" s="47" t="n">
        <x:v>45033</x:v>
      </x:c>
      <x:c r="B823" s="48" t="n">
        <x:v>1.0084</x:v>
      </x:c>
      <x:c r="C823" s="22" t="str">
        <x:v>项目空间本地CSV</x:v>
      </x:c>
    </x:row>
    <x:row r="824">
      <x:c r="A824" s="47" t="n">
        <x:v>45030</x:v>
      </x:c>
      <x:c r="B824" s="48" t="n">
        <x:v>1.0091</x:v>
      </x:c>
      <x:c r="C824" s="22" t="str">
        <x:v>项目空间本地CSV</x:v>
      </x:c>
    </x:row>
    <x:row r="825">
      <x:c r="A825" s="47" t="n">
        <x:v>45029</x:v>
      </x:c>
      <x:c r="B825" s="48" t="n">
        <x:v>1.012</x:v>
      </x:c>
      <x:c r="C825" s="22" t="str">
        <x:v>项目空间本地CSV</x:v>
      </x:c>
    </x:row>
    <x:row r="826">
      <x:c r="A826" s="47" t="n">
        <x:v>45028</x:v>
      </x:c>
      <x:c r="B826" s="48" t="n">
        <x:v>0.9977</x:v>
      </x:c>
      <x:c r="C826" s="22" t="str">
        <x:v>项目空间本地CSV</x:v>
      </x:c>
    </x:row>
    <x:row r="827">
      <x:c r="A827" s="47" t="n">
        <x:v>45027</x:v>
      </x:c>
      <x:c r="B827" s="48" t="n">
        <x:v>1.0099</x:v>
      </x:c>
      <x:c r="C827" s="22" t="str">
        <x:v>项目空间本地CSV</x:v>
      </x:c>
    </x:row>
    <x:row r="828">
      <x:c r="A828" s="47" t="n">
        <x:v>45026</x:v>
      </x:c>
      <x:c r="B828" s="48" t="n">
        <x:v>1.0154</x:v>
      </x:c>
      <x:c r="C828" s="22" t="str">
        <x:v>项目空间本地CSV</x:v>
      </x:c>
    </x:row>
    <x:row r="829">
      <x:c r="A829" s="47" t="n">
        <x:v>45023</x:v>
      </x:c>
      <x:c r="B829" s="48" t="n">
        <x:v>1.0095</x:v>
      </x:c>
      <x:c r="C829" s="22" t="str">
        <x:v>项目空间本地CSV</x:v>
      </x:c>
    </x:row>
    <x:row r="830">
      <x:c r="A830" s="47" t="n">
        <x:v>45022</x:v>
      </x:c>
      <x:c r="B830" s="48" t="n">
        <x:v>1.0083</x:v>
      </x:c>
      <x:c r="C830" s="22" t="str">
        <x:v>项目空间本地CSV</x:v>
      </x:c>
    </x:row>
    <x:row r="831">
      <x:c r="A831" s="47" t="n">
        <x:v>45020</x:v>
      </x:c>
      <x:c r="B831" s="48" t="n">
        <x:v>1.0244</x:v>
      </x:c>
      <x:c r="C831" s="22" t="str">
        <x:v>项目空间本地CSV</x:v>
      </x:c>
    </x:row>
    <x:row r="832">
      <x:c r="A832" s="47" t="n">
        <x:v>45019</x:v>
      </x:c>
      <x:c r="B832" s="48" t="n">
        <x:v>1.0351</x:v>
      </x:c>
      <x:c r="C832" s="22" t="str">
        <x:v>项目空间本地CSV</x:v>
      </x:c>
    </x:row>
    <x:row r="833">
      <x:c r="A833" s="47" t="n">
        <x:v>45016</x:v>
      </x:c>
      <x:c r="B833" s="48" t="n">
        <x:v>1.0422</x:v>
      </x:c>
      <x:c r="C833" s="22" t="str">
        <x:v>项目空间本地CSV</x:v>
      </x:c>
    </x:row>
    <x:row r="834">
      <x:c r="A834" s="47" t="n">
        <x:v>45015</x:v>
      </x:c>
      <x:c r="B834" s="48" t="n">
        <x:v>1.027</x:v>
      </x:c>
      <x:c r="C834" s="22" t="str">
        <x:v>项目空间本地CSV</x:v>
      </x:c>
    </x:row>
    <x:row r="835">
      <x:c r="A835" s="47" t="n">
        <x:v>45014</x:v>
      </x:c>
      <x:c r="B835" s="48" t="n">
        <x:v>1.0145</x:v>
      </x:c>
      <x:c r="C835" s="22" t="str">
        <x:v>项目空间本地CSV</x:v>
      </x:c>
    </x:row>
    <x:row r="836">
      <x:c r="A836" s="47" t="n">
        <x:v>45013</x:v>
      </x:c>
      <x:c r="B836" s="48" t="n">
        <x:v>0.9938</x:v>
      </x:c>
      <x:c r="C836" s="22" t="str">
        <x:v>项目空间本地CSV</x:v>
      </x:c>
    </x:row>
    <x:row r="837">
      <x:c r="A837" s="47" t="n">
        <x:v>45012</x:v>
      </x:c>
      <x:c r="B837" s="48" t="n">
        <x:v>1.0026</x:v>
      </x:c>
      <x:c r="C837" s="22" t="str">
        <x:v>项目空间本地CSV</x:v>
      </x:c>
    </x:row>
    <x:row r="838">
      <x:c r="A838" s="47" t="n">
        <x:v>45009</x:v>
      </x:c>
      <x:c r="B838" s="48" t="n">
        <x:v>1.0062</x:v>
      </x:c>
      <x:c r="C838" s="22" t="str">
        <x:v>项目空间本地CSV</x:v>
      </x:c>
    </x:row>
    <x:row r="839">
      <x:c r="A839" s="47" t="n">
        <x:v>45008</x:v>
      </x:c>
      <x:c r="B839" s="48" t="n">
        <x:v>1.0219</x:v>
      </x:c>
      <x:c r="C839" s="22" t="str">
        <x:v>项目空间本地CSV</x:v>
      </x:c>
    </x:row>
    <x:row r="840">
      <x:c r="A840" s="47" t="n">
        <x:v>45007</x:v>
      </x:c>
      <x:c r="B840" s="48" t="n">
        <x:v>1.0038</x:v>
      </x:c>
      <x:c r="C840" s="22" t="str">
        <x:v>项目空间本地CSV</x:v>
      </x:c>
    </x:row>
    <x:row r="841">
      <x:c r="A841" s="47" t="n">
        <x:v>45006</x:v>
      </x:c>
      <x:c r="B841" s="48" t="n">
        <x:v>1.0132</x:v>
      </x:c>
      <x:c r="C841" s="22" t="str">
        <x:v>项目空间本地CSV</x:v>
      </x:c>
    </x:row>
    <x:row r="842">
      <x:c r="A842" s="47" t="n">
        <x:v>45005</x:v>
      </x:c>
      <x:c r="B842" s="48" t="n">
        <x:v>0.9995</x:v>
      </x:c>
      <x:c r="C842" s="22" t="str">
        <x:v>项目空间本地CSV</x:v>
      </x:c>
    </x:row>
    <x:row r="843">
      <x:c r="A843" s="47" t="n">
        <x:v>45002</x:v>
      </x:c>
      <x:c r="B843" s="48" t="n">
        <x:v>1.0002</x:v>
      </x:c>
      <x:c r="C843" s="22" t="str">
        <x:v>项目空间本地CSV</x:v>
      </x:c>
    </x:row>
    <x:row r="844">
      <x:c r="A844" s="47" t="n">
        <x:v>45001</x:v>
      </x:c>
      <x:c r="B844" s="48" t="n">
        <x:v>1.0061</x:v>
      </x:c>
      <x:c r="C844" s="22" t="str">
        <x:v>项目空间本地CSV</x:v>
      </x:c>
    </x:row>
    <x:row r="845">
      <x:c r="A845" s="47" t="n">
        <x:v>45000</x:v>
      </x:c>
      <x:c r="B845" s="48" t="n">
        <x:v>0.9696</x:v>
      </x:c>
      <x:c r="C845" s="22" t="str">
        <x:v>项目空间本地CSV</x:v>
      </x:c>
    </x:row>
    <x:row r="846">
      <x:c r="A846" s="47" t="n">
        <x:v>44999</x:v>
      </x:c>
      <x:c r="B846" s="48" t="n">
        <x:v>0.9781</x:v>
      </x:c>
      <x:c r="C846" s="22" t="str">
        <x:v>项目空间本地CSV</x:v>
      </x:c>
    </x:row>
    <x:row r="847">
      <x:c r="A847" s="47" t="n">
        <x:v>44998</x:v>
      </x:c>
      <x:c r="B847" s="48" t="n">
        <x:v>0.9561</x:v>
      </x:c>
      <x:c r="C847" s="22" t="str">
        <x:v>项目空间本地CSV</x:v>
      </x:c>
    </x:row>
    <x:row r="848">
      <x:c r="A848" s="47" t="n">
        <x:v>44995</x:v>
      </x:c>
      <x:c r="B848" s="48" t="n">
        <x:v>0.9562</x:v>
      </x:c>
      <x:c r="C848" s="22" t="str">
        <x:v>项目空间本地CSV</x:v>
      </x:c>
    </x:row>
    <x:row r="849">
      <x:c r="A849" s="47" t="n">
        <x:v>44994</x:v>
      </x:c>
      <x:c r="B849" s="48" t="n">
        <x:v>0.9702</x:v>
      </x:c>
      <x:c r="C849" s="22" t="str">
        <x:v>项目空间本地CSV</x:v>
      </x:c>
    </x:row>
    <x:row r="850">
      <x:c r="A850" s="47" t="n">
        <x:v>44993</x:v>
      </x:c>
      <x:c r="B850" s="48" t="n">
        <x:v>0.9874</x:v>
      </x:c>
      <x:c r="C850" s="22" t="str">
        <x:v>项目空间本地CSV</x:v>
      </x:c>
    </x:row>
    <x:row r="851">
      <x:c r="A851" s="47" t="n">
        <x:v>44992</x:v>
      </x:c>
      <x:c r="B851" s="48" t="n">
        <x:v>0.9752</x:v>
      </x:c>
      <x:c r="C851" s="22" t="str">
        <x:v>项目空间本地CSV</x:v>
      </x:c>
    </x:row>
    <x:row r="852">
      <x:c r="A852" s="47" t="n">
        <x:v>44991</x:v>
      </x:c>
      <x:c r="B852" s="48" t="n">
        <x:v>0.9809</x:v>
      </x:c>
      <x:c r="C852" s="22" t="str">
        <x:v>项目空间本地CSV</x:v>
      </x:c>
    </x:row>
    <x:row r="853">
      <x:c r="A853" s="47" t="n">
        <x:v>44988</x:v>
      </x:c>
      <x:c r="B853" s="48" t="n">
        <x:v>0.9843</x:v>
      </x:c>
      <x:c r="C853" s="22" t="str">
        <x:v>项目空间本地CSV</x:v>
      </x:c>
    </x:row>
    <x:row r="854">
      <x:c r="A854" s="47" t="n">
        <x:v>44987</x:v>
      </x:c>
      <x:c r="B854" s="48" t="n">
        <x:v>0.9602</x:v>
      </x:c>
      <x:c r="C854" s="22" t="str">
        <x:v>项目空间本地CSV</x:v>
      </x:c>
    </x:row>
    <x:row r="855">
      <x:c r="A855" s="47" t="n">
        <x:v>44986</x:v>
      </x:c>
      <x:c r="B855" s="48" t="n">
        <x:v>0.969</x:v>
      </x:c>
      <x:c r="C855" s="22" t="str">
        <x:v>项目空间本地CSV</x:v>
      </x:c>
    </x:row>
    <x:row r="856">
      <x:c r="A856" s="47" t="n">
        <x:v>44985</x:v>
      </x:c>
      <x:c r="B856" s="48" t="n">
        <x:v>0.9735</x:v>
      </x:c>
      <x:c r="C856" s="22" t="str">
        <x:v>项目空间本地CSV</x:v>
      </x:c>
    </x:row>
    <x:row r="857">
      <x:c r="A857" s="47" t="n">
        <x:v>44984</x:v>
      </x:c>
      <x:c r="B857" s="48" t="n">
        <x:v>0.9761</x:v>
      </x:c>
      <x:c r="C857" s="22" t="str">
        <x:v>项目空间本地CSV</x:v>
      </x:c>
    </x:row>
    <x:row r="858">
      <x:c r="A858" s="47" t="n">
        <x:v>44981</x:v>
      </x:c>
      <x:c r="B858" s="48" t="n">
        <x:v>0.9582</x:v>
      </x:c>
      <x:c r="C858" s="22" t="str">
        <x:v>项目空间本地CSV</x:v>
      </x:c>
    </x:row>
    <x:row r="859">
      <x:c r="A859" s="47" t="n">
        <x:v>44980</x:v>
      </x:c>
      <x:c r="B859" s="48" t="n">
        <x:v>0.9762</x:v>
      </x:c>
      <x:c r="C859" s="22" t="str">
        <x:v>项目空间本地CSV</x:v>
      </x:c>
    </x:row>
    <x:row r="860">
      <x:c r="A860" s="47" t="n">
        <x:v>44979</x:v>
      </x:c>
      <x:c r="B860" s="48" t="n">
        <x:v>0.9538</x:v>
      </x:c>
      <x:c r="C860" s="22" t="str">
        <x:v>项目空间本地CSV</x:v>
      </x:c>
    </x:row>
    <x:row r="861">
      <x:c r="A861" s="47" t="n">
        <x:v>44978</x:v>
      </x:c>
      <x:c r="B861" s="48" t="n">
        <x:v>0.9515</x:v>
      </x:c>
      <x:c r="C861" s="22" t="str">
        <x:v>项目空间本地CSV</x:v>
      </x:c>
    </x:row>
    <x:row r="862">
      <x:c r="A862" s="47" t="n">
        <x:v>44977</x:v>
      </x:c>
      <x:c r="B862" s="48" t="n">
        <x:v>0.9759</x:v>
      </x:c>
      <x:c r="C862" s="22" t="str">
        <x:v>项目空间本地CSV</x:v>
      </x:c>
    </x:row>
    <x:row r="863">
      <x:c r="A863" s="47" t="n">
        <x:v>44974</x:v>
      </x:c>
      <x:c r="B863" s="48" t="n">
        <x:v>0.976</x:v>
      </x:c>
      <x:c r="C863" s="22" t="str">
        <x:v>项目空间本地CSV</x:v>
      </x:c>
    </x:row>
    <x:row r="864">
      <x:c r="A864" s="47" t="n">
        <x:v>44973</x:v>
      </x:c>
      <x:c r="B864" s="48" t="n">
        <x:v>0.985</x:v>
      </x:c>
      <x:c r="C864" s="22" t="str">
        <x:v>项目空间本地CSV</x:v>
      </x:c>
    </x:row>
    <x:row r="865">
      <x:c r="A865" s="47" t="n">
        <x:v>44972</x:v>
      </x:c>
      <x:c r="B865" s="48" t="n">
        <x:v>1.0033</x:v>
      </x:c>
      <x:c r="C865" s="22" t="str">
        <x:v>项目空间本地CSV</x:v>
      </x:c>
    </x:row>
    <x:row r="866">
      <x:c r="A866" s="47" t="n">
        <x:v>44971</x:v>
      </x:c>
      <x:c r="B866" s="48" t="n">
        <x:v>0.998</x:v>
      </x:c>
      <x:c r="C866" s="22" t="str">
        <x:v>项目空间本地CSV</x:v>
      </x:c>
    </x:row>
    <x:row r="867">
      <x:c r="A867" s="47" t="n">
        <x:v>44970</x:v>
      </x:c>
      <x:c r="B867" s="48" t="n">
        <x:v>0.9848</x:v>
      </x:c>
      <x:c r="C867" s="22" t="str">
        <x:v>项目空间本地CSV</x:v>
      </x:c>
    </x:row>
    <x:row r="868">
      <x:c r="A868" s="47" t="n">
        <x:v>44967</x:v>
      </x:c>
      <x:c r="B868" s="48" t="n">
        <x:v>0.9701</x:v>
      </x:c>
      <x:c r="C868" s="22" t="str">
        <x:v>项目空间本地CSV</x:v>
      </x:c>
    </x:row>
    <x:row r="869">
      <x:c r="A869" s="47" t="n">
        <x:v>44966</x:v>
      </x:c>
      <x:c r="B869" s="48" t="n">
        <x:v>0.9847</x:v>
      </x:c>
      <x:c r="C869" s="22" t="str">
        <x:v>项目空间本地CSV</x:v>
      </x:c>
    </x:row>
    <x:row r="870">
      <x:c r="A870" s="47" t="n">
        <x:v>44965</x:v>
      </x:c>
      <x:c r="B870" s="48" t="n">
        <x:v>0.9826</x:v>
      </x:c>
      <x:c r="C870" s="22" t="str">
        <x:v>项目空间本地CSV</x:v>
      </x:c>
    </x:row>
    <x:row r="871">
      <x:c r="A871" s="47" t="n">
        <x:v>44964</x:v>
      </x:c>
      <x:c r="B871" s="48" t="n">
        <x:v>0.9988</x:v>
      </x:c>
      <x:c r="C871" s="22" t="str">
        <x:v>项目空间本地CSV</x:v>
      </x:c>
    </x:row>
    <x:row r="872">
      <x:c r="A872" s="47" t="n">
        <x:v>44963</x:v>
      </x:c>
      <x:c r="B872" s="48" t="n">
        <x:v>0.973</x:v>
      </x:c>
      <x:c r="C872" s="22" t="str">
        <x:v>项目空间本地CSV</x:v>
      </x:c>
    </x:row>
    <x:row r="873">
      <x:c r="A873" s="47" t="n">
        <x:v>44960</x:v>
      </x:c>
      <x:c r="B873" s="48" t="n">
        <x:v>0.9762</x:v>
      </x:c>
      <x:c r="C873" s="22" t="str">
        <x:v>项目空间本地CSV</x:v>
      </x:c>
    </x:row>
    <x:row r="874">
      <x:c r="A874" s="47" t="n">
        <x:v>44959</x:v>
      </x:c>
      <x:c r="B874" s="48" t="n">
        <x:v>0.9861</x:v>
      </x:c>
      <x:c r="C874" s="22" t="str">
        <x:v>项目空间本地CSV</x:v>
      </x:c>
    </x:row>
    <x:row r="875">
      <x:c r="A875" s="47" t="n">
        <x:v>44958</x:v>
      </x:c>
      <x:c r="B875" s="48" t="n">
        <x:v>0.9673</x:v>
      </x:c>
      <x:c r="C875" s="22" t="str">
        <x:v>项目空间本地CSV</x:v>
      </x:c>
    </x:row>
    <x:row r="876">
      <x:c r="A876" s="47" t="n">
        <x:v>44957</x:v>
      </x:c>
      <x:c r="B876" s="48" t="n">
        <x:v>0.9406</x:v>
      </x:c>
      <x:c r="C876" s="22" t="str">
        <x:v>项目空间本地CSV</x:v>
      </x:c>
    </x:row>
    <x:row r="877">
      <x:c r="A877" s="47" t="n">
        <x:v>44956</x:v>
      </x:c>
      <x:c r="B877" s="48" t="n">
        <x:v>0.9264</x:v>
      </x:c>
      <x:c r="C877" s="22" t="str">
        <x:v>项目空间本地CSV</x:v>
      </x:c>
    </x:row>
    <x:row r="878">
      <x:c r="A878" s="47" t="n">
        <x:v>44946</x:v>
      </x:c>
      <x:c r="B878" s="48" t="n">
        <x:v>0.9051</x:v>
      </x:c>
      <x:c r="C878" s="22" t="str">
        <x:v>项目空间本地CSV</x:v>
      </x:c>
    </x:row>
    <x:row r="879">
      <x:c r="A879" s="47" t="n">
        <x:v>44945</x:v>
      </x:c>
      <x:c r="B879" s="48" t="n">
        <x:v>0.8801</x:v>
      </x:c>
      <x:c r="C879" s="22" t="str">
        <x:v>项目空间本地CSV</x:v>
      </x:c>
    </x:row>
    <x:row r="880">
      <x:c r="A880" s="47" t="n">
        <x:v>44944</x:v>
      </x:c>
      <x:c r="B880" s="48" t="n">
        <x:v>0.8945</x:v>
      </x:c>
      <x:c r="C880" s="22" t="str">
        <x:v>项目空间本地CSV</x:v>
      </x:c>
    </x:row>
    <x:row r="881">
      <x:c r="A881" s="47" t="n">
        <x:v>44943</x:v>
      </x:c>
      <x:c r="B881" s="48" t="n">
        <x:v>0.8948</x:v>
      </x:c>
      <x:c r="C881" s="22" t="str">
        <x:v>项目空间本地CSV</x:v>
      </x:c>
    </x:row>
    <x:row r="882">
      <x:c r="A882" s="47" t="n">
        <x:v>44942</x:v>
      </x:c>
      <x:c r="B882" s="48" t="n">
        <x:v>0.8883</x:v>
      </x:c>
      <x:c r="C882" s="22" t="str">
        <x:v>项目空间本地CSV</x:v>
      </x:c>
    </x:row>
    <x:row r="883">
      <x:c r="A883" s="47" t="n">
        <x:v>44939</x:v>
      </x:c>
      <x:c r="B883" s="48" t="n">
        <x:v>0.8904</x:v>
      </x:c>
      <x:c r="C883" s="22" t="str">
        <x:v>项目空间本地CSV</x:v>
      </x:c>
    </x:row>
    <x:row r="884">
      <x:c r="A884" s="47" t="n">
        <x:v>44938</x:v>
      </x:c>
      <x:c r="B884" s="48" t="n">
        <x:v>0.8895</x:v>
      </x:c>
      <x:c r="C884" s="22" t="str">
        <x:v>项目空间本地CSV</x:v>
      </x:c>
    </x:row>
    <x:row r="885">
      <x:c r="A885" s="47" t="n">
        <x:v>44937</x:v>
      </x:c>
      <x:c r="B885" s="48" t="n">
        <x:v>0.8853</x:v>
      </x:c>
      <x:c r="C885" s="22" t="str">
        <x:v>项目空间本地CSV</x:v>
      </x:c>
    </x:row>
    <x:row r="886">
      <x:c r="A886" s="47" t="n">
        <x:v>44936</x:v>
      </x:c>
      <x:c r="B886" s="48" t="n">
        <x:v>0.8703</x:v>
      </x:c>
      <x:c r="C886" s="22" t="str">
        <x:v>项目空间本地CSV</x:v>
      </x:c>
    </x:row>
    <x:row r="887">
      <x:c r="A887" s="47" t="n">
        <x:v>44935</x:v>
      </x:c>
      <x:c r="B887" s="48" t="n">
        <x:v>0.8714</x:v>
      </x:c>
      <x:c r="C887" s="22" t="str">
        <x:v>项目空间本地CSV</x:v>
      </x:c>
    </x:row>
    <x:row r="888">
      <x:c r="A888" s="47" t="n">
        <x:v>44932</x:v>
      </x:c>
      <x:c r="B888" s="48" t="n">
        <x:v>0.865</x:v>
      </x:c>
      <x:c r="C888" s="22" t="str">
        <x:v>项目空间本地CSV</x:v>
      </x:c>
    </x:row>
    <x:row r="889">
      <x:c r="A889" s="47" t="n">
        <x:v>44931</x:v>
      </x:c>
      <x:c r="B889" s="48" t="n">
        <x:v>0.8456</x:v>
      </x:c>
      <x:c r="C889" s="22" t="str">
        <x:v>项目空间本地CSV</x:v>
      </x:c>
    </x:row>
    <x:row r="890">
      <x:c r="A890" s="47" t="n">
        <x:v>44930</x:v>
      </x:c>
      <x:c r="B890" s="48" t="n">
        <x:v>0.8626</x:v>
      </x:c>
      <x:c r="C890" s="22" t="str">
        <x:v>项目空间本地CSV</x:v>
      </x:c>
    </x:row>
    <x:row r="891">
      <x:c r="A891" s="47" t="n">
        <x:v>44929</x:v>
      </x:c>
      <x:c r="B891" s="48" t="n">
        <x:v>0.8613</x:v>
      </x:c>
      <x:c r="C891" s="22" t="str">
        <x:v>项目空间本地CSV</x:v>
      </x:c>
    </x:row>
    <x:row r="892">
      <x:c r="A892" s="47" t="n">
        <x:v>44926</x:v>
      </x:c>
      <x:c r="B892" s="48" t="n">
        <x:v>0.873</x:v>
      </x:c>
      <x:c r="C892" s="22" t="str">
        <x:v>项目空间本地CSV</x:v>
      </x:c>
    </x:row>
    <x:row r="893">
      <x:c r="A893" s="47" t="n">
        <x:v>44925</x:v>
      </x:c>
      <x:c r="B893" s="48" t="n">
        <x:v>0.873</x:v>
      </x:c>
      <x:c r="C893" s="22" t="str">
        <x:v>项目空间本地CSV</x:v>
      </x:c>
    </x:row>
    <x:row r="894">
      <x:c r="A894" s="47" t="n">
        <x:v>44924</x:v>
      </x:c>
      <x:c r="B894" s="48" t="n">
        <x:v>0.8754</x:v>
      </x:c>
      <x:c r="C894" s="22" t="str">
        <x:v>项目空间本地CSV</x:v>
      </x:c>
    </x:row>
    <x:row r="895">
      <x:c r="A895" s="47" t="n">
        <x:v>44923</x:v>
      </x:c>
      <x:c r="B895" s="48" t="n">
        <x:v>0.8528</x:v>
      </x:c>
      <x:c r="C895" s="22" t="str">
        <x:v>项目空间本地CSV</x:v>
      </x:c>
    </x:row>
    <x:row r="896">
      <x:c r="A896" s="47" t="n">
        <x:v>44922</x:v>
      </x:c>
      <x:c r="B896" s="48" t="n">
        <x:v>0.8613</x:v>
      </x:c>
      <x:c r="C896" s="22" t="str">
        <x:v>项目空间本地CSV</x:v>
      </x:c>
    </x:row>
    <x:row r="897">
      <x:c r="A897" s="47" t="n">
        <x:v>44921</x:v>
      </x:c>
      <x:c r="B897" s="48" t="n">
        <x:v>0.8806</x:v>
      </x:c>
      <x:c r="C897" s="22" t="str">
        <x:v>项目空间本地CSV</x:v>
      </x:c>
    </x:row>
    <x:row r="898">
      <x:c r="A898" s="47" t="n">
        <x:v>44918</x:v>
      </x:c>
      <x:c r="B898" s="48" t="n">
        <x:v>0.8806</x:v>
      </x:c>
      <x:c r="C898" s="22" t="str">
        <x:v>项目空间本地CSV</x:v>
      </x:c>
    </x:row>
    <x:row r="899">
      <x:c r="A899" s="47" t="n">
        <x:v>44917</x:v>
      </x:c>
      <x:c r="B899" s="48" t="n">
        <x:v>0.8784</x:v>
      </x:c>
      <x:c r="C899" s="22" t="str">
        <x:v>项目空间本地CSV</x:v>
      </x:c>
    </x:row>
    <x:row r="900">
      <x:c r="A900" s="47" t="n">
        <x:v>44916</x:v>
      </x:c>
      <x:c r="B900" s="48" t="n">
        <x:v>0.9039</x:v>
      </x:c>
      <x:c r="C900" s="22" t="str">
        <x:v>项目空间本地CSV</x:v>
      </x:c>
    </x:row>
    <x:row r="901">
      <x:c r="A901" s="47" t="n">
        <x:v>44915</x:v>
      </x:c>
      <x:c r="B901" s="48" t="n">
        <x:v>0.8918</x:v>
      </x:c>
      <x:c r="C901" s="22" t="str">
        <x:v>项目空间本地CSV</x:v>
      </x:c>
    </x:row>
    <x:row r="902">
      <x:c r="A902" s="47" t="n">
        <x:v>44914</x:v>
      </x:c>
      <x:c r="B902" s="48" t="n">
        <x:v>0.8935</x:v>
      </x:c>
      <x:c r="C902" s="22" t="str">
        <x:v>项目空间本地CSV</x:v>
      </x:c>
    </x:row>
    <x:row r="903">
      <x:c r="A903" s="47" t="n">
        <x:v>44911</x:v>
      </x:c>
      <x:c r="B903" s="48" t="n">
        <x:v>0.9052</x:v>
      </x:c>
      <x:c r="C903" s="22" t="str">
        <x:v>项目空间本地CSV</x:v>
      </x:c>
    </x:row>
    <x:row r="904">
      <x:c r="A904" s="47" t="n">
        <x:v>44910</x:v>
      </x:c>
      <x:c r="B904" s="48" t="n">
        <x:v>0.9076</x:v>
      </x:c>
      <x:c r="C904" s="22" t="str">
        <x:v>项目空间本地CSV</x:v>
      </x:c>
    </x:row>
    <x:row r="905">
      <x:c r="A905" s="47" t="n">
        <x:v>44909</x:v>
      </x:c>
      <x:c r="B905" s="48" t="n">
        <x:v>0.9399</x:v>
      </x:c>
      <x:c r="C905" s="22" t="str">
        <x:v>项目空间本地CSV</x:v>
      </x:c>
    </x:row>
    <x:row r="906">
      <x:c r="A906" s="47" t="n">
        <x:v>44908</x:v>
      </x:c>
      <x:c r="B906" s="48" t="n">
        <x:v>0.9553</x:v>
      </x:c>
      <x:c r="C906" s="22" t="str">
        <x:v>项目空间本地CSV</x:v>
      </x:c>
    </x:row>
    <x:row r="907">
      <x:c r="A907" s="47" t="n">
        <x:v>44907</x:v>
      </x:c>
      <x:c r="B907" s="48" t="n">
        <x:v>0.9435</x:v>
      </x:c>
      <x:c r="C907" s="22" t="str">
        <x:v>项目空间本地CSV</x:v>
      </x:c>
    </x:row>
    <x:row r="908">
      <x:c r="A908" s="47" t="n">
        <x:v>44904</x:v>
      </x:c>
      <x:c r="B908" s="48" t="n">
        <x:v>0.9327</x:v>
      </x:c>
      <x:c r="C908" s="22" t="str">
        <x:v>项目空间本地CSV</x:v>
      </x:c>
    </x:row>
    <x:row r="909">
      <x:c r="A909" s="47" t="n">
        <x:v>44903</x:v>
      </x:c>
      <x:c r="B909" s="48" t="n">
        <x:v>0.9393</x:v>
      </x:c>
      <x:c r="C909" s="22" t="str">
        <x:v>项目空间本地CSV</x:v>
      </x:c>
    </x:row>
    <x:row r="910">
      <x:c r="A910" s="47" t="n">
        <x:v>44902</x:v>
      </x:c>
      <x:c r="B910" s="48" t="n">
        <x:v>0.9295</x:v>
      </x:c>
      <x:c r="C910" s="22" t="str">
        <x:v>项目空间本地CSV</x:v>
      </x:c>
    </x:row>
    <x:row r="911">
      <x:c r="A911" s="47" t="n">
        <x:v>44901</x:v>
      </x:c>
      <x:c r="B911" s="48" t="n">
        <x:v>0.9304</x:v>
      </x:c>
      <x:c r="C911" s="22" t="str">
        <x:v>项目空间本地CSV</x:v>
      </x:c>
    </x:row>
    <x:row r="912">
      <x:c r="A912" s="47" t="n">
        <x:v>44900</x:v>
      </x:c>
      <x:c r="B912" s="48" t="n">
        <x:v>0.9585</x:v>
      </x:c>
      <x:c r="C912" s="22" t="str">
        <x:v>项目空间本地CSV</x:v>
      </x:c>
    </x:row>
    <x:row r="913">
      <x:c r="A913" s="47" t="n">
        <x:v>44897</x:v>
      </x:c>
      <x:c r="B913" s="48" t="n">
        <x:v>0.978</x:v>
      </x:c>
      <x:c r="C913" s="22" t="str">
        <x:v>项目空间本地CSV</x:v>
      </x:c>
    </x:row>
    <x:row r="914">
      <x:c r="A914" s="47" t="n">
        <x:v>44896</x:v>
      </x:c>
      <x:c r="B914" s="48" t="n">
        <x:v>0.9941</x:v>
      </x:c>
      <x:c r="C914" s="22" t="str">
        <x:v>项目空间本地CSV</x:v>
      </x:c>
    </x:row>
    <x:row r="915">
      <x:c r="A915" s="47" t="n">
        <x:v>44895</x:v>
      </x:c>
      <x:c r="B915" s="48" t="n">
        <x:v>1.0021</x:v>
      </x:c>
      <x:c r="C915" s="22" t="str">
        <x:v>项目空间本地CSV</x:v>
      </x:c>
    </x:row>
    <x:row r="916">
      <x:c r="A916" s="47" t="n">
        <x:v>44894</x:v>
      </x:c>
      <x:c r="B916" s="48" t="n">
        <x:v>0.9555</x:v>
      </x:c>
      <x:c r="C916" s="22" t="str">
        <x:v>项目空间本地CSV</x:v>
      </x:c>
    </x:row>
    <x:row r="917">
      <x:c r="A917" s="47" t="n">
        <x:v>44893</x:v>
      </x:c>
      <x:c r="B917" s="48" t="n">
        <x:v>0.9569</x:v>
      </x:c>
      <x:c r="C917" s="22" t="str">
        <x:v>项目空间本地CSV</x:v>
      </x:c>
    </x:row>
    <x:row r="918">
      <x:c r="A918" s="47" t="n">
        <x:v>44890</x:v>
      </x:c>
      <x:c r="B918" s="48" t="n">
        <x:v>0.9723</x:v>
      </x:c>
      <x:c r="C918" s="22" t="str">
        <x:v>项目空间本地CSV</x:v>
      </x:c>
    </x:row>
    <x:row r="919">
      <x:c r="A919" s="47" t="n">
        <x:v>44889</x:v>
      </x:c>
      <x:c r="B919" s="48" t="n">
        <x:v>0.9773</x:v>
      </x:c>
      <x:c r="C919" s="22" t="str">
        <x:v>项目空间本地CSV</x:v>
      </x:c>
    </x:row>
    <x:row r="920">
      <x:c r="A920" s="47" t="n">
        <x:v>44888</x:v>
      </x:c>
      <x:c r="B920" s="48" t="n">
        <x:v>0.9784</x:v>
      </x:c>
      <x:c r="C920" s="22" t="str">
        <x:v>项目空间本地CSV</x:v>
      </x:c>
    </x:row>
    <x:row r="921">
      <x:c r="A921" s="47" t="n">
        <x:v>44887</x:v>
      </x:c>
      <x:c r="B921" s="48" t="n">
        <x:v>0.9706</x:v>
      </x:c>
      <x:c r="C921" s="22" t="str">
        <x:v>项目空间本地CSV</x:v>
      </x:c>
    </x:row>
    <x:row r="922">
      <x:c r="A922" s="47" t="n">
        <x:v>44886</x:v>
      </x:c>
      <x:c r="B922" s="48" t="n">
        <x:v>0.9486</x:v>
      </x:c>
      <x:c r="C922" s="22" t="str">
        <x:v>项目空间本地CSV</x:v>
      </x:c>
    </x:row>
    <x:row r="923">
      <x:c r="A923" s="47" t="n">
        <x:v>44883</x:v>
      </x:c>
      <x:c r="B923" s="48" t="n">
        <x:v>0.9621</x:v>
      </x:c>
      <x:c r="C923" s="22" t="str">
        <x:v>项目空间本地CSV</x:v>
      </x:c>
    </x:row>
    <x:row r="924">
      <x:c r="A924" s="47" t="n">
        <x:v>44882</x:v>
      </x:c>
      <x:c r="B924" s="48" t="n">
        <x:v>0.9565</x:v>
      </x:c>
      <x:c r="C924" s="22" t="str">
        <x:v>项目空间本地CSV</x:v>
      </x:c>
    </x:row>
    <x:row r="925">
      <x:c r="A925" s="47" t="n">
        <x:v>44881</x:v>
      </x:c>
      <x:c r="B925" s="48" t="n">
        <x:v>0.9544</x:v>
      </x:c>
      <x:c r="C925" s="22" t="str">
        <x:v>项目空间本地CSV</x:v>
      </x:c>
    </x:row>
    <x:row r="926">
      <x:c r="A926" s="47" t="n">
        <x:v>44880</x:v>
      </x:c>
      <x:c r="B926" s="48" t="n">
        <x:v>0.974</x:v>
      </x:c>
      <x:c r="C926" s="22" t="str">
        <x:v>项目空间本地CSV</x:v>
      </x:c>
    </x:row>
    <x:row r="927">
      <x:c r="A927" s="47" t="n">
        <x:v>44879</x:v>
      </x:c>
      <x:c r="B927" s="48" t="n">
        <x:v>0.9668</x:v>
      </x:c>
      <x:c r="C927" s="22" t="str">
        <x:v>项目空间本地CSV</x:v>
      </x:c>
    </x:row>
    <x:row r="928">
      <x:c r="A928" s="47" t="n">
        <x:v>44876</x:v>
      </x:c>
      <x:c r="B928" s="48" t="n">
        <x:v>0.9873</x:v>
      </x:c>
      <x:c r="C928" s="22" t="str">
        <x:v>项目空间本地CSV</x:v>
      </x:c>
    </x:row>
    <x:row r="929">
      <x:c r="A929" s="47" t="n">
        <x:v>44875</x:v>
      </x:c>
      <x:c r="B929" s="48" t="n">
        <x:v>0.9743</x:v>
      </x:c>
      <x:c r="C929" s="22" t="str">
        <x:v>项目空间本地CSV</x:v>
      </x:c>
    </x:row>
    <x:row r="930">
      <x:c r="A930" s="47" t="n">
        <x:v>44874</x:v>
      </x:c>
      <x:c r="B930" s="48" t="n">
        <x:v>0.9007</x:v>
      </x:c>
      <x:c r="C930" s="22" t="str">
        <x:v>项目空间本地CSV</x:v>
      </x:c>
    </x:row>
    <x:row r="931">
      <x:c r="A931" s="47" t="n">
        <x:v>44873</x:v>
      </x:c>
      <x:c r="B931" s="48" t="n">
        <x:v>0.9299</x:v>
      </x:c>
      <x:c r="C931" s="22" t="str">
        <x:v>项目空间本地CSV</x:v>
      </x:c>
    </x:row>
    <x:row r="932">
      <x:c r="A932" s="47" t="n">
        <x:v>44872</x:v>
      </x:c>
      <x:c r="B932" s="48" t="n">
        <x:v>0.9266</x:v>
      </x:c>
      <x:c r="C932" s="22" t="str">
        <x:v>项目空间本地CSV</x:v>
      </x:c>
    </x:row>
    <x:row r="933">
      <x:c r="A933" s="47" t="n">
        <x:v>44869</x:v>
      </x:c>
      <x:c r="B933" s="48" t="n">
        <x:v>0.9236</x:v>
      </x:c>
      <x:c r="C933" s="22" t="str">
        <x:v>项目空间本地CSV</x:v>
      </x:c>
    </x:row>
    <x:row r="934">
      <x:c r="A934" s="47" t="n">
        <x:v>44868</x:v>
      </x:c>
      <x:c r="B934" s="48" t="n">
        <x:v>0.9128</x:v>
      </x:c>
      <x:c r="C934" s="22" t="str">
        <x:v>项目空间本地CSV</x:v>
      </x:c>
    </x:row>
    <x:row r="935">
      <x:c r="A935" s="47" t="n">
        <x:v>44867</x:v>
      </x:c>
      <x:c r="B935" s="48" t="n">
        <x:v>0.9232</x:v>
      </x:c>
      <x:c r="C935" s="22" t="str">
        <x:v>项目空间本地CSV</x:v>
      </x:c>
    </x:row>
    <x:row r="936">
      <x:c r="A936" s="47" t="n">
        <x:v>44866</x:v>
      </x:c>
      <x:c r="B936" s="48" t="n">
        <x:v>0.9523</x:v>
      </x:c>
      <x:c r="C936" s="22" t="str">
        <x:v>项目空间本地CSV</x:v>
      </x:c>
    </x:row>
    <x:row r="937">
      <x:c r="A937" s="47" t="n">
        <x:v>44865</x:v>
      </x:c>
      <x:c r="B937" s="48" t="n">
        <x:v>0.9596</x:v>
      </x:c>
      <x:c r="C937" s="22" t="str">
        <x:v>项目空间本地CSV</x:v>
      </x:c>
    </x:row>
    <x:row r="938">
      <x:c r="A938" s="47" t="n">
        <x:v>44862</x:v>
      </x:c>
      <x:c r="B938" s="48" t="n">
        <x:v>0.976</x:v>
      </x:c>
      <x:c r="C938" s="22" t="str">
        <x:v>项目空间本地CSV</x:v>
      </x:c>
    </x:row>
    <x:row r="939">
      <x:c r="A939" s="47" t="n">
        <x:v>44861</x:v>
      </x:c>
      <x:c r="B939" s="48" t="n">
        <x:v>0.9539</x:v>
      </x:c>
      <x:c r="C939" s="22" t="str">
        <x:v>项目空间本地CSV</x:v>
      </x:c>
    </x:row>
    <x:row r="940">
      <x:c r="A940" s="47" t="n">
        <x:v>44860</x:v>
      </x:c>
      <x:c r="B940" s="48" t="n">
        <x:v>0.968</x:v>
      </x:c>
      <x:c r="C940" s="22" t="str">
        <x:v>项目空间本地CSV</x:v>
      </x:c>
    </x:row>
    <x:row r="941">
      <x:c r="A941" s="47" t="n">
        <x:v>44859</x:v>
      </x:c>
      <x:c r="B941" s="48" t="n">
        <x:v>0.9907</x:v>
      </x:c>
      <x:c r="C941" s="22" t="str">
        <x:v>项目空间本地CSV</x:v>
      </x:c>
    </x:row>
    <x:row r="942">
      <x:c r="A942" s="47" t="n">
        <x:v>44858</x:v>
      </x:c>
      <x:c r="B942" s="48" t="n">
        <x:v>0.9659</x:v>
      </x:c>
      <x:c r="C942" s="22" t="str">
        <x:v>项目空间本地CSV</x:v>
      </x:c>
    </x:row>
    <x:row r="943">
      <x:c r="A943" s="47" t="n">
        <x:v>44855</x:v>
      </x:c>
      <x:c r="B943" s="48" t="n">
        <x:v>0.962</x:v>
      </x:c>
      <x:c r="C943" s="22" t="str">
        <x:v>项目空间本地CSV</x:v>
      </x:c>
    </x:row>
    <x:row r="944">
      <x:c r="A944" s="47" t="n">
        <x:v>44854</x:v>
      </x:c>
      <x:c r="B944" s="48" t="n">
        <x:v>0.9365</x:v>
      </x:c>
      <x:c r="C944" s="22" t="str">
        <x:v>项目空间本地CSV</x:v>
      </x:c>
    </x:row>
    <x:row r="945">
      <x:c r="A945" s="47" t="n">
        <x:v>44853</x:v>
      </x:c>
      <x:c r="B945" s="48" t="n">
        <x:v>0.9383</x:v>
      </x:c>
      <x:c r="C945" s="22" t="str">
        <x:v>项目空间本地CSV</x:v>
      </x:c>
    </x:row>
    <x:row r="946">
      <x:c r="A946" s="47" t="n">
        <x:v>44852</x:v>
      </x:c>
      <x:c r="B946" s="48" t="n">
        <x:v>0.9386</x:v>
      </x:c>
      <x:c r="C946" s="22" t="str">
        <x:v>项目空间本地CSV</x:v>
      </x:c>
    </x:row>
    <x:row r="947">
      <x:c r="A947" s="47" t="n">
        <x:v>44851</x:v>
      </x:c>
      <x:c r="B947" s="48" t="n">
        <x:v>0.9327</x:v>
      </x:c>
      <x:c r="C947" s="22" t="str">
        <x:v>项目空间本地CSV</x:v>
      </x:c>
    </x:row>
    <x:row r="948">
      <x:c r="A948" s="47" t="n">
        <x:v>44848</x:v>
      </x:c>
      <x:c r="B948" s="48" t="n">
        <x:v>0.8994</x:v>
      </x:c>
      <x:c r="C948" s="22" t="str">
        <x:v>项目空间本地CSV</x:v>
      </x:c>
    </x:row>
    <x:row r="949">
      <x:c r="A949" s="47" t="n">
        <x:v>44847</x:v>
      </x:c>
      <x:c r="B949" s="48" t="n">
        <x:v>0.9324</x:v>
      </x:c>
      <x:c r="C949" s="22" t="str">
        <x:v>项目空间本地CSV</x:v>
      </x:c>
    </x:row>
    <x:row r="950">
      <x:c r="A950" s="47" t="n">
        <x:v>44846</x:v>
      </x:c>
      <x:c r="B950" s="48" t="n">
        <x:v>0.9163</x:v>
      </x:c>
      <x:c r="C950" s="22" t="str">
        <x:v>项目空间本地CSV</x:v>
      </x:c>
    </x:row>
    <x:row r="951">
      <x:c r="A951" s="47" t="n">
        <x:v>44845</x:v>
      </x:c>
      <x:c r="B951" s="48" t="n">
        <x:v>0.9168</x:v>
      </x:c>
      <x:c r="C951" s="22" t="str">
        <x:v>项目空间本地CSV</x:v>
      </x:c>
    </x:row>
    <x:row r="952">
      <x:c r="A952" s="47" t="n">
        <x:v>44844</x:v>
      </x:c>
      <x:c r="B952" s="48" t="n">
        <x:v>0.9348</x:v>
      </x:c>
      <x:c r="C952" s="22" t="str">
        <x:v>项目空间本地CSV</x:v>
      </x:c>
    </x:row>
    <x:row r="953">
      <x:c r="A953" s="47" t="n">
        <x:v>44834</x:v>
      </x:c>
      <x:c r="B953" s="48" t="n">
        <x:v>0.9567</x:v>
      </x:c>
      <x:c r="C953" s="22" t="str">
        <x:v>项目空间本地CSV</x:v>
      </x:c>
    </x:row>
    <x:row r="954">
      <x:c r="A954" s="47" t="n">
        <x:v>44833</x:v>
      </x:c>
      <x:c r="B954" s="48" t="n">
        <x:v>0.971</x:v>
      </x:c>
      <x:c r="C954" s="22" t="str">
        <x:v>项目空间本地CSV</x:v>
      </x:c>
    </x:row>
    <x:row r="955">
      <x:c r="A955" s="47" t="n">
        <x:v>44832</x:v>
      </x:c>
      <x:c r="B955" s="48" t="n">
        <x:v>1.0019</x:v>
      </x:c>
      <x:c r="C955" s="22" t="str">
        <x:v>项目空间本地CSV</x:v>
      </x:c>
    </x:row>
    <x:row r="956">
      <x:c r="A956" s="47" t="n">
        <x:v>44831</x:v>
      </x:c>
      <x:c r="B956" s="48" t="n">
        <x:v>0.9792</x:v>
      </x:c>
      <x:c r="C956" s="22" t="str">
        <x:v>项目空间本地CSV</x:v>
      </x:c>
    </x:row>
    <x:row r="957">
      <x:c r="A957" s="47" t="n">
        <x:v>44830</x:v>
      </x:c>
      <x:c r="B957" s="48" t="n">
        <x:v>0.9665</x:v>
      </x:c>
      <x:c r="C957" s="22" t="str">
        <x:v>项目空间本地CSV</x:v>
      </x:c>
    </x:row>
    <x:row r="958">
      <x:c r="A958" s="47" t="n">
        <x:v>44827</x:v>
      </x:c>
      <x:c r="B958" s="48" t="n">
        <x:v>0.9667</x:v>
      </x:c>
      <x:c r="C958" s="22" t="str">
        <x:v>项目空间本地CSV</x:v>
      </x:c>
    </x:row>
    <x:row r="959">
      <x:c r="A959" s="47" t="n">
        <x:v>44826</x:v>
      </x:c>
      <x:c r="B959" s="48" t="n">
        <x:v>0.9841</x:v>
      </x:c>
      <x:c r="C959" s="22" t="str">
        <x:v>项目空间本地CSV</x:v>
      </x:c>
    </x:row>
    <x:row r="960">
      <x:c r="A960" s="47" t="n">
        <x:v>44825</x:v>
      </x:c>
      <x:c r="B960" s="48" t="n">
        <x:v>1.0028</x:v>
      </x:c>
      <x:c r="C960" s="22" t="str">
        <x:v>项目空间本地CSV</x:v>
      </x:c>
    </x:row>
    <x:row r="961">
      <x:c r="A961" s="47" t="n">
        <x:v>44824</x:v>
      </x:c>
      <x:c r="B961" s="48" t="n">
        <x:v>1.0149</x:v>
      </x:c>
      <x:c r="C961" s="22" t="str">
        <x:v>项目空间本地CSV</x:v>
      </x:c>
    </x:row>
    <x:row r="962">
      <x:c r="A962" s="47" t="n">
        <x:v>44823</x:v>
      </x:c>
      <x:c r="B962" s="48" t="n">
        <x:v>1.026</x:v>
      </x:c>
      <x:c r="C962" s="22" t="str">
        <x:v>项目空间本地CSV</x:v>
      </x:c>
    </x:row>
    <x:row r="963">
      <x:c r="A963" s="47" t="n">
        <x:v>44820</x:v>
      </x:c>
      <x:c r="B963" s="48" t="n">
        <x:v>1.0144</x:v>
      </x:c>
      <x:c r="C963" s="22" t="str">
        <x:v>项目空间本地CSV</x:v>
      </x:c>
    </x:row>
    <x:row r="964">
      <x:c r="A964" s="47" t="n">
        <x:v>44819</x:v>
      </x:c>
      <x:c r="B964" s="48" t="n">
        <x:v>1.0175</x:v>
      </x:c>
      <x:c r="C964" s="22" t="str">
        <x:v>项目空间本地CSV</x:v>
      </x:c>
    </x:row>
    <x:row r="965">
      <x:c r="A965" s="47" t="n">
        <x:v>44818</x:v>
      </x:c>
      <x:c r="B965" s="48" t="n">
        <x:v>1.0302</x:v>
      </x:c>
      <x:c r="C965" s="22" t="str">
        <x:v>项目空间本地CSV</x:v>
      </x:c>
    </x:row>
    <x:row r="966">
      <x:c r="A966" s="47" t="n">
        <x:v>44817</x:v>
      </x:c>
      <x:c r="B966" s="48" t="n">
        <x:v>1.0144</x:v>
      </x:c>
      <x:c r="C966" s="22" t="str">
        <x:v>项目空间本地CSV</x:v>
      </x:c>
    </x:row>
    <x:row r="967">
      <x:c r="A967" s="47" t="n">
        <x:v>44813</x:v>
      </x:c>
      <x:c r="B967" s="48" t="n">
        <x:v>1.0649</x:v>
      </x:c>
      <x:c r="C967" s="22" t="str">
        <x:v>项目空间本地CSV</x:v>
      </x:c>
    </x:row>
    <x:row r="968">
      <x:c r="A968" s="47" t="n">
        <x:v>44812</x:v>
      </x:c>
      <x:c r="B968" s="48" t="n">
        <x:v>1.0378</x:v>
      </x:c>
      <x:c r="C968" s="22" t="str">
        <x:v>项目空间本地CSV</x:v>
      </x:c>
    </x:row>
    <x:row r="969">
      <x:c r="A969" s="47" t="n">
        <x:v>44811</x:v>
      </x:c>
      <x:c r="B969" s="48" t="n">
        <x:v>1.0269</x:v>
      </x:c>
      <x:c r="C969" s="22" t="str">
        <x:v>项目空间本地CSV</x:v>
      </x:c>
    </x:row>
    <x:row r="970">
      <x:c r="A970" s="47" t="n">
        <x:v>44810</x:v>
      </x:c>
      <x:c r="B970" s="48" t="n">
        <x:v>1.0046</x:v>
      </x:c>
      <x:c r="C970" s="22" t="str">
        <x:v>项目空间本地CSV</x:v>
      </x:c>
    </x:row>
    <x:row r="971">
      <x:c r="A971" s="47" t="n">
        <x:v>44809</x:v>
      </x:c>
      <x:c r="B971" s="48" t="n">
        <x:v>1.0118</x:v>
      </x:c>
      <x:c r="C971" s="22" t="str">
        <x:v>项目空间本地CSV</x:v>
      </x:c>
    </x:row>
    <x:row r="972">
      <x:c r="A972" s="47" t="n">
        <x:v>44806</x:v>
      </x:c>
      <x:c r="B972" s="48" t="n">
        <x:v>1.0108</x:v>
      </x:c>
      <x:c r="C972" s="22" t="str">
        <x:v>项目空间本地CSV</x:v>
      </x:c>
    </x:row>
    <x:row r="973">
      <x:c r="A973" s="47" t="n">
        <x:v>44805</x:v>
      </x:c>
      <x:c r="B973" s="48" t="n">
        <x:v>1.0226</x:v>
      </x:c>
      <x:c r="C973" s="22" t="str">
        <x:v>项目空间本地CSV</x:v>
      </x:c>
    </x:row>
    <x:row r="974">
      <x:c r="A974" s="47" t="n">
        <x:v>44804</x:v>
      </x:c>
      <x:c r="B974" s="48" t="n">
        <x:v>1.0338</x:v>
      </x:c>
      <x:c r="C974" s="22" t="str">
        <x:v>项目空间本地CSV</x:v>
      </x:c>
    </x:row>
    <x:row r="975">
      <x:c r="A975" s="47" t="n">
        <x:v>44803</x:v>
      </x:c>
      <x:c r="B975" s="48" t="n">
        <x:v>1.042</x:v>
      </x:c>
      <x:c r="C975" s="22" t="str">
        <x:v>项目空间本地CSV</x:v>
      </x:c>
    </x:row>
    <x:row r="976">
      <x:c r="A976" s="47" t="n">
        <x:v>44802</x:v>
      </x:c>
      <x:c r="B976" s="48" t="n">
        <x:v>1.051</x:v>
      </x:c>
      <x:c r="C976" s="22" t="str">
        <x:v>项目空间本地CSV</x:v>
      </x:c>
    </x:row>
    <x:row r="977">
      <x:c r="A977" s="47" t="n">
        <x:v>44799</x:v>
      </x:c>
      <x:c r="B977" s="48" t="n">
        <x:v>1.0622</x:v>
      </x:c>
      <x:c r="C977" s="22" t="str">
        <x:v>项目空间本地CSV</x:v>
      </x:c>
    </x:row>
    <x:row r="978">
      <x:c r="A978" s="47" t="n">
        <x:v>44798</x:v>
      </x:c>
      <x:c r="B978" s="48" t="n">
        <x:v>1.1158</x:v>
      </x:c>
      <x:c r="C978" s="22" t="str">
        <x:v>项目空间本地CSV</x:v>
      </x:c>
    </x:row>
    <x:row r="979">
      <x:c r="A979" s="47" t="n">
        <x:v>44797</x:v>
      </x:c>
      <x:c r="B979" s="48" t="n">
        <x:v>1.0875</x:v>
      </x:c>
      <x:c r="C979" s="22" t="str">
        <x:v>项目空间本地CSV</x:v>
      </x:c>
    </x:row>
    <x:row r="980">
      <x:c r="A980" s="47" t="n">
        <x:v>44796</x:v>
      </x:c>
      <x:c r="B980" s="48" t="n">
        <x:v>1.0856</x:v>
      </x:c>
      <x:c r="C980" s="22" t="str">
        <x:v>项目空间本地CSV</x:v>
      </x:c>
    </x:row>
    <x:row r="981">
      <x:c r="A981" s="47" t="n">
        <x:v>44795</x:v>
      </x:c>
      <x:c r="B981" s="48" t="n">
        <x:v>1.0767</x:v>
      </x:c>
      <x:c r="C981" s="22" t="str">
        <x:v>项目空间本地CSV</x:v>
      </x:c>
    </x:row>
    <x:row r="982">
      <x:c r="A982" s="47" t="n">
        <x:v>44792</x:v>
      </x:c>
      <x:c r="B982" s="48" t="n">
        <x:v>1.1093</x:v>
      </x:c>
      <x:c r="C982" s="22" t="str">
        <x:v>项目空间本地CSV</x:v>
      </x:c>
    </x:row>
    <x:row r="983">
      <x:c r="A983" s="47" t="n">
        <x:v>44791</x:v>
      </x:c>
      <x:c r="B983" s="48" t="n">
        <x:v>1.1342</x:v>
      </x:c>
      <x:c r="C983" s="22" t="str">
        <x:v>项目空间本地CSV</x:v>
      </x:c>
    </x:row>
    <x:row r="984">
      <x:c r="A984" s="47" t="n">
        <x:v>44790</x:v>
      </x:c>
      <x:c r="B984" s="48" t="n">
        <x:v>1.1252</x:v>
      </x:c>
      <x:c r="C984" s="22" t="str">
        <x:v>项目空间本地CSV</x:v>
      </x:c>
    </x:row>
    <x:row r="985">
      <x:c r="A985" s="47" t="n">
        <x:v>44789</x:v>
      </x:c>
      <x:c r="B985" s="48" t="n">
        <x:v>1.1414</x:v>
      </x:c>
      <x:c r="C985" s="22" t="str">
        <x:v>项目空间本地CSV</x:v>
      </x:c>
    </x:row>
    <x:row r="986">
      <x:c r="A986" s="47" t="n">
        <x:v>44788</x:v>
      </x:c>
      <x:c r="B986" s="48" t="n">
        <x:v>1.1407</x:v>
      </x:c>
      <x:c r="C986" s="22" t="str">
        <x:v>项目空间本地CSV</x:v>
      </x:c>
    </x:row>
    <x:row r="987">
      <x:c r="A987" s="47" t="n">
        <x:v>44785</x:v>
      </x:c>
      <x:c r="B987" s="48" t="n">
        <x:v>1.1345</x:v>
      </x:c>
      <x:c r="C987" s="22" t="str">
        <x:v>项目空间本地CSV</x:v>
      </x:c>
    </x:row>
    <x:row r="988">
      <x:c r="A988" s="47" t="n">
        <x:v>44784</x:v>
      </x:c>
      <x:c r="B988" s="48" t="n">
        <x:v>1.1027</x:v>
      </x:c>
      <x:c r="C988" s="22" t="str">
        <x:v>项目空间本地CSV</x:v>
      </x:c>
    </x:row>
    <x:row r="989">
      <x:c r="A989" s="47" t="n">
        <x:v>44783</x:v>
      </x:c>
      <x:c r="B989" s="48" t="n">
        <x:v>1.1164</x:v>
      </x:c>
      <x:c r="C989" s="22" t="str">
        <x:v>项目空间本地CSV</x:v>
      </x:c>
    </x:row>
    <x:row r="990">
      <x:c r="A990" s="47" t="n">
        <x:v>44782</x:v>
      </x:c>
      <x:c r="B990" s="48" t="n">
        <x:v>1.0828</x:v>
      </x:c>
      <x:c r="C990" s="22" t="str">
        <x:v>项目空间本地CSV</x:v>
      </x:c>
    </x:row>
    <x:row r="991">
      <x:c r="A991" s="47" t="n">
        <x:v>44781</x:v>
      </x:c>
      <x:c r="B991" s="48" t="n">
        <x:v>1.1032</x:v>
      </x:c>
      <x:c r="C991" s="22" t="str">
        <x:v>项目空间本地CSV</x:v>
      </x:c>
    </x:row>
    <x:row r="992">
      <x:c r="A992" s="47" t="n">
        <x:v>44778</x:v>
      </x:c>
      <x:c r="B992" s="48" t="n">
        <x:v>1.1068</x:v>
      </x:c>
      <x:c r="C992" s="22" t="str">
        <x:v>项目空间本地CSV</x:v>
      </x:c>
    </x:row>
    <x:row r="993">
      <x:c r="A993" s="47" t="n">
        <x:v>44777</x:v>
      </x:c>
      <x:c r="B993" s="48" t="n">
        <x:v>1.1226</x:v>
      </x:c>
      <x:c r="C993" s="22" t="str">
        <x:v>项目空间本地CSV</x:v>
      </x:c>
    </x:row>
    <x:row r="994">
      <x:c r="A994" s="47" t="n">
        <x:v>44776</x:v>
      </x:c>
      <x:c r="B994" s="48" t="n">
        <x:v>1.119</x:v>
      </x:c>
      <x:c r="C994" s="22" t="str">
        <x:v>项目空间本地CSV</x:v>
      </x:c>
    </x:row>
    <x:row r="995">
      <x:c r="A995" s="47" t="n">
        <x:v>44775</x:v>
      </x:c>
      <x:c r="B995" s="48" t="n">
        <x:v>1.0905</x:v>
      </x:c>
      <x:c r="C995" s="22" t="str">
        <x:v>项目空间本地CSV</x:v>
      </x:c>
    </x:row>
    <x:row r="996">
      <x:c r="A996" s="47" t="n">
        <x:v>44774</x:v>
      </x:c>
      <x:c r="B996" s="48" t="n">
        <x:v>1.091</x:v>
      </x:c>
      <x:c r="C996" s="22" t="str">
        <x:v>项目空间本地CSV</x:v>
      </x:c>
    </x:row>
    <x:row r="997">
      <x:c r="A997" s="47" t="n">
        <x:v>44771</x:v>
      </x:c>
      <x:c r="B997" s="48" t="n">
        <x:v>1.0916</x:v>
      </x:c>
      <x:c r="C997" s="22" t="str">
        <x:v>项目空间本地CSV</x:v>
      </x:c>
    </x:row>
    <x:row r="998">
      <x:c r="A998" s="47" t="n">
        <x:v>44770</x:v>
      </x:c>
      <x:c r="B998" s="48" t="n">
        <x:v>1.0729</x:v>
      </x:c>
      <x:c r="C998" s="22" t="str">
        <x:v>项目空间本地CSV</x:v>
      </x:c>
    </x:row>
    <x:row r="999">
      <x:c r="A999" s="47" t="n">
        <x:v>44769</x:v>
      </x:c>
      <x:c r="B999" s="48" t="n">
        <x:v>1.0676</x:v>
      </x:c>
      <x:c r="C999" s="22" t="str">
        <x:v>项目空间本地CSV</x:v>
      </x:c>
    </x:row>
    <x:row r="1000">
      <x:c r="A1000" s="47" t="n">
        <x:v>44768</x:v>
      </x:c>
      <x:c r="B1000" s="48" t="n">
        <x:v>1.026</x:v>
      </x:c>
      <x:c r="C1000" s="22" t="str">
        <x:v>项目空间本地CSV</x:v>
      </x:c>
    </x:row>
    <x:row r="1001">
      <x:c r="A1001" s="47" t="n">
        <x:v>44767</x:v>
      </x:c>
      <x:c r="B1001" s="48" t="n">
        <x:v>1.0468</x:v>
      </x:c>
      <x:c r="C1001" s="22" t="str">
        <x:v>项目空间本地CSV</x:v>
      </x:c>
    </x:row>
    <x:row r="1002">
      <x:c r="A1002" s="47" t="n">
        <x:v>44764</x:v>
      </x:c>
      <x:c r="B1002" s="48" t="n">
        <x:v>1.0549</x:v>
      </x:c>
      <x:c r="C1002" s="22" t="str">
        <x:v>项目空间本地CSV</x:v>
      </x:c>
    </x:row>
    <x:row r="1003">
      <x:c r="A1003" s="47" t="n">
        <x:v>44763</x:v>
      </x:c>
      <x:c r="B1003" s="48" t="n">
        <x:v>1.0728</x:v>
      </x:c>
      <x:c r="C1003" s="22" t="str">
        <x:v>项目空间本地CSV</x:v>
      </x:c>
    </x:row>
    <x:row r="1004">
      <x:c r="A1004" s="47" t="n">
        <x:v>44762</x:v>
      </x:c>
      <x:c r="B1004" s="48" t="n">
        <x:v>1.0543</x:v>
      </x:c>
      <x:c r="C1004" s="22" t="str">
        <x:v>项目空间本地CSV</x:v>
      </x:c>
    </x:row>
    <x:row r="1005">
      <x:c r="A1005" s="47" t="n">
        <x:v>44761</x:v>
      </x:c>
      <x:c r="B1005" s="48" t="n">
        <x:v>1.0369</x:v>
      </x:c>
      <x:c r="C1005" s="22" t="str">
        <x:v>项目空间本地CSV</x:v>
      </x:c>
    </x:row>
    <x:row r="1006">
      <x:c r="A1006" s="47" t="n">
        <x:v>44760</x:v>
      </x:c>
      <x:c r="B1006" s="48" t="n">
        <x:v>1.0174</x:v>
      </x:c>
      <x:c r="C1006" s="22" t="str">
        <x:v>项目空间本地CSV</x:v>
      </x:c>
    </x:row>
    <x:row r="1007">
      <x:c r="A1007" s="47" t="n">
        <x:v>44757</x:v>
      </x:c>
      <x:c r="B1007" s="48" t="n">
        <x:v>1.0213</x:v>
      </x:c>
      <x:c r="C1007" s="22" t="str">
        <x:v>项目空间本地CSV</x:v>
      </x:c>
    </x:row>
    <x:row r="1008">
      <x:c r="A1008" s="47" t="n">
        <x:v>44756</x:v>
      </x:c>
      <x:c r="B1008" s="48" t="n">
        <x:v>1.0146</x:v>
      </x:c>
      <x:c r="C1008" s="22" t="str">
        <x:v>项目空间本地CSV</x:v>
      </x:c>
    </x:row>
    <x:row r="1009">
      <x:c r="A1009" s="47" t="n">
        <x:v>44755</x:v>
      </x:c>
      <x:c r="B1009" s="48" t="n">
        <x:v>1.0069</x:v>
      </x:c>
      <x:c r="C1009" s="22" t="str">
        <x:v>项目空间本地CSV</x:v>
      </x:c>
    </x:row>
    <x:row r="1010">
      <x:c r="A1010" s="47" t="n">
        <x:v>44754</x:v>
      </x:c>
      <x:c r="B1010" s="48" t="n">
        <x:v>1.0046</x:v>
      </x:c>
      <x:c r="C1010" s="22" t="str">
        <x:v>项目空间本地CSV</x:v>
      </x:c>
    </x:row>
    <x:row r="1011">
      <x:c r="A1011" s="47" t="n">
        <x:v>44753</x:v>
      </x:c>
      <x:c r="B1011" s="48" t="n">
        <x:v>1.0145</x:v>
      </x:c>
      <x:c r="C1011" s="22" t="str">
        <x:v>项目空间本地CSV</x:v>
      </x:c>
    </x:row>
    <x:row r="1012">
      <x:c r="A1012" s="47" t="n">
        <x:v>44750</x:v>
      </x:c>
      <x:c r="B1012" s="48" t="n">
        <x:v>1.0416</x:v>
      </x:c>
      <x:c r="C1012" s="22" t="str">
        <x:v>项目空间本地CSV</x:v>
      </x:c>
    </x:row>
    <x:row r="1013">
      <x:c r="A1013" s="47" t="n">
        <x:v>44749</x:v>
      </x:c>
      <x:c r="B1013" s="48" t="n">
        <x:v>1.0389</x:v>
      </x:c>
      <x:c r="C1013" s="22" t="str">
        <x:v>项目空间本地CSV</x:v>
      </x:c>
    </x:row>
    <x:row r="1014">
      <x:c r="A1014" s="47" t="n">
        <x:v>44748</x:v>
      </x:c>
      <x:c r="B1014" s="48" t="n">
        <x:v>1.0196</x:v>
      </x:c>
      <x:c r="C1014" s="22" t="str">
        <x:v>项目空间本地CSV</x:v>
      </x:c>
    </x:row>
    <x:row r="1015">
      <x:c r="A1015" s="47" t="n">
        <x:v>44747</x:v>
      </x:c>
      <x:c r="B1015" s="48" t="n">
        <x:v>1.0131</x:v>
      </x:c>
      <x:c r="C1015" s="22" t="str">
        <x:v>项目空间本地CSV</x:v>
      </x:c>
    </x:row>
    <x:row r="1016">
      <x:c r="A1016" s="47" t="n">
        <x:v>44746</x:v>
      </x:c>
      <x:c r="B1016" s="48" t="n">
        <x:v>0.9982</x:v>
      </x:c>
      <x:c r="C1016" s="22" t="str">
        <x:v>项目空间本地CSV</x:v>
      </x:c>
    </x:row>
    <x:row r="1017">
      <x:c r="A1017" s="47" t="n">
        <x:v>44743</x:v>
      </x:c>
      <x:c r="B1017" s="48" t="n">
        <x:v>0.9935</x:v>
      </x:c>
      <x:c r="C1017" s="22" t="str">
        <x:v>项目空间本地CSV</x:v>
      </x:c>
    </x:row>
    <x:row r="1018">
      <x:c r="A1018" s="47" t="n">
        <x:v>44742</x:v>
      </x:c>
      <x:c r="B1018" s="48" t="n">
        <x:v>1.0008</x:v>
      </x:c>
      <x:c r="C1018" s="22" t="str">
        <x:v>项目空间本地CSV</x:v>
      </x:c>
    </x:row>
    <x:row r="1019">
      <x:c r="A1019" s="47" t="n">
        <x:v>44741</x:v>
      </x:c>
      <x:c r="B1019" s="48" t="n">
        <x:v>1.0116</x:v>
      </x:c>
      <x:c r="C1019" s="22" t="str">
        <x:v>项目空间本地CSV</x:v>
      </x:c>
    </x:row>
    <x:row r="1020">
      <x:c r="A1020" s="47" t="n">
        <x:v>44740</x:v>
      </x:c>
      <x:c r="B1020" s="48" t="n">
        <x:v>1.0224</x:v>
      </x:c>
      <x:c r="C1020" s="22" t="str">
        <x:v>项目空间本地CSV</x:v>
      </x:c>
    </x:row>
    <x:row r="1021">
      <x:c r="A1021" s="47" t="n">
        <x:v>44739</x:v>
      </x:c>
      <x:c r="B1021" s="48" t="n">
        <x:v>1.0505</x:v>
      </x:c>
      <x:c r="C1021" s="22" t="str">
        <x:v>项目空间本地CSV</x:v>
      </x:c>
    </x:row>
    <x:row r="1022">
      <x:c r="A1022" s="47" t="n">
        <x:v>44736</x:v>
      </x:c>
      <x:c r="B1022" s="48" t="n">
        <x:v>1.0569</x:v>
      </x:c>
      <x:c r="C1022" s="22" t="str">
        <x:v>项目空间本地CSV</x:v>
      </x:c>
    </x:row>
    <x:row r="1023">
      <x:c r="A1023" s="47" t="n">
        <x:v>44735</x:v>
      </x:c>
      <x:c r="B1023" s="48" t="n">
        <x:v>1.0232</x:v>
      </x:c>
      <x:c r="C1023" s="22" t="str">
        <x:v>项目空间本地CSV</x:v>
      </x:c>
    </x:row>
    <x:row r="1024">
      <x:c r="A1024" s="47" t="n">
        <x:v>44734</x:v>
      </x:c>
      <x:c r="B1024" s="48" t="n">
        <x:v>1.0183</x:v>
      </x:c>
      <x:c r="C1024" s="22" t="str">
        <x:v>项目空间本地CSV</x:v>
      </x:c>
    </x:row>
    <x:row r="1025">
      <x:c r="A1025" s="47" t="n">
        <x:v>44733</x:v>
      </x:c>
      <x:c r="B1025" s="48" t="n">
        <x:v>1.0213</x:v>
      </x:c>
      <x:c r="C1025" s="22" t="str">
        <x:v>项目空间本地CSV</x:v>
      </x:c>
    </x:row>
    <x:row r="1026">
      <x:c r="A1026" s="47" t="n">
        <x:v>44732</x:v>
      </x:c>
      <x:c r="B1026" s="48" t="n">
        <x:v>0.9988</x:v>
      </x:c>
      <x:c r="C1026" s="22" t="str">
        <x:v>项目空间本地CSV</x:v>
      </x:c>
    </x:row>
    <x:row r="1027">
      <x:c r="A1027" s="47" t="n">
        <x:v>44729</x:v>
      </x:c>
      <x:c r="B1027" s="48" t="n">
        <x:v>0.9954</x:v>
      </x:c>
      <x:c r="C1027" s="22" t="str">
        <x:v>项目空间本地CSV</x:v>
      </x:c>
    </x:row>
    <x:row r="1028">
      <x:c r="A1028" s="47" t="n">
        <x:v>44728</x:v>
      </x:c>
      <x:c r="B1028" s="48" t="n">
        <x:v>0.9891</x:v>
      </x:c>
      <x:c r="C1028" s="22" t="str">
        <x:v>项目空间本地CSV</x:v>
      </x:c>
    </x:row>
    <x:row r="1029">
      <x:c r="A1029" s="47" t="n">
        <x:v>44727</x:v>
      </x:c>
      <x:c r="B1029" s="48" t="n">
        <x:v>1.0433</x:v>
      </x:c>
      <x:c r="C1029" s="22" t="str">
        <x:v>项目空间本地CSV</x:v>
      </x:c>
    </x:row>
    <x:row r="1030">
      <x:c r="A1030" s="47" t="n">
        <x:v>44726</x:v>
      </x:c>
      <x:c r="B1030" s="48" t="n">
        <x:v>1.017</x:v>
      </x:c>
      <x:c r="C1030" s="22" t="str">
        <x:v>项目空间本地CSV</x:v>
      </x:c>
    </x:row>
    <x:row r="1031">
      <x:c r="A1031" s="47" t="n">
        <x:v>44725</x:v>
      </x:c>
      <x:c r="B1031" s="48" t="n">
        <x:v>1.0065</x:v>
      </x:c>
      <x:c r="C1031" s="22" t="str">
        <x:v>项目空间本地CSV</x:v>
      </x:c>
    </x:row>
    <x:row r="1032">
      <x:c r="A1032" s="47" t="n">
        <x:v>44722</x:v>
      </x:c>
      <x:c r="B1032" s="48" t="n">
        <x:v>1.0586</x:v>
      </x:c>
      <x:c r="C1032" s="22" t="str">
        <x:v>项目空间本地CSV</x:v>
      </x:c>
    </x:row>
    <x:row r="1033">
      <x:c r="A1033" s="47" t="n">
        <x:v>44721</x:v>
      </x:c>
      <x:c r="B1033" s="48" t="n">
        <x:v>1.096</x:v>
      </x:c>
      <x:c r="C1033" s="22" t="str">
        <x:v>项目空间本地CSV</x:v>
      </x:c>
    </x:row>
    <x:row r="1034">
      <x:c r="A1034" s="47" t="n">
        <x:v>44720</x:v>
      </x:c>
      <x:c r="B1034" s="48" t="n">
        <x:v>1.1176</x:v>
      </x:c>
      <x:c r="C1034" s="22" t="str">
        <x:v>项目空间本地CSV</x:v>
      </x:c>
    </x:row>
    <x:row r="1035">
      <x:c r="A1035" s="47" t="n">
        <x:v>44719</x:v>
      </x:c>
      <x:c r="B1035" s="48" t="n">
        <x:v>1.1312</x:v>
      </x:c>
      <x:c r="C1035" s="22" t="str">
        <x:v>项目空间本地CSV</x:v>
      </x:c>
    </x:row>
    <x:row r="1036">
      <x:c r="A1036" s="47" t="n">
        <x:v>44718</x:v>
      </x:c>
      <x:c r="B1036" s="48" t="n">
        <x:v>1.1252</x:v>
      </x:c>
      <x:c r="C1036" s="22" t="str">
        <x:v>项目空间本地CSV</x:v>
      </x:c>
    </x:row>
    <x:row r="1037">
      <x:c r="A1037" s="47" t="n">
        <x:v>44714</x:v>
      </x:c>
      <x:c r="B1037" s="48" t="n">
        <x:v>1.1539</x:v>
      </x:c>
      <x:c r="C1037" s="22" t="str">
        <x:v>项目空间本地CSV</x:v>
      </x:c>
    </x:row>
    <x:row r="1038">
      <x:c r="A1038" s="47" t="n">
        <x:v>44713</x:v>
      </x:c>
      <x:c r="B1038" s="48" t="n">
        <x:v>1.1058</x:v>
      </x:c>
      <x:c r="C1038" s="22" t="str">
        <x:v>项目空间本地CSV</x:v>
      </x:c>
    </x:row>
    <x:row r="1039">
      <x:c r="A1039" s="47" t="n">
        <x:v>44712</x:v>
      </x:c>
      <x:c r="B1039" s="48" t="n">
        <x:v>1.1135</x:v>
      </x:c>
      <x:c r="C1039" s="22" t="str">
        <x:v>项目空间本地CSV</x:v>
      </x:c>
    </x:row>
    <x:row r="1040">
      <x:c r="A1040" s="47" t="n">
        <x:v>44711</x:v>
      </x:c>
      <x:c r="B1040" s="48" t="n">
        <x:v>1.1223</x:v>
      </x:c>
      <x:c r="C1040" s="22" t="str">
        <x:v>项目空间本地CSV</x:v>
      </x:c>
    </x:row>
    <x:row r="1041">
      <x:c r="A1041" s="47" t="n">
        <x:v>44708</x:v>
      </x:c>
      <x:c r="B1041" s="48" t="n">
        <x:v>1.1276</x:v>
      </x:c>
      <x:c r="C1041" s="22" t="str">
        <x:v>项目空间本地CSV</x:v>
      </x:c>
    </x:row>
    <x:row r="1042">
      <x:c r="A1042" s="47" t="n">
        <x:v>44707</x:v>
      </x:c>
      <x:c r="B1042" s="48" t="n">
        <x:v>1.0751</x:v>
      </x:c>
      <x:c r="C1042" s="22" t="str">
        <x:v>项目空间本地CSV</x:v>
      </x:c>
    </x:row>
    <x:row r="1043">
      <x:c r="A1043" s="47" t="n">
        <x:v>44706</x:v>
      </x:c>
      <x:c r="B1043" s="48" t="n">
        <x:v>1.0339</x:v>
      </x:c>
      <x:c r="C1043" s="22" t="str">
        <x:v>项目空间本地CSV</x:v>
      </x:c>
    </x:row>
    <x:row r="1044">
      <x:c r="A1044" s="47" t="n">
        <x:v>44705</x:v>
      </x:c>
      <x:c r="B1044" s="48" t="n">
        <x:v>1.0148</x:v>
      </x:c>
      <x:c r="C1044" s="22" t="str">
        <x:v>项目空间本地CSV</x:v>
      </x:c>
    </x:row>
    <x:row r="1045">
      <x:c r="A1045" s="47" t="n">
        <x:v>44704</x:v>
      </x:c>
      <x:c r="B1045" s="48" t="n">
        <x:v>1.0489</x:v>
      </x:c>
      <x:c r="C1045" s="22" t="str">
        <x:v>项目空间本地CSV</x:v>
      </x:c>
    </x:row>
    <x:row r="1046">
      <x:c r="A1046" s="47" t="n">
        <x:v>44701</x:v>
      </x:c>
      <x:c r="B1046" s="48" t="n">
        <x:v>1.0487</x:v>
      </x:c>
      <x:c r="C1046" s="22" t="str">
        <x:v>项目空间本地CSV</x:v>
      </x:c>
    </x:row>
    <x:row r="1047">
      <x:c r="A1047" s="47" t="n">
        <x:v>44700</x:v>
      </x:c>
      <x:c r="B1047" s="48" t="n">
        <x:v>1.0597</x:v>
      </x:c>
      <x:c r="C1047" s="22" t="str">
        <x:v>项目空间本地CSV</x:v>
      </x:c>
    </x:row>
    <x:row r="1048">
      <x:c r="A1048" s="47" t="n">
        <x:v>44699</x:v>
      </x:c>
      <x:c r="B1048" s="48" t="n">
        <x:v>1.0621</x:v>
      </x:c>
      <x:c r="C1048" s="22" t="str">
        <x:v>项目空间本地CSV</x:v>
      </x:c>
    </x:row>
    <x:row r="1049">
      <x:c r="A1049" s="47" t="n">
        <x:v>44698</x:v>
      </x:c>
      <x:c r="B1049" s="48" t="n">
        <x:v>1.1252</x:v>
      </x:c>
      <x:c r="C1049" s="22" t="str">
        <x:v>项目空间本地CSV</x:v>
      </x:c>
    </x:row>
    <x:row r="1050">
      <x:c r="A1050" s="47" t="n">
        <x:v>44697</x:v>
      </x:c>
      <x:c r="B1050" s="48" t="n">
        <x:v>1.0824</x:v>
      </x:c>
      <x:c r="C1050" s="22" t="str">
        <x:v>项目空间本地CSV</x:v>
      </x:c>
    </x:row>
    <x:row r="1051">
      <x:c r="A1051" s="47" t="n">
        <x:v>44694</x:v>
      </x:c>
      <x:c r="B1051" s="48" t="n">
        <x:v>1.1039</x:v>
      </x:c>
      <x:c r="C1051" s="22" t="str">
        <x:v>项目空间本地CSV</x:v>
      </x:c>
    </x:row>
    <x:row r="1052">
      <x:c r="A1052" s="47" t="n">
        <x:v>44693</x:v>
      </x:c>
      <x:c r="B1052" s="48" t="n">
        <x:v>1.0395</x:v>
      </x:c>
      <x:c r="C1052" s="22" t="str">
        <x:v>项目空间本地CSV</x:v>
      </x:c>
    </x:row>
    <x:row r="1053">
      <x:c r="A1053" s="47" t="n">
        <x:v>44692</x:v>
      </x:c>
      <x:c r="B1053" s="48" t="n">
        <x:v>1.0447</x:v>
      </x:c>
      <x:c r="C1053" s="22" t="str">
        <x:v>项目空间本地CSV</x:v>
      </x:c>
    </x:row>
    <x:row r="1054">
      <x:c r="A1054" s="47" t="n">
        <x:v>44691</x:v>
      </x:c>
      <x:c r="B1054" s="48" t="n">
        <x:v>1.0797</x:v>
      </x:c>
      <x:c r="C1054" s="22" t="str">
        <x:v>项目空间本地CSV</x:v>
      </x:c>
    </x:row>
    <x:row r="1055">
      <x:c r="A1055" s="47" t="n">
        <x:v>44690</x:v>
      </x:c>
      <x:c r="B1055" s="48" t="n">
        <x:v>1.054</x:v>
      </x:c>
      <x:c r="C1055" s="22" t="str">
        <x:v>项目空间本地CSV</x:v>
      </x:c>
    </x:row>
    <x:row r="1056">
      <x:c r="A1056" s="47" t="n">
        <x:v>44687</x:v>
      </x:c>
      <x:c r="B1056" s="48" t="n">
        <x:v>1.1084</x:v>
      </x:c>
      <x:c r="C1056" s="22" t="str">
        <x:v>项目空间本地CSV</x:v>
      </x:c>
    </x:row>
    <x:row r="1057">
      <x:c r="A1057" s="47" t="n">
        <x:v>44686</x:v>
      </x:c>
      <x:c r="B1057" s="48" t="n">
        <x:v>1.1068</x:v>
      </x:c>
      <x:c r="C1057" s="22" t="str">
        <x:v>项目空间本地CSV</x:v>
      </x:c>
    </x:row>
    <x:row r="1058">
      <x:c r="A1058" s="47" t="n">
        <x:v>44680</x:v>
      </x:c>
      <x:c r="B1058" s="48" t="n">
        <x:v>1.0954</x:v>
      </x:c>
      <x:c r="C1058" s="22" t="str">
        <x:v>项目空间本地CSV</x:v>
      </x:c>
    </x:row>
    <x:row r="1059">
      <x:c r="A1059" s="47" t="n">
        <x:v>44679</x:v>
      </x:c>
      <x:c r="B1059" s="48" t="n">
        <x:v>1.1395</x:v>
      </x:c>
      <x:c r="C1059" s="22" t="str">
        <x:v>项目空间本地CSV</x:v>
      </x:c>
    </x:row>
    <x:row r="1060">
      <x:c r="A1060" s="47" t="n">
        <x:v>44678</x:v>
      </x:c>
      <x:c r="B1060" s="48" t="n">
        <x:v>1.0987</x:v>
      </x:c>
      <x:c r="C1060" s="22" t="str">
        <x:v>项目空间本地CSV</x:v>
      </x:c>
    </x:row>
    <x:row r="1061">
      <x:c r="A1061" s="47" t="n">
        <x:v>44677</x:v>
      </x:c>
      <x:c r="B1061" s="48" t="n">
        <x:v>1.101</x:v>
      </x:c>
      <x:c r="C1061" s="22" t="str">
        <x:v>项目空间本地CSV</x:v>
      </x:c>
    </x:row>
    <x:row r="1062">
      <x:c r="A1062" s="47" t="n">
        <x:v>44676</x:v>
      </x:c>
      <x:c r="B1062" s="48" t="n">
        <x:v>1.145</x:v>
      </x:c>
      <x:c r="C1062" s="22" t="str">
        <x:v>项目空间本地CSV</x:v>
      </x:c>
    </x:row>
    <x:row r="1063">
      <x:c r="A1063" s="47" t="n">
        <x:v>44673</x:v>
      </x:c>
      <x:c r="B1063" s="48" t="n">
        <x:v>1.1198</x:v>
      </x:c>
      <x:c r="C1063" s="22" t="str">
        <x:v>项目空间本地CSV</x:v>
      </x:c>
    </x:row>
    <x:row r="1064">
      <x:c r="A1064" s="47" t="n">
        <x:v>44672</x:v>
      </x:c>
      <x:c r="B1064" s="48" t="n">
        <x:v>1.1377</x:v>
      </x:c>
      <x:c r="C1064" s="22" t="str">
        <x:v>项目空间本地CSV</x:v>
      </x:c>
    </x:row>
    <x:row r="1065">
      <x:c r="A1065" s="47" t="n">
        <x:v>44671</x:v>
      </x:c>
      <x:c r="B1065" s="48" t="n">
        <x:v>1.166</x:v>
      </x:c>
      <x:c r="C1065" s="22" t="str">
        <x:v>项目空间本地CSV</x:v>
      </x:c>
    </x:row>
    <x:row r="1066">
      <x:c r="A1066" s="47" t="n">
        <x:v>44670</x:v>
      </x:c>
      <x:c r="B1066" s="48" t="n">
        <x:v>1.1821</x:v>
      </x:c>
      <x:c r="C1066" s="22" t="str">
        <x:v>项目空间本地CSV</x:v>
      </x:c>
    </x:row>
    <x:row r="1067">
      <x:c r="A1067" s="47" t="n">
        <x:v>44669</x:v>
      </x:c>
      <x:c r="B1067" s="48" t="n">
        <x:v>1.1582</x:v>
      </x:c>
      <x:c r="C1067" s="22" t="str">
        <x:v>项目空间本地CSV</x:v>
      </x:c>
    </x:row>
    <x:row r="1068">
      <x:c r="A1068" s="47" t="n">
        <x:v>44666</x:v>
      </x:c>
      <x:c r="B1068" s="48" t="n">
        <x:v>1.149</x:v>
      </x:c>
      <x:c r="C1068" s="22" t="str">
        <x:v>项目空间本地CSV</x:v>
      </x:c>
    </x:row>
    <x:row r="1069">
      <x:c r="A1069" s="47" t="n">
        <x:v>44665</x:v>
      </x:c>
      <x:c r="B1069" s="48" t="n">
        <x:v>1.1432</x:v>
      </x:c>
      <x:c r="C1069" s="22" t="str">
        <x:v>项目空间本地CSV</x:v>
      </x:c>
    </x:row>
    <x:row r="1070">
      <x:c r="A1070" s="47" t="n">
        <x:v>44664</x:v>
      </x:c>
      <x:c r="B1070" s="48" t="n">
        <x:v>1.1807</x:v>
      </x:c>
      <x:c r="C1070" s="22" t="str">
        <x:v>项目空间本地CSV</x:v>
      </x:c>
    </x:row>
    <x:row r="1071">
      <x:c r="A1071" s="47" t="n">
        <x:v>44663</x:v>
      </x:c>
      <x:c r="B1071" s="48" t="n">
        <x:v>1.1534</x:v>
      </x:c>
      <x:c r="C1071" s="22" t="str">
        <x:v>项目空间本地CSV</x:v>
      </x:c>
    </x:row>
    <x:row r="1072">
      <x:c r="A1072" s="47" t="n">
        <x:v>44662</x:v>
      </x:c>
      <x:c r="B1072" s="48" t="n">
        <x:v>1.1544</x:v>
      </x:c>
      <x:c r="C1072" s="22" t="str">
        <x:v>项目空间本地CSV</x:v>
      </x:c>
    </x:row>
    <x:row r="1073">
      <x:c r="A1073" s="47" t="n">
        <x:v>44659</x:v>
      </x:c>
      <x:c r="B1073" s="48" t="n">
        <x:v>1.1896</x:v>
      </x:c>
      <x:c r="C1073" s="22" t="str">
        <x:v>项目空间本地CSV</x:v>
      </x:c>
    </x:row>
    <x:row r="1074">
      <x:c r="A1074" s="47" t="n">
        <x:v>44658</x:v>
      </x:c>
      <x:c r="B1074" s="48" t="n">
        <x:v>1.2185</x:v>
      </x:c>
      <x:c r="C1074" s="22" t="str">
        <x:v>项目空间本地CSV</x:v>
      </x:c>
    </x:row>
    <x:row r="1075">
      <x:c r="A1075" s="47" t="n">
        <x:v>44657</x:v>
      </x:c>
      <x:c r="B1075" s="48" t="n">
        <x:v>1.2193</x:v>
      </x:c>
      <x:c r="C1075" s="22" t="str">
        <x:v>项目空间本地CSV</x:v>
      </x:c>
    </x:row>
    <x:row r="1076">
      <x:c r="A1076" s="47" t="n">
        <x:v>44652</x:v>
      </x:c>
      <x:c r="B1076" s="48" t="n">
        <x:v>1.2646</x:v>
      </x:c>
      <x:c r="C1076" s="22" t="str">
        <x:v>项目空间本地CSV</x:v>
      </x:c>
    </x:row>
    <x:row r="1077">
      <x:c r="A1077" s="47" t="n">
        <x:v>44651</x:v>
      </x:c>
      <x:c r="B1077" s="48" t="n">
        <x:v>1.2712</x:v>
      </x:c>
      <x:c r="C1077" s="22" t="str">
        <x:v>项目空间本地CSV</x:v>
      </x:c>
    </x:row>
    <x:row r="1078">
      <x:c r="A1078" s="47" t="n">
        <x:v>44650</x:v>
      </x:c>
      <x:c r="B1078" s="48" t="n">
        <x:v>1.2971</x:v>
      </x:c>
      <x:c r="C1078" s="22" t="str">
        <x:v>项目空间本地CSV</x:v>
      </x:c>
    </x:row>
    <x:row r="1079">
      <x:c r="A1079" s="47" t="n">
        <x:v>44649</x:v>
      </x:c>
      <x:c r="B1079" s="48" t="n">
        <x:v>1.3225</x:v>
      </x:c>
      <x:c r="C1079" s="22" t="str">
        <x:v>项目空间本地CSV</x:v>
      </x:c>
    </x:row>
    <x:row r="1080">
      <x:c r="A1080" s="47" t="n">
        <x:v>44648</x:v>
      </x:c>
      <x:c r="B1080" s="48" t="n">
        <x:v>1.3058</x:v>
      </x:c>
      <x:c r="C1080" s="22" t="str">
        <x:v>项目空间本地CSV</x:v>
      </x:c>
    </x:row>
    <x:row r="1081">
      <x:c r="A1081" s="47" t="n">
        <x:v>44645</x:v>
      </x:c>
      <x:c r="B1081" s="48" t="n">
        <x:v>1.2865</x:v>
      </x:c>
      <x:c r="C1081" s="22" t="str">
        <x:v>项目空间本地CSV</x:v>
      </x:c>
    </x:row>
    <x:row r="1082">
      <x:c r="A1082" s="47" t="n">
        <x:v>44644</x:v>
      </x:c>
      <x:c r="B1082" s="48" t="n">
        <x:v>1.2883</x:v>
      </x:c>
      <x:c r="C1082" s="22" t="str">
        <x:v>项目空间本地CSV</x:v>
      </x:c>
    </x:row>
    <x:row r="1083">
      <x:c r="A1083" s="47" t="n">
        <x:v>44643</x:v>
      </x:c>
      <x:c r="B1083" s="48" t="n">
        <x:v>1.2501</x:v>
      </x:c>
      <x:c r="C1083" s="22" t="str">
        <x:v>项目空间本地CSV</x:v>
      </x:c>
    </x:row>
    <x:row r="1084">
      <x:c r="A1084" s="47" t="n">
        <x:v>44642</x:v>
      </x:c>
      <x:c r="B1084" s="48" t="n">
        <x:v>1.2653</x:v>
      </x:c>
      <x:c r="C1084" s="22" t="str">
        <x:v>项目空间本地CSV</x:v>
      </x:c>
    </x:row>
    <x:row r="1085">
      <x:c r="A1085" s="47" t="n">
        <x:v>44641</x:v>
      </x:c>
      <x:c r="B1085" s="48" t="n">
        <x:v>1.2481</x:v>
      </x:c>
      <x:c r="C1085" s="22" t="str">
        <x:v>项目空间本地CSV</x:v>
      </x:c>
    </x:row>
    <x:row r="1086">
      <x:c r="A1086" s="47" t="n">
        <x:v>44638</x:v>
      </x:c>
      <x:c r="B1086" s="48" t="n">
        <x:v>1.2422</x:v>
      </x:c>
      <x:c r="C1086" s="22" t="str">
        <x:v>项目空间本地CSV</x:v>
      </x:c>
    </x:row>
    <x:row r="1087">
      <x:c r="A1087" s="47" t="n">
        <x:v>44637</x:v>
      </x:c>
      <x:c r="B1087" s="48" t="n">
        <x:v>1.2167</x:v>
      </x:c>
      <x:c r="C1087" s="22" t="str">
        <x:v>项目空间本地CSV</x:v>
      </x:c>
    </x:row>
    <x:row r="1088">
      <x:c r="A1088" s="47" t="n">
        <x:v>44636</x:v>
      </x:c>
      <x:c r="B1088" s="48" t="n">
        <x:v>1.2087</x:v>
      </x:c>
      <x:c r="C1088" s="22" t="str">
        <x:v>项目空间本地CSV</x:v>
      </x:c>
    </x:row>
    <x:row r="1089">
      <x:c r="A1089" s="47" t="n">
        <x:v>44635</x:v>
      </x:c>
      <x:c r="B1089" s="48" t="n">
        <x:v>1.161</x:v>
      </x:c>
      <x:c r="C1089" s="22" t="str">
        <x:v>项目空间本地CSV</x:v>
      </x:c>
    </x:row>
    <x:row r="1090">
      <x:c r="A1090" s="47" t="n">
        <x:v>44634</x:v>
      </x:c>
      <x:c r="B1090" s="48" t="n">
        <x:v>1.1167</x:v>
      </x:c>
      <x:c r="C1090" s="22" t="str">
        <x:v>项目空间本地CSV</x:v>
      </x:c>
    </x:row>
    <x:row r="1091">
      <x:c r="A1091" s="47" t="n">
        <x:v>44631</x:v>
      </x:c>
      <x:c r="B1091" s="48" t="n">
        <x:v>1.1458</x:v>
      </x:c>
      <x:c r="C1091" s="22" t="str">
        <x:v>项目空间本地CSV</x:v>
      </x:c>
    </x:row>
    <x:row r="1092">
      <x:c r="A1092" s="47" t="n">
        <x:v>44630</x:v>
      </x:c>
      <x:c r="B1092" s="48" t="n">
        <x:v>1.163</x:v>
      </x:c>
      <x:c r="C1092" s="22" t="str">
        <x:v>项目空间本地CSV</x:v>
      </x:c>
    </x:row>
    <x:row r="1093">
      <x:c r="A1093" s="47" t="n">
        <x:v>44629</x:v>
      </x:c>
      <x:c r="B1093" s="48" t="n">
        <x:v>1.1724</x:v>
      </x:c>
      <x:c r="C1093" s="22" t="str">
        <x:v>项目空间本地CSV</x:v>
      </x:c>
    </x:row>
    <x:row r="1094">
      <x:c r="A1094" s="47" t="n">
        <x:v>44628</x:v>
      </x:c>
      <x:c r="B1094" s="48" t="n">
        <x:v>1.1321</x:v>
      </x:c>
      <x:c r="C1094" s="22" t="str">
        <x:v>项目空间本地CSV</x:v>
      </x:c>
    </x:row>
    <x:row r="1095">
      <x:c r="A1095" s="47" t="n">
        <x:v>44627</x:v>
      </x:c>
      <x:c r="B1095" s="48" t="n">
        <x:v>1.1341</x:v>
      </x:c>
      <x:c r="C1095" s="22" t="str">
        <x:v>项目空间本地CSV</x:v>
      </x:c>
    </x:row>
    <x:row r="1096">
      <x:c r="A1096" s="47" t="n">
        <x:v>44624</x:v>
      </x:c>
      <x:c r="B1096" s="48" t="n">
        <x:v>1.1821</x:v>
      </x:c>
      <x:c r="C1096" s="22" t="str">
        <x:v>项目空间本地CSV</x:v>
      </x:c>
    </x:row>
    <x:row r="1097">
      <x:c r="A1097" s="47" t="n">
        <x:v>44623</x:v>
      </x:c>
      <x:c r="B1097" s="48" t="n">
        <x:v>1.199</x:v>
      </x:c>
      <x:c r="C1097" s="22" t="str">
        <x:v>项目空间本地CSV</x:v>
      </x:c>
    </x:row>
    <x:row r="1098">
      <x:c r="A1098" s="47" t="n">
        <x:v>44622</x:v>
      </x:c>
      <x:c r="B1098" s="48" t="n">
        <x:v>1.2269</x:v>
      </x:c>
      <x:c r="C1098" s="22" t="str">
        <x:v>项目空间本地CSV</x:v>
      </x:c>
    </x:row>
    <x:row r="1099">
      <x:c r="A1099" s="47" t="n">
        <x:v>44621</x:v>
      </x:c>
      <x:c r="B1099" s="48" t="n">
        <x:v>1.2082</x:v>
      </x:c>
      <x:c r="C1099" s="22" t="str">
        <x:v>项目空间本地CSV</x:v>
      </x:c>
    </x:row>
    <x:row r="1100">
      <x:c r="A1100" s="47" t="n">
        <x:v>44620</x:v>
      </x:c>
      <x:c r="B1100" s="48" t="n">
        <x:v>1.2329</x:v>
      </x:c>
      <x:c r="C1100" s="22" t="str">
        <x:v>项目空间本地CSV</x:v>
      </x:c>
    </x:row>
    <x:row r="1101">
      <x:c r="A1101" s="47" t="n">
        <x:v>44617</x:v>
      </x:c>
      <x:c r="B1101" s="48" t="n">
        <x:v>1.2223</x:v>
      </x:c>
      <x:c r="C1101" s="22" t="str">
        <x:v>项目空间本地CSV</x:v>
      </x:c>
    </x:row>
    <x:row r="1102">
      <x:c r="A1102" s="47" t="n">
        <x:v>44616</x:v>
      </x:c>
      <x:c r="B1102" s="48" t="n">
        <x:v>1.2012</x:v>
      </x:c>
      <x:c r="C1102" s="22" t="str">
        <x:v>项目空间本地CSV</x:v>
      </x:c>
    </x:row>
    <x:row r="1103">
      <x:c r="A1103" s="47" t="n">
        <x:v>44615</x:v>
      </x:c>
      <x:c r="B1103" s="48" t="n">
        <x:v>1.1649</x:v>
      </x:c>
      <x:c r="C1103" s="22" t="str">
        <x:v>项目空间本地CSV</x:v>
      </x:c>
    </x:row>
    <x:row r="1104">
      <x:c r="A1104" s="47" t="n">
        <x:v>44614</x:v>
      </x:c>
      <x:c r="B1104" s="48" t="n">
        <x:v>1.1888</x:v>
      </x:c>
      <x:c r="C1104" s="22" t="str">
        <x:v>项目空间本地CSV</x:v>
      </x:c>
    </x:row>
    <x:row r="1105">
      <x:c r="A1105" s="47" t="n">
        <x:v>44613</x:v>
      </x:c>
      <x:c r="B1105" s="48" t="n">
        <x:v>1.1971</x:v>
      </x:c>
      <x:c r="C1105" s="22" t="str">
        <x:v>项目空间本地CSV</x:v>
      </x:c>
    </x:row>
    <x:row r="1106">
      <x:c r="A1106" s="47" t="n">
        <x:v>44610</x:v>
      </x:c>
      <x:c r="B1106" s="48" t="n">
        <x:v>1.202</x:v>
      </x:c>
      <x:c r="C1106" s="22" t="str">
        <x:v>项目空间本地CSV</x:v>
      </x:c>
    </x:row>
    <x:row r="1107">
      <x:c r="A1107" s="47" t="n">
        <x:v>44609</x:v>
      </x:c>
      <x:c r="B1107" s="48" t="n">
        <x:v>1.2141</x:v>
      </x:c>
      <x:c r="C1107" s="22" t="str">
        <x:v>项目空间本地CSV</x:v>
      </x:c>
    </x:row>
    <x:row r="1108">
      <x:c r="A1108" s="47" t="n">
        <x:v>44608</x:v>
      </x:c>
      <x:c r="B1108" s="48" t="n">
        <x:v>1.2471</x:v>
      </x:c>
      <x:c r="C1108" s="22" t="str">
        <x:v>项目空间本地CSV</x:v>
      </x:c>
    </x:row>
    <x:row r="1109">
      <x:c r="A1109" s="47" t="n">
        <x:v>44607</x:v>
      </x:c>
      <x:c r="B1109" s="48" t="n">
        <x:v>1.2508</x:v>
      </x:c>
      <x:c r="C1109" s="22" t="str">
        <x:v>项目空间本地CSV</x:v>
      </x:c>
    </x:row>
    <x:row r="1110">
      <x:c r="A1110" s="47" t="n">
        <x:v>44606</x:v>
      </x:c>
      <x:c r="B1110" s="48" t="n">
        <x:v>1.2055</x:v>
      </x:c>
      <x:c r="C1110" s="22" t="str">
        <x:v>项目空间本地CSV</x:v>
      </x:c>
    </x:row>
    <x:row r="1111">
      <x:c r="A1111" s="47" t="n">
        <x:v>44603</x:v>
      </x:c>
      <x:c r="B1111" s="48" t="n">
        <x:v>1.1977</x:v>
      </x:c>
      <x:c r="C1111" s="22" t="str">
        <x:v>项目空间本地CSV</x:v>
      </x:c>
    </x:row>
    <x:row r="1112">
      <x:c r="A1112" s="47" t="n">
        <x:v>44602</x:v>
      </x:c>
      <x:c r="B1112" s="48" t="n">
        <x:v>1.2395</x:v>
      </x:c>
      <x:c r="C1112" s="22" t="str">
        <x:v>项目空间本地CSV</x:v>
      </x:c>
    </x:row>
    <x:row r="1113">
      <x:c r="A1113" s="47" t="n">
        <x:v>44601</x:v>
      </x:c>
      <x:c r="B1113" s="48" t="n">
        <x:v>1.282</x:v>
      </x:c>
      <x:c r="C1113" s="22" t="str">
        <x:v>项目空间本地CSV</x:v>
      </x:c>
    </x:row>
    <x:row r="1114">
      <x:c r="A1114" s="47" t="n">
        <x:v>44600</x:v>
      </x:c>
      <x:c r="B1114" s="48" t="n">
        <x:v>1.256</x:v>
      </x:c>
      <x:c r="C1114" s="22" t="str">
        <x:v>项目空间本地CSV</x:v>
      </x:c>
    </x:row>
    <x:row r="1115">
      <x:c r="A1115" s="47" t="n">
        <x:v>44599</x:v>
      </x:c>
      <x:c r="B1115" s="48" t="n">
        <x:v>1.266</x:v>
      </x:c>
      <x:c r="C1115" s="22" t="str">
        <x:v>项目空间本地CSV</x:v>
      </x:c>
    </x:row>
    <x:row r="1116">
      <x:c r="A1116" s="47" t="n">
        <x:v>44589</x:v>
      </x:c>
      <x:c r="B1116" s="48" t="n">
        <x:v>1.2453</x:v>
      </x:c>
      <x:c r="C1116" s="22" t="str">
        <x:v>项目空间本地CSV</x:v>
      </x:c>
    </x:row>
    <x:row r="1117">
      <x:c r="A1117" s="47" t="n">
        <x:v>44588</x:v>
      </x:c>
      <x:c r="B1117" s="48" t="n">
        <x:v>1.2148</x:v>
      </x:c>
      <x:c r="C1117" s="22" t="str">
        <x:v>项目空间本地CSV</x:v>
      </x:c>
    </x:row>
    <x:row r="1118">
      <x:c r="A1118" s="47" t="n">
        <x:v>44587</x:v>
      </x:c>
      <x:c r="B1118" s="48" t="n">
        <x:v>1.2475</x:v>
      </x:c>
      <x:c r="C1118" s="22" t="str">
        <x:v>项目空间本地CSV</x:v>
      </x:c>
    </x:row>
    <x:row r="1119">
      <x:c r="A1119" s="47" t="n">
        <x:v>44586</x:v>
      </x:c>
      <x:c r="B1119" s="48" t="n">
        <x:v>1.2304</x:v>
      </x:c>
      <x:c r="C1119" s="22" t="str">
        <x:v>项目空间本地CSV</x:v>
      </x:c>
    </x:row>
    <x:row r="1120">
      <x:c r="A1120" s="47" t="n">
        <x:v>44585</x:v>
      </x:c>
      <x:c r="B1120" s="48" t="n">
        <x:v>1.2673</x:v>
      </x:c>
      <x:c r="C1120" s="22" t="str">
        <x:v>项目空间本地CSV</x:v>
      </x:c>
    </x:row>
    <x:row r="1121">
      <x:c r="A1121" s="47" t="n">
        <x:v>44582</x:v>
      </x:c>
      <x:c r="B1121" s="48" t="n">
        <x:v>1.2541</x:v>
      </x:c>
      <x:c r="C1121" s="22" t="str">
        <x:v>项目空间本地CSV</x:v>
      </x:c>
    </x:row>
    <x:row r="1122">
      <x:c r="A1122" s="47" t="n">
        <x:v>44581</x:v>
      </x:c>
      <x:c r="B1122" s="48" t="n">
        <x:v>1.2745</x:v>
      </x:c>
      <x:c r="C1122" s="22" t="str">
        <x:v>项目空间本地CSV</x:v>
      </x:c>
    </x:row>
    <x:row r="1123">
      <x:c r="A1123" s="47" t="n">
        <x:v>44580</x:v>
      </x:c>
      <x:c r="B1123" s="48" t="n">
        <x:v>1.288</x:v>
      </x:c>
      <x:c r="C1123" s="22" t="str">
        <x:v>项目空间本地CSV</x:v>
      </x:c>
    </x:row>
    <x:row r="1124">
      <x:c r="A1124" s="47" t="n">
        <x:v>44579</x:v>
      </x:c>
      <x:c r="B1124" s="48" t="n">
        <x:v>1.3092</x:v>
      </x:c>
      <x:c r="C1124" s="22" t="str">
        <x:v>项目空间本地CSV</x:v>
      </x:c>
    </x:row>
    <x:row r="1125">
      <x:c r="A1125" s="47" t="n">
        <x:v>44578</x:v>
      </x:c>
      <x:c r="B1125" s="48" t="n">
        <x:v>1.3385</x:v>
      </x:c>
      <x:c r="C1125" s="22" t="str">
        <x:v>项目空间本地CSV</x:v>
      </x:c>
    </x:row>
    <x:row r="1126">
      <x:c r="A1126" s="47" t="n">
        <x:v>44575</x:v>
      </x:c>
      <x:c r="B1126" s="48" t="n">
        <x:v>1.3278</x:v>
      </x:c>
      <x:c r="C1126" s="22" t="str">
        <x:v>项目空间本地CSV</x:v>
      </x:c>
    </x:row>
    <x:row r="1127">
      <x:c r="A1127" s="47" t="n">
        <x:v>44574</x:v>
      </x:c>
      <x:c r="B1127" s="48" t="n">
        <x:v>1.3077</x:v>
      </x:c>
      <x:c r="C1127" s="22" t="str">
        <x:v>项目空间本地CSV</x:v>
      </x:c>
    </x:row>
    <x:row r="1128">
      <x:c r="A1128" s="47" t="n">
        <x:v>44573</x:v>
      </x:c>
      <x:c r="B1128" s="48" t="n">
        <x:v>1.3427</x:v>
      </x:c>
      <x:c r="C1128" s="22" t="str">
        <x:v>项目空间本地CSV</x:v>
      </x:c>
    </x:row>
    <x:row r="1129">
      <x:c r="A1129" s="47" t="n">
        <x:v>44572</x:v>
      </x:c>
      <x:c r="B1129" s="48" t="n">
        <x:v>1.3176</x:v>
      </x:c>
      <x:c r="C1129" s="22" t="str">
        <x:v>项目空间本地CSV</x:v>
      </x:c>
    </x:row>
    <x:row r="1130">
      <x:c r="A1130" s="47" t="n">
        <x:v>44571</x:v>
      </x:c>
      <x:c r="B1130" s="48" t="n">
        <x:v>1.311</x:v>
      </x:c>
      <x:c r="C1130" s="22" t="str">
        <x:v>项目空间本地CSV</x:v>
      </x:c>
    </x:row>
    <x:row r="1131">
      <x:c r="A1131" s="47" t="n">
        <x:v>44568</x:v>
      </x:c>
      <x:c r="B1131" s="48" t="n">
        <x:v>1.3109</x:v>
      </x:c>
      <x:c r="C1131" s="22" t="str">
        <x:v>项目空间本地CSV</x:v>
      </x:c>
    </x:row>
    <x:row r="1132">
      <x:c r="A1132" s="47" t="n">
        <x:v>44567</x:v>
      </x:c>
      <x:c r="B1132" s="48" t="n">
        <x:v>1.3281</x:v>
      </x:c>
      <x:c r="C1132" s="22" t="str">
        <x:v>项目空间本地CSV</x:v>
      </x:c>
    </x:row>
    <x:row r="1133">
      <x:c r="A1133" s="47" t="n">
        <x:v>44566</x:v>
      </x:c>
      <x:c r="B1133" s="48" t="n">
        <x:v>1.3311</x:v>
      </x:c>
      <x:c r="C1133" s="22" t="str">
        <x:v>项目空间本地CSV</x:v>
      </x:c>
    </x:row>
    <x:row r="1134">
      <x:c r="A1134" s="47" t="n">
        <x:v>44565</x:v>
      </x:c>
      <x:c r="B1134" s="48" t="n">
        <x:v>1.386</x:v>
      </x:c>
      <x:c r="C1134" s="22" t="str">
        <x:v>项目空间本地CSV</x:v>
      </x:c>
    </x:row>
    <x:row r="1135">
      <x:c r="A1135" s="47" t="n">
        <x:v>44561</x:v>
      </x:c>
      <x:c r="B1135" s="48" t="n">
        <x:v>1.4119</x:v>
      </x:c>
      <x:c r="C1135" s="22" t="str">
        <x:v>项目空间本地CSV</x:v>
      </x:c>
    </x:row>
    <x:row r="1136">
      <x:c r="A1136" s="47" t="n">
        <x:v>44560</x:v>
      </x:c>
      <x:c r="B1136" s="48" t="n">
        <x:v>1.4121</x:v>
      </x:c>
      <x:c r="C1136" s="22" t="str">
        <x:v>项目空间本地CSV</x:v>
      </x:c>
    </x:row>
    <x:row r="1137">
      <x:c r="A1137" s="47" t="n">
        <x:v>44559</x:v>
      </x:c>
      <x:c r="B1137" s="48" t="n">
        <x:v>1.4128</x:v>
      </x:c>
      <x:c r="C1137" s="22" t="str">
        <x:v>项目空间本地CSV</x:v>
      </x:c>
    </x:row>
    <x:row r="1138">
      <x:c r="A1138" s="47" t="n">
        <x:v>44558</x:v>
      </x:c>
      <x:c r="B1138" s="48" t="n">
        <x:v>1.4149</x:v>
      </x:c>
      <x:c r="C1138" s="22" t="str">
        <x:v>项目空间本地CSV</x:v>
      </x:c>
    </x:row>
    <x:row r="1139">
      <x:c r="A1139" s="47" t="n">
        <x:v>44557</x:v>
      </x:c>
      <x:c r="B1139" s="48" t="n">
        <x:v>1.4118</x:v>
      </x:c>
      <x:c r="C1139" s="22" t="str">
        <x:v>项目空间本地CSV</x:v>
      </x:c>
    </x:row>
    <x:row r="1140">
      <x:c r="A1140" s="47" t="n">
        <x:v>44554</x:v>
      </x:c>
      <x:c r="B1140" s="48" t="n">
        <x:v>1.3866</x:v>
      </x:c>
      <x:c r="C1140" s="22" t="str">
        <x:v>项目空间本地CSV</x:v>
      </x:c>
    </x:row>
    <x:row r="1141">
      <x:c r="A1141" s="47" t="n">
        <x:v>44553</x:v>
      </x:c>
      <x:c r="B1141" s="48" t="n">
        <x:v>1.4059</x:v>
      </x:c>
      <x:c r="C1141" s="22" t="str">
        <x:v>项目空间本地CSV</x:v>
      </x:c>
    </x:row>
    <x:row r="1142">
      <x:c r="A1142" s="47" t="n">
        <x:v>44552</x:v>
      </x:c>
      <x:c r="B1142" s="48" t="n">
        <x:v>1.3981</x:v>
      </x:c>
      <x:c r="C1142" s="22" t="str">
        <x:v>项目空间本地CSV</x:v>
      </x:c>
    </x:row>
    <x:row r="1143">
      <x:c r="A1143" s="47" t="n">
        <x:v>44551</x:v>
      </x:c>
      <x:c r="B1143" s="48" t="n">
        <x:v>1.379</x:v>
      </x:c>
      <x:c r="C1143" s="22" t="str">
        <x:v>项目空间本地CSV</x:v>
      </x:c>
    </x:row>
    <x:row r="1144">
      <x:c r="A1144" s="47" t="n">
        <x:v>44550</x:v>
      </x:c>
      <x:c r="B1144" s="48" t="n">
        <x:v>1.365</x:v>
      </x:c>
      <x:c r="C1144" s="22" t="str">
        <x:v>项目空间本地CSV</x:v>
      </x:c>
    </x:row>
    <x:row r="1145">
      <x:c r="A1145" s="47" t="n">
        <x:v>44547</x:v>
      </x:c>
      <x:c r="B1145" s="48" t="n">
        <x:v>1.394</x:v>
      </x:c>
      <x:c r="C1145" s="22" t="str">
        <x:v>项目空间本地CSV</x:v>
      </x:c>
    </x:row>
    <x:row r="1146">
      <x:c r="A1146" s="47" t="n">
        <x:v>44546</x:v>
      </x:c>
      <x:c r="B1146" s="48" t="n">
        <x:v>1.4115</x:v>
      </x:c>
      <x:c r="C1146" s="22" t="str">
        <x:v>项目空间本地CSV</x:v>
      </x:c>
    </x:row>
    <x:row r="1147">
      <x:c r="A1147" s="47" t="n">
        <x:v>44545</x:v>
      </x:c>
      <x:c r="B1147" s="48" t="n">
        <x:v>1.439</x:v>
      </x:c>
      <x:c r="C1147" s="22" t="str">
        <x:v>项目空间本地CSV</x:v>
      </x:c>
    </x:row>
    <x:row r="1148">
      <x:c r="A1148" s="47" t="n">
        <x:v>44544</x:v>
      </x:c>
      <x:c r="B1148" s="48" t="n">
        <x:v>1.4145</x:v>
      </x:c>
      <x:c r="C1148" s="22" t="str">
        <x:v>项目空间本地CSV</x:v>
      </x:c>
    </x:row>
    <x:row r="1149">
      <x:c r="A1149" s="47" t="n">
        <x:v>44543</x:v>
      </x:c>
      <x:c r="B1149" s="48" t="n">
        <x:v>1.431</x:v>
      </x:c>
      <x:c r="C1149" s="22" t="str">
        <x:v>项目空间本地CSV</x:v>
      </x:c>
    </x:row>
    <x:row r="1150">
      <x:c r="A1150" s="47" t="n">
        <x:v>44540</x:v>
      </x:c>
      <x:c r="B1150" s="48" t="n">
        <x:v>1.4522</x:v>
      </x:c>
      <x:c r="C1150" s="22" t="str">
        <x:v>项目空间本地CSV</x:v>
      </x:c>
    </x:row>
    <x:row r="1151">
      <x:c r="A1151" s="47" t="n">
        <x:v>44539</x:v>
      </x:c>
      <x:c r="B1151" s="48" t="n">
        <x:v>1.434</x:v>
      </x:c>
      <x:c r="C1151" s="22" t="str">
        <x:v>项目空间本地CSV</x:v>
      </x:c>
    </x:row>
    <x:row r="1152">
      <x:c r="A1152" s="47" t="n">
        <x:v>44538</x:v>
      </x:c>
      <x:c r="B1152" s="48" t="n">
        <x:v>1.4522</x:v>
      </x:c>
      <x:c r="C1152" s="22" t="str">
        <x:v>项目空间本地CSV</x:v>
      </x:c>
    </x:row>
    <x:row r="1153">
      <x:c r="A1153" s="47" t="n">
        <x:v>44537</x:v>
      </x:c>
      <x:c r="B1153" s="48" t="n">
        <x:v>1.4335</x:v>
      </x:c>
      <x:c r="C1153" s="22" t="str">
        <x:v>项目空间本地CSV</x:v>
      </x:c>
    </x:row>
    <x:row r="1154">
      <x:c r="A1154" s="47" t="n">
        <x:v>44536</x:v>
      </x:c>
      <x:c r="B1154" s="48" t="n">
        <x:v>1.4076</x:v>
      </x:c>
      <x:c r="C1154" s="22" t="str">
        <x:v>项目空间本地CSV</x:v>
      </x:c>
    </x:row>
    <x:row r="1155">
      <x:c r="A1155" s="47" t="n">
        <x:v>44533</x:v>
      </x:c>
      <x:c r="B1155" s="48" t="n">
        <x:v>1.4329</x:v>
      </x:c>
      <x:c r="C1155" s="22" t="str">
        <x:v>项目空间本地CSV</x:v>
      </x:c>
    </x:row>
    <x:row r="1156">
      <x:c r="A1156" s="47" t="n">
        <x:v>44532</x:v>
      </x:c>
      <x:c r="B1156" s="48" t="n">
        <x:v>1.4676</x:v>
      </x:c>
      <x:c r="C1156" s="22" t="str">
        <x:v>项目空间本地CSV</x:v>
      </x:c>
    </x:row>
    <x:row r="1157">
      <x:c r="A1157" s="47" t="n">
        <x:v>44531</x:v>
      </x:c>
      <x:c r="B1157" s="48" t="n">
        <x:v>1.461</x:v>
      </x:c>
      <x:c r="C1157" s="22" t="str">
        <x:v>项目空间本地CSV</x:v>
      </x:c>
    </x:row>
    <x:row r="1158">
      <x:c r="A1158" s="47" t="n">
        <x:v>44530</x:v>
      </x:c>
      <x:c r="B1158" s="48" t="n">
        <x:v>1.5008</x:v>
      </x:c>
      <x:c r="C1158" s="22" t="str">
        <x:v>项目空间本地CSV</x:v>
      </x:c>
    </x:row>
    <x:row r="1159">
      <x:c r="A1159" s="47" t="n">
        <x:v>44529</x:v>
      </x:c>
      <x:c r="B1159" s="48" t="n">
        <x:v>1.5213</x:v>
      </x:c>
      <x:c r="C1159" s="22" t="str">
        <x:v>项目空间本地CSV</x:v>
      </x:c>
    </x:row>
    <x:row r="1160">
      <x:c r="A1160" s="47" t="n">
        <x:v>44526</x:v>
      </x:c>
      <x:c r="B1160" s="48" t="n">
        <x:v>1.4763</x:v>
      </x:c>
      <x:c r="C1160" s="22" t="str">
        <x:v>项目空间本地CSV</x:v>
      </x:c>
    </x:row>
    <x:row r="1161">
      <x:c r="A1161" s="47" t="n">
        <x:v>44525</x:v>
      </x:c>
      <x:c r="B1161" s="48" t="n">
        <x:v>1.4855</x:v>
      </x:c>
      <x:c r="C1161" s="22" t="str">
        <x:v>项目空间本地CSV</x:v>
      </x:c>
    </x:row>
    <x:row r="1162">
      <x:c r="A1162" s="47" t="n">
        <x:v>44524</x:v>
      </x:c>
      <x:c r="B1162" s="48" t="n">
        <x:v>1.4902</x:v>
      </x:c>
      <x:c r="C1162" s="22" t="str">
        <x:v>项目空间本地CSV</x:v>
      </x:c>
    </x:row>
    <x:row r="1163">
      <x:c r="A1163" s="47" t="n">
        <x:v>44523</x:v>
      </x:c>
      <x:c r="B1163" s="48" t="n">
        <x:v>1.4994</x:v>
      </x:c>
      <x:c r="C1163" s="22" t="str">
        <x:v>项目空间本地CSV</x:v>
      </x:c>
    </x:row>
    <x:row r="1164">
      <x:c r="A1164" s="47" t="n">
        <x:v>44522</x:v>
      </x:c>
      <x:c r="B1164" s="48" t="n">
        <x:v>1.5178</x:v>
      </x:c>
      <x:c r="C1164" s="22" t="str">
        <x:v>项目空间本地CSV</x:v>
      </x:c>
    </x:row>
    <x:row r="1165">
      <x:c r="A1165" s="47" t="n">
        <x:v>44519</x:v>
      </x:c>
      <x:c r="B1165" s="48" t="n">
        <x:v>1.5239</x:v>
      </x:c>
      <x:c r="C1165" s="22" t="str">
        <x:v>项目空间本地CSV</x:v>
      </x:c>
    </x:row>
    <x:row r="1166">
      <x:c r="A1166" s="47" t="n">
        <x:v>44518</x:v>
      </x:c>
      <x:c r="B1166" s="48" t="n">
        <x:v>1.5137</x:v>
      </x:c>
      <x:c r="C1166" s="22" t="str">
        <x:v>项目空间本地CSV</x:v>
      </x:c>
    </x:row>
    <x:row r="1167">
      <x:c r="A1167" s="47" t="n">
        <x:v>44517</x:v>
      </x:c>
      <x:c r="B1167" s="48" t="n">
        <x:v>1.5027</x:v>
      </x:c>
      <x:c r="C1167" s="22" t="str">
        <x:v>项目空间本地CSV</x:v>
      </x:c>
    </x:row>
    <x:row r="1168">
      <x:c r="A1168" s="47" t="n">
        <x:v>44516</x:v>
      </x:c>
      <x:c r="B1168" s="48" t="n">
        <x:v>1.5017</x:v>
      </x:c>
      <x:c r="C1168" s="22" t="str">
        <x:v>项目空间本地CSV</x:v>
      </x:c>
    </x:row>
    <x:row r="1169">
      <x:c r="A1169" s="47" t="n">
        <x:v>44515</x:v>
      </x:c>
      <x:c r="B1169" s="48" t="n">
        <x:v>1.5022</x:v>
      </x:c>
      <x:c r="C1169" s="22" t="str">
        <x:v>项目空间本地CSV</x:v>
      </x:c>
    </x:row>
    <x:row r="1170">
      <x:c r="A1170" s="47" t="n">
        <x:v>44512</x:v>
      </x:c>
      <x:c r="B1170" s="48" t="n">
        <x:v>1.5355</x:v>
      </x:c>
      <x:c r="C1170" s="22" t="str">
        <x:v>项目空间本地CSV</x:v>
      </x:c>
    </x:row>
    <x:row r="1171">
      <x:c r="A1171" s="47" t="n">
        <x:v>44511</x:v>
      </x:c>
      <x:c r="B1171" s="48" t="n">
        <x:v>1.5218</x:v>
      </x:c>
      <x:c r="C1171" s="22" t="str">
        <x:v>项目空间本地CSV</x:v>
      </x:c>
    </x:row>
    <x:row r="1172">
      <x:c r="A1172" s="47" t="n">
        <x:v>44510</x:v>
      </x:c>
      <x:c r="B1172" s="48" t="n">
        <x:v>1.5073</x:v>
      </x:c>
      <x:c r="C1172" s="22" t="str">
        <x:v>项目空间本地CSV</x:v>
      </x:c>
    </x:row>
    <x:row r="1173">
      <x:c r="A1173" s="47" t="n">
        <x:v>44509</x:v>
      </x:c>
      <x:c r="B1173" s="48" t="n">
        <x:v>1.5417</x:v>
      </x:c>
      <x:c r="C1173" s="22" t="str">
        <x:v>项目空间本地CSV</x:v>
      </x:c>
    </x:row>
    <x:row r="1174">
      <x:c r="A1174" s="47" t="n">
        <x:v>44508</x:v>
      </x:c>
      <x:c r="B1174" s="48" t="n">
        <x:v>1.5499</x:v>
      </x:c>
      <x:c r="C1174" s="22" t="str">
        <x:v>项目空间本地CSV</x:v>
      </x:c>
    </x:row>
    <x:row r="1175">
      <x:c r="A1175" s="47" t="n">
        <x:v>44505</x:v>
      </x:c>
      <x:c r="B1175" s="48" t="n">
        <x:v>1.5325</x:v>
      </x:c>
      <x:c r="C1175" s="22" t="str">
        <x:v>项目空间本地CSV</x:v>
      </x:c>
    </x:row>
    <x:row r="1176">
      <x:c r="A1176" s="47" t="n">
        <x:v>44504</x:v>
      </x:c>
      <x:c r="B1176" s="48" t="n">
        <x:v>1.5439</x:v>
      </x:c>
      <x:c r="C1176" s="22" t="str">
        <x:v>项目空间本地CSV</x:v>
      </x:c>
    </x:row>
    <x:row r="1177">
      <x:c r="A1177" s="47" t="n">
        <x:v>44503</x:v>
      </x:c>
      <x:c r="B1177" s="48" t="n">
        <x:v>1.5196</x:v>
      </x:c>
      <x:c r="C1177" s="22" t="str">
        <x:v>项目空间本地CSV</x:v>
      </x:c>
    </x:row>
    <x:row r="1178">
      <x:c r="A1178" s="47" t="n">
        <x:v>44502</x:v>
      </x:c>
      <x:c r="B1178" s="48" t="n">
        <x:v>1.5258</x:v>
      </x:c>
      <x:c r="C1178" s="22" t="str">
        <x:v>项目空间本地CSV</x:v>
      </x:c>
    </x:row>
    <x:row r="1179">
      <x:c r="A1179" s="47" t="n">
        <x:v>44501</x:v>
      </x:c>
      <x:c r="B1179" s="48" t="n">
        <x:v>1.5382</x:v>
      </x:c>
      <x:c r="C1179" s="22" t="str">
        <x:v>项目空间本地CSV</x:v>
      </x:c>
    </x:row>
    <x:row r="1180">
      <x:c r="A1180" s="47" t="n">
        <x:v>44498</x:v>
      </x:c>
      <x:c r="B1180" s="48" t="n">
        <x:v>1.5448</x:v>
      </x:c>
      <x:c r="C1180" s="22" t="str">
        <x:v>项目空间本地CSV</x:v>
      </x:c>
    </x:row>
    <x:row r="1181">
      <x:c r="A1181" s="47" t="n">
        <x:v>44497</x:v>
      </x:c>
      <x:c r="B1181" s="48" t="n">
        <x:v>1.5239</x:v>
      </x:c>
      <x:c r="C1181" s="22" t="str">
        <x:v>项目空间本地CSV</x:v>
      </x:c>
    </x:row>
    <x:row r="1182">
      <x:c r="A1182" s="47" t="n">
        <x:v>44496</x:v>
      </x:c>
      <x:c r="B1182" s="48" t="n">
        <x:v>1.5136</x:v>
      </x:c>
      <x:c r="C1182" s="22" t="str">
        <x:v>项目空间本地CSV</x:v>
      </x:c>
    </x:row>
    <x:row r="1183">
      <x:c r="A1183" s="47" t="n">
        <x:v>44495</x:v>
      </x:c>
      <x:c r="B1183" s="48" t="n">
        <x:v>1.4941</x:v>
      </x:c>
      <x:c r="C1183" s="22" t="str">
        <x:v>项目空间本地CSV</x:v>
      </x:c>
    </x:row>
    <x:row r="1184">
      <x:c r="A1184" s="47" t="n">
        <x:v>44494</x:v>
      </x:c>
      <x:c r="B1184" s="48" t="n">
        <x:v>1.5068</x:v>
      </x:c>
      <x:c r="C1184" s="22" t="str">
        <x:v>项目空间本地CSV</x:v>
      </x:c>
    </x:row>
    <x:row r="1185">
      <x:c r="A1185" s="47" t="n">
        <x:v>44491</x:v>
      </x:c>
      <x:c r="B1185" s="48" t="n">
        <x:v>1.4707</x:v>
      </x:c>
      <x:c r="C1185" s="22" t="str">
        <x:v>项目空间本地CSV</x:v>
      </x:c>
    </x:row>
    <x:row r="1186">
      <x:c r="A1186" s="47" t="n">
        <x:v>44490</x:v>
      </x:c>
      <x:c r="B1186" s="48" t="n">
        <x:v>1.4785</x:v>
      </x:c>
      <x:c r="C1186" s="22" t="str">
        <x:v>项目空间本地CSV</x:v>
      </x:c>
    </x:row>
    <x:row r="1187">
      <x:c r="A1187" s="47" t="n">
        <x:v>44489</x:v>
      </x:c>
      <x:c r="B1187" s="48" t="n">
        <x:v>1.4849</x:v>
      </x:c>
      <x:c r="C1187" s="22" t="str">
        <x:v>项目空间本地CSV</x:v>
      </x:c>
    </x:row>
    <x:row r="1188">
      <x:c r="A1188" s="47" t="n">
        <x:v>44488</x:v>
      </x:c>
      <x:c r="B1188" s="48" t="n">
        <x:v>1.4806</x:v>
      </x:c>
      <x:c r="C1188" s="22" t="str">
        <x:v>项目空间本地CSV</x:v>
      </x:c>
    </x:row>
    <x:row r="1189">
      <x:c r="A1189" s="47" t="n">
        <x:v>44487</x:v>
      </x:c>
      <x:c r="B1189" s="48" t="n">
        <x:v>1.4738</x:v>
      </x:c>
      <x:c r="C1189" s="22" t="str">
        <x:v>项目空间本地CSV</x:v>
      </x:c>
    </x:row>
    <x:row r="1190">
      <x:c r="A1190" s="47" t="n">
        <x:v>44484</x:v>
      </x:c>
      <x:c r="B1190" s="48" t="n">
        <x:v>1.4451</x:v>
      </x:c>
      <x:c r="C1190" s="22" t="str">
        <x:v>项目空间本地CSV</x:v>
      </x:c>
    </x:row>
    <x:row r="1191">
      <x:c r="A1191" s="47" t="n">
        <x:v>44483</x:v>
      </x:c>
      <x:c r="B1191" s="48" t="n">
        <x:v>1.4224</x:v>
      </x:c>
      <x:c r="C1191" s="22" t="str">
        <x:v>项目空间本地CSV</x:v>
      </x:c>
    </x:row>
    <x:row r="1192">
      <x:c r="A1192" s="47" t="n">
        <x:v>44482</x:v>
      </x:c>
      <x:c r="B1192" s="48" t="n">
        <x:v>1.4001</x:v>
      </x:c>
      <x:c r="C1192" s="22" t="str">
        <x:v>项目空间本地CSV</x:v>
      </x:c>
    </x:row>
    <x:row r="1193">
      <x:c r="A1193" s="47" t="n">
        <x:v>44481</x:v>
      </x:c>
      <x:c r="B1193" s="48" t="n">
        <x:v>1.3542</x:v>
      </x:c>
      <x:c r="C1193" s="22" t="str">
        <x:v>项目空间本地CSV</x:v>
      </x:c>
    </x:row>
    <x:row r="1194">
      <x:c r="A1194" s="47" t="n">
        <x:v>44480</x:v>
      </x:c>
      <x:c r="B1194" s="48" t="n">
        <x:v>1.3613</x:v>
      </x:c>
      <x:c r="C1194" s="22" t="str">
        <x:v>项目空间本地CSV</x:v>
      </x:c>
    </x:row>
    <x:row r="1195">
      <x:c r="A1195" s="47" t="n">
        <x:v>44477</x:v>
      </x:c>
      <x:c r="B1195" s="48" t="n">
        <x:v>1.3791</x:v>
      </x:c>
      <x:c r="C1195" s="22" t="str">
        <x:v>项目空间本地CSV</x:v>
      </x:c>
    </x:row>
    <x:row r="1196">
      <x:c r="A1196" s="47" t="n">
        <x:v>44469</x:v>
      </x:c>
      <x:c r="B1196" s="48" t="n">
        <x:v>1.4035</x:v>
      </x:c>
      <x:c r="C1196" s="22" t="str">
        <x:v>项目空间本地CSV</x:v>
      </x:c>
    </x:row>
    <x:row r="1197">
      <x:c r="A1197" s="47" t="n">
        <x:v>44468</x:v>
      </x:c>
      <x:c r="B1197" s="48" t="n">
        <x:v>1.3859</x:v>
      </x:c>
      <x:c r="C1197" s="22" t="str">
        <x:v>项目空间本地CSV</x:v>
      </x:c>
    </x:row>
    <x:row r="1198">
      <x:c r="A1198" s="47" t="n">
        <x:v>44467</x:v>
      </x:c>
      <x:c r="B1198" s="48" t="n">
        <x:v>1.4043</x:v>
      </x:c>
      <x:c r="C1198" s="22" t="str">
        <x:v>项目空间本地CSV</x:v>
      </x:c>
    </x:row>
    <x:row r="1199">
      <x:c r="A1199" s="47" t="n">
        <x:v>44466</x:v>
      </x:c>
      <x:c r="B1199" s="48" t="n">
        <x:v>1.463</x:v>
      </x:c>
      <x:c r="C1199" s="22" t="str">
        <x:v>项目空间本地CSV</x:v>
      </x:c>
    </x:row>
    <x:row r="1200">
      <x:c r="A1200" s="47" t="n">
        <x:v>44463</x:v>
      </x:c>
      <x:c r="B1200" s="48" t="n">
        <x:v>1.493</x:v>
      </x:c>
      <x:c r="C1200" s="22" t="str">
        <x:v>项目空间本地CSV</x:v>
      </x:c>
    </x:row>
    <x:row r="1201">
      <x:c r="A1201" s="47" t="n">
        <x:v>44462</x:v>
      </x:c>
      <x:c r="B1201" s="48" t="n">
        <x:v>1.4991</x:v>
      </x:c>
      <x:c r="C1201" s="22" t="str">
        <x:v>项目空间本地CSV</x:v>
      </x:c>
    </x:row>
    <x:row r="1202">
      <x:c r="A1202" s="47" t="n">
        <x:v>44461</x:v>
      </x:c>
      <x:c r="B1202" s="48" t="n">
        <x:v>1.5061</x:v>
      </x:c>
      <x:c r="C1202" s="22" t="str">
        <x:v>项目空间本地CSV</x:v>
      </x:c>
    </x:row>
    <x:row r="1203">
      <x:c r="A1203" s="47" t="n">
        <x:v>44456</x:v>
      </x:c>
      <x:c r="B1203" s="48" t="n">
        <x:v>1.517</x:v>
      </x:c>
      <x:c r="C1203" s="22" t="str">
        <x:v>项目空间本地CSV</x:v>
      </x:c>
    </x:row>
    <x:row r="1204">
      <x:c r="A1204" s="47" t="n">
        <x:v>44455</x:v>
      </x:c>
      <x:c r="B1204" s="48" t="n">
        <x:v>1.513</x:v>
      </x:c>
      <x:c r="C1204" s="22" t="str">
        <x:v>项目空间本地CSV</x:v>
      </x:c>
    </x:row>
    <x:row r="1205">
      <x:c r="A1205" s="47" t="n">
        <x:v>44454</x:v>
      </x:c>
      <x:c r="B1205" s="48" t="n">
        <x:v>1.5525</x:v>
      </x:c>
      <x:c r="C1205" s="22" t="str">
        <x:v>项目空间本地CSV</x:v>
      </x:c>
    </x:row>
    <x:row r="1206">
      <x:c r="A1206" s="47" t="n">
        <x:v>44453</x:v>
      </x:c>
      <x:c r="B1206" s="48" t="n">
        <x:v>1.5355</x:v>
      </x:c>
      <x:c r="C1206" s="22" t="str">
        <x:v>项目空间本地CSV</x:v>
      </x:c>
    </x:row>
    <x:row r="1207">
      <x:c r="A1207" s="47" t="n">
        <x:v>44452</x:v>
      </x:c>
      <x:c r="B1207" s="48" t="n">
        <x:v>1.5018</x:v>
      </x:c>
      <x:c r="C1207" s="22" t="str">
        <x:v>项目空间本地CSV</x:v>
      </x:c>
    </x:row>
    <x:row r="1208">
      <x:c r="A1208" s="47" t="n">
        <x:v>44449</x:v>
      </x:c>
      <x:c r="B1208" s="48" t="n">
        <x:v>1.513</x:v>
      </x:c>
      <x:c r="C1208" s="22" t="str">
        <x:v>项目空间本地CSV</x:v>
      </x:c>
    </x:row>
    <x:row r="1209">
      <x:c r="A1209" s="47" t="n">
        <x:v>44448</x:v>
      </x:c>
      <x:c r="B1209" s="48" t="n">
        <x:v>1.5021</x:v>
      </x:c>
      <x:c r="C1209" s="22" t="str">
        <x:v>项目空间本地CSV</x:v>
      </x:c>
    </x:row>
    <x:row r="1210">
      <x:c r="A1210" s="47" t="n">
        <x:v>44447</x:v>
      </x:c>
      <x:c r="B1210" s="48" t="n">
        <x:v>1.5113</x:v>
      </x:c>
      <x:c r="C1210" s="22" t="str">
        <x:v>项目空间本地CSV</x:v>
      </x:c>
    </x:row>
    <x:row r="1211">
      <x:c r="A1211" s="47" t="n">
        <x:v>44446</x:v>
      </x:c>
      <x:c r="B1211" s="48" t="n">
        <x:v>1.5461</x:v>
      </x:c>
      <x:c r="C1211" s="22" t="str">
        <x:v>项目空间本地CSV</x:v>
      </x:c>
    </x:row>
    <x:row r="1212">
      <x:c r="A1212" s="47" t="n">
        <x:v>44445</x:v>
      </x:c>
      <x:c r="B1212" s="48" t="n">
        <x:v>1.5239</x:v>
      </x:c>
      <x:c r="C1212" s="22" t="str">
        <x:v>项目空间本地CSV</x:v>
      </x:c>
    </x:row>
    <x:row r="1213">
      <x:c r="A1213" s="47" t="n">
        <x:v>44442</x:v>
      </x:c>
      <x:c r="B1213" s="48" t="n">
        <x:v>1.5232</x:v>
      </x:c>
      <x:c r="C1213" s="22" t="str">
        <x:v>项目空间本地CSV</x:v>
      </x:c>
    </x:row>
    <x:row r="1214">
      <x:c r="A1214" s="47" t="n">
        <x:v>44441</x:v>
      </x:c>
      <x:c r="B1214" s="48" t="n">
        <x:v>1.5388</x:v>
      </x:c>
      <x:c r="C1214" s="22" t="str">
        <x:v>项目空间本地CSV</x:v>
      </x:c>
    </x:row>
    <x:row r="1215">
      <x:c r="A1215" s="47" t="n">
        <x:v>44440</x:v>
      </x:c>
      <x:c r="B1215" s="48" t="n">
        <x:v>1.5213</x:v>
      </x:c>
      <x:c r="C1215" s="22" t="str">
        <x:v>项目空间本地CSV</x:v>
      </x:c>
    </x:row>
    <x:row r="1216">
      <x:c r="A1216" s="47" t="n">
        <x:v>44439</x:v>
      </x:c>
      <x:c r="B1216" s="48" t="n">
        <x:v>1.561</x:v>
      </x:c>
      <x:c r="C1216" s="22" t="str">
        <x:v>项目空间本地CSV</x:v>
      </x:c>
    </x:row>
    <x:row r="1217">
      <x:c r="A1217" s="47" t="n">
        <x:v>44438</x:v>
      </x:c>
      <x:c r="B1217" s="48" t="n">
        <x:v>1.5776</x:v>
      </x:c>
      <x:c r="C1217" s="22" t="str">
        <x:v>项目空间本地CSV</x:v>
      </x:c>
    </x:row>
    <x:row r="1218">
      <x:c r="A1218" s="47" t="n">
        <x:v>44435</x:v>
      </x:c>
      <x:c r="B1218" s="48" t="n">
        <x:v>1.544</x:v>
      </x:c>
      <x:c r="C1218" s="22" t="str">
        <x:v>项目空间本地CSV</x:v>
      </x:c>
    </x:row>
    <x:row r="1219">
      <x:c r="A1219" s="47" t="n">
        <x:v>44434</x:v>
      </x:c>
      <x:c r="B1219" s="48" t="n">
        <x:v>1.5337</x:v>
      </x:c>
      <x:c r="C1219" s="22" t="str">
        <x:v>项目空间本地CSV</x:v>
      </x:c>
    </x:row>
    <x:row r="1220">
      <x:c r="A1220" s="47" t="n">
        <x:v>44433</x:v>
      </x:c>
      <x:c r="B1220" s="48" t="n">
        <x:v>1.5454</x:v>
      </x:c>
      <x:c r="C1220" s="22" t="str">
        <x:v>项目空间本地CSV</x:v>
      </x:c>
    </x:row>
    <x:row r="1221">
      <x:c r="A1221" s="47" t="n">
        <x:v>44432</x:v>
      </x:c>
      <x:c r="B1221" s="48" t="n">
        <x:v>1.5197</x:v>
      </x:c>
      <x:c r="C1221" s="22" t="str">
        <x:v>项目空间本地CSV</x:v>
      </x:c>
    </x:row>
    <x:row r="1222">
      <x:c r="A1222" s="47" t="n">
        <x:v>44431</x:v>
      </x:c>
      <x:c r="B1222" s="48" t="n">
        <x:v>1.5043</x:v>
      </x:c>
      <x:c r="C1222" s="22" t="str">
        <x:v>项目空间本地CSV</x:v>
      </x:c>
    </x:row>
    <x:row r="1223">
      <x:c r="A1223" s="47" t="n">
        <x:v>44428</x:v>
      </x:c>
      <x:c r="B1223" s="48" t="n">
        <x:v>1.4708</x:v>
      </x:c>
      <x:c r="C1223" s="22" t="str">
        <x:v>项目空间本地CSV</x:v>
      </x:c>
    </x:row>
    <x:row r="1224">
      <x:c r="A1224" s="47" t="n">
        <x:v>44427</x:v>
      </x:c>
      <x:c r="B1224" s="48" t="n">
        <x:v>1.4627</x:v>
      </x:c>
      <x:c r="C1224" s="22" t="str">
        <x:v>项目空间本地CSV</x:v>
      </x:c>
    </x:row>
    <x:row r="1225">
      <x:c r="A1225" s="47" t="n">
        <x:v>44426</x:v>
      </x:c>
      <x:c r="B1225" s="48" t="n">
        <x:v>1.4497</x:v>
      </x:c>
      <x:c r="C1225" s="22" t="str">
        <x:v>项目空间本地CSV</x:v>
      </x:c>
    </x:row>
    <x:row r="1226">
      <x:c r="A1226" s="47" t="n">
        <x:v>44425</x:v>
      </x:c>
      <x:c r="B1226" s="48" t="n">
        <x:v>1.4562</x:v>
      </x:c>
      <x:c r="C1226" s="22" t="str">
        <x:v>项目空间本地CSV</x:v>
      </x:c>
    </x:row>
    <x:row r="1227">
      <x:c r="A1227" s="47" t="n">
        <x:v>44424</x:v>
      </x:c>
      <x:c r="B1227" s="48" t="n">
        <x:v>1.4618</x:v>
      </x:c>
      <x:c r="C1227" s="22" t="str">
        <x:v>项目空间本地CSV</x:v>
      </x:c>
    </x:row>
    <x:row r="1228">
      <x:c r="A1228" s="47" t="n">
        <x:v>44421</x:v>
      </x:c>
      <x:c r="B1228" s="48" t="n">
        <x:v>1.5059</x:v>
      </x:c>
      <x:c r="C1228" s="22" t="str">
        <x:v>项目空间本地CSV</x:v>
      </x:c>
    </x:row>
    <x:row r="1229">
      <x:c r="A1229" s="47" t="n">
        <x:v>44420</x:v>
      </x:c>
      <x:c r="B1229" s="48" t="n">
        <x:v>1.5194</x:v>
      </x:c>
      <x:c r="C1229" s="22" t="str">
        <x:v>项目空间本地CSV</x:v>
      </x:c>
    </x:row>
    <x:row r="1230">
      <x:c r="A1230" s="47" t="n">
        <x:v>44419</x:v>
      </x:c>
      <x:c r="B1230" s="48" t="n">
        <x:v>1.5171</x:v>
      </x:c>
      <x:c r="C1230" s="22" t="str">
        <x:v>项目空间本地CSV</x:v>
      </x:c>
    </x:row>
    <x:row r="1231">
      <x:c r="A1231" s="47" t="n">
        <x:v>44418</x:v>
      </x:c>
      <x:c r="B1231" s="48" t="n">
        <x:v>1.5394</x:v>
      </x:c>
      <x:c r="C1231" s="22" t="str">
        <x:v>项目空间本地CSV</x:v>
      </x:c>
    </x:row>
    <x:row r="1232">
      <x:c r="A1232" s="47" t="n">
        <x:v>44417</x:v>
      </x:c>
      <x:c r="B1232" s="48" t="n">
        <x:v>1.5783</x:v>
      </x:c>
      <x:c r="C1232" s="22" t="str">
        <x:v>项目空间本地CSV</x:v>
      </x:c>
    </x:row>
    <x:row r="1233">
      <x:c r="A1233" s="47" t="n">
        <x:v>44414</x:v>
      </x:c>
      <x:c r="B1233" s="48" t="n">
        <x:v>1.5907</x:v>
      </x:c>
      <x:c r="C1233" s="22" t="str">
        <x:v>项目空间本地CSV</x:v>
      </x:c>
    </x:row>
    <x:row r="1234">
      <x:c r="A1234" s="47" t="n">
        <x:v>44413</x:v>
      </x:c>
      <x:c r="B1234" s="48" t="n">
        <x:v>1.5908</x:v>
      </x:c>
      <x:c r="C1234" s="22" t="str">
        <x:v>项目空间本地CSV</x:v>
      </x:c>
    </x:row>
    <x:row r="1235">
      <x:c r="A1235" s="47" t="n">
        <x:v>44412</x:v>
      </x:c>
      <x:c r="B1235" s="48" t="n">
        <x:v>1.585</x:v>
      </x:c>
      <x:c r="C1235" s="22" t="str">
        <x:v>项目空间本地CSV</x:v>
      </x:c>
    </x:row>
    <x:row r="1236">
      <x:c r="A1236" s="47" t="n">
        <x:v>44411</x:v>
      </x:c>
      <x:c r="B1236" s="48" t="n">
        <x:v>1.5216</x:v>
      </x:c>
      <x:c r="C1236" s="22" t="str">
        <x:v>项目空间本地CSV</x:v>
      </x:c>
    </x:row>
    <x:row r="1237">
      <x:c r="A1237" s="47" t="n">
        <x:v>44410</x:v>
      </x:c>
      <x:c r="B1237" s="48" t="n">
        <x:v>1.5913</x:v>
      </x:c>
      <x:c r="C1237" s="22" t="str">
        <x:v>项目空间本地CSV</x:v>
      </x:c>
    </x:row>
    <x:row r="1238">
      <x:c r="A1238" s="47" t="n">
        <x:v>44407</x:v>
      </x:c>
      <x:c r="B1238" s="48" t="n">
        <x:v>1.6035</x:v>
      </x:c>
      <x:c r="C1238" s="22" t="str">
        <x:v>项目空间本地CSV</x:v>
      </x:c>
    </x:row>
    <x:row r="1239">
      <x:c r="A1239" s="47" t="n">
        <x:v>44406</x:v>
      </x:c>
      <x:c r="B1239" s="48" t="n">
        <x:v>1.6117</x:v>
      </x:c>
      <x:c r="C1239" s="22" t="str">
        <x:v>项目空间本地CSV</x:v>
      </x:c>
    </x:row>
    <x:row r="1240">
      <x:c r="A1240" s="47" t="n">
        <x:v>44405</x:v>
      </x:c>
      <x:c r="B1240" s="48" t="n">
        <x:v>1.5466</x:v>
      </x:c>
      <x:c r="C1240" s="22" t="str">
        <x:v>项目空间本地CSV</x:v>
      </x:c>
    </x:row>
    <x:row r="1241">
      <x:c r="A1241" s="47" t="n">
        <x:v>44404</x:v>
      </x:c>
      <x:c r="B1241" s="48" t="n">
        <x:v>1.5221</x:v>
      </x:c>
      <x:c r="C1241" s="22" t="str">
        <x:v>项目空间本地CSV</x:v>
      </x:c>
    </x:row>
    <x:row r="1242">
      <x:c r="A1242" s="47" t="n">
        <x:v>44403</x:v>
      </x:c>
      <x:c r="B1242" s="48" t="n">
        <x:v>1.5891</x:v>
      </x:c>
      <x:c r="C1242" s="22" t="str">
        <x:v>项目空间本地CSV</x:v>
      </x:c>
    </x:row>
    <x:row r="1243">
      <x:c r="A1243" s="47" t="n">
        <x:v>44400</x:v>
      </x:c>
      <x:c r="B1243" s="48" t="n">
        <x:v>1.6041</x:v>
      </x:c>
      <x:c r="C1243" s="22" t="str">
        <x:v>项目空间本地CSV</x:v>
      </x:c>
    </x:row>
    <x:row r="1244">
      <x:c r="A1244" s="47" t="n">
        <x:v>44399</x:v>
      </x:c>
      <x:c r="B1244" s="48" t="n">
        <x:v>1.6164</x:v>
      </x:c>
      <x:c r="C1244" s="22" t="str">
        <x:v>项目空间本地CSV</x:v>
      </x:c>
    </x:row>
    <x:row r="1245">
      <x:c r="A1245" s="47" t="n">
        <x:v>44398</x:v>
      </x:c>
      <x:c r="B1245" s="48" t="n">
        <x:v>1.5981</x:v>
      </x:c>
      <x:c r="C1245" s="22" t="str">
        <x:v>项目空间本地CSV</x:v>
      </x:c>
    </x:row>
    <x:row r="1246">
      <x:c r="A1246" s="47" t="n">
        <x:v>44397</x:v>
      </x:c>
      <x:c r="B1246" s="48" t="n">
        <x:v>1.5481</x:v>
      </x:c>
      <x:c r="C1246" s="22" t="str">
        <x:v>项目空间本地CSV</x:v>
      </x:c>
    </x:row>
    <x:row r="1247">
      <x:c r="A1247" s="47" t="n">
        <x:v>44396</x:v>
      </x:c>
      <x:c r="B1247" s="48" t="n">
        <x:v>1.5272</x:v>
      </x:c>
      <x:c r="C1247" s="22" t="str">
        <x:v>项目空间本地CSV</x:v>
      </x:c>
    </x:row>
    <x:row r="1248">
      <x:c r="A1248" s="47" t="n">
        <x:v>44393</x:v>
      </x:c>
      <x:c r="B1248" s="48" t="n">
        <x:v>1.5537</x:v>
      </x:c>
      <x:c r="C1248" s="22" t="str">
        <x:v>项目空间本地CSV</x:v>
      </x:c>
    </x:row>
    <x:row r="1249">
      <x:c r="A1249" s="47" t="n">
        <x:v>44392</x:v>
      </x:c>
      <x:c r="B1249" s="48" t="n">
        <x:v>1.6006</x:v>
      </x:c>
      <x:c r="C1249" s="22" t="str">
        <x:v>项目空间本地CSV</x:v>
      </x:c>
    </x:row>
    <x:row r="1250">
      <x:c r="A1250" s="47" t="n">
        <x:v>44391</x:v>
      </x:c>
      <x:c r="B1250" s="48" t="n">
        <x:v>1.58</x:v>
      </x:c>
      <x:c r="C1250" s="22" t="str">
        <x:v>项目空间本地CSV</x:v>
      </x:c>
    </x:row>
    <x:row r="1251">
      <x:c r="A1251" s="47" t="n">
        <x:v>44390</x:v>
      </x:c>
      <x:c r="B1251" s="48" t="n">
        <x:v>1.6073</x:v>
      </x:c>
      <x:c r="C1251" s="22" t="str">
        <x:v>项目空间本地CSV</x:v>
      </x:c>
    </x:row>
    <x:row r="1252">
      <x:c r="A1252" s="47" t="n">
        <x:v>44389</x:v>
      </x:c>
      <x:c r="B1252" s="48" t="n">
        <x:v>1.6222</x:v>
      </x:c>
      <x:c r="C1252" s="22" t="str">
        <x:v>项目空间本地CSV</x:v>
      </x:c>
    </x:row>
    <x:row r="1253">
      <x:c r="A1253" s="47" t="n">
        <x:v>44386</x:v>
      </x:c>
      <x:c r="B1253" s="48" t="n">
        <x:v>1.5786</x:v>
      </x:c>
      <x:c r="C1253" s="22" t="str">
        <x:v>项目空间本地CSV</x:v>
      </x:c>
    </x:row>
    <x:row r="1254">
      <x:c r="A1254" s="47" t="n">
        <x:v>44385</x:v>
      </x:c>
      <x:c r="B1254" s="48" t="n">
        <x:v>1.5631</x:v>
      </x:c>
      <x:c r="C1254" s="22" t="str">
        <x:v>项目空间本地CSV</x:v>
      </x:c>
    </x:row>
    <x:row r="1255">
      <x:c r="A1255" s="47" t="n">
        <x:v>44384</x:v>
      </x:c>
      <x:c r="B1255" s="48" t="n">
        <x:v>1.5691</x:v>
      </x:c>
      <x:c r="C1255" s="22" t="str">
        <x:v>项目空间本地CSV</x:v>
      </x:c>
    </x:row>
    <x:row r="1256">
      <x:c r="A1256" s="47" t="n">
        <x:v>44383</x:v>
      </x:c>
      <x:c r="B1256" s="48" t="n">
        <x:v>1.516</x:v>
      </x:c>
      <x:c r="C1256" s="22" t="str">
        <x:v>项目空间本地CSV</x:v>
      </x:c>
    </x:row>
    <x:row r="1257">
      <x:c r="A1257" s="47" t="n">
        <x:v>44382</x:v>
      </x:c>
      <x:c r="B1257" s="48" t="n">
        <x:v>1.5372</x:v>
      </x:c>
      <x:c r="C1257" s="22" t="str">
        <x:v>项目空间本地CSV</x:v>
      </x:c>
    </x:row>
    <x:row r="1258">
      <x:c r="A1258" s="47" t="n">
        <x:v>44379</x:v>
      </x:c>
      <x:c r="B1258" s="48" t="n">
        <x:v>1.522</x:v>
      </x:c>
      <x:c r="C1258" s="22" t="str">
        <x:v>项目空间本地CSV</x:v>
      </x:c>
    </x:row>
    <x:row r="1259">
      <x:c r="A1259" s="47" t="n">
        <x:v>44378</x:v>
      </x:c>
      <x:c r="B1259" s="48" t="n">
        <x:v>1.5589</x:v>
      </x:c>
      <x:c r="C1259" s="22" t="str">
        <x:v>项目空间本地CSV</x:v>
      </x:c>
    </x:row>
    <x:row r="1260">
      <x:c r="A1260" s="47" t="n">
        <x:v>44377</x:v>
      </x:c>
      <x:c r="B1260" s="48" t="n">
        <x:v>1.5659</x:v>
      </x:c>
      <x:c r="C1260" s="22" t="str">
        <x:v>项目空间本地CSV</x:v>
      </x:c>
    </x:row>
    <x:row r="1261">
      <x:c r="A1261" s="47" t="n">
        <x:v>44376</x:v>
      </x:c>
      <x:c r="B1261" s="48" t="n">
        <x:v>1.5648</x:v>
      </x:c>
      <x:c r="C1261" s="22" t="str">
        <x:v>项目空间本地CSV</x:v>
      </x:c>
    </x:row>
    <x:row r="1262">
      <x:c r="A1262" s="47" t="n">
        <x:v>44375</x:v>
      </x:c>
      <x:c r="B1262" s="48" t="n">
        <x:v>1.5529</x:v>
      </x:c>
      <x:c r="C1262" s="22" t="str">
        <x:v>项目空间本地CSV</x:v>
      </x:c>
    </x:row>
    <x:row r="1263">
      <x:c r="A1263" s="47" t="n">
        <x:v>44372</x:v>
      </x:c>
      <x:c r="B1263" s="48" t="n">
        <x:v>1.5349</x:v>
      </x:c>
      <x:c r="C1263" s="22" t="str">
        <x:v>项目空间本地CSV</x:v>
      </x:c>
    </x:row>
    <x:row r="1264">
      <x:c r="A1264" s="47" t="n">
        <x:v>44371</x:v>
      </x:c>
      <x:c r="B1264" s="48" t="n">
        <x:v>1.5105</x:v>
      </x:c>
      <x:c r="C1264" s="22" t="str">
        <x:v>项目空间本地CSV</x:v>
      </x:c>
    </x:row>
    <x:row r="1265">
      <x:c r="A1265" s="47" t="n">
        <x:v>44370</x:v>
      </x:c>
      <x:c r="B1265" s="48" t="n">
        <x:v>1.508</x:v>
      </x:c>
      <x:c r="C1265" s="22" t="str">
        <x:v>项目空间本地CSV</x:v>
      </x:c>
    </x:row>
    <x:row r="1266">
      <x:c r="A1266" s="47" t="n">
        <x:v>44369</x:v>
      </x:c>
      <x:c r="B1266" s="48" t="n">
        <x:v>1.4693</x:v>
      </x:c>
      <x:c r="C1266" s="22" t="str">
        <x:v>项目空间本地CSV</x:v>
      </x:c>
    </x:row>
    <x:row r="1267">
      <x:c r="A1267" s="47" t="n">
        <x:v>44368</x:v>
      </x:c>
      <x:c r="B1267" s="48" t="n">
        <x:v>1.4789</x:v>
      </x:c>
      <x:c r="C1267" s="22" t="str">
        <x:v>项目空间本地CSV</x:v>
      </x:c>
    </x:row>
    <x:row r="1268">
      <x:c r="A1268" s="47" t="n">
        <x:v>44365</x:v>
      </x:c>
      <x:c r="B1268" s="48" t="n">
        <x:v>1.471</x:v>
      </x:c>
      <x:c r="C1268" s="22" t="str">
        <x:v>项目空间本地CSV</x:v>
      </x:c>
    </x:row>
    <x:row r="1269">
      <x:c r="A1269" s="47" t="n">
        <x:v>44364</x:v>
      </x:c>
      <x:c r="B1269" s="48" t="n">
        <x:v>1.4292</x:v>
      </x:c>
      <x:c r="C1269" s="22" t="str">
        <x:v>项目空间本地CSV</x:v>
      </x:c>
    </x:row>
    <x:row r="1270">
      <x:c r="A1270" s="47" t="n">
        <x:v>44363</x:v>
      </x:c>
      <x:c r="B1270" s="48" t="n">
        <x:v>1.3928</x:v>
      </x:c>
      <x:c r="C1270" s="22" t="str">
        <x:v>项目空间本地CSV</x:v>
      </x:c>
    </x:row>
    <x:row r="1271">
      <x:c r="A1271" s="47" t="n">
        <x:v>44362</x:v>
      </x:c>
      <x:c r="B1271" s="48" t="n">
        <x:v>1.4494</x:v>
      </x:c>
      <x:c r="C1271" s="22" t="str">
        <x:v>项目空间本地CSV</x:v>
      </x:c>
    </x:row>
    <x:row r="1272">
      <x:c r="A1272" s="47" t="n">
        <x:v>44358</x:v>
      </x:c>
      <x:c r="B1272" s="48" t="n">
        <x:v>1.4464</x:v>
      </x:c>
      <x:c r="C1272" s="22" t="str">
        <x:v>项目空间本地CSV</x:v>
      </x:c>
    </x:row>
    <x:row r="1273">
      <x:c r="A1273" s="47" t="n">
        <x:v>44357</x:v>
      </x:c>
      <x:c r="B1273" s="48" t="n">
        <x:v>1.4232</x:v>
      </x:c>
      <x:c r="C1273" s="22" t="str">
        <x:v>项目空间本地CSV</x:v>
      </x:c>
    </x:row>
    <x:row r="1274">
      <x:c r="A1274" s="47" t="n">
        <x:v>44356</x:v>
      </x:c>
      <x:c r="B1274" s="48" t="n">
        <x:v>1.3835</x:v>
      </x:c>
      <x:c r="C1274" s="22" t="str">
        <x:v>项目空间本地CSV</x:v>
      </x:c>
    </x:row>
    <x:row r="1275">
      <x:c r="A1275" s="47" t="n">
        <x:v>44355</x:v>
      </x:c>
      <x:c r="B1275" s="48" t="n">
        <x:v>1.3805</x:v>
      </x:c>
      <x:c r="C1275" s="22" t="str">
        <x:v>项目空间本地CSV</x:v>
      </x:c>
    </x:row>
    <x:row r="1276">
      <x:c r="A1276" s="47" t="n">
        <x:v>44354</x:v>
      </x:c>
      <x:c r="B1276" s="48" t="n">
        <x:v>1.3916</x:v>
      </x:c>
      <x:c r="C1276" s="22" t="str">
        <x:v>项目空间本地CSV</x:v>
      </x:c>
    </x:row>
    <x:row r="1277">
      <x:c r="A1277" s="47" t="n">
        <x:v>44351</x:v>
      </x:c>
      <x:c r="B1277" s="48" t="n">
        <x:v>1.4156</x:v>
      </x:c>
      <x:c r="C1277" s="22" t="str">
        <x:v>项目空间本地CSV</x:v>
      </x:c>
    </x:row>
    <x:row r="1278">
      <x:c r="A1278" s="47" t="n">
        <x:v>44350</x:v>
      </x:c>
      <x:c r="B1278" s="48" t="n">
        <x:v>1.406</x:v>
      </x:c>
      <x:c r="C1278" s="22" t="str">
        <x:v>项目空间本地CSV</x:v>
      </x:c>
    </x:row>
    <x:row r="1279">
      <x:c r="A1279" s="47" t="n">
        <x:v>44349</x:v>
      </x:c>
      <x:c r="B1279" s="48" t="n">
        <x:v>1.4256</x:v>
      </x:c>
      <x:c r="C1279" s="22" t="str">
        <x:v>项目空间本地CSV</x:v>
      </x:c>
    </x:row>
    <x:row r="1280">
      <x:c r="A1280" s="47" t="n">
        <x:v>44348</x:v>
      </x:c>
      <x:c r="B1280" s="48" t="n">
        <x:v>1.4352</x:v>
      </x:c>
      <x:c r="C1280" s="22" t="str">
        <x:v>项目空间本地CSV</x:v>
      </x:c>
    </x:row>
    <x:row r="1281">
      <x:c r="A1281" s="47" t="n">
        <x:v>44347</x:v>
      </x:c>
      <x:c r="B1281" s="48" t="n">
        <x:v>1.433</x:v>
      </x:c>
      <x:c r="C1281" s="22" t="str">
        <x:v>项目空间本地CSV</x:v>
      </x:c>
    </x:row>
    <x:row r="1282">
      <x:c r="A1282" s="47" t="n">
        <x:v>44344</x:v>
      </x:c>
      <x:c r="B1282" s="48" t="n">
        <x:v>1.382</x:v>
      </x:c>
      <x:c r="C1282" s="22" t="str">
        <x:v>项目空间本地CSV</x:v>
      </x:c>
    </x:row>
    <x:row r="1283">
      <x:c r="A1283" s="47" t="n">
        <x:v>44343</x:v>
      </x:c>
      <x:c r="B1283" s="48" t="n">
        <x:v>1.3785</x:v>
      </x:c>
      <x:c r="C1283" s="22" t="str">
        <x:v>项目空间本地CSV</x:v>
      </x:c>
    </x:row>
    <x:row r="1284">
      <x:c r="A1284" s="47" t="n">
        <x:v>44342</x:v>
      </x:c>
      <x:c r="B1284" s="48" t="n">
        <x:v>1.3695</x:v>
      </x:c>
      <x:c r="C1284" s="22" t="str">
        <x:v>项目空间本地CSV</x:v>
      </x:c>
    </x:row>
    <x:row r="1285">
      <x:c r="A1285" s="47" t="n">
        <x:v>44341</x:v>
      </x:c>
      <x:c r="B1285" s="48" t="n">
        <x:v>1.3781</x:v>
      </x:c>
      <x:c r="C1285" s="22" t="str">
        <x:v>项目空间本地CSV</x:v>
      </x:c>
    </x:row>
    <x:row r="1286">
      <x:c r="A1286" s="47" t="n">
        <x:v>44340</x:v>
      </x:c>
      <x:c r="B1286" s="48" t="n">
        <x:v>1.3564</x:v>
      </x:c>
      <x:c r="C1286" s="22" t="str">
        <x:v>项目空间本地CSV</x:v>
      </x:c>
    </x:row>
    <x:row r="1287">
      <x:c r="A1287" s="47" t="n">
        <x:v>44337</x:v>
      </x:c>
      <x:c r="B1287" s="48" t="n">
        <x:v>1.3487</x:v>
      </x:c>
      <x:c r="C1287" s="22" t="str">
        <x:v>项目空间本地CSV</x:v>
      </x:c>
    </x:row>
    <x:row r="1288">
      <x:c r="A1288" s="47" t="n">
        <x:v>44336</x:v>
      </x:c>
      <x:c r="B1288" s="48" t="n">
        <x:v>1.3477</x:v>
      </x:c>
      <x:c r="C1288" s="22" t="str">
        <x:v>项目空间本地CSV</x:v>
      </x:c>
    </x:row>
    <x:row r="1289">
      <x:c r="A1289" s="47" t="n">
        <x:v>44335</x:v>
      </x:c>
      <x:c r="B1289" s="48" t="n">
        <x:v>1.3346</x:v>
      </x:c>
      <x:c r="C1289" s="22" t="str">
        <x:v>项目空间本地CSV</x:v>
      </x:c>
    </x:row>
    <x:row r="1290">
      <x:c r="A1290" s="47" t="n">
        <x:v>44334</x:v>
      </x:c>
      <x:c r="B1290" s="48" t="n">
        <x:v>1.3225</x:v>
      </x:c>
      <x:c r="C1290" s="22" t="str">
        <x:v>项目空间本地CSV</x:v>
      </x:c>
    </x:row>
    <x:row r="1291">
      <x:c r="A1291" s="47" t="n">
        <x:v>44333</x:v>
      </x:c>
      <x:c r="B1291" s="48" t="n">
        <x:v>1.3113</x:v>
      </x:c>
      <x:c r="C1291" s="22" t="str">
        <x:v>项目空间本地CSV</x:v>
      </x:c>
    </x:row>
    <x:row r="1292">
      <x:c r="A1292" s="47" t="n">
        <x:v>44330</x:v>
      </x:c>
      <x:c r="B1292" s="48" t="n">
        <x:v>1.2834</x:v>
      </x:c>
      <x:c r="C1292" s="22" t="str">
        <x:v>项目空间本地CSV</x:v>
      </x:c>
    </x:row>
    <x:row r="1293">
      <x:c r="A1293" s="47" t="n">
        <x:v>44329</x:v>
      </x:c>
      <x:c r="B1293" s="48" t="n">
        <x:v>1.2629</x:v>
      </x:c>
      <x:c r="C1293" s="22" t="str">
        <x:v>项目空间本地CSV</x:v>
      </x:c>
    </x:row>
    <x:row r="1294">
      <x:c r="A1294" s="47" t="n">
        <x:v>44328</x:v>
      </x:c>
      <x:c r="B1294" s="48" t="n">
        <x:v>1.2915</x:v>
      </x:c>
      <x:c r="C1294" s="22" t="str">
        <x:v>项目空间本地CSV</x:v>
      </x:c>
    </x:row>
    <x:row r="1295">
      <x:c r="A1295" s="47" t="n">
        <x:v>44327</x:v>
      </x:c>
      <x:c r="B1295" s="48" t="n">
        <x:v>1.2814</x:v>
      </x:c>
      <x:c r="C1295" s="22" t="str">
        <x:v>项目空间本地CSV</x:v>
      </x:c>
    </x:row>
    <x:row r="1296">
      <x:c r="A1296" s="47" t="n">
        <x:v>44326</x:v>
      </x:c>
      <x:c r="B1296" s="48" t="n">
        <x:v>1.3044</x:v>
      </x:c>
      <x:c r="C1296" s="22" t="str">
        <x:v>项目空间本地CSV</x:v>
      </x:c>
    </x:row>
    <x:row r="1297">
      <x:c r="A1297" s="47" t="n">
        <x:v>44323</x:v>
      </x:c>
      <x:c r="B1297" s="48" t="n">
        <x:v>1.323</x:v>
      </x:c>
      <x:c r="C1297" s="22" t="str">
        <x:v>项目空间本地CSV</x:v>
      </x:c>
    </x:row>
    <x:row r="1298">
      <x:c r="A1298" s="47" t="n">
        <x:v>44322</x:v>
      </x:c>
      <x:c r="B1298" s="48" t="n">
        <x:v>1.3589</x:v>
      </x:c>
      <x:c r="C1298" s="22" t="str">
        <x:v>项目空间本地CSV</x:v>
      </x:c>
    </x:row>
    <x:row r="1299">
      <x:c r="A1299" s="47" t="n">
        <x:v>44316</x:v>
      </x:c>
      <x:c r="B1299" s="48" t="n">
        <x:v>1.4101</x:v>
      </x:c>
      <x:c r="C1299" s="22" t="str">
        <x:v>项目空间本地CSV</x:v>
      </x:c>
    </x:row>
    <x:row r="1300">
      <x:c r="A1300" s="47" t="n">
        <x:v>44315</x:v>
      </x:c>
      <x:c r="B1300" s="48" t="n">
        <x:v>1.4215</x:v>
      </x:c>
      <x:c r="C1300" s="22" t="str">
        <x:v>项目空间本地CSV</x:v>
      </x:c>
    </x:row>
    <x:row r="1301">
      <x:c r="A1301" s="47" t="n">
        <x:v>44314</x:v>
      </x:c>
      <x:c r="B1301" s="48" t="n">
        <x:v>1.437</x:v>
      </x:c>
      <x:c r="C1301" s="22" t="str">
        <x:v>项目空间本地CSV</x:v>
      </x:c>
    </x:row>
    <x:row r="1302">
      <x:c r="A1302" s="47" t="n">
        <x:v>44313</x:v>
      </x:c>
      <x:c r="B1302" s="48" t="n">
        <x:v>1.4267</x:v>
      </x:c>
      <x:c r="C1302" s="22" t="str">
        <x:v>项目空间本地CSV</x:v>
      </x:c>
    </x:row>
    <x:row r="1303">
      <x:c r="A1303" s="47" t="n">
        <x:v>44312</x:v>
      </x:c>
      <x:c r="B1303" s="48" t="n">
        <x:v>1.4196</x:v>
      </x:c>
      <x:c r="C1303" s="22" t="str">
        <x:v>项目空间本地CSV</x:v>
      </x:c>
    </x:row>
    <x:row r="1304">
      <x:c r="A1304" s="47" t="n">
        <x:v>44309</x:v>
      </x:c>
      <x:c r="B1304" s="48" t="n">
        <x:v>1.417</x:v>
      </x:c>
      <x:c r="C1304" s="22" t="str">
        <x:v>项目空间本地CSV</x:v>
      </x:c>
    </x:row>
    <x:row r="1305">
      <x:c r="A1305" s="47" t="n">
        <x:v>44308</x:v>
      </x:c>
      <x:c r="B1305" s="48" t="n">
        <x:v>1.3917</x:v>
      </x:c>
      <x:c r="C1305" s="22" t="str">
        <x:v>项目空间本地CSV</x:v>
      </x:c>
    </x:row>
    <x:row r="1306">
      <x:c r="A1306" s="47" t="n">
        <x:v>44307</x:v>
      </x:c>
      <x:c r="B1306" s="48" t="n">
        <x:v>1.3805</x:v>
      </x:c>
      <x:c r="C1306" s="22" t="str">
        <x:v>项目空间本地CSV</x:v>
      </x:c>
    </x:row>
    <x:row r="1307">
      <x:c r="A1307" s="47" t="n">
        <x:v>44306</x:v>
      </x:c>
      <x:c r="B1307" s="48" t="n">
        <x:v>1.3861</x:v>
      </x:c>
      <x:c r="C1307" s="22" t="str">
        <x:v>项目空间本地CSV</x:v>
      </x:c>
    </x:row>
    <x:row r="1308">
      <x:c r="A1308" s="47" t="n">
        <x:v>44305</x:v>
      </x:c>
      <x:c r="B1308" s="48" t="n">
        <x:v>1.3853</x:v>
      </x:c>
      <x:c r="C1308" s="22" t="str">
        <x:v>项目空间本地CSV</x:v>
      </x:c>
    </x:row>
    <x:row r="1309">
      <x:c r="A1309" s="47" t="n">
        <x:v>44302</x:v>
      </x:c>
      <x:c r="B1309" s="48" t="n">
        <x:v>1.3764</x:v>
      </x:c>
      <x:c r="C1309" s="22" t="str">
        <x:v>项目空间本地CSV</x:v>
      </x:c>
    </x:row>
    <x:row r="1310">
      <x:c r="A1310" s="47" t="n">
        <x:v>44301</x:v>
      </x:c>
      <x:c r="B1310" s="48" t="n">
        <x:v>1.3602</x:v>
      </x:c>
      <x:c r="C1310" s="22" t="str">
        <x:v>项目空间本地CSV</x:v>
      </x:c>
    </x:row>
    <x:row r="1311">
      <x:c r="A1311" s="47" t="n">
        <x:v>44300</x:v>
      </x:c>
      <x:c r="B1311" s="48" t="n">
        <x:v>1.3562</x:v>
      </x:c>
      <x:c r="C1311" s="22" t="str">
        <x:v>项目空间本地CSV</x:v>
      </x:c>
    </x:row>
    <x:row r="1312">
      <x:c r="A1312" s="47" t="n">
        <x:v>44299</x:v>
      </x:c>
      <x:c r="B1312" s="48" t="n">
        <x:v>1.3434</x:v>
      </x:c>
      <x:c r="C1312" s="22" t="str">
        <x:v>项目空间本地CSV</x:v>
      </x:c>
    </x:row>
    <x:row r="1313">
      <x:c r="A1313" s="47" t="n">
        <x:v>44298</x:v>
      </x:c>
      <x:c r="B1313" s="48" t="n">
        <x:v>1.3476</x:v>
      </x:c>
      <x:c r="C1313" s="22" t="str">
        <x:v>项目空间本地CSV</x:v>
      </x:c>
    </x:row>
    <x:row r="1314">
      <x:c r="A1314" s="47" t="n">
        <x:v>44295</x:v>
      </x:c>
      <x:c r="B1314" s="48" t="n">
        <x:v>1.3734</x:v>
      </x:c>
      <x:c r="C1314" s="22" t="str">
        <x:v>项目空间本地CSV</x:v>
      </x:c>
    </x:row>
    <x:row r="1315">
      <x:c r="A1315" s="47" t="n">
        <x:v>44294</x:v>
      </x:c>
      <x:c r="B1315" s="48" t="n">
        <x:v>1.3903</x:v>
      </x:c>
      <x:c r="C1315" s="22" t="str">
        <x:v>项目空间本地CSV</x:v>
      </x:c>
    </x:row>
    <x:row r="1316">
      <x:c r="A1316" s="47" t="n">
        <x:v>44293</x:v>
      </x:c>
      <x:c r="B1316" s="48" t="n">
        <x:v>1.387</x:v>
      </x:c>
      <x:c r="C1316" s="22" t="str">
        <x:v>项目空间本地CSV</x:v>
      </x:c>
    </x:row>
    <x:row r="1317">
      <x:c r="A1317" s="47" t="n">
        <x:v>44292</x:v>
      </x:c>
      <x:c r="B1317" s="48" t="n">
        <x:v>1.4311</x:v>
      </x:c>
      <x:c r="C1317" s="22" t="str">
        <x:v>项目空间本地CSV</x:v>
      </x:c>
    </x:row>
    <x:row r="1318">
      <x:c r="A1318" s="47" t="n">
        <x:v>44288</x:v>
      </x:c>
      <x:c r="B1318" s="48" t="n">
        <x:v>1.4259</x:v>
      </x:c>
      <x:c r="C1318" s="22" t="str">
        <x:v>项目空间本地CSV</x:v>
      </x:c>
    </x:row>
    <x:row r="1319">
      <x:c r="A1319" s="47" t="n">
        <x:v>44287</x:v>
      </x:c>
      <x:c r="B1319" s="48" t="n">
        <x:v>1.4239</x:v>
      </x:c>
      <x:c r="C1319" s="22" t="str">
        <x:v>项目空间本地CSV</x:v>
      </x:c>
    </x:row>
    <x:row r="1320">
      <x:c r="A1320" s="47" t="n">
        <x:v>44286</x:v>
      </x:c>
      <x:c r="B1320" s="48" t="n">
        <x:v>1.3598</x:v>
      </x:c>
      <x:c r="C1320" s="22" t="str">
        <x:v>项目空间本地CSV</x:v>
      </x:c>
    </x:row>
    <x:row r="1321">
      <x:c r="A1321" s="47" t="n">
        <x:v>44285</x:v>
      </x:c>
      <x:c r="B1321" s="48" t="n">
        <x:v>1.3483</x:v>
      </x:c>
      <x:c r="C1321" s="22" t="str">
        <x:v>项目空间本地CSV</x:v>
      </x:c>
    </x:row>
    <x:row r="1322">
      <x:c r="A1322" s="47" t="n">
        <x:v>44284</x:v>
      </x:c>
      <x:c r="B1322" s="48" t="n">
        <x:v>1.3131</x:v>
      </x:c>
      <x:c r="C1322" s="22" t="str">
        <x:v>项目空间本地CSV</x:v>
      </x:c>
    </x:row>
    <x:row r="1323">
      <x:c r="A1323" s="47" t="n">
        <x:v>44281</x:v>
      </x:c>
      <x:c r="B1323" s="48" t="n">
        <x:v>1.334</x:v>
      </x:c>
      <x:c r="C1323" s="22" t="str">
        <x:v>项目空间本地CSV</x:v>
      </x:c>
    </x:row>
    <x:row r="1324">
      <x:c r="A1324" s="47" t="n">
        <x:v>44280</x:v>
      </x:c>
      <x:c r="B1324" s="48" t="n">
        <x:v>1.3134</x:v>
      </x:c>
      <x:c r="C1324" s="22" t="str">
        <x:v>项目空间本地CSV</x:v>
      </x:c>
    </x:row>
    <x:row r="1325">
      <x:c r="A1325" s="47" t="n">
        <x:v>44279</x:v>
      </x:c>
      <x:c r="B1325" s="48" t="n">
        <x:v>1.3165</x:v>
      </x:c>
      <x:c r="C1325" s="22" t="str">
        <x:v>项目空间本地CSV</x:v>
      </x:c>
    </x:row>
    <x:row r="1326">
      <x:c r="A1326" s="47" t="n">
        <x:v>44278</x:v>
      </x:c>
      <x:c r="B1326" s="48" t="n">
        <x:v>1.37</x:v>
      </x:c>
      <x:c r="C1326" s="22" t="str">
        <x:v>项目空间本地CSV</x:v>
      </x:c>
    </x:row>
    <x:row r="1327">
      <x:c r="A1327" s="47" t="n">
        <x:v>44277</x:v>
      </x:c>
      <x:c r="B1327" s="48" t="n">
        <x:v>1.3929</x:v>
      </x:c>
      <x:c r="C1327" s="22" t="str">
        <x:v>项目空间本地CSV</x:v>
      </x:c>
    </x:row>
    <x:row r="1328">
      <x:c r="A1328" s="47" t="n">
        <x:v>44274</x:v>
      </x:c>
      <x:c r="B1328" s="48" t="n">
        <x:v>1.4054</x:v>
      </x:c>
      <x:c r="C1328" s="22" t="str">
        <x:v>项目空间本地CSV</x:v>
      </x:c>
    </x:row>
    <x:row r="1329">
      <x:c r="A1329" s="47" t="n">
        <x:v>44273</x:v>
      </x:c>
      <x:c r="B1329" s="48" t="n">
        <x:v>1.4316</x:v>
      </x:c>
      <x:c r="C1329" s="22" t="str">
        <x:v>项目空间本地CSV</x:v>
      </x:c>
    </x:row>
    <x:row r="1330">
      <x:c r="A1330" s="47" t="n">
        <x:v>44272</x:v>
      </x:c>
      <x:c r="B1330" s="48" t="n">
        <x:v>1.4645</x:v>
      </x:c>
      <x:c r="C1330" s="22" t="str">
        <x:v>项目空间本地CSV</x:v>
      </x:c>
    </x:row>
    <x:row r="1331">
      <x:c r="A1331" s="47" t="n">
        <x:v>44271</x:v>
      </x:c>
      <x:c r="B1331" s="48" t="n">
        <x:v>1.4591</x:v>
      </x:c>
      <x:c r="C1331" s="22" t="str">
        <x:v>项目空间本地CSV</x:v>
      </x:c>
    </x:row>
    <x:row r="1332">
      <x:c r="A1332" s="47" t="n">
        <x:v>44270</x:v>
      </x:c>
      <x:c r="B1332" s="48" t="n">
        <x:v>1.4367</x:v>
      </x:c>
      <x:c r="C1332" s="22" t="str">
        <x:v>项目空间本地CSV</x:v>
      </x:c>
    </x:row>
    <x:row r="1333">
      <x:c r="A1333" s="47" t="n">
        <x:v>44267</x:v>
      </x:c>
      <x:c r="B1333" s="48" t="n">
        <x:v>1.4641</x:v>
      </x:c>
      <x:c r="C1333" s="22" t="str">
        <x:v>项目空间本地CSV</x:v>
      </x:c>
    </x:row>
    <x:row r="1334">
      <x:c r="A1334" s="47" t="n">
        <x:v>44266</x:v>
      </x:c>
      <x:c r="B1334" s="48" t="n">
        <x:v>1.4859</x:v>
      </x:c>
      <x:c r="C1334" s="22" t="str">
        <x:v>项目空间本地CSV</x:v>
      </x:c>
    </x:row>
    <x:row r="1335">
      <x:c r="A1335" s="47" t="n">
        <x:v>44265</x:v>
      </x:c>
      <x:c r="B1335" s="48" t="n">
        <x:v>1.4066</x:v>
      </x:c>
      <x:c r="C1335" s="22" t="str">
        <x:v>项目空间本地CSV</x:v>
      </x:c>
    </x:row>
    <x:row r="1336">
      <x:c r="A1336" s="47" t="n">
        <x:v>44264</x:v>
      </x:c>
      <x:c r="B1336" s="48" t="n">
        <x:v>1.3985</x:v>
      </x:c>
      <x:c r="C1336" s="22" t="str">
        <x:v>项目空间本地CSV</x:v>
      </x:c>
    </x:row>
    <x:row r="1337">
      <x:c r="A1337" s="47" t="n">
        <x:v>44263</x:v>
      </x:c>
      <x:c r="B1337" s="48" t="n">
        <x:v>1.3431</x:v>
      </x:c>
      <x:c r="C1337" s="22" t="str">
        <x:v>项目空间本地CSV</x:v>
      </x:c>
    </x:row>
    <x:row r="1338">
      <x:c r="A1338" s="47" t="n">
        <x:v>44260</x:v>
      </x:c>
      <x:c r="B1338" s="48" t="n">
        <x:v>1.4636</x:v>
      </x:c>
      <x:c r="C1338" s="22" t="str">
        <x:v>项目空间本地CSV</x:v>
      </x:c>
    </x:row>
    <x:row r="1339">
      <x:c r="A1339" s="47" t="n">
        <x:v>44259</x:v>
      </x:c>
      <x:c r="B1339" s="48" t="n">
        <x:v>1.4844</x:v>
      </x:c>
      <x:c r="C1339" s="22" t="str">
        <x:v>项目空间本地CSV</x:v>
      </x:c>
    </x:row>
    <x:row r="1340">
      <x:c r="A1340" s="47" t="n">
        <x:v>44258</x:v>
      </x:c>
      <x:c r="B1340" s="48" t="n">
        <x:v>1.587</x:v>
      </x:c>
      <x:c r="C1340" s="22" t="str">
        <x:v>项目空间本地CSV</x:v>
      </x:c>
    </x:row>
    <x:row r="1341">
      <x:c r="A1341" s="47" t="n">
        <x:v>44257</x:v>
      </x:c>
      <x:c r="B1341" s="48" t="n">
        <x:v>1.5904</x:v>
      </x:c>
      <x:c r="C1341" s="22" t="str">
        <x:v>项目空间本地CSV</x:v>
      </x:c>
    </x:row>
    <x:row r="1342">
      <x:c r="A1342" s="47" t="n">
        <x:v>44256</x:v>
      </x:c>
      <x:c r="B1342" s="48" t="n">
        <x:v>1.6311</x:v>
      </x:c>
      <x:c r="C1342" s="22" t="str">
        <x:v>项目空间本地CSV</x:v>
      </x:c>
    </x:row>
    <x:row r="1343">
      <x:c r="A1343" s="47" t="n">
        <x:v>44253</x:v>
      </x:c>
      <x:c r="B1343" s="48" t="n">
        <x:v>1.5424</x:v>
      </x:c>
      <x:c r="C1343" s="22" t="str">
        <x:v>项目空间本地CSV</x:v>
      </x:c>
    </x:row>
    <x:row r="1344">
      <x:c r="A1344" s="47" t="n">
        <x:v>44252</x:v>
      </x:c>
      <x:c r="B1344" s="48" t="n">
        <x:v>1.6005</x:v>
      </x:c>
      <x:c r="C1344" s="22" t="str">
        <x:v>项目空间本地CSV</x:v>
      </x:c>
    </x:row>
    <x:row r="1345">
      <x:c r="A1345" s="47" t="n">
        <x:v>44251</x:v>
      </x:c>
      <x:c r="B1345" s="48" t="n">
        <x:v>1.5997</x:v>
      </x:c>
      <x:c r="C1345" s="22" t="str">
        <x:v>项目空间本地CSV</x:v>
      </x:c>
    </x:row>
    <x:row r="1346">
      <x:c r="A1346" s="47" t="n">
        <x:v>44250</x:v>
      </x:c>
      <x:c r="B1346" s="48" t="n">
        <x:v>1.6852</x:v>
      </x:c>
      <x:c r="C1346" s="22" t="str">
        <x:v>项目空间本地CSV</x:v>
      </x:c>
    </x:row>
    <x:row r="1347">
      <x:c r="A1347" s="47" t="n">
        <x:v>44249</x:v>
      </x:c>
      <x:c r="B1347" s="48" t="n">
        <x:v>1.7108</x:v>
      </x:c>
      <x:c r="C1347" s="22" t="str">
        <x:v>项目空间本地CSV</x:v>
      </x:c>
    </x:row>
    <x:row r="1348">
      <x:c r="A1348" s="47" t="n">
        <x:v>44246</x:v>
      </x:c>
      <x:c r="B1348" s="48" t="n">
        <x:v>1.8187</x:v>
      </x:c>
      <x:c r="C1348" s="22" t="str">
        <x:v>项目空间本地CSV</x:v>
      </x:c>
    </x:row>
    <x:row r="1349">
      <x:c r="A1349" s="47" t="n">
        <x:v>44245</x:v>
      </x:c>
      <x:c r="B1349" s="48" t="n">
        <x:v>1.8054</x:v>
      </x:c>
      <x:c r="C1349" s="22" t="str">
        <x:v>项目空间本地CSV</x:v>
      </x:c>
    </x:row>
    <x:row r="1350">
      <x:c r="A1350" s="47" t="n">
        <x:v>44237</x:v>
      </x:c>
      <x:c r="B1350" s="48" t="n">
        <x:v>1.8494</x:v>
      </x:c>
      <x:c r="C1350" s="22" t="str">
        <x:v>项目空间本地CSV</x:v>
      </x:c>
    </x:row>
    <x:row r="1351">
      <x:c r="A1351" s="47" t="n">
        <x:v>44236</x:v>
      </x:c>
      <x:c r="B1351" s="48" t="n">
        <x:v>1.7932</x:v>
      </x:c>
      <x:c r="C1351" s="22" t="str">
        <x:v>项目空间本地CSV</x:v>
      </x:c>
    </x:row>
    <x:row r="1352">
      <x:c r="A1352" s="47" t="n">
        <x:v>44235</x:v>
      </x:c>
      <x:c r="B1352" s="48" t="n">
        <x:v>1.7538</x:v>
      </x:c>
      <x:c r="C1352" s="22" t="str">
        <x:v>项目空间本地CSV</x:v>
      </x:c>
    </x:row>
    <x:row r="1353">
      <x:c r="A1353" s="47" t="n">
        <x:v>44232</x:v>
      </x:c>
      <x:c r="B1353" s="48" t="n">
        <x:v>1.7541</x:v>
      </x:c>
      <x:c r="C1353" s="22" t="str">
        <x:v>项目空间本地CSV</x:v>
      </x:c>
    </x:row>
    <x:row r="1354">
      <x:c r="A1354" s="47" t="n">
        <x:v>44231</x:v>
      </x:c>
      <x:c r="B1354" s="48" t="n">
        <x:v>1.7581</x:v>
      </x:c>
      <x:c r="C1354" s="22" t="str">
        <x:v>项目空间本地CSV</x:v>
      </x:c>
    </x:row>
    <x:row r="1355">
      <x:c r="A1355" s="47" t="n">
        <x:v>44230</x:v>
      </x:c>
      <x:c r="B1355" s="48" t="n">
        <x:v>1.7568</x:v>
      </x:c>
      <x:c r="C1355" s="22" t="str">
        <x:v>项目空间本地CSV</x:v>
      </x:c>
    </x:row>
    <x:row r="1356">
      <x:c r="A1356" s="47" t="n">
        <x:v>44229</x:v>
      </x:c>
      <x:c r="B1356" s="48" t="n">
        <x:v>1.7147</x:v>
      </x:c>
      <x:c r="C1356" s="22" t="str">
        <x:v>项目空间本地CSV</x:v>
      </x:c>
    </x:row>
    <x:row r="1357">
      <x:c r="A1357" s="47" t="n">
        <x:v>44228</x:v>
      </x:c>
      <x:c r="B1357" s="48" t="n">
        <x:v>1.6704</x:v>
      </x:c>
      <x:c r="C1357" s="22" t="str">
        <x:v>项目空间本地CSV</x:v>
      </x:c>
    </x:row>
    <x:row r="1358">
      <x:c r="A1358" s="47" t="n">
        <x:v>44225</x:v>
      </x:c>
      <x:c r="B1358" s="48" t="n">
        <x:v>1.5977</x:v>
      </x:c>
      <x:c r="C1358" s="22" t="str">
        <x:v>项目空间本地CSV</x:v>
      </x:c>
    </x:row>
    <x:row r="1359">
      <x:c r="A1359" s="47" t="n">
        <x:v>44224</x:v>
      </x:c>
      <x:c r="B1359" s="48" t="n">
        <x:v>1.6132</x:v>
      </x:c>
      <x:c r="C1359" s="22" t="str">
        <x:v>项目空间本地CSV</x:v>
      </x:c>
    </x:row>
    <x:row r="1360">
      <x:c r="A1360" s="47" t="n">
        <x:v>44223</x:v>
      </x:c>
      <x:c r="B1360" s="48" t="n">
        <x:v>1.6571</x:v>
      </x:c>
      <x:c r="C1360" s="22" t="str">
        <x:v>项目空间本地CSV</x:v>
      </x:c>
    </x:row>
    <x:row r="1361">
      <x:c r="A1361" s="47" t="n">
        <x:v>44222</x:v>
      </x:c>
      <x:c r="B1361" s="48" t="n">
        <x:v>1.7002</x:v>
      </x:c>
      <x:c r="C1361" s="22" t="str">
        <x:v>项目空间本地CSV</x:v>
      </x:c>
    </x:row>
    <x:row r="1362">
      <x:c r="A1362" s="47" t="n">
        <x:v>44221</x:v>
      </x:c>
      <x:c r="B1362" s="48" t="n">
        <x:v>1.757</x:v>
      </x:c>
      <x:c r="C1362" s="22" t="str">
        <x:v>项目空间本地CSV</x:v>
      </x:c>
    </x:row>
    <x:row r="1363">
      <x:c r="A1363" s="47" t="n">
        <x:v>44218</x:v>
      </x:c>
      <x:c r="B1363" s="48" t="n">
        <x:v>1.7075</x:v>
      </x:c>
      <x:c r="C1363" s="22" t="str">
        <x:v>项目空间本地CSV</x:v>
      </x:c>
    </x:row>
    <x:row r="1364">
      <x:c r="A1364" s="47" t="n">
        <x:v>44217</x:v>
      </x:c>
      <x:c r="B1364" s="48" t="n">
        <x:v>1.6667</x:v>
      </x:c>
      <x:c r="C1364" s="22" t="str">
        <x:v>项目空间本地CSV</x:v>
      </x:c>
    </x:row>
    <x:row r="1365">
      <x:c r="A1365" s="47" t="n">
        <x:v>44216</x:v>
      </x:c>
      <x:c r="B1365" s="48" t="n">
        <x:v>1.6906</x:v>
      </x:c>
      <x:c r="C1365" s="22" t="str">
        <x:v>项目空间本地CSV</x:v>
      </x:c>
    </x:row>
    <x:row r="1366">
      <x:c r="A1366" s="47" t="n">
        <x:v>44215</x:v>
      </x:c>
      <x:c r="B1366" s="48" t="n">
        <x:v>1.627</x:v>
      </x:c>
      <x:c r="C1366" s="22" t="str">
        <x:v>项目空间本地CSV</x:v>
      </x:c>
    </x:row>
    <x:row r="1367">
      <x:c r="A1367" s="47" t="n">
        <x:v>44214</x:v>
      </x:c>
      <x:c r="B1367" s="48" t="n">
        <x:v>1.6025</x:v>
      </x:c>
      <x:c r="C1367" s="22" t="str">
        <x:v>项目空间本地CSV</x:v>
      </x:c>
    </x:row>
    <x:row r="1368">
      <x:c r="A1368" s="47" t="n">
        <x:v>44211</x:v>
      </x:c>
      <x:c r="B1368" s="48" t="n">
        <x:v>1.5807</x:v>
      </x:c>
      <x:c r="C1368" s="22" t="str">
        <x:v>项目空间本地CSV</x:v>
      </x:c>
    </x:row>
    <x:row r="1369">
      <x:c r="A1369" s="47" t="n">
        <x:v>44210</x:v>
      </x:c>
      <x:c r="B1369" s="48" t="n">
        <x:v>1.6047</x:v>
      </x:c>
      <x:c r="C1369" s="22" t="str">
        <x:v>项目空间本地CSV</x:v>
      </x:c>
    </x:row>
    <x:row r="1370">
      <x:c r="A1370" s="47" t="n">
        <x:v>44209</x:v>
      </x:c>
      <x:c r="B1370" s="48" t="n">
        <x:v>1.5888</x:v>
      </x:c>
      <x:c r="C1370" s="22" t="str">
        <x:v>项目空间本地CSV</x:v>
      </x:c>
    </x:row>
    <x:row r="1371">
      <x:c r="A1371" s="47" t="n">
        <x:v>44208</x:v>
      </x:c>
      <x:c r="B1371" s="48" t="n">
        <x:v>1.5927</x:v>
      </x:c>
      <x:c r="C1371" s="22" t="str">
        <x:v>项目空间本地CSV</x:v>
      </x:c>
    </x:row>
    <x:row r="1372">
      <x:c r="A1372" s="47" t="n">
        <x:v>44207</x:v>
      </x:c>
      <x:c r="B1372" s="48" t="n">
        <x:v>1.5626</x:v>
      </x:c>
      <x:c r="C1372" s="22" t="str">
        <x:v>项目空间本地CSV</x:v>
      </x:c>
    </x:row>
    <x:row r="1373">
      <x:c r="A1373" s="47" t="n">
        <x:v>44204</x:v>
      </x:c>
      <x:c r="B1373" s="48" t="n">
        <x:v>1.6174</x:v>
      </x:c>
      <x:c r="C1373" s="22" t="str">
        <x:v>项目空间本地CSV</x:v>
      </x:c>
    </x:row>
    <x:row r="1374">
      <x:c r="A1374" s="47" t="n">
        <x:v>44203</x:v>
      </x:c>
      <x:c r="B1374" s="48" t="n">
        <x:v>1.5824</x:v>
      </x:c>
      <x:c r="C1374" s="22" t="str">
        <x:v>项目空间本地CSV</x:v>
      </x:c>
    </x:row>
    <x:row r="1375">
      <x:c r="A1375" s="47" t="n">
        <x:v>44202</x:v>
      </x:c>
      <x:c r="B1375" s="48" t="n">
        <x:v>1.5302</x:v>
      </x:c>
      <x:c r="C1375" s="22" t="str">
        <x:v>项目空间本地CSV</x:v>
      </x:c>
    </x:row>
    <x:row r="1376">
      <x:c r="A1376" s="47" t="n">
        <x:v>44201</x:v>
      </x:c>
      <x:c r="B1376" s="48" t="n">
        <x:v>1.5443</x:v>
      </x:c>
      <x:c r="C1376" s="22" t="str">
        <x:v>项目空间本地CSV</x:v>
      </x:c>
    </x:row>
    <x:row r="1377">
      <x:c r="A1377" s="47" t="n">
        <x:v>44200</x:v>
      </x:c>
      <x:c r="B1377" s="48" t="n">
        <x:v>1.5201</x:v>
      </x:c>
      <x:c r="C1377" s="22" t="str">
        <x:v>项目空间本地CSV</x:v>
      </x:c>
    </x:row>
    <x:row r="1378">
      <x:c r="A1378" s="47" t="n">
        <x:v>44196</x:v>
      </x:c>
      <x:c r="B1378" s="48" t="n">
        <x:v>1.4828</x:v>
      </x:c>
      <x:c r="C1378" s="22" t="str">
        <x:v>项目空间本地CSV</x:v>
      </x:c>
    </x:row>
    <x:row r="1379">
      <x:c r="A1379" s="47" t="n">
        <x:v>44195</x:v>
      </x:c>
      <x:c r="B1379" s="48" t="n">
        <x:v>1.4862</x:v>
      </x:c>
      <x:c r="C1379" s="22" t="str">
        <x:v>项目空间本地CSV</x:v>
      </x:c>
    </x:row>
    <x:row r="1380">
      <x:c r="A1380" s="47" t="n">
        <x:v>44194</x:v>
      </x:c>
      <x:c r="B1380" s="48" t="n">
        <x:v>1.4339</x:v>
      </x:c>
      <x:c r="C1380" s="22" t="str">
        <x:v>项目空间本地CSV</x:v>
      </x:c>
    </x:row>
    <x:row r="1381">
      <x:c r="A1381" s="47" t="n">
        <x:v>44193</x:v>
      </x:c>
      <x:c r="B1381" s="48" t="n">
        <x:v>1.43</x:v>
      </x:c>
      <x:c r="C1381" s="22" t="str">
        <x:v>项目空间本地CSV</x:v>
      </x:c>
    </x:row>
    <x:row r="1382">
      <x:c r="A1382" s="47" t="n">
        <x:v>44190</x:v>
      </x:c>
      <x:c r="B1382" s="48" t="n">
        <x:v>1.4715</x:v>
      </x:c>
      <x:c r="C1382" s="22" t="str">
        <x:v>项目空间本地CSV</x:v>
      </x:c>
    </x:row>
    <x:row r="1383">
      <x:c r="A1383" s="47" t="n">
        <x:v>44189</x:v>
      </x:c>
      <x:c r="B1383" s="48" t="n">
        <x:v>1.4649</x:v>
      </x:c>
      <x:c r="C1383" s="22" t="str">
        <x:v>项目空间本地CSV</x:v>
      </x:c>
    </x:row>
    <x:row r="1384">
      <x:c r="A1384" s="47" t="n">
        <x:v>44188</x:v>
      </x:c>
      <x:c r="B1384" s="48" t="n">
        <x:v>1.4766</x:v>
      </x:c>
      <x:c r="C1384" s="22" t="str">
        <x:v>项目空间本地CSV</x:v>
      </x:c>
    </x:row>
    <x:row r="1385">
      <x:c r="A1385" s="47" t="n">
        <x:v>44187</x:v>
      </x:c>
      <x:c r="B1385" s="48" t="n">
        <x:v>1.4697</x:v>
      </x:c>
      <x:c r="C1385" s="22" t="str">
        <x:v>项目空间本地CSV</x:v>
      </x:c>
    </x:row>
    <x:row r="1386">
      <x:c r="A1386" s="47" t="n">
        <x:v>44186</x:v>
      </x:c>
      <x:c r="B1386" s="48" t="n">
        <x:v>1.4799</x:v>
      </x:c>
      <x:c r="C1386" s="22" t="str">
        <x:v>项目空间本地CSV</x:v>
      </x:c>
    </x:row>
    <x:row r="1387">
      <x:c r="A1387" s="47" t="n">
        <x:v>44183</x:v>
      </x:c>
      <x:c r="B1387" s="48" t="n">
        <x:v>1.4524</x:v>
      </x:c>
      <x:c r="C1387" s="22" t="str">
        <x:v>项目空间本地CSV</x:v>
      </x:c>
    </x:row>
    <x:row r="1388">
      <x:c r="A1388" s="47" t="n">
        <x:v>44182</x:v>
      </x:c>
      <x:c r="B1388" s="48" t="n">
        <x:v>1.4413</x:v>
      </x:c>
      <x:c r="C1388" s="22" t="str">
        <x:v>项目空间本地CSV</x:v>
      </x:c>
    </x:row>
    <x:row r="1389">
      <x:c r="A1389" s="47" t="n">
        <x:v>44181</x:v>
      </x:c>
      <x:c r="B1389" s="48" t="n">
        <x:v>1.416</x:v>
      </x:c>
      <x:c r="C1389" s="22" t="str">
        <x:v>项目空间本地CSV</x:v>
      </x:c>
    </x:row>
    <x:row r="1390">
      <x:c r="A1390" s="47" t="n">
        <x:v>44180</x:v>
      </x:c>
      <x:c r="B1390" s="48" t="n">
        <x:v>1.3999</x:v>
      </x:c>
      <x:c r="C1390" s="22" t="str">
        <x:v>项目空间本地CSV</x:v>
      </x:c>
    </x:row>
    <x:row r="1391">
      <x:c r="A1391" s="47" t="n">
        <x:v>44179</x:v>
      </x:c>
      <x:c r="B1391" s="48" t="n">
        <x:v>1.3962</x:v>
      </x:c>
      <x:c r="C1391" s="22" t="str">
        <x:v>项目空间本地CSV</x:v>
      </x:c>
    </x:row>
    <x:row r="1392">
      <x:c r="A1392" s="47" t="n">
        <x:v>44176</x:v>
      </x:c>
      <x:c r="B1392" s="48" t="n">
        <x:v>1.3977</x:v>
      </x:c>
      <x:c r="C1392" s="22" t="str">
        <x:v>项目空间本地CSV</x:v>
      </x:c>
    </x:row>
    <x:row r="1393">
      <x:c r="A1393" s="47" t="n">
        <x:v>44175</x:v>
      </x:c>
      <x:c r="B1393" s="48" t="n">
        <x:v>1.4062</x:v>
      </x:c>
      <x:c r="C1393" s="22" t="str">
        <x:v>项目空间本地CSV</x:v>
      </x:c>
    </x:row>
    <x:row r="1394">
      <x:c r="A1394" s="47" t="n">
        <x:v>44174</x:v>
      </x:c>
      <x:c r="B1394" s="48" t="n">
        <x:v>1.3859</x:v>
      </x:c>
      <x:c r="C1394" s="22" t="str">
        <x:v>项目空间本地CSV</x:v>
      </x:c>
    </x:row>
    <x:row r="1395">
      <x:c r="A1395" s="47" t="n">
        <x:v>44173</x:v>
      </x:c>
      <x:c r="B1395" s="48" t="n">
        <x:v>1.4113</x:v>
      </x:c>
      <x:c r="C1395" s="22" t="str">
        <x:v>项目空间本地CSV</x:v>
      </x:c>
    </x:row>
    <x:row r="1396">
      <x:c r="A1396" s="47" t="n">
        <x:v>44172</x:v>
      </x:c>
      <x:c r="B1396" s="48" t="n">
        <x:v>1.3862</x:v>
      </x:c>
      <x:c r="C1396" s="22" t="str">
        <x:v>项目空间本地CSV</x:v>
      </x:c>
    </x:row>
    <x:row r="1397">
      <x:c r="A1397" s="47" t="n">
        <x:v>44169</x:v>
      </x:c>
      <x:c r="B1397" s="48" t="n">
        <x:v>1.3762</x:v>
      </x:c>
      <x:c r="C1397" s="22" t="str">
        <x:v>项目空间本地CSV</x:v>
      </x:c>
    </x:row>
    <x:row r="1398">
      <x:c r="A1398" s="47" t="n">
        <x:v>44168</x:v>
      </x:c>
      <x:c r="B1398" s="48" t="n">
        <x:v>1.3659</x:v>
      </x:c>
      <x:c r="C1398" s="22" t="str">
        <x:v>项目空间本地CSV</x:v>
      </x:c>
    </x:row>
    <x:row r="1399">
      <x:c r="A1399" s="47" t="n">
        <x:v>44167</x:v>
      </x:c>
      <x:c r="B1399" s="48" t="n">
        <x:v>1.366</x:v>
      </x:c>
      <x:c r="C1399" s="22" t="str">
        <x:v>项目空间本地CSV</x:v>
      </x:c>
    </x:row>
    <x:row r="1400">
      <x:c r="A1400" s="47" t="n">
        <x:v>44166</x:v>
      </x:c>
      <x:c r="B1400" s="48" t="n">
        <x:v>1.3782</x:v>
      </x:c>
      <x:c r="C1400" s="22" t="str">
        <x:v>项目空间本地CSV</x:v>
      </x:c>
    </x:row>
    <x:row r="1401">
      <x:c r="A1401" s="47" t="n">
        <x:v>44165</x:v>
      </x:c>
      <x:c r="B1401" s="48" t="n">
        <x:v>1.3999</x:v>
      </x:c>
      <x:c r="C1401" s="22" t="str">
        <x:v>项目空间本地CSV</x:v>
      </x:c>
    </x:row>
    <x:row r="1402">
      <x:c r="A1402" s="47" t="n">
        <x:v>44162</x:v>
      </x:c>
      <x:c r="B1402" s="48" t="n">
        <x:v>1.434</x:v>
      </x:c>
      <x:c r="C1402" s="22" t="str">
        <x:v>项目空间本地CSV</x:v>
      </x:c>
    </x:row>
    <x:row r="1403">
      <x:c r="A1403" s="47" t="n">
        <x:v>44161</x:v>
      </x:c>
      <x:c r="B1403" s="48" t="n">
        <x:v>1.4254</x:v>
      </x:c>
      <x:c r="C1403" s="22" t="str">
        <x:v>项目空间本地CSV</x:v>
      </x:c>
    </x:row>
    <x:row r="1404">
      <x:c r="A1404" s="47" t="n">
        <x:v>44160</x:v>
      </x:c>
      <x:c r="B1404" s="48" t="n">
        <x:v>1.4193</x:v>
      </x:c>
      <x:c r="C1404" s="22" t="str">
        <x:v>项目空间本地CSV</x:v>
      </x:c>
    </x:row>
    <x:row r="1405">
      <x:c r="A1405" s="47" t="n">
        <x:v>44159</x:v>
      </x:c>
      <x:c r="B1405" s="48" t="n">
        <x:v>1.4411</x:v>
      </x:c>
      <x:c r="C1405" s="22" t="str">
        <x:v>项目空间本地CSV</x:v>
      </x:c>
    </x:row>
    <x:row r="1406">
      <x:c r="A1406" s="47" t="n">
        <x:v>44158</x:v>
      </x:c>
      <x:c r="B1406" s="48" t="n">
        <x:v>1.4464</x:v>
      </x:c>
      <x:c r="C1406" s="22" t="str">
        <x:v>项目空间本地CSV</x:v>
      </x:c>
    </x:row>
    <x:row r="1407">
      <x:c r="A1407" s="47" t="n">
        <x:v>44155</x:v>
      </x:c>
      <x:c r="B1407" s="48" t="n">
        <x:v>1.3891</x:v>
      </x:c>
      <x:c r="C1407" s="22" t="str">
        <x:v>项目空间本地CSV</x:v>
      </x:c>
    </x:row>
    <x:row r="1408">
      <x:c r="A1408" s="47" t="n">
        <x:v>44154</x:v>
      </x:c>
      <x:c r="B1408" s="48" t="n">
        <x:v>1.3567</x:v>
      </x:c>
      <x:c r="C1408" s="22" t="str">
        <x:v>项目空间本地CSV</x:v>
      </x:c>
    </x:row>
    <x:row r="1409">
      <x:c r="A1409" s="47" t="n">
        <x:v>44153</x:v>
      </x:c>
      <x:c r="B1409" s="48" t="n">
        <x:v>1.3454</x:v>
      </x:c>
      <x:c r="C1409" s="22" t="str">
        <x:v>项目空间本地CSV</x:v>
      </x:c>
    </x:row>
    <x:row r="1410">
      <x:c r="A1410" s="47" t="n">
        <x:v>44152</x:v>
      </x:c>
      <x:c r="B1410" s="48" t="n">
        <x:v>1.3556</x:v>
      </x:c>
      <x:c r="C1410" s="22" t="str">
        <x:v>项目空间本地CSV</x:v>
      </x:c>
    </x:row>
    <x:row r="1411">
      <x:c r="A1411" s="47" t="n">
        <x:v>44151</x:v>
      </x:c>
      <x:c r="B1411" s="48" t="n">
        <x:v>1.3802</x:v>
      </x:c>
      <x:c r="C1411" s="22" t="str">
        <x:v>项目空间本地CSV</x:v>
      </x:c>
    </x:row>
    <x:row r="1412">
      <x:c r="A1412" s="47" t="n">
        <x:v>44148</x:v>
      </x:c>
      <x:c r="B1412" s="48" t="n">
        <x:v>1.3756</x:v>
      </x:c>
      <x:c r="C1412" s="22" t="str">
        <x:v>项目空间本地CSV</x:v>
      </x:c>
    </x:row>
    <x:row r="1413">
      <x:c r="A1413" s="47" t="n">
        <x:v>44147</x:v>
      </x:c>
      <x:c r="B1413" s="48" t="n">
        <x:v>1.3707</x:v>
      </x:c>
      <x:c r="C1413" s="22" t="str">
        <x:v>项目空间本地CSV</x:v>
      </x:c>
    </x:row>
    <x:row r="1414">
      <x:c r="A1414" s="47" t="n">
        <x:v>44146</x:v>
      </x:c>
      <x:c r="B1414" s="48" t="n">
        <x:v>1.3307</x:v>
      </x:c>
      <x:c r="C1414" s="22" t="str">
        <x:v>项目空间本地CSV</x:v>
      </x:c>
    </x:row>
    <x:row r="1415">
      <x:c r="A1415" s="47" t="n">
        <x:v>44145</x:v>
      </x:c>
      <x:c r="B1415" s="48" t="n">
        <x:v>1.3552</x:v>
      </x:c>
      <x:c r="C1415" s="22" t="str">
        <x:v>项目空间本地CSV</x:v>
      </x:c>
    </x:row>
    <x:row r="1416">
      <x:c r="A1416" s="47" t="n">
        <x:v>44144</x:v>
      </x:c>
      <x:c r="B1416" s="48" t="n">
        <x:v>1.4213</x:v>
      </x:c>
      <x:c r="C1416" s="22" t="str">
        <x:v>项目空间本地CSV</x:v>
      </x:c>
    </x:row>
    <x:row r="1417">
      <x:c r="A1417" s="47" t="n">
        <x:v>44141</x:v>
      </x:c>
      <x:c r="B1417" s="48" t="n">
        <x:v>1.4419</x:v>
      </x:c>
      <x:c r="C1417" s="22" t="str">
        <x:v>项目空间本地CSV</x:v>
      </x:c>
    </x:row>
    <x:row r="1418">
      <x:c r="A1418" s="47" t="n">
        <x:v>44140</x:v>
      </x:c>
      <x:c r="B1418" s="48" t="n">
        <x:v>1.4542</x:v>
      </x:c>
      <x:c r="C1418" s="22" t="str">
        <x:v>项目空间本地CSV</x:v>
      </x:c>
    </x:row>
    <x:row r="1419">
      <x:c r="A1419" s="47" t="n">
        <x:v>44139</x:v>
      </x:c>
      <x:c r="B1419" s="48" t="n">
        <x:v>1.3863</x:v>
      </x:c>
      <x:c r="C1419" s="22" t="str">
        <x:v>项目空间本地CSV</x:v>
      </x:c>
    </x:row>
    <x:row r="1420">
      <x:c r="A1420" s="47" t="n">
        <x:v>44138</x:v>
      </x:c>
      <x:c r="B1420" s="48" t="n">
        <x:v>1.3561</x:v>
      </x:c>
      <x:c r="C1420" s="22" t="str">
        <x:v>项目空间本地CSV</x:v>
      </x:c>
    </x:row>
    <x:row r="1421">
      <x:c r="A1421" s="47" t="n">
        <x:v>44137</x:v>
      </x:c>
      <x:c r="B1421" s="48" t="n">
        <x:v>1.3493</x:v>
      </x:c>
      <x:c r="C1421" s="22" t="str">
        <x:v>项目空间本地CSV</x:v>
      </x:c>
    </x:row>
    <x:row r="1422">
      <x:c r="A1422" s="47" t="n">
        <x:v>44134</x:v>
      </x:c>
      <x:c r="B1422" s="48" t="n">
        <x:v>1.3259</x:v>
      </x:c>
      <x:c r="C1422" s="22" t="str">
        <x:v>项目空间本地CSV</x:v>
      </x:c>
    </x:row>
    <x:row r="1423">
      <x:c r="A1423" s="47" t="n">
        <x:v>44133</x:v>
      </x:c>
      <x:c r="B1423" s="48" t="n">
        <x:v>1.3747</x:v>
      </x:c>
      <x:c r="C1423" s="22" t="str">
        <x:v>项目空间本地CSV</x:v>
      </x:c>
    </x:row>
    <x:row r="1424">
      <x:c r="A1424" s="47" t="n">
        <x:v>44132</x:v>
      </x:c>
      <x:c r="B1424" s="48" t="n">
        <x:v>1.3479</x:v>
      </x:c>
      <x:c r="C1424" s="22" t="str">
        <x:v>项目空间本地CSV</x:v>
      </x:c>
    </x:row>
    <x:row r="1425">
      <x:c r="A1425" s="47" t="n">
        <x:v>44131</x:v>
      </x:c>
      <x:c r="B1425" s="48" t="n">
        <x:v>1.351</x:v>
      </x:c>
      <x:c r="C1425" s="22" t="str">
        <x:v>项目空间本地CSV</x:v>
      </x:c>
    </x:row>
    <x:row r="1426">
      <x:c r="A1426" s="47" t="n">
        <x:v>44130</x:v>
      </x:c>
      <x:c r="B1426" s="48" t="n">
        <x:v>1.3203</x:v>
      </x:c>
      <x:c r="C1426" s="22" t="str">
        <x:v>项目空间本地CSV</x:v>
      </x:c>
    </x:row>
    <x:row r="1427">
      <x:c r="A1427" s="47" t="n">
        <x:v>44127</x:v>
      </x:c>
      <x:c r="B1427" s="48" t="n">
        <x:v>1.3246</x:v>
      </x:c>
      <x:c r="C1427" s="22" t="str">
        <x:v>项目空间本地CSV</x:v>
      </x:c>
    </x:row>
    <x:row r="1428">
      <x:c r="A1428" s="47" t="n">
        <x:v>44126</x:v>
      </x:c>
      <x:c r="B1428" s="48" t="n">
        <x:v>1.3371</x:v>
      </x:c>
      <x:c r="C1428" s="22" t="str">
        <x:v>项目空间本地CSV</x:v>
      </x:c>
    </x:row>
    <x:row r="1429">
      <x:c r="A1429" s="47" t="n">
        <x:v>44125</x:v>
      </x:c>
      <x:c r="B1429" s="48" t="n">
        <x:v>1.3457</x:v>
      </x:c>
      <x:c r="C1429" s="22" t="str">
        <x:v>项目空间本地CSV</x:v>
      </x:c>
    </x:row>
    <x:row r="1430">
      <x:c r="A1430" s="47" t="n">
        <x:v>44124</x:v>
      </x:c>
      <x:c r="B1430" s="48" t="n">
        <x:v>1.3591</x:v>
      </x:c>
      <x:c r="C1430" s="22" t="str">
        <x:v>项目空间本地CSV</x:v>
      </x:c>
    </x:row>
    <x:row r="1431">
      <x:c r="A1431" s="47" t="n">
        <x:v>44123</x:v>
      </x:c>
      <x:c r="B1431" s="48" t="n">
        <x:v>1.348</x:v>
      </x:c>
      <x:c r="C1431" s="22" t="str">
        <x:v>项目空间本地CSV</x:v>
      </x:c>
    </x:row>
    <x:row r="1432">
      <x:c r="A1432" s="47" t="n">
        <x:v>44120</x:v>
      </x:c>
      <x:c r="B1432" s="48" t="n">
        <x:v>1.3689</x:v>
      </x:c>
      <x:c r="C1432" s="22" t="str">
        <x:v>项目空间本地CSV</x:v>
      </x:c>
    </x:row>
    <x:row r="1433">
      <x:c r="A1433" s="47" t="n">
        <x:v>44119</x:v>
      </x:c>
      <x:c r="B1433" s="48" t="n">
        <x:v>1.3765</x:v>
      </x:c>
      <x:c r="C1433" s="22" t="str">
        <x:v>项目空间本地CSV</x:v>
      </x:c>
    </x:row>
    <x:row r="1434">
      <x:c r="A1434" s="47" t="n">
        <x:v>44118</x:v>
      </x:c>
      <x:c r="B1434" s="48" t="n">
        <x:v>1.389</x:v>
      </x:c>
      <x:c r="C1434" s="22" t="str">
        <x:v>项目空间本地CSV</x:v>
      </x:c>
    </x:row>
    <x:row r="1435">
      <x:c r="A1435" s="47" t="n">
        <x:v>44117</x:v>
      </x:c>
      <x:c r="B1435" s="48" t="n">
        <x:v>1.379</x:v>
      </x:c>
      <x:c r="C1435" s="22" t="str">
        <x:v>项目空间本地CSV</x:v>
      </x:c>
    </x:row>
    <x:row r="1436">
      <x:c r="A1436" s="47" t="n">
        <x:v>44116</x:v>
      </x:c>
      <x:c r="B1436" s="48" t="n">
        <x:v>1.3716</x:v>
      </x:c>
      <x:c r="C1436" s="22" t="str">
        <x:v>项目空间本地CSV</x:v>
      </x:c>
    </x:row>
    <x:row r="1437">
      <x:c r="A1437" s="47" t="n">
        <x:v>44113</x:v>
      </x:c>
      <x:c r="B1437" s="48" t="n">
        <x:v>1.357</x:v>
      </x:c>
      <x:c r="C1437" s="22" t="str">
        <x:v>项目空间本地CSV</x:v>
      </x:c>
    </x:row>
    <x:row r="1438">
      <x:c r="A1438" s="47" t="n">
        <x:v>44104</x:v>
      </x:c>
      <x:c r="B1438" s="48" t="n">
        <x:v>1.2929</x:v>
      </x:c>
      <x:c r="C1438" s="22" t="str">
        <x:v>项目空间本地CSV</x:v>
      </x:c>
    </x:row>
    <x:row r="1439">
      <x:c r="A1439" s="47" t="n">
        <x:v>44103</x:v>
      </x:c>
      <x:c r="B1439" s="48" t="n">
        <x:v>1.2771</x:v>
      </x:c>
      <x:c r="C1439" s="22" t="str">
        <x:v>项目空间本地CSV</x:v>
      </x:c>
    </x:row>
    <x:row r="1440">
      <x:c r="A1440" s="47" t="n">
        <x:v>44102</x:v>
      </x:c>
      <x:c r="B1440" s="48" t="n">
        <x:v>1.2721</x:v>
      </x:c>
      <x:c r="C1440" s="22" t="str">
        <x:v>项目空间本地CSV</x:v>
      </x:c>
    </x:row>
    <x:row r="1441">
      <x:c r="A1441" s="47" t="n">
        <x:v>44099</x:v>
      </x:c>
      <x:c r="B1441" s="48" t="n">
        <x:v>1.2527</x:v>
      </x:c>
      <x:c r="C1441" s="22" t="str">
        <x:v>项目空间本地CSV</x:v>
      </x:c>
    </x:row>
    <x:row r="1442">
      <x:c r="A1442" s="47" t="n">
        <x:v>44098</x:v>
      </x:c>
      <x:c r="B1442" s="48" t="n">
        <x:v>1.2385</x:v>
      </x:c>
      <x:c r="C1442" s="22" t="str">
        <x:v>项目空间本地CSV</x:v>
      </x:c>
    </x:row>
    <x:row r="1443">
      <x:c r="A1443" s="47" t="n">
        <x:v>44097</x:v>
      </x:c>
      <x:c r="B1443" s="48" t="n">
        <x:v>1.2519</x:v>
      </x:c>
      <x:c r="C1443" s="22" t="str">
        <x:v>项目空间本地CSV</x:v>
      </x:c>
    </x:row>
    <x:row r="1444">
      <x:c r="A1444" s="47" t="n">
        <x:v>44096</x:v>
      </x:c>
      <x:c r="B1444" s="48" t="n">
        <x:v>1.2661</x:v>
      </x:c>
      <x:c r="C1444" s="22" t="str">
        <x:v>项目空间本地CSV</x:v>
      </x:c>
    </x:row>
    <x:row r="1445">
      <x:c r="A1445" s="47" t="n">
        <x:v>44095</x:v>
      </x:c>
      <x:c r="B1445" s="48" t="n">
        <x:v>1.2528</x:v>
      </x:c>
      <x:c r="C1445" s="22" t="str">
        <x:v>项目空间本地CSV</x:v>
      </x:c>
    </x:row>
    <x:row r="1446">
      <x:c r="A1446" s="47" t="n">
        <x:v>44092</x:v>
      </x:c>
      <x:c r="B1446" s="48" t="n">
        <x:v>1.2548</x:v>
      </x:c>
      <x:c r="C1446" s="22" t="str">
        <x:v>项目空间本地CSV</x:v>
      </x:c>
    </x:row>
    <x:row r="1447">
      <x:c r="A1447" s="47" t="n">
        <x:v>44091</x:v>
      </x:c>
      <x:c r="B1447" s="48" t="n">
        <x:v>1.2517</x:v>
      </x:c>
      <x:c r="C1447" s="22" t="str">
        <x:v>项目空间本地CSV</x:v>
      </x:c>
    </x:row>
    <x:row r="1448">
      <x:c r="A1448" s="47" t="n">
        <x:v>44090</x:v>
      </x:c>
      <x:c r="B1448" s="48" t="n">
        <x:v>1.2697</x:v>
      </x:c>
      <x:c r="C1448" s="22" t="str">
        <x:v>项目空间本地CSV</x:v>
      </x:c>
    </x:row>
    <x:row r="1449">
      <x:c r="A1449" s="47" t="n">
        <x:v>44089</x:v>
      </x:c>
      <x:c r="B1449" s="48" t="n">
        <x:v>1.2827</x:v>
      </x:c>
      <x:c r="C1449" s="22" t="str">
        <x:v>项目空间本地CSV</x:v>
      </x:c>
    </x:row>
    <x:row r="1450">
      <x:c r="A1450" s="47" t="n">
        <x:v>44088</x:v>
      </x:c>
      <x:c r="B1450" s="48" t="n">
        <x:v>1.2757</x:v>
      </x:c>
      <x:c r="C1450" s="22" t="str">
        <x:v>项目空间本地CSV</x:v>
      </x:c>
    </x:row>
    <x:row r="1451">
      <x:c r="A1451" s="47" t="n">
        <x:v>44085</x:v>
      </x:c>
      <x:c r="B1451" s="48" t="n">
        <x:v>1.2512</x:v>
      </x:c>
      <x:c r="C1451" s="22" t="str">
        <x:v>项目空间本地CSV</x:v>
      </x:c>
    </x:row>
    <x:row r="1452">
      <x:c r="A1452" s="47" t="n">
        <x:v>44084</x:v>
      </x:c>
      <x:c r="B1452" s="48" t="n">
        <x:v>1.2379</x:v>
      </x:c>
      <x:c r="C1452" s="22" t="str">
        <x:v>项目空间本地CSV</x:v>
      </x:c>
    </x:row>
    <x:row r="1453">
      <x:c r="A1453" s="47" t="n">
        <x:v>44083</x:v>
      </x:c>
      <x:c r="B1453" s="48" t="n">
        <x:v>1.2482</x:v>
      </x:c>
      <x:c r="C1453" s="22" t="str">
        <x:v>项目空间本地CSV</x:v>
      </x:c>
    </x:row>
    <x:row r="1454">
      <x:c r="A1454" s="47" t="n">
        <x:v>44082</x:v>
      </x:c>
      <x:c r="B1454" s="48" t="n">
        <x:v>1.2377</x:v>
      </x:c>
      <x:c r="C1454" s="22" t="str">
        <x:v>项目空间本地CSV</x:v>
      </x:c>
    </x:row>
    <x:row r="1455">
      <x:c r="A1455" s="47" t="n">
        <x:v>44081</x:v>
      </x:c>
      <x:c r="B1455" s="48" t="n">
        <x:v>1.2843</x:v>
      </x:c>
      <x:c r="C1455" s="22" t="str">
        <x:v>项目空间本地CSV</x:v>
      </x:c>
    </x:row>
    <x:row r="1456">
      <x:c r="A1456" s="47" t="n">
        <x:v>44078</x:v>
      </x:c>
      <x:c r="B1456" s="48" t="n">
        <x:v>1.3066</x:v>
      </x:c>
      <x:c r="C1456" s="22" t="str">
        <x:v>项目空间本地CSV</x:v>
      </x:c>
    </x:row>
    <x:row r="1457">
      <x:c r="A1457" s="47" t="n">
        <x:v>44077</x:v>
      </x:c>
      <x:c r="B1457" s="48" t="n">
        <x:v>1.3267</x:v>
      </x:c>
      <x:c r="C1457" s="22" t="str">
        <x:v>项目空间本地CSV</x:v>
      </x:c>
    </x:row>
    <x:row r="1458">
      <x:c r="A1458" s="47" t="n">
        <x:v>44076</x:v>
      </x:c>
      <x:c r="B1458" s="48" t="n">
        <x:v>1.3909</x:v>
      </x:c>
      <x:c r="C1458" s="22" t="str">
        <x:v>项目空间本地CSV</x:v>
      </x:c>
    </x:row>
    <x:row r="1459">
      <x:c r="A1459" s="47" t="n">
        <x:v>44075</x:v>
      </x:c>
      <x:c r="B1459" s="48" t="n">
        <x:v>1.3873</x:v>
      </x:c>
      <x:c r="C1459" s="22" t="str">
        <x:v>项目空间本地CSV</x:v>
      </x:c>
    </x:row>
    <x:row r="1460">
      <x:c r="A1460" s="47" t="n">
        <x:v>44074</x:v>
      </x:c>
      <x:c r="B1460" s="48" t="n">
        <x:v>1.3535</x:v>
      </x:c>
      <x:c r="C1460" s="22" t="str">
        <x:v>项目空间本地CSV</x:v>
      </x:c>
    </x:row>
    <x:row r="1461">
      <x:c r="A1461" s="47" t="n">
        <x:v>44071</x:v>
      </x:c>
      <x:c r="B1461" s="48" t="n">
        <x:v>1.3593</x:v>
      </x:c>
      <x:c r="C1461" s="22" t="str">
        <x:v>项目空间本地CSV</x:v>
      </x:c>
    </x:row>
    <x:row r="1462">
      <x:c r="A1462" s="47" t="n">
        <x:v>44070</x:v>
      </x:c>
      <x:c r="B1462" s="48" t="n">
        <x:v>1.3542</x:v>
      </x:c>
      <x:c r="C1462" s="22" t="str">
        <x:v>项目空间本地CSV</x:v>
      </x:c>
    </x:row>
    <x:row r="1463">
      <x:c r="A1463" s="47" t="n">
        <x:v>44069</x:v>
      </x:c>
      <x:c r="B1463" s="48" t="n">
        <x:v>1.3479</x:v>
      </x:c>
      <x:c r="C1463" s="22" t="str">
        <x:v>项目空间本地CSV</x:v>
      </x:c>
    </x:row>
    <x:row r="1464">
      <x:c r="A1464" s="47" t="n">
        <x:v>44068</x:v>
      </x:c>
      <x:c r="B1464" s="48" t="n">
        <x:v>1.3432</x:v>
      </x:c>
      <x:c r="C1464" s="22" t="str">
        <x:v>项目空间本地CSV</x:v>
      </x:c>
    </x:row>
    <x:row r="1465">
      <x:c r="A1465" s="47" t="n">
        <x:v>44067</x:v>
      </x:c>
      <x:c r="B1465" s="48" t="n">
        <x:v>1.3363</x:v>
      </x:c>
      <x:c r="C1465" s="22" t="str">
        <x:v>项目空间本地CSV</x:v>
      </x:c>
    </x:row>
    <x:row r="1466">
      <x:c r="A1466" s="47" t="n">
        <x:v>44064</x:v>
      </x:c>
      <x:c r="B1466" s="48" t="n">
        <x:v>1.3055</x:v>
      </x:c>
      <x:c r="C1466" s="22" t="str">
        <x:v>项目空间本地CSV</x:v>
      </x:c>
    </x:row>
    <x:row r="1467">
      <x:c r="A1467" s="47" t="n">
        <x:v>44063</x:v>
      </x:c>
      <x:c r="B1467" s="48" t="n">
        <x:v>1.2906</x:v>
      </x:c>
      <x:c r="C1467" s="22" t="str">
        <x:v>项目空间本地CSV</x:v>
      </x:c>
    </x:row>
    <x:row r="1468">
      <x:c r="A1468" s="47" t="n">
        <x:v>44062</x:v>
      </x:c>
      <x:c r="B1468" s="48" t="n">
        <x:v>1.2782</x:v>
      </x:c>
      <x:c r="C1468" s="22" t="str">
        <x:v>项目空间本地CSV</x:v>
      </x:c>
    </x:row>
    <x:row r="1469">
      <x:c r="A1469" s="47" t="n">
        <x:v>44061</x:v>
      </x:c>
      <x:c r="B1469" s="48" t="n">
        <x:v>1.2956</x:v>
      </x:c>
      <x:c r="C1469" s="22" t="str">
        <x:v>项目空间本地CSV</x:v>
      </x:c>
    </x:row>
    <x:row r="1470">
      <x:c r="A1470" s="47" t="n">
        <x:v>44060</x:v>
      </x:c>
      <x:c r="B1470" s="48" t="n">
        <x:v>1.2858</x:v>
      </x:c>
      <x:c r="C1470" s="22" t="str">
        <x:v>项目空间本地CSV</x:v>
      </x:c>
    </x:row>
    <x:row r="1471">
      <x:c r="A1471" s="47" t="n">
        <x:v>44057</x:v>
      </x:c>
      <x:c r="B1471" s="48" t="n">
        <x:v>1.2691</x:v>
      </x:c>
      <x:c r="C1471" s="22" t="str">
        <x:v>项目空间本地CSV</x:v>
      </x:c>
    </x:row>
    <x:row r="1472">
      <x:c r="A1472" s="47" t="n">
        <x:v>44056</x:v>
      </x:c>
      <x:c r="B1472" s="48" t="n">
        <x:v>1.2606</x:v>
      </x:c>
      <x:c r="C1472" s="22" t="str">
        <x:v>项目空间本地CSV</x:v>
      </x:c>
    </x:row>
    <x:row r="1473">
      <x:c r="A1473" s="47" t="n">
        <x:v>44055</x:v>
      </x:c>
      <x:c r="B1473" s="48" t="n">
        <x:v>1.2619</x:v>
      </x:c>
      <x:c r="C1473" s="22" t="str">
        <x:v>项目空间本地CSV</x:v>
      </x:c>
    </x:row>
    <x:row r="1474">
      <x:c r="A1474" s="47" t="n">
        <x:v>44054</x:v>
      </x:c>
      <x:c r="B1474" s="48" t="n">
        <x:v>1.2723</x:v>
      </x:c>
      <x:c r="C1474" s="22" t="str">
        <x:v>项目空间本地CSV</x:v>
      </x:c>
    </x:row>
    <x:row r="1475">
      <x:c r="A1475" s="47" t="n">
        <x:v>44053</x:v>
      </x:c>
      <x:c r="B1475" s="48" t="n">
        <x:v>1.2911</x:v>
      </x:c>
      <x:c r="C1475" s="22" t="str">
        <x:v>项目空间本地CSV</x:v>
      </x:c>
    </x:row>
    <x:row r="1476">
      <x:c r="A1476" s="47" t="n">
        <x:v>44050</x:v>
      </x:c>
      <x:c r="B1476" s="48" t="n">
        <x:v>1.3071</x:v>
      </x:c>
      <x:c r="C1476" s="22" t="str">
        <x:v>项目空间本地CSV</x:v>
      </x:c>
    </x:row>
    <x:row r="1477">
      <x:c r="A1477" s="47" t="n">
        <x:v>44049</x:v>
      </x:c>
      <x:c r="B1477" s="48" t="n">
        <x:v>1.3304</x:v>
      </x:c>
      <x:c r="C1477" s="22" t="str">
        <x:v>项目空间本地CSV</x:v>
      </x:c>
    </x:row>
    <x:row r="1478">
      <x:c r="A1478" s="47" t="n">
        <x:v>44048</x:v>
      </x:c>
      <x:c r="B1478" s="48" t="n">
        <x:v>1.3365</x:v>
      </x:c>
      <x:c r="C1478" s="22" t="str">
        <x:v>项目空间本地CSV</x:v>
      </x:c>
    </x:row>
    <x:row r="1479">
      <x:c r="A1479" s="47" t="n">
        <x:v>44047</x:v>
      </x:c>
      <x:c r="B1479" s="48" t="n">
        <x:v>1.3178</x:v>
      </x:c>
      <x:c r="C1479" s="22" t="str">
        <x:v>项目空间本地CSV</x:v>
      </x:c>
    </x:row>
    <x:row r="1480">
      <x:c r="A1480" s="47" t="n">
        <x:v>44046</x:v>
      </x:c>
      <x:c r="B1480" s="48" t="n">
        <x:v>1.317</x:v>
      </x:c>
      <x:c r="C1480" s="22" t="str">
        <x:v>项目空间本地CSV</x:v>
      </x:c>
    </x:row>
    <x:row r="1481">
      <x:c r="A1481" s="47" t="n">
        <x:v>44043</x:v>
      </x:c>
      <x:c r="B1481" s="48" t="n">
        <x:v>1.3028</x:v>
      </x:c>
      <x:c r="C1481" s="22" t="str">
        <x:v>项目空间本地CSV</x:v>
      </x:c>
    </x:row>
    <x:row r="1482">
      <x:c r="A1482" s="47" t="n">
        <x:v>44042</x:v>
      </x:c>
      <x:c r="B1482" s="48" t="n">
        <x:v>1.2888</x:v>
      </x:c>
      <x:c r="C1482" s="22" t="str">
        <x:v>项目空间本地CSV</x:v>
      </x:c>
    </x:row>
    <x:row r="1483">
      <x:c r="A1483" s="47" t="n">
        <x:v>44041</x:v>
      </x:c>
      <x:c r="B1483" s="48" t="n">
        <x:v>1.2936</x:v>
      </x:c>
      <x:c r="C1483" s="22" t="str">
        <x:v>项目空间本地CSV</x:v>
      </x:c>
    </x:row>
    <x:row r="1484">
      <x:c r="A1484" s="47" t="n">
        <x:v>44040</x:v>
      </x:c>
      <x:c r="B1484" s="48" t="n">
        <x:v>1.2777</x:v>
      </x:c>
      <x:c r="C1484" s="22" t="str">
        <x:v>项目空间本地CSV</x:v>
      </x:c>
    </x:row>
    <x:row r="1485">
      <x:c r="A1485" s="47" t="n">
        <x:v>44039</x:v>
      </x:c>
      <x:c r="B1485" s="48" t="n">
        <x:v>1.2641</x:v>
      </x:c>
      <x:c r="C1485" s="22" t="str">
        <x:v>项目空间本地CSV</x:v>
      </x:c>
    </x:row>
    <x:row r="1486">
      <x:c r="A1486" s="47" t="n">
        <x:v>44036</x:v>
      </x:c>
      <x:c r="B1486" s="48" t="n">
        <x:v>1.2614</x:v>
      </x:c>
      <x:c r="C1486" s="22" t="str">
        <x:v>项目空间本地CSV</x:v>
      </x:c>
    </x:row>
    <x:row r="1487">
      <x:c r="A1487" s="47" t="n">
        <x:v>44035</x:v>
      </x:c>
      <x:c r="B1487" s="48" t="n">
        <x:v>1.3208</x:v>
      </x:c>
      <x:c r="C1487" s="22" t="str">
        <x:v>项目空间本地CSV</x:v>
      </x:c>
    </x:row>
    <x:row r="1488">
      <x:c r="A1488" s="47" t="n">
        <x:v>44034</x:v>
      </x:c>
      <x:c r="B1488" s="48" t="n">
        <x:v>1.3023</x:v>
      </x:c>
      <x:c r="C1488" s="22" t="str">
        <x:v>项目空间本地CSV</x:v>
      </x:c>
    </x:row>
    <x:row r="1489">
      <x:c r="A1489" s="47" t="n">
        <x:v>44033</x:v>
      </x:c>
      <x:c r="B1489" s="48" t="n">
        <x:v>1.3296</x:v>
      </x:c>
      <x:c r="C1489" s="22" t="str">
        <x:v>项目空间本地CSV</x:v>
      </x:c>
    </x:row>
    <x:row r="1490">
      <x:c r="A1490" s="47" t="n">
        <x:v>44032</x:v>
      </x:c>
      <x:c r="B1490" s="48" t="n">
        <x:v>1.3069</x:v>
      </x:c>
      <x:c r="C1490" s="22" t="str">
        <x:v>项目空间本地CSV</x:v>
      </x:c>
    </x:row>
    <x:row r="1491">
      <x:c r="A1491" s="47" t="n">
        <x:v>44029</x:v>
      </x:c>
      <x:c r="B1491" s="48" t="n">
        <x:v>1.2879</x:v>
      </x:c>
      <x:c r="C1491" s="22" t="str">
        <x:v>项目空间本地CSV</x:v>
      </x:c>
    </x:row>
    <x:row r="1492">
      <x:c r="A1492" s="47" t="n">
        <x:v>44028</x:v>
      </x:c>
      <x:c r="B1492" s="48" t="n">
        <x:v>1.269</x:v>
      </x:c>
      <x:c r="C1492" s="22" t="str">
        <x:v>项目空间本地CSV</x:v>
      </x:c>
    </x:row>
    <x:row r="1493">
      <x:c r="A1493" s="47" t="n">
        <x:v>44027</x:v>
      </x:c>
      <x:c r="B1493" s="48" t="n">
        <x:v>1.3318</x:v>
      </x:c>
      <x:c r="C1493" s="22" t="str">
        <x:v>项目空间本地CSV</x:v>
      </x:c>
    </x:row>
    <x:row r="1494">
      <x:c r="A1494" s="47" t="n">
        <x:v>44026</x:v>
      </x:c>
      <x:c r="B1494" s="48" t="n">
        <x:v>1.3431</x:v>
      </x:c>
      <x:c r="C1494" s="22" t="str">
        <x:v>项目空间本地CSV</x:v>
      </x:c>
    </x:row>
    <x:row r="1495">
      <x:c r="A1495" s="47" t="n">
        <x:v>44025</x:v>
      </x:c>
      <x:c r="B1495" s="48" t="n">
        <x:v>1.3621</x:v>
      </x:c>
      <x:c r="C1495" s="22" t="str">
        <x:v>项目空间本地CSV</x:v>
      </x:c>
    </x:row>
    <x:row r="1496">
      <x:c r="A1496" s="47" t="n">
        <x:v>44022</x:v>
      </x:c>
      <x:c r="B1496" s="48" t="n">
        <x:v>1.367</x:v>
      </x:c>
      <x:c r="C1496" s="22" t="str">
        <x:v>项目空间本地CSV</x:v>
      </x:c>
    </x:row>
    <x:row r="1497">
      <x:c r="A1497" s="47" t="n">
        <x:v>44021</x:v>
      </x:c>
      <x:c r="B1497" s="48" t="n">
        <x:v>1.3747</x:v>
      </x:c>
      <x:c r="C1497" s="22" t="str">
        <x:v>项目空间本地CSV</x:v>
      </x:c>
    </x:row>
    <x:row r="1498">
      <x:c r="A1498" s="47" t="n">
        <x:v>44020</x:v>
      </x:c>
      <x:c r="B1498" s="48" t="n">
        <x:v>1.3489</x:v>
      </x:c>
      <x:c r="C1498" s="22" t="str">
        <x:v>项目空间本地CSV</x:v>
      </x:c>
    </x:row>
    <x:row r="1499">
      <x:c r="A1499" s="47" t="n">
        <x:v>44019</x:v>
      </x:c>
      <x:c r="B1499" s="48" t="n">
        <x:v>1.3171</x:v>
      </x:c>
      <x:c r="C1499" s="22" t="str">
        <x:v>项目空间本地CSV</x:v>
      </x:c>
    </x:row>
    <x:row r="1500">
      <x:c r="A1500" s="47" t="n">
        <x:v>44018</x:v>
      </x:c>
      <x:c r="B1500" s="48" t="n">
        <x:v>1.3155</x:v>
      </x:c>
      <x:c r="C1500" s="22" t="str">
        <x:v>项目空间本地CSV</x:v>
      </x:c>
    </x:row>
    <x:row r="1501">
      <x:c r="A1501" s="47" t="n">
        <x:v>44014</x:v>
      </x:c>
      <x:c r="B1501" s="48" t="n">
        <x:v>1.2817</x:v>
      </x:c>
      <x:c r="C1501" s="22" t="str">
        <x:v>项目空间本地CSV</x:v>
      </x:c>
    </x:row>
    <x:row r="1502">
      <x:c r="A1502" s="47" t="n">
        <x:v>44012</x:v>
      </x:c>
      <x:c r="B1502" s="48" t="n">
        <x:v>1.2453</x:v>
      </x:c>
      <x:c r="C1502" s="22" t="str">
        <x:v>项目空间本地CSV</x:v>
      </x:c>
    </x:row>
    <x:row r="1503">
      <x:c r="A1503" s="47" t="n">
        <x:v>44011</x:v>
      </x:c>
      <x:c r="B1503" s="48" t="n">
        <x:v>1.232</x:v>
      </x:c>
      <x:c r="C1503" s="22" t="str">
        <x:v>项目空间本地CSV</x:v>
      </x:c>
    </x:row>
    <x:row r="1504">
      <x:c r="A1504" s="47" t="n">
        <x:v>44004</x:v>
      </x:c>
      <x:c r="B1504" s="48" t="n">
        <x:v>1.229</x:v>
      </x:c>
      <x:c r="C1504" s="22" t="str">
        <x:v>项目空间本地CSV</x:v>
      </x:c>
    </x:row>
    <x:row r="1505">
      <x:c r="A1505" s="47" t="n">
        <x:v>44001</x:v>
      </x:c>
      <x:c r="B1505" s="48" t="n">
        <x:v>1.2347</x:v>
      </x:c>
      <x:c r="C1505" s="22" t="str">
        <x:v>项目空间本地CSV</x:v>
      </x:c>
    </x:row>
    <x:row r="1506">
      <x:c r="A1506" s="47" t="n">
        <x:v>44000</x:v>
      </x:c>
      <x:c r="B1506" s="48" t="n">
        <x:v>1.2232</x:v>
      </x:c>
      <x:c r="C1506" s="22" t="str">
        <x:v>项目空间本地CSV</x:v>
      </x:c>
    </x:row>
    <x:row r="1507">
      <x:c r="A1507" s="47" t="n">
        <x:v>43999</x:v>
      </x:c>
      <x:c r="B1507" s="48" t="n">
        <x:v>1.2114</x:v>
      </x:c>
      <x:c r="C1507" s="22" t="str">
        <x:v>项目空间本地CSV</x:v>
      </x:c>
    </x:row>
    <x:row r="1508">
      <x:c r="A1508" s="47" t="n">
        <x:v>43998</x:v>
      </x:c>
      <x:c r="B1508" s="48" t="n">
        <x:v>1.1995</x:v>
      </x:c>
      <x:c r="C1508" s="22" t="str">
        <x:v>项目空间本地CSV</x:v>
      </x:c>
    </x:row>
    <x:row r="1509">
      <x:c r="A1509" s="47" t="n">
        <x:v>43997</x:v>
      </x:c>
      <x:c r="B1509" s="48" t="n">
        <x:v>1.1759</x:v>
      </x:c>
      <x:c r="C1509" s="22" t="str">
        <x:v>项目空间本地CSV</x:v>
      </x:c>
    </x:row>
    <x:row r="1510">
      <x:c r="A1510" s="47" t="n">
        <x:v>43994</x:v>
      </x:c>
      <x:c r="B1510" s="48" t="n">
        <x:v>1.1826</x:v>
      </x:c>
      <x:c r="C1510" s="22" t="str">
        <x:v>项目空间本地CSV</x:v>
      </x:c>
    </x:row>
    <x:row r="1511">
      <x:c r="A1511" s="47" t="n">
        <x:v>43993</x:v>
      </x:c>
      <x:c r="B1511" s="48" t="n">
        <x:v>1.1705</x:v>
      </x:c>
      <x:c r="C1511" s="22" t="str">
        <x:v>项目空间本地CSV</x:v>
      </x:c>
    </x:row>
    <x:row r="1512">
      <x:c r="A1512" s="47" t="n">
        <x:v>43992</x:v>
      </x:c>
      <x:c r="B1512" s="48" t="n">
        <x:v>1.1987</x:v>
      </x:c>
      <x:c r="C1512" s="22" t="str">
        <x:v>项目空间本地CSV</x:v>
      </x:c>
    </x:row>
    <x:row r="1513">
      <x:c r="A1513" s="47" t="n">
        <x:v>43991</x:v>
      </x:c>
      <x:c r="B1513" s="48" t="n">
        <x:v>1.18</x:v>
      </x:c>
      <x:c r="C1513" s="22" t="str">
        <x:v>项目空间本地CSV</x:v>
      </x:c>
    </x:row>
    <x:row r="1514">
      <x:c r="A1514" s="47" t="n">
        <x:v>43990</x:v>
      </x:c>
      <x:c r="B1514" s="48" t="n">
        <x:v>1.1856</x:v>
      </x:c>
      <x:c r="C1514" s="22" t="str">
        <x:v>项目空间本地CSV</x:v>
      </x:c>
    </x:row>
    <x:row r="1515">
      <x:c r="A1515" s="47" t="n">
        <x:v>43987</x:v>
      </x:c>
      <x:c r="B1515" s="48" t="n">
        <x:v>1.2002</x:v>
      </x:c>
      <x:c r="C1515" s="22" t="str">
        <x:v>项目空间本地CSV</x:v>
      </x:c>
    </x:row>
    <x:row r="1516">
      <x:c r="A1516" s="47" t="n">
        <x:v>43986</x:v>
      </x:c>
      <x:c r="B1516" s="48" t="n">
        <x:v>1.1956</x:v>
      </x:c>
      <x:c r="C1516" s="22" t="str">
        <x:v>项目空间本地CSV</x:v>
      </x:c>
    </x:row>
    <x:row r="1517">
      <x:c r="A1517" s="47" t="n">
        <x:v>43985</x:v>
      </x:c>
      <x:c r="B1517" s="48" t="n">
        <x:v>1.2021</x:v>
      </x:c>
      <x:c r="C1517" s="22" t="str">
        <x:v>项目空间本地CSV</x:v>
      </x:c>
    </x:row>
    <x:row r="1518">
      <x:c r="A1518" s="47" t="n">
        <x:v>43984</x:v>
      </x:c>
      <x:c r="B1518" s="48" t="n">
        <x:v>1.1943</x:v>
      </x:c>
      <x:c r="C1518" s="22" t="str">
        <x:v>项目空间本地CSV</x:v>
      </x:c>
    </x:row>
    <x:row r="1519">
      <x:c r="A1519" s="47" t="n">
        <x:v>43983</x:v>
      </x:c>
      <x:c r="B1519" s="48" t="n">
        <x:v>1.1918</x:v>
      </x:c>
      <x:c r="C1519" s="22" t="str">
        <x:v>项目空间本地CSV</x:v>
      </x:c>
    </x:row>
    <x:row r="1520">
      <x:c r="A1520" s="47" t="n">
        <x:v>43980</x:v>
      </x:c>
      <x:c r="B1520" s="48" t="n">
        <x:v>1.1734</x:v>
      </x:c>
      <x:c r="C1520" s="22" t="str">
        <x:v>项目空间本地CSV</x:v>
      </x:c>
    </x:row>
    <x:row r="1521">
      <x:c r="A1521" s="47" t="n">
        <x:v>43979</x:v>
      </x:c>
      <x:c r="B1521" s="48" t="n">
        <x:v>1.147</x:v>
      </x:c>
      <x:c r="C1521" s="22" t="str">
        <x:v>项目空间本地CSV</x:v>
      </x:c>
    </x:row>
    <x:row r="1522">
      <x:c r="A1522" s="47" t="n">
        <x:v>43978</x:v>
      </x:c>
      <x:c r="B1522" s="48" t="n">
        <x:v>1.1535</x:v>
      </x:c>
      <x:c r="C1522" s="22" t="str">
        <x:v>项目空间本地CSV</x:v>
      </x:c>
    </x:row>
    <x:row r="1523">
      <x:c r="A1523" s="47" t="n">
        <x:v>43977</x:v>
      </x:c>
      <x:c r="B1523" s="48" t="n">
        <x:v>1.1754</x:v>
      </x:c>
      <x:c r="C1523" s="22" t="str">
        <x:v>项目空间本地CSV</x:v>
      </x:c>
    </x:row>
    <x:row r="1524">
      <x:c r="A1524" s="47" t="n">
        <x:v>43973</x:v>
      </x:c>
      <x:c r="B1524" s="48" t="n">
        <x:v>1.1604</x:v>
      </x:c>
      <x:c r="C1524" s="22" t="str">
        <x:v>项目空间本地CSV</x:v>
      </x:c>
    </x:row>
    <x:row r="1525">
      <x:c r="A1525" s="47" t="n">
        <x:v>43972</x:v>
      </x:c>
      <x:c r="B1525" s="48" t="n">
        <x:v>1.1788</x:v>
      </x:c>
      <x:c r="C1525" s="22" t="str">
        <x:v>项目空间本地CSV</x:v>
      </x:c>
    </x:row>
    <x:row r="1526">
      <x:c r="A1526" s="47" t="n">
        <x:v>43971</x:v>
      </x:c>
      <x:c r="B1526" s="48" t="n">
        <x:v>1.201</x:v>
      </x:c>
      <x:c r="C1526" s="22" t="str">
        <x:v>项目空间本地CSV</x:v>
      </x:c>
    </x:row>
    <x:row r="1527">
      <x:c r="A1527" s="47" t="n">
        <x:v>43970</x:v>
      </x:c>
      <x:c r="B1527" s="48" t="n">
        <x:v>1.196</x:v>
      </x:c>
      <x:c r="C1527" s="22" t="str">
        <x:v>项目空间本地CSV</x:v>
      </x:c>
    </x:row>
    <x:row r="1528">
      <x:c r="A1528" s="47" t="n">
        <x:v>43969</x:v>
      </x:c>
      <x:c r="B1528" s="48" t="n">
        <x:v>1.1832</x:v>
      </x:c>
      <x:c r="C1528" s="22" t="str">
        <x:v>项目空间本地CSV</x:v>
      </x:c>
    </x:row>
    <x:row r="1529">
      <x:c r="A1529" s="47" t="n">
        <x:v>43966</x:v>
      </x:c>
      <x:c r="B1529" s="48" t="n">
        <x:v>1.1842</x:v>
      </x:c>
      <x:c r="C1529" s="22" t="str">
        <x:v>项目空间本地CSV</x:v>
      </x:c>
    </x:row>
    <x:row r="1530">
      <x:c r="A1530" s="47" t="n">
        <x:v>43965</x:v>
      </x:c>
      <x:c r="B1530" s="48" t="n">
        <x:v>1.1696</x:v>
      </x:c>
      <x:c r="C1530" s="22" t="str">
        <x:v>项目空间本地CSV</x:v>
      </x:c>
    </x:row>
    <x:row r="1531">
      <x:c r="A1531" s="47" t="n">
        <x:v>43964</x:v>
      </x:c>
      <x:c r="B1531" s="48" t="n">
        <x:v>1.1633</x:v>
      </x:c>
      <x:c r="C1531" s="22" t="str">
        <x:v>项目空间本地CSV</x:v>
      </x:c>
    </x:row>
    <x:row r="1532">
      <x:c r="A1532" s="47" t="n">
        <x:v>43963</x:v>
      </x:c>
      <x:c r="B1532" s="48" t="n">
        <x:v>1.1648</x:v>
      </x:c>
      <x:c r="C1532" s="22" t="str">
        <x:v>项目空间本地CSV</x:v>
      </x:c>
    </x:row>
    <x:row r="1533">
      <x:c r="A1533" s="47" t="n">
        <x:v>43962</x:v>
      </x:c>
      <x:c r="B1533" s="48" t="n">
        <x:v>1.1674</x:v>
      </x:c>
      <x:c r="C1533" s="22" t="str">
        <x:v>项目空间本地CSV</x:v>
      </x:c>
    </x:row>
    <x:row r="1534">
      <x:c r="A1534" s="47" t="n">
        <x:v>43959</x:v>
      </x:c>
      <x:c r="B1534" s="48" t="n">
        <x:v>1.159</x:v>
      </x:c>
      <x:c r="C1534" s="22" t="str">
        <x:v>项目空间本地CSV</x:v>
      </x:c>
    </x:row>
    <x:row r="1535">
      <x:c r="A1535" s="47" t="n">
        <x:v>43958</x:v>
      </x:c>
      <x:c r="B1535" s="48" t="n">
        <x:v>1.1477</x:v>
      </x:c>
      <x:c r="C1535" s="22" t="str">
        <x:v>项目空间本地CSV</x:v>
      </x:c>
    </x:row>
    <x:row r="1536">
      <x:c r="A1536" s="47" t="n">
        <x:v>43957</x:v>
      </x:c>
      <x:c r="B1536" s="48" t="n">
        <x:v>1.1367</x:v>
      </x:c>
      <x:c r="C1536" s="22" t="str">
        <x:v>项目空间本地CSV</x:v>
      </x:c>
    </x:row>
    <x:row r="1537">
      <x:c r="A1537" s="47" t="n">
        <x:v>43948</x:v>
      </x:c>
      <x:c r="B1537" s="48" t="n">
        <x:v>1.1108</x:v>
      </x:c>
      <x:c r="C1537" s="22" t="str">
        <x:v>项目空间本地CSV</x:v>
      </x:c>
    </x:row>
    <x:row r="1538">
      <x:c r="A1538" s="47" t="n">
        <x:v>43945</x:v>
      </x:c>
      <x:c r="B1538" s="48" t="n">
        <x:v>1.1029</x:v>
      </x:c>
      <x:c r="C1538" s="22" t="str">
        <x:v>项目空间本地CSV</x:v>
      </x:c>
    </x:row>
    <x:row r="1539">
      <x:c r="A1539" s="47" t="n">
        <x:v>43944</x:v>
      </x:c>
      <x:c r="B1539" s="48" t="n">
        <x:v>1.1037</x:v>
      </x:c>
      <x:c r="C1539" s="22" t="str">
        <x:v>项目空间本地CSV</x:v>
      </x:c>
    </x:row>
    <x:row r="1540">
      <x:c r="A1540" s="47" t="n">
        <x:v>43943</x:v>
      </x:c>
      <x:c r="B1540" s="48" t="n">
        <x:v>1.1079</x:v>
      </x:c>
      <x:c r="C1540" s="22" t="str">
        <x:v>项目空间本地CSV</x:v>
      </x:c>
    </x:row>
    <x:row r="1541">
      <x:c r="A1541" s="47" t="n">
        <x:v>43942</x:v>
      </x:c>
      <x:c r="B1541" s="48" t="n">
        <x:v>1.0835</x:v>
      </x:c>
      <x:c r="C1541" s="22" t="str">
        <x:v>项目空间本地CSV</x:v>
      </x:c>
    </x:row>
    <x:row r="1542">
      <x:c r="A1542" s="47" t="n">
        <x:v>43941</x:v>
      </x:c>
      <x:c r="B1542" s="48" t="n">
        <x:v>1.1108</x:v>
      </x:c>
      <x:c r="C1542" s="22" t="str">
        <x:v>项目空间本地CSV</x:v>
      </x:c>
    </x:row>
    <x:row r="1543">
      <x:c r="A1543" s="47" t="n">
        <x:v>43938</x:v>
      </x:c>
      <x:c r="B1543" s="48" t="n">
        <x:v>1.1076</x:v>
      </x:c>
      <x:c r="C1543" s="22" t="str">
        <x:v>项目空间本地CSV</x:v>
      </x:c>
    </x:row>
    <x:row r="1544">
      <x:c r="A1544" s="47" t="n">
        <x:v>43937</x:v>
      </x:c>
      <x:c r="B1544" s="48" t="n">
        <x:v>1.1004</x:v>
      </x:c>
      <x:c r="C1544" s="22" t="str">
        <x:v>项目空间本地CSV</x:v>
      </x:c>
    </x:row>
    <x:row r="1545">
      <x:c r="A1545" s="47" t="n">
        <x:v>43936</x:v>
      </x:c>
      <x:c r="B1545" s="48" t="n">
        <x:v>1.0786</x:v>
      </x:c>
      <x:c r="C1545" s="22" t="str">
        <x:v>项目空间本地CSV</x:v>
      </x:c>
    </x:row>
    <x:row r="1546">
      <x:c r="A1546" s="47" t="n">
        <x:v>43935</x:v>
      </x:c>
      <x:c r="B1546" s="48" t="n">
        <x:v>1.0836</x:v>
      </x:c>
      <x:c r="C1546" s="22" t="str">
        <x:v>项目空间本地CSV</x:v>
      </x:c>
    </x:row>
    <x:row r="1547">
      <x:c r="A1547" s="47" t="n">
        <x:v>43930</x:v>
      </x:c>
      <x:c r="B1547" s="48" t="n">
        <x:v>1.0566</x:v>
      </x:c>
      <x:c r="C1547" s="22" t="str">
        <x:v>项目空间本地CSV</x:v>
      </x:c>
    </x:row>
    <x:row r="1548">
      <x:c r="A1548" s="47" t="n">
        <x:v>43929</x:v>
      </x:c>
      <x:c r="B1548" s="48" t="n">
        <x:v>1.0563</x:v>
      </x:c>
      <x:c r="C1548" s="22" t="str">
        <x:v>项目空间本地CSV</x:v>
      </x:c>
    </x:row>
    <x:row r="1549">
      <x:c r="A1549" s="47" t="n">
        <x:v>43928</x:v>
      </x:c>
      <x:c r="B1549" s="48" t="n">
        <x:v>1.0509</x:v>
      </x:c>
      <x:c r="C1549" s="22" t="str">
        <x:v>项目空间本地CSV</x:v>
      </x:c>
    </x:row>
    <x:row r="1550">
      <x:c r="A1550" s="47" t="n">
        <x:v>43922</x:v>
      </x:c>
      <x:c r="B1550" s="48" t="n">
        <x:v>0.9867</x:v>
      </x:c>
      <x:c r="C1550" s="22" t="str">
        <x:v>项目空间本地CSV</x:v>
      </x:c>
    </x:row>
    <x:row r="1551">
      <x:c r="A1551" s="47" t="n">
        <x:v>43921</x:v>
      </x:c>
      <x:c r="B1551" s="48" t="n">
        <x:v>1.0066</x:v>
      </x:c>
      <x:c r="C1551" s="22" t="str">
        <x:v>项目空间本地CSV</x:v>
      </x:c>
    </x:row>
    <x:row r="1552">
      <x:c r="A1552" s="47" t="n">
        <x:v>43920</x:v>
      </x:c>
      <x:c r="B1552" s="48" t="n">
        <x:v>1.0061</x:v>
      </x:c>
      <x:c r="C1552" s="22" t="str">
        <x:v>项目空间本地CSV</x:v>
      </x:c>
    </x:row>
    <x:row r="1553">
      <x:c r="A1553" s="47" t="n">
        <x:v>43917</x:v>
      </x:c>
      <x:c r="B1553" s="48" t="n">
        <x:v>0.9965</x:v>
      </x:c>
      <x:c r="C1553" s="22" t="str">
        <x:v>项目空间本地CSV</x:v>
      </x:c>
    </x:row>
    <x:row r="1554">
      <x:c r="A1554" s="47" t="n">
        <x:v>43916</x:v>
      </x:c>
      <x:c r="B1554" s="48" t="n">
        <x:v>1.024</x:v>
      </x:c>
      <x:c r="C1554" s="22" t="str">
        <x:v>项目空间本地CSV</x:v>
      </x:c>
    </x:row>
    <x:row r="1555">
      <x:c r="A1555" s="47" t="n">
        <x:v>43915</x:v>
      </x:c>
      <x:c r="B1555" s="48" t="n">
        <x:v>1.0027</x:v>
      </x:c>
      <x:c r="C1555" s="22" t="str">
        <x:v>项目空间本地CSV</x:v>
      </x:c>
    </x:row>
    <x:row r="1556">
      <x:c r="A1556" s="47" t="n">
        <x:v>43914</x:v>
      </x:c>
      <x:c r="B1556" s="48" t="n">
        <x:v>0.9993</x:v>
      </x:c>
      <x:c r="C1556" s="22" t="str">
        <x:v>项目空间本地CSV</x:v>
      </x:c>
    </x:row>
    <x:row r="1557">
      <x:c r="A1557" s="47" t="n">
        <x:v>43913</x:v>
      </x:c>
      <x:c r="B1557" s="48" t="n">
        <x:v>0.9545</x:v>
      </x:c>
      <x:c r="C1557" s="22" t="str">
        <x:v>项目空间本地CSV</x:v>
      </x:c>
    </x:row>
    <x:row r="1558">
      <x:c r="A1558" s="47" t="n">
        <x:v>43910</x:v>
      </x:c>
      <x:c r="B1558" s="48" t="n">
        <x:v>0.9719</x:v>
      </x:c>
      <x:c r="C1558" s="22" t="str">
        <x:v>项目空间本地CSV</x:v>
      </x:c>
    </x:row>
    <x:row r="1559">
      <x:c r="A1559" s="47" t="n">
        <x:v>43909</x:v>
      </x:c>
      <x:c r="B1559" s="48" t="n">
        <x:v>0.9787</x:v>
      </x:c>
      <x:c r="C1559" s="22" t="str">
        <x:v>项目空间本地CSV</x:v>
      </x:c>
    </x:row>
    <x:row r="1560">
      <x:c r="A1560" s="47" t="n">
        <x:v>43908</x:v>
      </x:c>
      <x:c r="B1560" s="48" t="n">
        <x:v>0.9722</x:v>
      </x:c>
      <x:c r="C1560" s="22" t="str">
        <x:v>项目空间本地CSV</x:v>
      </x:c>
    </x:row>
    <x:row r="1561">
      <x:c r="A1561" s="47" t="n">
        <x:v>43907</x:v>
      </x:c>
      <x:c r="B1561" s="48" t="n">
        <x:v>1.0014</x:v>
      </x:c>
      <x:c r="C1561" s="22" t="str">
        <x:v>项目空间本地CSV</x:v>
      </x:c>
    </x:row>
    <x:row r="1562">
      <x:c r="A1562" s="47" t="n">
        <x:v>43906</x:v>
      </x:c>
      <x:c r="B1562" s="48" t="n">
        <x:v>0.9825</x:v>
      </x:c>
      <x:c r="C1562" s="22" t="str">
        <x:v>项目空间本地CSV</x:v>
      </x:c>
    </x:row>
    <x:row r="1563">
      <x:c r="A1563" s="47" t="n">
        <x:v>43903</x:v>
      </x:c>
      <x:c r="B1563" s="48" t="n">
        <x:v>1.0749</x:v>
      </x:c>
      <x:c r="C1563" s="22" t="str">
        <x:v>项目空间本地CSV</x:v>
      </x:c>
    </x:row>
    <x:row r="1564">
      <x:c r="A1564" s="47" t="n">
        <x:v>43902</x:v>
      </x:c>
      <x:c r="B1564" s="48" t="n">
        <x:v>1.0331</x:v>
      </x:c>
      <x:c r="C1564" s="22" t="str">
        <x:v>项目空间本地CSV</x:v>
      </x:c>
    </x:row>
    <x:row r="1565">
      <x:c r="A1565" s="47" t="n">
        <x:v>43901</x:v>
      </x:c>
      <x:c r="B1565" s="48" t="n">
        <x:v>1.0915</x:v>
      </x:c>
      <x:c r="C1565" s="22" t="str">
        <x:v>项目空间本地CSV</x:v>
      </x:c>
    </x:row>
    <x:row r="1566">
      <x:c r="A1566" s="47" t="n">
        <x:v>43900</x:v>
      </x:c>
      <x:c r="B1566" s="48" t="n">
        <x:v>1.1131</x:v>
      </x:c>
      <x:c r="C1566" s="22" t="str">
        <x:v>项目空间本地CSV</x:v>
      </x:c>
    </x:row>
    <x:row r="1567">
      <x:c r="A1567" s="47" t="n">
        <x:v>43899</x:v>
      </x:c>
      <x:c r="B1567" s="48" t="n">
        <x:v>1.0707</x:v>
      </x:c>
      <x:c r="C1567" s="22" t="str">
        <x:v>项目空间本地CSV</x:v>
      </x:c>
    </x:row>
    <x:row r="1568">
      <x:c r="A1568" s="47" t="n">
        <x:v>43896</x:v>
      </x:c>
      <x:c r="B1568" s="48" t="n">
        <x:v>1.1347</x:v>
      </x:c>
      <x:c r="C1568" s="22" t="str">
        <x:v>项目空间本地CSV</x:v>
      </x:c>
    </x:row>
    <x:row r="1569">
      <x:c r="A1569" s="47" t="n">
        <x:v>43895</x:v>
      </x:c>
      <x:c r="B1569" s="48" t="n">
        <x:v>1.1498</x:v>
      </x:c>
      <x:c r="C1569" s="22" t="str">
        <x:v>项目空间本地CSV</x:v>
      </x:c>
    </x:row>
    <x:row r="1570">
      <x:c r="A1570" s="47" t="n">
        <x:v>43894</x:v>
      </x:c>
      <x:c r="B1570" s="48" t="n">
        <x:v>1.1629</x:v>
      </x:c>
      <x:c r="C1570" s="22" t="str">
        <x:v>项目空间本地CSV</x:v>
      </x:c>
    </x:row>
    <x:row r="1571">
      <x:c r="A1571" s="47" t="n">
        <x:v>43893</x:v>
      </x:c>
      <x:c r="B1571" s="48" t="n">
        <x:v>1.1607</x:v>
      </x:c>
      <x:c r="C1571" s="22" t="str">
        <x:v>项目空间本地CSV</x:v>
      </x:c>
    </x:row>
    <x:row r="1572">
      <x:c r="A1572" s="47" t="n">
        <x:v>43892</x:v>
      </x:c>
      <x:c r="B1572" s="48" t="n">
        <x:v>1.1734</x:v>
      </x:c>
      <x:c r="C1572" s="22" t="str">
        <x:v>项目空间本地CSV</x:v>
      </x:c>
    </x:row>
    <x:row r="1573">
      <x:c r="A1573" s="47" t="n">
        <x:v>43888</x:v>
      </x:c>
      <x:c r="B1573" s="48" t="n">
        <x:v>1.1591</x:v>
      </x:c>
      <x:c r="C1573" s="22" t="str">
        <x:v>项目空间本地CSV</x:v>
      </x:c>
    </x:row>
    <x:row r="1574">
      <x:c r="A1574" s="47" t="n">
        <x:v>43887</x:v>
      </x:c>
      <x:c r="B1574" s="48" t="n">
        <x:v>1.1909</x:v>
      </x:c>
      <x:c r="C1574" s="22" t="str">
        <x:v>项目空间本地CSV</x:v>
      </x:c>
    </x:row>
    <x:row r="1575">
      <x:c r="A1575" s="47" t="n">
        <x:v>43886</x:v>
      </x:c>
      <x:c r="B1575" s="48" t="n">
        <x:v>1.2269</x:v>
      </x:c>
      <x:c r="C1575" s="22" t="str">
        <x:v>项目空间本地CSV</x:v>
      </x:c>
    </x:row>
    <x:row r="1576">
      <x:c r="A1576" s="47" t="n">
        <x:v>43885</x:v>
      </x:c>
      <x:c r="B1576" s="48" t="n">
        <x:v>1.2295</x:v>
      </x:c>
      <x:c r="C1576" s="22" t="str">
        <x:v>项目空间本地CSV</x:v>
      </x:c>
    </x:row>
    <x:row r="1577">
      <x:c r="A1577" s="47" t="n">
        <x:v>43882</x:v>
      </x:c>
      <x:c r="B1577" s="48" t="n">
        <x:v>1.2351</x:v>
      </x:c>
      <x:c r="C1577" s="22" t="str">
        <x:v>项目空间本地CSV</x:v>
      </x:c>
    </x:row>
    <x:row r="1578">
      <x:c r="A1578" s="47" t="n">
        <x:v>43881</x:v>
      </x:c>
      <x:c r="B1578" s="48" t="n">
        <x:v>1.2383</x:v>
      </x:c>
      <x:c r="C1578" s="22" t="str">
        <x:v>项目空间本地CSV</x:v>
      </x:c>
    </x:row>
    <x:row r="1579">
      <x:c r="A1579" s="47" t="n">
        <x:v>43880</x:v>
      </x:c>
      <x:c r="B1579" s="48" t="n">
        <x:v>1.2385</x:v>
      </x:c>
      <x:c r="C1579" s="22" t="str">
        <x:v>项目空间本地CSV</x:v>
      </x:c>
    </x:row>
    <x:row r="1580">
      <x:c r="A1580" s="47" t="n">
        <x:v>43879</x:v>
      </x:c>
      <x:c r="B1580" s="48" t="n">
        <x:v>1.2314</x:v>
      </x:c>
      <x:c r="C1580" s="22" t="str">
        <x:v>项目空间本地CSV</x:v>
      </x:c>
    </x:row>
    <x:row r="1581">
      <x:c r="A1581" s="47" t="n">
        <x:v>43875</x:v>
      </x:c>
      <x:c r="B1581" s="48" t="n">
        <x:v>1.2192</x:v>
      </x:c>
      <x:c r="C1581" s="22" t="str">
        <x:v>项目空间本地CSV</x:v>
      </x:c>
    </x:row>
    <x:row r="1582">
      <x:c r="A1582" s="47" t="n">
        <x:v>43874</x:v>
      </x:c>
      <x:c r="B1582" s="48" t="n">
        <x:v>1.2138</x:v>
      </x:c>
      <x:c r="C1582" s="22" t="str">
        <x:v>项目空间本地CSV</x:v>
      </x:c>
    </x:row>
    <x:row r="1583">
      <x:c r="A1583" s="47" t="n">
        <x:v>43873</x:v>
      </x:c>
      <x:c r="B1583" s="48" t="n">
        <x:v>1.2181</x:v>
      </x:c>
      <x:c r="C1583" s="22" t="str">
        <x:v>项目空间本地CSV</x:v>
      </x:c>
    </x:row>
    <x:row r="1584">
      <x:c r="A1584" s="47" t="n">
        <x:v>43872</x:v>
      </x:c>
      <x:c r="B1584" s="48" t="n">
        <x:v>1.2017</x:v>
      </x:c>
      <x:c r="C1584" s="22" t="str">
        <x:v>项目空间本地CSV</x:v>
      </x:c>
    </x:row>
    <x:row r="1585">
      <x:c r="A1585" s="47" t="n">
        <x:v>43871</x:v>
      </x:c>
      <x:c r="B1585" s="48" t="n">
        <x:v>1.1968</x:v>
      </x:c>
      <x:c r="C1585" s="22" t="str">
        <x:v>项目空间本地CSV</x:v>
      </x:c>
    </x:row>
    <x:row r="1586">
      <x:c r="A1586" s="47" t="n">
        <x:v>43868</x:v>
      </x:c>
      <x:c r="B1586" s="48" t="n">
        <x:v>1.195</x:v>
      </x:c>
      <x:c r="C1586" s="22" t="str">
        <x:v>项目空间本地CSV</x:v>
      </x:c>
    </x:row>
    <x:row r="1587">
      <x:c r="A1587" s="47" t="n">
        <x:v>43867</x:v>
      </x:c>
      <x:c r="B1587" s="48" t="n">
        <x:v>1.2013</x:v>
      </x:c>
      <x:c r="C1587" s="22" t="str">
        <x:v>项目空间本地CSV</x:v>
      </x:c>
    </x:row>
    <x:row r="1588">
      <x:c r="A1588" s="47" t="n">
        <x:v>43866</x:v>
      </x:c>
      <x:c r="B1588" s="48" t="n">
        <x:v>1.1788</x:v>
      </x:c>
      <x:c r="C1588" s="22" t="str">
        <x:v>项目空间本地CSV</x:v>
      </x:c>
    </x:row>
    <x:row r="1589">
      <x:c r="A1589" s="47" t="n">
        <x:v>43865</x:v>
      </x:c>
      <x:c r="B1589" s="48" t="n">
        <x:v>1.1775</x:v>
      </x:c>
      <x:c r="C1589" s="22" t="str">
        <x:v>项目空间本地CSV</x:v>
      </x:c>
    </x:row>
    <x:row r="1590">
      <x:c r="A1590" s="47" t="n">
        <x:v>43864</x:v>
      </x:c>
      <x:c r="B1590" s="48" t="n">
        <x:v>1.1292</x:v>
      </x:c>
      <x:c r="C1590" s="22" t="str">
        <x:v>项目空间本地CSV</x:v>
      </x:c>
    </x:row>
    <x:row r="1591">
      <x:c r="A1591" s="47" t="n">
        <x:v>43847</x:v>
      </x:c>
      <x:c r="B1591" s="48" t="n">
        <x:v>1.1872</x:v>
      </x:c>
      <x:c r="C1591" s="22" t="str">
        <x:v>项目空间本地CSV</x:v>
      </x:c>
    </x:row>
    <x:row r="1592">
      <x:c r="A1592" s="47" t="n">
        <x:v>43846</x:v>
      </x:c>
      <x:c r="B1592" s="48" t="n">
        <x:v>1.1862</x:v>
      </x:c>
      <x:c r="C1592" s="22" t="str">
        <x:v>项目空间本地CSV</x:v>
      </x:c>
    </x:row>
    <x:row r="1593">
      <x:c r="A1593" s="47" t="n">
        <x:v>43845</x:v>
      </x:c>
      <x:c r="B1593" s="48" t="n">
        <x:v>1.1824</x:v>
      </x:c>
      <x:c r="C1593" s="22" t="str">
        <x:v>项目空间本地CSV</x:v>
      </x:c>
    </x:row>
    <x:row r="1594">
      <x:c r="A1594" s="47" t="n">
        <x:v>43844</x:v>
      </x:c>
      <x:c r="B1594" s="48" t="n">
        <x:v>1.188</x:v>
      </x:c>
      <x:c r="C1594" s="22" t="str">
        <x:v>项目空间本地CSV</x:v>
      </x:c>
    </x:row>
    <x:row r="1595">
      <x:c r="A1595" s="47" t="n">
        <x:v>43843</x:v>
      </x:c>
      <x:c r="B1595" s="48" t="n">
        <x:v>1.1881</x:v>
      </x:c>
      <x:c r="C1595" s="22" t="str">
        <x:v>项目空间本地CSV</x:v>
      </x:c>
    </x:row>
    <x:row r="1596">
      <x:c r="A1596" s="47" t="n">
        <x:v>43840</x:v>
      </x:c>
      <x:c r="B1596" s="48" t="n">
        <x:v>1.173</x:v>
      </x:c>
      <x:c r="C1596" s="22" t="str">
        <x:v>项目空间本地CSV</x:v>
      </x:c>
    </x:row>
    <x:row r="1597">
      <x:c r="A1597" s="47" t="n">
        <x:v>43839</x:v>
      </x:c>
      <x:c r="B1597" s="48" t="n">
        <x:v>1.1718</x:v>
      </x:c>
      <x:c r="C1597" s="22" t="str">
        <x:v>项目空间本地CSV</x:v>
      </x:c>
    </x:row>
    <x:row r="1598">
      <x:c r="A1598" s="47" t="n">
        <x:v>43838</x:v>
      </x:c>
      <x:c r="B1598" s="48" t="n">
        <x:v>1.1526</x:v>
      </x:c>
      <x:c r="C1598" s="22" t="str">
        <x:v>项目空间本地CSV</x:v>
      </x:c>
    </x:row>
    <x:row r="1599">
      <x:c r="A1599" s="47" t="n">
        <x:v>43837</x:v>
      </x:c>
      <x:c r="B1599" s="48" t="n">
        <x:v>1.1638</x:v>
      </x:c>
      <x:c r="C1599" s="22" t="str">
        <x:v>项目空间本地CSV</x:v>
      </x:c>
    </x:row>
    <x:row r="1600">
      <x:c r="A1600" s="47" t="n">
        <x:v>43836</x:v>
      </x:c>
      <x:c r="B1600" s="48" t="n">
        <x:v>1.1757</x:v>
      </x:c>
      <x:c r="C1600" s="22" t="str">
        <x:v>项目空间本地CSV</x:v>
      </x:c>
    </x:row>
    <x:row r="1601">
      <x:c r="A1601" s="47" t="n">
        <x:v>43833</x:v>
      </x:c>
      <x:c r="B1601" s="48" t="n">
        <x:v>1.1813</x:v>
      </x:c>
      <x:c r="C1601" s="22" t="str">
        <x:v>项目空间本地CSV</x:v>
      </x:c>
    </x:row>
    <x:row r="1602">
      <x:c r="A1602" s="47" t="n">
        <x:v>43832</x:v>
      </x:c>
      <x:c r="B1602" s="48" t="n">
        <x:v>1.1925</x:v>
      </x:c>
      <x:c r="C1602" s="22" t="str">
        <x:v>项目空间本地CSV</x:v>
      </x:c>
    </x:row>
    <x:row r="1603">
      <x:c r="A1603" s="47" t="n">
        <x:v>43830</x:v>
      </x:c>
      <x:c r="B1603" s="48" t="n">
        <x:v>1.1794</x:v>
      </x:c>
      <x:c r="C1603" s="22" t="str">
        <x:v>项目空间本地CSV</x:v>
      </x:c>
    </x:row>
    <x:row r="1604">
      <x:c r="A1604" s="47" t="n">
        <x:v>43829</x:v>
      </x:c>
      <x:c r="B1604" s="48" t="n">
        <x:v>1.1757</x:v>
      </x:c>
      <x:c r="C1604" s="22" t="str">
        <x:v>项目空间本地CSV</x:v>
      </x:c>
    </x:row>
    <x:row r="1605">
      <x:c r="A1605" s="47" t="n">
        <x:v>43826</x:v>
      </x:c>
      <x:c r="B1605" s="48" t="n">
        <x:v>1.1766</x:v>
      </x:c>
      <x:c r="C1605" s="22" t="str">
        <x:v>项目空间本地CSV</x:v>
      </x:c>
    </x:row>
    <x:row r="1606">
      <x:c r="A1606" s="47" t="n">
        <x:v>43823</x:v>
      </x:c>
      <x:c r="B1606" s="48" t="n">
        <x:v>1.1798</x:v>
      </x:c>
      <x:c r="C1606" s="22" t="str">
        <x:v>项目空间本地CSV</x:v>
      </x:c>
    </x:row>
    <x:row r="1607">
      <x:c r="A1607" s="47" t="n">
        <x:v>43822</x:v>
      </x:c>
      <x:c r="B1607" s="48" t="n">
        <x:v>1.1754</x:v>
      </x:c>
      <x:c r="C1607" s="22" t="str">
        <x:v>项目空间本地CSV</x:v>
      </x:c>
    </x:row>
    <x:row r="1608">
      <x:c r="A1608" s="47" t="n">
        <x:v>43819</x:v>
      </x:c>
      <x:c r="B1608" s="48" t="n">
        <x:v>1.1811</x:v>
      </x:c>
      <x:c r="C1608" s="22" t="str">
        <x:v>项目空间本地CSV</x:v>
      </x:c>
    </x:row>
    <x:row r="1609">
      <x:c r="A1609" s="47" t="n">
        <x:v>43818</x:v>
      </x:c>
      <x:c r="B1609" s="48" t="n">
        <x:v>1.1894</x:v>
      </x:c>
      <x:c r="C1609" s="22" t="str">
        <x:v>项目空间本地CSV</x:v>
      </x:c>
    </x:row>
    <x:row r="1610">
      <x:c r="A1610" s="47" t="n">
        <x:v>43817</x:v>
      </x:c>
      <x:c r="B1610" s="48" t="n">
        <x:v>1.1989</x:v>
      </x:c>
      <x:c r="C1610" s="22" t="str">
        <x:v>项目空间本地CSV</x:v>
      </x:c>
    </x:row>
    <x:row r="1611">
      <x:c r="A1611" s="47" t="n">
        <x:v>43816</x:v>
      </x:c>
      <x:c r="B1611" s="48" t="n">
        <x:v>1.2141</x:v>
      </x:c>
      <x:c r="C1611" s="22" t="str">
        <x:v>项目空间本地CSV</x:v>
      </x:c>
    </x:row>
    <x:row r="1612">
      <x:c r="A1612" s="47" t="n">
        <x:v>43815</x:v>
      </x:c>
      <x:c r="B1612" s="48" t="n">
        <x:v>1.203</x:v>
      </x:c>
      <x:c r="C1612" s="22" t="str">
        <x:v>项目空间本地CSV</x:v>
      </x:c>
    </x:row>
    <x:row r="1613">
      <x:c r="A1613" s="47" t="n">
        <x:v>43812</x:v>
      </x:c>
      <x:c r="B1613" s="48" t="n">
        <x:v>1.179</x:v>
      </x:c>
      <x:c r="C1613" s="22" t="str">
        <x:v>项目空间本地CSV</x:v>
      </x:c>
    </x:row>
    <x:row r="1614">
      <x:c r="A1614" s="47" t="n">
        <x:v>43811</x:v>
      </x:c>
      <x:c r="B1614" s="48" t="n">
        <x:v>1.1709</x:v>
      </x:c>
      <x:c r="C1614" s="22" t="str">
        <x:v>项目空间本地CSV</x:v>
      </x:c>
    </x:row>
    <x:row r="1615">
      <x:c r="A1615" s="47" t="n">
        <x:v>43810</x:v>
      </x:c>
      <x:c r="B1615" s="48" t="n">
        <x:v>1.1578</x:v>
      </x:c>
      <x:c r="C1615" s="22" t="str">
        <x:v>项目空间本地CSV</x:v>
      </x:c>
    </x:row>
    <x:row r="1616">
      <x:c r="A1616" s="47" t="n">
        <x:v>43809</x:v>
      </x:c>
      <x:c r="B1616" s="48" t="n">
        <x:v>1.1573</x:v>
      </x:c>
      <x:c r="C1616" s="22" t="str">
        <x:v>项目空间本地CSV</x:v>
      </x:c>
    </x:row>
    <x:row r="1617">
      <x:c r="A1617" s="47" t="n">
        <x:v>43808</x:v>
      </x:c>
      <x:c r="B1617" s="48" t="n">
        <x:v>1.1431</x:v>
      </x:c>
      <x:c r="C1617" s="22" t="str">
        <x:v>项目空间本地CSV</x:v>
      </x:c>
    </x:row>
    <x:row r="1618">
      <x:c r="A1618" s="47" t="n">
        <x:v>43805</x:v>
      </x:c>
      <x:c r="B1618" s="48" t="n">
        <x:v>1.1498</x:v>
      </x:c>
      <x:c r="C1618" s="22" t="str">
        <x:v>项目空间本地CSV</x:v>
      </x:c>
    </x:row>
    <x:row r="1619">
      <x:c r="A1619" s="47" t="n">
        <x:v>43804</x:v>
      </x:c>
      <x:c r="B1619" s="48" t="n">
        <x:v>1.1366</x:v>
      </x:c>
      <x:c r="C1619" s="22" t="str">
        <x:v>项目空间本地CSV</x:v>
      </x:c>
    </x:row>
    <x:row r="1620">
      <x:c r="A1620" s="47" t="n">
        <x:v>43803</x:v>
      </x:c>
      <x:c r="B1620" s="48" t="n">
        <x:v>1.13</x:v>
      </x:c>
      <x:c r="C1620" s="22" t="str">
        <x:v>项目空间本地CSV</x:v>
      </x:c>
    </x:row>
    <x:row r="1621">
      <x:c r="A1621" s="47" t="n">
        <x:v>43802</x:v>
      </x:c>
      <x:c r="B1621" s="48" t="n">
        <x:v>1.1362</x:v>
      </x:c>
      <x:c r="C1621" s="22" t="str">
        <x:v>项目空间本地CSV</x:v>
      </x:c>
    </x:row>
    <x:row r="1622">
      <x:c r="A1622" s="47" t="n">
        <x:v>43801</x:v>
      </x:c>
      <x:c r="B1622" s="48" t="n">
        <x:v>1.1238</x:v>
      </x:c>
      <x:c r="C1622" s="22" t="str">
        <x:v>项目空间本地CSV</x:v>
      </x:c>
    </x:row>
    <x:row r="1623">
      <x:c r="A1623" s="47" t="n">
        <x:v>43798</x:v>
      </x:c>
      <x:c r="B1623" s="48" t="n">
        <x:v>1.1256</x:v>
      </x:c>
      <x:c r="C1623" s="22" t="str">
        <x:v>项目空间本地CSV</x:v>
      </x:c>
    </x:row>
    <x:row r="1624">
      <x:c r="A1624" s="47" t="n">
        <x:v>43796</x:v>
      </x:c>
      <x:c r="B1624" s="48" t="n">
        <x:v>1.1443</x:v>
      </x:c>
      <x:c r="C1624" s="22" t="str">
        <x:v>项目空间本地CSV</x:v>
      </x:c>
    </x:row>
    <x:row r="1625">
      <x:c r="A1625" s="47" t="n">
        <x:v>43795</x:v>
      </x:c>
      <x:c r="B1625" s="48" t="n">
        <x:v>1.1384</x:v>
      </x:c>
      <x:c r="C1625" s="22" t="str">
        <x:v>项目空间本地CSV</x:v>
      </x:c>
    </x:row>
    <x:row r="1626">
      <x:c r="A1626" s="47" t="n">
        <x:v>43794</x:v>
      </x:c>
      <x:c r="B1626" s="48" t="n">
        <x:v>1.1319</x:v>
      </x:c>
      <x:c r="C1626" s="22" t="str">
        <x:v>项目空间本地CSV</x:v>
      </x:c>
    </x:row>
    <x:row r="1627">
      <x:c r="A1627" s="47" t="n">
        <x:v>43791</x:v>
      </x:c>
      <x:c r="B1627" s="48" t="n">
        <x:v>1.1281</x:v>
      </x:c>
      <x:c r="C1627" s="22" t="str">
        <x:v>项目空间本地CSV</x:v>
      </x:c>
    </x:row>
    <x:row r="1628">
      <x:c r="A1628" s="47" t="n">
        <x:v>43790</x:v>
      </x:c>
      <x:c r="B1628" s="48" t="n">
        <x:v>1.1363</x:v>
      </x:c>
      <x:c r="C1628" s="22" t="str">
        <x:v>项目空间本地CSV</x:v>
      </x:c>
    </x:row>
    <x:row r="1629">
      <x:c r="A1629" s="47" t="n">
        <x:v>43789</x:v>
      </x:c>
      <x:c r="B1629" s="48" t="n">
        <x:v>1.1493</x:v>
      </x:c>
      <x:c r="C1629" s="22" t="str">
        <x:v>项目空间本地CSV</x:v>
      </x:c>
    </x:row>
    <x:row r="1630">
      <x:c r="A1630" s="47" t="n">
        <x:v>43788</x:v>
      </x:c>
      <x:c r="B1630" s="48" t="n">
        <x:v>1.1652</x:v>
      </x:c>
      <x:c r="C1630" s="22" t="str">
        <x:v>项目空间本地CSV</x:v>
      </x:c>
    </x:row>
    <x:row r="1631">
      <x:c r="A1631" s="47" t="n">
        <x:v>43787</x:v>
      </x:c>
      <x:c r="B1631" s="48" t="n">
        <x:v>1.168</x:v>
      </x:c>
      <x:c r="C1631" s="22" t="str">
        <x:v>项目空间本地CSV</x:v>
      </x:c>
    </x:row>
    <x:row r="1632">
      <x:c r="A1632" s="47" t="n">
        <x:v>43784</x:v>
      </x:c>
      <x:c r="B1632" s="48" t="n">
        <x:v>1.1721</x:v>
      </x:c>
      <x:c r="C1632" s="22" t="str">
        <x:v>项目空间本地CSV</x:v>
      </x:c>
    </x:row>
    <x:row r="1633">
      <x:c r="A1633" s="47" t="n">
        <x:v>43783</x:v>
      </x:c>
      <x:c r="B1633" s="48" t="n">
        <x:v>1.1635</x:v>
      </x:c>
      <x:c r="C1633" s="22" t="str">
        <x:v>项目空间本地CSV</x:v>
      </x:c>
    </x:row>
    <x:row r="1634">
      <x:c r="A1634" s="47" t="n">
        <x:v>43782</x:v>
      </x:c>
      <x:c r="B1634" s="48" t="n">
        <x:v>1.1618</x:v>
      </x:c>
      <x:c r="C1634" s="22" t="str">
        <x:v>项目空间本地CSV</x:v>
      </x:c>
    </x:row>
    <x:row r="1635">
      <x:c r="A1635" s="47" t="n">
        <x:v>43781</x:v>
      </x:c>
      <x:c r="B1635" s="48" t="n">
        <x:v>1.1388</x:v>
      </x:c>
      <x:c r="C1635" s="22" t="str">
        <x:v>项目空间本地CSV</x:v>
      </x:c>
    </x:row>
    <x:row r="1636">
      <x:c r="A1636" s="47" t="n">
        <x:v>43780</x:v>
      </x:c>
      <x:c r="B1636" s="48" t="n">
        <x:v>1.1302</x:v>
      </x:c>
      <x:c r="C1636" s="22" t="str">
        <x:v>项目空间本地CSV</x:v>
      </x:c>
    </x:row>
    <x:row r="1637">
      <x:c r="A1637" s="47" t="n">
        <x:v>43777</x:v>
      </x:c>
      <x:c r="B1637" s="48" t="n">
        <x:v>1.1445</x:v>
      </x:c>
      <x:c r="C1637" s="22" t="str">
        <x:v>项目空间本地CSV</x:v>
      </x:c>
    </x:row>
    <x:row r="1638">
      <x:c r="A1638" s="47" t="n">
        <x:v>43776</x:v>
      </x:c>
      <x:c r="B1638" s="48" t="n">
        <x:v>1.1389</x:v>
      </x:c>
      <x:c r="C1638" s="22" t="str">
        <x:v>项目空间本地CSV</x:v>
      </x:c>
    </x:row>
    <x:row r="1639">
      <x:c r="A1639" s="47" t="n">
        <x:v>43775</x:v>
      </x:c>
      <x:c r="B1639" s="48" t="n">
        <x:v>1.1453</x:v>
      </x:c>
      <x:c r="C1639" s="22" t="str">
        <x:v>项目空间本地CSV</x:v>
      </x:c>
    </x:row>
    <x:row r="1640">
      <x:c r="A1640" s="47" t="n">
        <x:v>43774</x:v>
      </x:c>
      <x:c r="B1640" s="48" t="n">
        <x:v>1.1655</x:v>
      </x:c>
      <x:c r="C1640" s="22" t="str">
        <x:v>项目空间本地CSV</x:v>
      </x:c>
    </x:row>
    <x:row r="1641">
      <x:c r="A1641" s="47" t="n">
        <x:v>43773</x:v>
      </x:c>
      <x:c r="B1641" s="48" t="n">
        <x:v>1.1461</x:v>
      </x:c>
      <x:c r="C1641" s="22" t="str">
        <x:v>项目空间本地CSV</x:v>
      </x:c>
    </x:row>
    <x:row r="1642">
      <x:c r="A1642" s="47" t="n">
        <x:v>43770</x:v>
      </x:c>
      <x:c r="B1642" s="48" t="n">
        <x:v>1.1351</x:v>
      </x:c>
      <x:c r="C1642" s="22" t="str">
        <x:v>项目空间本地CSV</x:v>
      </x:c>
    </x:row>
    <x:row r="1643">
      <x:c r="A1643" s="47" t="n">
        <x:v>43769</x:v>
      </x:c>
      <x:c r="B1643" s="48" t="n">
        <x:v>1.1289</x:v>
      </x:c>
      <x:c r="C1643" s="22" t="str">
        <x:v>项目空间本地CSV</x:v>
      </x:c>
    </x:row>
    <x:row r="1644">
      <x:c r="A1644" s="47" t="n">
        <x:v>43768</x:v>
      </x:c>
      <x:c r="B1644" s="48" t="n">
        <x:v>1.1387</x:v>
      </x:c>
      <x:c r="C1644" s="22" t="str">
        <x:v>项目空间本地CSV</x:v>
      </x:c>
    </x:row>
    <x:row r="1645">
      <x:c r="A1645" s="47" t="n">
        <x:v>43767</x:v>
      </x:c>
      <x:c r="B1645" s="48" t="n">
        <x:v>1.1238</x:v>
      </x:c>
      <x:c r="C1645" s="22" t="str">
        <x:v>项目空间本地CSV</x:v>
      </x:c>
    </x:row>
    <x:row r="1646">
      <x:c r="A1646" s="47" t="n">
        <x:v>43766</x:v>
      </x:c>
      <x:c r="B1646" s="48" t="n">
        <x:v>1.1421</x:v>
      </x:c>
      <x:c r="C1646" s="22" t="str">
        <x:v>项目空间本地CSV</x:v>
      </x:c>
    </x:row>
    <x:row r="1647">
      <x:c r="A1647" s="47" t="n">
        <x:v>43763</x:v>
      </x:c>
      <x:c r="B1647" s="48" t="n">
        <x:v>1.1201</x:v>
      </x:c>
      <x:c r="C1647" s="22" t="str">
        <x:v>项目空间本地CSV</x:v>
      </x:c>
    </x:row>
    <x:row r="1648">
      <x:c r="A1648" s="47" t="n">
        <x:v>43762</x:v>
      </x:c>
      <x:c r="B1648" s="48" t="n">
        <x:v>1.1135</x:v>
      </x:c>
      <x:c r="C1648" s="22" t="str">
        <x:v>项目空间本地CSV</x:v>
      </x:c>
    </x:row>
    <x:row r="1649">
      <x:c r="A1649" s="47" t="n">
        <x:v>43761</x:v>
      </x:c>
      <x:c r="B1649" s="48" t="n">
        <x:v>1.1073</x:v>
      </x:c>
      <x:c r="C1649" s="22" t="str">
        <x:v>项目空间本地CSV</x:v>
      </x:c>
    </x:row>
    <x:row r="1650">
      <x:c r="A1650" s="47" t="n">
        <x:v>43760</x:v>
      </x:c>
      <x:c r="B1650" s="48" t="n">
        <x:v>1.1093</x:v>
      </x:c>
      <x:c r="C1650" s="22" t="str">
        <x:v>项目空间本地CSV</x:v>
      </x:c>
    </x:row>
    <x:row r="1651">
      <x:c r="A1651" s="47" t="n">
        <x:v>43759</x:v>
      </x:c>
      <x:c r="B1651" s="48" t="n">
        <x:v>1.098</x:v>
      </x:c>
      <x:c r="C1651" s="22" t="str">
        <x:v>项目空间本地CSV</x:v>
      </x:c>
    </x:row>
    <x:row r="1652">
      <x:c r="A1652" s="47" t="n">
        <x:v>43756</x:v>
      </x:c>
      <x:c r="B1652" s="48" t="n">
        <x:v>1.1011</x:v>
      </x:c>
      <x:c r="C1652" s="22" t="str">
        <x:v>项目空间本地CSV</x:v>
      </x:c>
    </x:row>
    <x:row r="1653">
      <x:c r="A1653" s="47" t="n">
        <x:v>43755</x:v>
      </x:c>
      <x:c r="B1653" s="48" t="n">
        <x:v>1.1105</x:v>
      </x:c>
      <x:c r="C1653" s="22" t="str">
        <x:v>项目空间本地CSV</x:v>
      </x:c>
    </x:row>
    <x:row r="1654">
      <x:c r="A1654" s="47" t="n">
        <x:v>43754</x:v>
      </x:c>
      <x:c r="B1654" s="48" t="n">
        <x:v>1.095</x:v>
      </x:c>
      <x:c r="C1654" s="22" t="str">
        <x:v>项目空间本地CSV</x:v>
      </x:c>
    </x:row>
    <x:row r="1655">
      <x:c r="A1655" s="47" t="n">
        <x:v>43753</x:v>
      </x:c>
      <x:c r="B1655" s="48" t="n">
        <x:v>1.1124</x:v>
      </x:c>
      <x:c r="C1655" s="22" t="str">
        <x:v>项目空间本地CSV</x:v>
      </x:c>
    </x:row>
    <x:row r="1656">
      <x:c r="A1656" s="47" t="n">
        <x:v>43752</x:v>
      </x:c>
      <x:c r="B1656" s="48" t="n">
        <x:v>1.1257</x:v>
      </x:c>
      <x:c r="C1656" s="22" t="str">
        <x:v>项目空间本地CSV</x:v>
      </x:c>
    </x:row>
    <x:row r="1657">
      <x:c r="A1657" s="47" t="n">
        <x:v>43747</x:v>
      </x:c>
      <x:c r="B1657" s="48" t="n">
        <x:v>1.0758</x:v>
      </x:c>
      <x:c r="C1657" s="22" t="str">
        <x:v>项目空间本地CSV</x:v>
      </x:c>
    </x:row>
    <x:row r="1658">
      <x:c r="A1658" s="47" t="n">
        <x:v>43746</x:v>
      </x:c>
      <x:c r="B1658" s="48" t="n">
        <x:v>1.0635</x:v>
      </x:c>
      <x:c r="C1658" s="22" t="str">
        <x:v>项目空间本地CSV</x:v>
      </x:c>
    </x:row>
    <x:row r="1659">
      <x:c r="A1659" s="47" t="n">
        <x:v>43734</x:v>
      </x:c>
      <x:c r="B1659" s="48" t="n">
        <x:v>1.0792</x:v>
      </x:c>
      <x:c r="C1659" s="22" t="str">
        <x:v>项目空间本地CSV</x:v>
      </x:c>
    </x:row>
    <x:row r="1660">
      <x:c r="A1660" s="47" t="n">
        <x:v>43733</x:v>
      </x:c>
      <x:c r="B1660" s="48" t="n">
        <x:v>1.101</x:v>
      </x:c>
      <x:c r="C1660" s="22" t="str">
        <x:v>项目空间本地CSV</x:v>
      </x:c>
    </x:row>
    <x:row r="1661">
      <x:c r="A1661" s="47" t="n">
        <x:v>43732</x:v>
      </x:c>
      <x:c r="B1661" s="48" t="n">
        <x:v>1.1153</x:v>
      </x:c>
      <x:c r="C1661" s="22" t="str">
        <x:v>项目空间本地CSV</x:v>
      </x:c>
    </x:row>
    <x:row r="1662">
      <x:c r="A1662" s="47" t="n">
        <x:v>43731</x:v>
      </x:c>
      <x:c r="B1662" s="48" t="n">
        <x:v>1.1271</x:v>
      </x:c>
      <x:c r="C1662" s="22" t="str">
        <x:v>项目空间本地CSV</x:v>
      </x:c>
    </x:row>
    <x:row r="1663">
      <x:c r="A1663" s="47" t="n">
        <x:v>43728</x:v>
      </x:c>
      <x:c r="B1663" s="48" t="n">
        <x:v>1.1078</x:v>
      </x:c>
      <x:c r="C1663" s="22" t="str">
        <x:v>项目空间本地CSV</x:v>
      </x:c>
    </x:row>
    <x:row r="1664">
      <x:c r="A1664" s="47" t="n">
        <x:v>43727</x:v>
      </x:c>
      <x:c r="B1664" s="48" t="n">
        <x:v>1.0898</x:v>
      </x:c>
      <x:c r="C1664" s="22" t="str">
        <x:v>项目空间本地CSV</x:v>
      </x:c>
    </x:row>
    <x:row r="1665">
      <x:c r="A1665" s="47" t="n">
        <x:v>43726</x:v>
      </x:c>
      <x:c r="B1665" s="48" t="n">
        <x:v>1.0775</x:v>
      </x:c>
      <x:c r="C1665" s="22" t="str">
        <x:v>项目空间本地CSV</x:v>
      </x:c>
    </x:row>
    <x:row r="1666">
      <x:c r="A1666" s="47" t="n">
        <x:v>43725</x:v>
      </x:c>
      <x:c r="B1666" s="48" t="n">
        <x:v>1.0723</x:v>
      </x:c>
      <x:c r="C1666" s="22" t="str">
        <x:v>项目空间本地CSV</x:v>
      </x:c>
    </x:row>
    <x:row r="1667">
      <x:c r="A1667" s="47" t="n">
        <x:v>43724</x:v>
      </x:c>
      <x:c r="B1667" s="48" t="n">
        <x:v>1.0701</x:v>
      </x:c>
      <x:c r="C1667" s="22" t="str">
        <x:v>项目空间本地CSV</x:v>
      </x:c>
    </x:row>
    <x:row r="1668">
      <x:c r="A1668" s="47" t="n">
        <x:v>43718</x:v>
      </x:c>
      <x:c r="B1668" s="48" t="n">
        <x:v>1.0642</x:v>
      </x:c>
      <x:c r="C1668" s="22" t="str">
        <x:v>项目空间本地CSV</x:v>
      </x:c>
    </x:row>
    <x:row r="1669">
      <x:c r="A1669" s="47" t="n">
        <x:v>43717</x:v>
      </x:c>
      <x:c r="B1669" s="48" t="n">
        <x:v>1.0853</x:v>
      </x:c>
      <x:c r="C1669" s="22" t="str">
        <x:v>项目空间本地CSV</x:v>
      </x:c>
    </x:row>
    <x:row r="1670">
      <x:c r="A1670" s="47" t="n">
        <x:v>43714</x:v>
      </x:c>
      <x:c r="B1670" s="48" t="n">
        <x:v>1.0846</x:v>
      </x:c>
      <x:c r="C1670" s="22" t="str">
        <x:v>项目空间本地CSV</x:v>
      </x:c>
    </x:row>
    <x:row r="1671">
      <x:c r="A1671" s="47" t="n">
        <x:v>43713</x:v>
      </x:c>
      <x:c r="B1671" s="48" t="n">
        <x:v>1.0973</x:v>
      </x:c>
      <x:c r="C1671" s="22" t="str">
        <x:v>项目空间本地CSV</x:v>
      </x:c>
    </x:row>
    <x:row r="1672">
      <x:c r="A1672" s="47" t="n">
        <x:v>43712</x:v>
      </x:c>
      <x:c r="B1672" s="48" t="n">
        <x:v>1.0915</x:v>
      </x:c>
      <x:c r="C1672" s="22" t="str">
        <x:v>项目空间本地CSV</x:v>
      </x:c>
    </x:row>
    <x:row r="1673">
      <x:c r="A1673" s="47" t="n">
        <x:v>43711</x:v>
      </x:c>
      <x:c r="B1673" s="48" t="n">
        <x:v>1.0839</x:v>
      </x:c>
      <x:c r="C1673" s="22" t="str">
        <x:v>项目空间本地CSV</x:v>
      </x:c>
    </x:row>
    <x:row r="1674">
      <x:c r="A1674" s="47" t="n">
        <x:v>43707</x:v>
      </x:c>
      <x:c r="B1674" s="48" t="n">
        <x:v>1.0603</x:v>
      </x:c>
      <x:c r="C1674" s="22" t="str">
        <x:v>项目空间本地CSV</x:v>
      </x:c>
    </x:row>
    <x:row r="1675">
      <x:c r="A1675" s="47" t="n">
        <x:v>43706</x:v>
      </x:c>
      <x:c r="B1675" s="48" t="n">
        <x:v>1.0697</x:v>
      </x:c>
      <x:c r="C1675" s="22" t="str">
        <x:v>项目空间本地CSV</x:v>
      </x:c>
    </x:row>
    <x:row r="1676">
      <x:c r="A1676" s="47" t="n">
        <x:v>43705</x:v>
      </x:c>
      <x:c r="B1676" s="48" t="n">
        <x:v>1.0494</x:v>
      </x:c>
      <x:c r="C1676" s="22" t="str">
        <x:v>项目空间本地CSV</x:v>
      </x:c>
    </x:row>
    <x:row r="1677">
      <x:c r="A1677" s="47" t="n">
        <x:v>43704</x:v>
      </x:c>
      <x:c r="B1677" s="48" t="n">
        <x:v>1.0553</x:v>
      </x:c>
      <x:c r="C1677" s="22" t="str">
        <x:v>项目空间本地CSV</x:v>
      </x:c>
    </x:row>
    <x:row r="1678">
      <x:c r="A1678" s="47" t="n">
        <x:v>43703</x:v>
      </x:c>
      <x:c r="B1678" s="48" t="n">
        <x:v>1.0479</x:v>
      </x:c>
      <x:c r="C1678" s="22" t="str">
        <x:v>项目空间本地CSV</x:v>
      </x:c>
    </x:row>
    <x:row r="1679">
      <x:c r="A1679" s="47" t="n">
        <x:v>43700</x:v>
      </x:c>
      <x:c r="B1679" s="48" t="n">
        <x:v>1.0477</x:v>
      </x:c>
      <x:c r="C1679" s="22" t="str">
        <x:v>项目空间本地CSV</x:v>
      </x:c>
    </x:row>
    <x:row r="1680">
      <x:c r="A1680" s="47" t="n">
        <x:v>43699</x:v>
      </x:c>
      <x:c r="B1680" s="48" t="n">
        <x:v>1.0614</x:v>
      </x:c>
      <x:c r="C1680" s="22" t="str">
        <x:v>项目空间本地CSV</x:v>
      </x:c>
    </x:row>
    <x:row r="1681">
      <x:c r="A1681" s="47" t="n">
        <x:v>43698</x:v>
      </x:c>
      <x:c r="B1681" s="48" t="n">
        <x:v>1.0691</x:v>
      </x:c>
      <x:c r="C1681" s="22" t="str">
        <x:v>项目空间本地CSV</x:v>
      </x:c>
    </x:row>
    <x:row r="1682">
      <x:c r="A1682" s="47" t="n">
        <x:v>43697</x:v>
      </x:c>
      <x:c r="B1682" s="48" t="n">
        <x:v>1.0523</x:v>
      </x:c>
      <x:c r="C1682" s="22" t="str">
        <x:v>项目空间本地CSV</x:v>
      </x:c>
    </x:row>
    <x:row r="1683">
      <x:c r="A1683" s="47" t="n">
        <x:v>43696</x:v>
      </x:c>
      <x:c r="B1683" s="48" t="n">
        <x:v>1.049</x:v>
      </x:c>
      <x:c r="C1683" s="22" t="str">
        <x:v>项目空间本地CSV</x:v>
      </x:c>
    </x:row>
    <x:row r="1684">
      <x:c r="A1684" s="47" t="n">
        <x:v>43693</x:v>
      </x:c>
      <x:c r="B1684" s="48" t="n">
        <x:v>1.0294</x:v>
      </x:c>
      <x:c r="C1684" s="22" t="str">
        <x:v>项目空间本地CSV</x:v>
      </x:c>
    </x:row>
    <x:row r="1685">
      <x:c r="A1685" s="47" t="n">
        <x:v>43692</x:v>
      </x:c>
      <x:c r="B1685" s="48" t="n">
        <x:v>1.0197</x:v>
      </x:c>
      <x:c r="C1685" s="22" t="str">
        <x:v>项目空间本地CSV</x:v>
      </x:c>
    </x:row>
    <x:row r="1686">
      <x:c r="A1686" s="47" t="n">
        <x:v>43691</x:v>
      </x:c>
      <x:c r="B1686" s="48" t="n">
        <x:v>1.0114</x:v>
      </x:c>
      <x:c r="C1686" s="22" t="str">
        <x:v>项目空间本地CSV</x:v>
      </x:c>
    </x:row>
    <x:row r="1687">
      <x:c r="A1687" s="47" t="n">
        <x:v>43690</x:v>
      </x:c>
      <x:c r="B1687" s="48" t="n">
        <x:v>1.0302</x:v>
      </x:c>
      <x:c r="C1687" s="22" t="str">
        <x:v>项目空间本地CSV</x:v>
      </x:c>
    </x:row>
    <x:row r="1688">
      <x:c r="A1688" s="47" t="n">
        <x:v>43689</x:v>
      </x:c>
      <x:c r="B1688" s="48" t="n">
        <x:v>1.0218</x:v>
      </x:c>
      <x:c r="C1688" s="22" t="str">
        <x:v>项目空间本地CSV</x:v>
      </x:c>
    </x:row>
    <x:row r="1689">
      <x:c r="A1689" s="47" t="n">
        <x:v>43686</x:v>
      </x:c>
      <x:c r="B1689" s="48" t="n">
        <x:v>1.0136</x:v>
      </x:c>
      <x:c r="C1689" s="22" t="str">
        <x:v>项目空间本地CSV</x:v>
      </x:c>
    </x:row>
    <x:row r="1690">
      <x:c r="A1690" s="47" t="n">
        <x:v>43685</x:v>
      </x:c>
      <x:c r="B1690" s="48" t="n">
        <x:v>1.0179</x:v>
      </x:c>
      <x:c r="C1690" s="22" t="str">
        <x:v>项目空间本地CSV</x:v>
      </x:c>
    </x:row>
    <x:row r="1691">
      <x:c r="A1691" s="47" t="n">
        <x:v>43684</x:v>
      </x:c>
      <x:c r="B1691" s="48" t="n">
        <x:v>0.9908</x:v>
      </x:c>
      <x:c r="C1691" s="22" t="str">
        <x:v>项目空间本地CSV</x:v>
      </x:c>
    </x:row>
    <x:row r="1692">
      <x:c r="A1692" s="47" t="n">
        <x:v>43683</x:v>
      </x:c>
      <x:c r="B1692" s="48" t="n">
        <x:v>0.9834</x:v>
      </x:c>
      <x:c r="C1692" s="22" t="str">
        <x:v>项目空间本地CSV</x:v>
      </x:c>
    </x:row>
    <x:row r="1693">
      <x:c r="A1693" s="47" t="n">
        <x:v>43682</x:v>
      </x:c>
      <x:c r="B1693" s="48" t="n">
        <x:v>0.9768</x:v>
      </x:c>
      <x:c r="C1693" s="22" t="str">
        <x:v>项目空间本地CSV</x:v>
      </x:c>
    </x:row>
    <x:row r="1694">
      <x:c r="A1694" s="47" t="n">
        <x:v>43679</x:v>
      </x:c>
      <x:c r="B1694" s="48" t="n">
        <x:v>0.9996</x:v>
      </x:c>
      <x:c r="C1694" s="22" t="str">
        <x:v>项目空间本地CSV</x:v>
      </x:c>
    </x:row>
    <x:row r="1695">
      <x:c r="A1695" s="47" t="n">
        <x:v>43678</x:v>
      </x:c>
      <x:c r="B1695" s="48" t="n">
        <x:v>1.0162</x:v>
      </x:c>
      <x:c r="C1695" s="22" t="str">
        <x:v>项目空间本地CSV</x:v>
      </x:c>
    </x:row>
    <x:row r="1696">
      <x:c r="A1696" s="47" t="n">
        <x:v>43677</x:v>
      </x:c>
      <x:c r="B1696" s="48" t="n">
        <x:v>1.0139</x:v>
      </x:c>
      <x:c r="C1696" s="22" t="str">
        <x:v>项目空间本地CSV</x:v>
      </x:c>
    </x:row>
    <x:row r="1697">
      <x:c r="A1697" s="47" t="n">
        <x:v>43676</x:v>
      </x:c>
      <x:c r="B1697" s="48" t="n">
        <x:v>1.0166</x:v>
      </x:c>
      <x:c r="C1697" s="22" t="str">
        <x:v>项目空间本地CSV</x:v>
      </x:c>
    </x:row>
    <x:row r="1698">
      <x:c r="A1698" s="47" t="n">
        <x:v>43675</x:v>
      </x:c>
      <x:c r="B1698" s="48" t="n">
        <x:v>1.0279</x:v>
      </x:c>
      <x:c r="C1698" s="22" t="str">
        <x:v>项目空间本地CSV</x:v>
      </x:c>
    </x:row>
    <x:row r="1699">
      <x:c r="A1699" s="47" t="n">
        <x:v>43672</x:v>
      </x:c>
      <x:c r="B1699" s="48" t="n">
        <x:v>1.0283</x:v>
      </x:c>
      <x:c r="C1699" s="22" t="str">
        <x:v>项目空间本地CSV</x:v>
      </x:c>
    </x:row>
    <x:row r="1700">
      <x:c r="A1700" s="47" t="n">
        <x:v>43671</x:v>
      </x:c>
      <x:c r="B1700" s="48" t="n">
        <x:v>1.0223</x:v>
      </x:c>
      <x:c r="C1700" s="22" t="str">
        <x:v>项目空间本地CSV</x:v>
      </x:c>
    </x:row>
    <x:row r="1701">
      <x:c r="A1701" s="47" t="n">
        <x:v>43670</x:v>
      </x:c>
      <x:c r="B1701" s="48" t="n">
        <x:v>1.0214</x:v>
      </x:c>
      <x:c r="C1701" s="22" t="str">
        <x:v>项目空间本地CSV</x:v>
      </x:c>
    </x:row>
    <x:row r="1702">
      <x:c r="A1702" s="47" t="n">
        <x:v>43669</x:v>
      </x:c>
      <x:c r="B1702" s="48" t="n">
        <x:v>1.0127</x:v>
      </x:c>
      <x:c r="C1702" s="22" t="str">
        <x:v>项目空间本地CSV</x:v>
      </x:c>
    </x:row>
    <x:row r="1703">
      <x:c r="A1703" s="47" t="n">
        <x:v>43668</x:v>
      </x:c>
      <x:c r="B1703" s="48" t="n">
        <x:v>1.013</x:v>
      </x:c>
      <x:c r="C1703" s="22" t="str">
        <x:v>项目空间本地CSV</x:v>
      </x:c>
    </x:row>
    <x:row r="1704">
      <x:c r="A1704" s="47" t="n">
        <x:v>43665</x:v>
      </x:c>
      <x:c r="B1704" s="48" t="n">
        <x:v>1.0035</x:v>
      </x:c>
      <x:c r="C1704" s="22" t="str">
        <x:v>项目空间本地CSV</x:v>
      </x:c>
    </x:row>
    <x:row r="1705">
      <x:c r="A1705" s="47" t="n">
        <x:v>43664</x:v>
      </x:c>
      <x:c r="B1705" s="48" t="n">
        <x:v>1.0026</x:v>
      </x:c>
      <x:c r="C1705" s="22" t="str">
        <x:v>项目空间本地CSV</x:v>
      </x:c>
    </x:row>
    <x:row r="1706">
      <x:c r="A1706" s="47" t="n">
        <x:v>43663</x:v>
      </x:c>
      <x:c r="B1706" s="48" t="n">
        <x:v>1.0115</x:v>
      </x:c>
      <x:c r="C1706" s="22" t="str">
        <x:v>项目空间本地CSV</x:v>
      </x:c>
    </x:row>
    <x:row r="1707">
      <x:c r="A1707" s="47" t="n">
        <x:v>43662</x:v>
      </x:c>
      <x:c r="B1707" s="48" t="n">
        <x:v>1.0129</x:v>
      </x:c>
      <x:c r="C1707" s="22" t="str">
        <x:v>项目空间本地CSV</x:v>
      </x:c>
    </x:row>
    <x:row r="1708">
      <x:c r="A1708" s="47" t="n">
        <x:v>43661</x:v>
      </x:c>
      <x:c r="B1708" s="48" t="n">
        <x:v>1.0199</x:v>
      </x:c>
      <x:c r="C1708" s="22" t="str">
        <x:v>项目空间本地CSV</x:v>
      </x:c>
    </x:row>
    <x:row r="1709">
      <x:c r="A1709" s="47" t="n">
        <x:v>43658</x:v>
      </x:c>
      <x:c r="B1709" s="48" t="n">
        <x:v>1.0156</x:v>
      </x:c>
      <x:c r="C1709" s="22" t="str">
        <x:v>项目空间本地CSV</x:v>
      </x:c>
    </x:row>
    <x:row r="1710">
      <x:c r="A1710" s="47" t="n">
        <x:v>43657</x:v>
      </x:c>
      <x:c r="B1710" s="48" t="n">
        <x:v>1.0137</x:v>
      </x:c>
      <x:c r="C1710" s="22" t="str">
        <x:v>项目空间本地CSV</x:v>
      </x:c>
    </x:row>
    <x:row r="1711">
      <x:c r="A1711" s="47" t="n">
        <x:v>43656</x:v>
      </x:c>
      <x:c r="B1711" s="48" t="n">
        <x:v>1.0124</x:v>
      </x:c>
      <x:c r="C1711" s="22" t="str">
        <x:v>项目空间本地CSV</x:v>
      </x:c>
    </x:row>
    <x:row r="1712">
      <x:c r="A1712" s="47" t="n">
        <x:v>43655</x:v>
      </x:c>
      <x:c r="B1712" s="48" t="n">
        <x:v>1.0074</x:v>
      </x:c>
      <x:c r="C1712" s="22" t="str">
        <x:v>项目空间本地CSV</x:v>
      </x:c>
    </x:row>
    <x:row r="1713">
      <x:c r="A1713" s="47" t="n">
        <x:v>43654</x:v>
      </x:c>
      <x:c r="B1713" s="48" t="n">
        <x:v>1.0066</x:v>
      </x:c>
      <x:c r="C1713" s="22" t="str">
        <x:v>项目空间本地CSV</x:v>
      </x:c>
    </x:row>
    <x:row r="1714">
      <x:c r="A1714" s="47" t="n">
        <x:v>43651</x:v>
      </x:c>
      <x:c r="B1714" s="48" t="n">
        <x:v>1.0092</x:v>
      </x:c>
      <x:c r="C1714" s="22" t="str">
        <x:v>项目空间本地CSV</x:v>
      </x:c>
    </x:row>
    <x:row r="1715">
      <x:c r="A1715" s="47" t="n">
        <x:v>43649</x:v>
      </x:c>
      <x:c r="B1715" s="48" t="n">
        <x:v>1.007</x:v>
      </x:c>
      <x:c r="C1715" s="22" t="str">
        <x:v>项目空间本地CSV</x:v>
      </x:c>
    </x:row>
    <x:row r="1716">
      <x:c r="A1716" s="47" t="n">
        <x:v>43648</x:v>
      </x:c>
      <x:c r="B1716" s="48" t="n">
        <x:v>1.0155</x:v>
      </x:c>
      <x:c r="C1716" s="22" t="str">
        <x:v>项目空间本地CSV</x:v>
      </x:c>
    </x:row>
    <x:row r="1717">
      <x:c r="A1717" s="47" t="n">
        <x:v>43646</x:v>
      </x:c>
      <x:c r="B1717" s="48" t="n">
        <x:v>0.9839</x:v>
      </x:c>
      <x:c r="C1717" s="22" t="str">
        <x:v>项目空间本地CSV</x:v>
      </x:c>
    </x:row>
    <x:row r="1718">
      <x:c r="A1718" s="47" t="n">
        <x:v>43644</x:v>
      </x:c>
      <x:c r="B1718" s="48" t="n">
        <x:v>0.984</x:v>
      </x:c>
      <x:c r="C1718" s="22" t="str">
        <x:v>项目空间本地CSV</x:v>
      </x:c>
    </x:row>
    <x:row r="1719">
      <x:c r="A1719" s="47" t="n">
        <x:v>43643</x:v>
      </x:c>
      <x:c r="B1719" s="48" t="n">
        <x:v>0.9796</x:v>
      </x:c>
      <x:c r="C1719" s="22" t="str">
        <x:v>项目空间本地CSV</x:v>
      </x:c>
    </x:row>
    <x:row r="1720">
      <x:c r="A1720" s="47" t="n">
        <x:v>43642</x:v>
      </x:c>
      <x:c r="B1720" s="48" t="n">
        <x:v>0.9616</x:v>
      </x:c>
      <x:c r="C1720" s="22" t="str">
        <x:v>项目空间本地CSV</x:v>
      </x:c>
    </x:row>
    <x:row r="1721">
      <x:c r="A1721" s="47" t="n">
        <x:v>43641</x:v>
      </x:c>
      <x:c r="B1721" s="48" t="n">
        <x:v>0.9586</x:v>
      </x:c>
      <x:c r="C1721" s="22" t="str">
        <x:v>项目空间本地CSV</x:v>
      </x:c>
    </x:row>
    <x:row r="1722">
      <x:c r="A1722" s="47" t="n">
        <x:v>43640</x:v>
      </x:c>
      <x:c r="B1722" s="48" t="n">
        <x:v>0.9721</x:v>
      </x:c>
      <x:c r="C1722" s="22" t="str">
        <x:v>项目空间本地CSV</x:v>
      </x:c>
    </x:row>
    <x:row r="1723">
      <x:c r="A1723" s="47" t="n">
        <x:v>43637</x:v>
      </x:c>
      <x:c r="B1723" s="48" t="n">
        <x:v>0.9718</x:v>
      </x:c>
      <x:c r="C1723" s="22" t="str">
        <x:v>项目空间本地CSV</x:v>
      </x:c>
    </x:row>
    <x:row r="1724">
      <x:c r="A1724" s="47" t="n">
        <x:v>43636</x:v>
      </x:c>
      <x:c r="B1724" s="48" t="n">
        <x:v>0.9813</x:v>
      </x:c>
      <x:c r="C1724" s="22" t="str">
        <x:v>项目空间本地CSV</x:v>
      </x:c>
    </x:row>
    <x:row r="1725">
      <x:c r="A1725" s="47" t="n">
        <x:v>43635</x:v>
      </x:c>
      <x:c r="B1725" s="48" t="n">
        <x:v>0.9643</x:v>
      </x:c>
      <x:c r="C1725" s="22" t="str">
        <x:v>项目空间本地CSV</x:v>
      </x:c>
    </x:row>
    <x:row r="1726">
      <x:c r="A1726" s="47" t="n">
        <x:v>43634</x:v>
      </x:c>
      <x:c r="B1726" s="48" t="n">
        <x:v>0.9468</x:v>
      </x:c>
      <x:c r="C1726" s="22" t="str">
        <x:v>项目空间本地CSV</x:v>
      </x:c>
    </x:row>
    <x:row r="1727">
      <x:c r="A1727" s="47" t="n">
        <x:v>43633</x:v>
      </x:c>
      <x:c r="B1727" s="48" t="n">
        <x:v>0.9427</x:v>
      </x:c>
      <x:c r="C1727" s="22" t="str">
        <x:v>项目空间本地CSV</x:v>
      </x:c>
    </x:row>
    <x:row r="1728">
      <x:c r="A1728" s="47" t="n">
        <x:v>43630</x:v>
      </x:c>
      <x:c r="B1728" s="48" t="n">
        <x:v>0.9435</x:v>
      </x:c>
      <x:c r="C1728" s="22" t="str">
        <x:v>项目空间本地CSV</x:v>
      </x:c>
    </x:row>
    <x:row r="1729">
      <x:c r="A1729" s="47" t="n">
        <x:v>43629</x:v>
      </x:c>
      <x:c r="B1729" s="48" t="n">
        <x:v>0.9514</x:v>
      </x:c>
      <x:c r="C1729" s="22" t="str">
        <x:v>项目空间本地CSV</x:v>
      </x:c>
    </x:row>
    <x:row r="1730">
      <x:c r="A1730" s="47" t="n">
        <x:v>43628</x:v>
      </x:c>
      <x:c r="B1730" s="48" t="n">
        <x:v>0.954</x:v>
      </x:c>
      <x:c r="C1730" s="22" t="str">
        <x:v>项目空间本地CSV</x:v>
      </x:c>
    </x:row>
    <x:row r="1731">
      <x:c r="A1731" s="47" t="n">
        <x:v>43627</x:v>
      </x:c>
      <x:c r="B1731" s="48" t="n">
        <x:v>0.9574</x:v>
      </x:c>
      <x:c r="C1731" s="22" t="str">
        <x:v>项目空间本地CSV</x:v>
      </x:c>
    </x:row>
    <x:row r="1732">
      <x:c r="A1732" s="47" t="n">
        <x:v>43626</x:v>
      </x:c>
      <x:c r="B1732" s="48" t="n">
        <x:v>0.9468</x:v>
      </x:c>
      <x:c r="C1732" s="22" t="str">
        <x:v>项目空间本地CSV</x:v>
      </x:c>
    </x:row>
    <x:row r="1733">
      <x:c r="A1733" s="47" t="n">
        <x:v>43622</x:v>
      </x:c>
      <x:c r="B1733" s="48" t="n">
        <x:v>0.9298</x:v>
      </x:c>
      <x:c r="C1733" s="22" t="str">
        <x:v>项目空间本地CSV</x:v>
      </x:c>
    </x:row>
    <x:row r="1734">
      <x:c r="A1734" s="47" t="n">
        <x:v>43621</x:v>
      </x:c>
      <x:c r="B1734" s="48" t="n">
        <x:v>0.9323</x:v>
      </x:c>
      <x:c r="C1734" s="22" t="str">
        <x:v>项目空间本地CSV</x:v>
      </x:c>
    </x:row>
    <x:row r="1735">
      <x:c r="A1735" s="47" t="n">
        <x:v>43620</x:v>
      </x:c>
      <x:c r="B1735" s="48" t="n">
        <x:v>0.928</x:v>
      </x:c>
      <x:c r="C1735" s="22" t="str">
        <x:v>项目空间本地CSV</x:v>
      </x:c>
    </x:row>
    <x:row r="1736">
      <x:c r="A1736" s="47" t="n">
        <x:v>43619</x:v>
      </x:c>
      <x:c r="B1736" s="48" t="n">
        <x:v>0.9249</x:v>
      </x:c>
      <x:c r="C1736" s="22" t="str">
        <x:v>项目空间本地CSV</x:v>
      </x:c>
    </x:row>
    <x:row r="1737">
      <x:c r="A1737" s="47" t="n">
        <x:v>43616</x:v>
      </x:c>
      <x:c r="B1737" s="48" t="n">
        <x:v>0.9336</x:v>
      </x:c>
      <x:c r="C1737" s="22" t="str">
        <x:v>项目空间本地CSV</x:v>
      </x:c>
    </x:row>
    <x:row r="1738">
      <x:c r="A1738" s="47" t="n">
        <x:v>43615</x:v>
      </x:c>
      <x:c r="B1738" s="48" t="n">
        <x:v>0.9387</x:v>
      </x:c>
      <x:c r="C1738" s="22" t="str">
        <x:v>项目空间本地CSV</x:v>
      </x:c>
    </x:row>
    <x:row r="1739">
      <x:c r="A1739" s="47" t="n">
        <x:v>43614</x:v>
      </x:c>
      <x:c r="B1739" s="48" t="n">
        <x:v>0.9397</x:v>
      </x:c>
      <x:c r="C1739" s="22" t="str">
        <x:v>项目空间本地CSV</x:v>
      </x:c>
    </x:row>
    <x:row r="1740">
      <x:c r="A1740" s="47" t="n">
        <x:v>43613</x:v>
      </x:c>
      <x:c r="B1740" s="48" t="n">
        <x:v>0.9426</x:v>
      </x:c>
      <x:c r="C1740" s="22" t="str">
        <x:v>项目空间本地CSV</x:v>
      </x:c>
    </x:row>
    <x:row r="1741">
      <x:c r="A1741" s="47" t="n">
        <x:v>43609</x:v>
      </x:c>
      <x:c r="B1741" s="48" t="n">
        <x:v>0.9377</x:v>
      </x:c>
      <x:c r="C1741" s="22" t="str">
        <x:v>项目空间本地CSV</x:v>
      </x:c>
    </x:row>
    <x:row r="1742">
      <x:c r="A1742" s="47" t="n">
        <x:v>43608</x:v>
      </x:c>
      <x:c r="B1742" s="48" t="n">
        <x:v>0.9361</x:v>
      </x:c>
      <x:c r="C1742" s="22" t="str">
        <x:v>项目空间本地CSV</x:v>
      </x:c>
    </x:row>
    <x:row r="1743">
      <x:c r="A1743" s="47" t="n">
        <x:v>43607</x:v>
      </x:c>
      <x:c r="B1743" s="48" t="n">
        <x:v>0.9565</x:v>
      </x:c>
      <x:c r="C1743" s="22" t="str">
        <x:v>项目空间本地CSV</x:v>
      </x:c>
    </x:row>
    <x:row r="1744">
      <x:c r="A1744" s="47" t="n">
        <x:v>43606</x:v>
      </x:c>
      <x:c r="B1744" s="48" t="n">
        <x:v>0.9568</x:v>
      </x:c>
      <x:c r="C1744" s="22" t="str">
        <x:v>项目空间本地CSV</x:v>
      </x:c>
    </x:row>
    <x:row r="1745">
      <x:c r="A1745" s="47" t="n">
        <x:v>43605</x:v>
      </x:c>
      <x:c r="B1745" s="48" t="n">
        <x:v>0.9494</x:v>
      </x:c>
      <x:c r="C1745" s="22" t="str">
        <x:v>项目空间本地CSV</x:v>
      </x:c>
    </x:row>
    <x:row r="1746">
      <x:c r="A1746" s="47" t="n">
        <x:v>43602</x:v>
      </x:c>
      <x:c r="B1746" s="48" t="n">
        <x:v>0.9657</x:v>
      </x:c>
      <x:c r="C1746" s="22" t="str">
        <x:v>项目空间本地CSV</x:v>
      </x:c>
    </x:row>
    <x:row r="1747">
      <x:c r="A1747" s="47" t="n">
        <x:v>43601</x:v>
      </x:c>
      <x:c r="B1747" s="48" t="n">
        <x:v>0.9898</x:v>
      </x:c>
      <x:c r="C1747" s="22" t="str">
        <x:v>项目空间本地CSV</x:v>
      </x:c>
    </x:row>
    <x:row r="1748">
      <x:c r="A1748" s="47" t="n">
        <x:v>43600</x:v>
      </x:c>
      <x:c r="B1748" s="48" t="n">
        <x:v>1.0036</x:v>
      </x:c>
      <x:c r="C1748" s="22" t="str">
        <x:v>项目空间本地CSV</x:v>
      </x:c>
    </x:row>
    <x:row r="1749">
      <x:c r="A1749" s="47" t="n">
        <x:v>43599</x:v>
      </x:c>
      <x:c r="B1749" s="48" t="n">
        <x:v>0.9801</x:v>
      </x:c>
      <x:c r="C1749" s="22" t="str">
        <x:v>项目空间本地CSV</x:v>
      </x:c>
    </x:row>
    <x:row r="1750">
      <x:c r="A1750" s="47" t="n">
        <x:v>43595</x:v>
      </x:c>
      <x:c r="B1750" s="48" t="n">
        <x:v>1.006</x:v>
      </x:c>
      <x:c r="C1750" s="22" t="str">
        <x:v>项目空间本地CSV</x:v>
      </x:c>
    </x:row>
    <x:row r="1751">
      <x:c r="A1751" s="47" t="n">
        <x:v>43594</x:v>
      </x:c>
      <x:c r="B1751" s="48" t="n">
        <x:v>0.9776</x:v>
      </x:c>
      <x:c r="C1751" s="22" t="str">
        <x:v>项目空间本地CSV</x:v>
      </x:c>
    </x:row>
    <x:row r="1752">
      <x:c r="A1752" s="47" t="n">
        <x:v>43593</x:v>
      </x:c>
      <x:c r="B1752" s="48" t="n">
        <x:v>0.9962</x:v>
      </x:c>
      <x:c r="C1752" s="22" t="str">
        <x:v>项目空间本地CSV</x:v>
      </x:c>
    </x:row>
    <x:row r="1753">
      <x:c r="A1753" s="47" t="n">
        <x:v>43592</x:v>
      </x:c>
      <x:c r="B1753" s="48" t="n">
        <x:v>1.0018</x:v>
      </x:c>
      <x:c r="C1753" s="22" t="str">
        <x:v>项目空间本地CSV</x:v>
      </x:c>
    </x:row>
    <x:row r="1754">
      <x:c r="A1754" s="47" t="n">
        <x:v>43591</x:v>
      </x:c>
      <x:c r="B1754" s="48" t="n">
        <x:v>1.0043</x:v>
      </x:c>
      <x:c r="C1754" s="22" t="str">
        <x:v>项目空间本地CSV</x:v>
      </x:c>
    </x:row>
    <x:row r="1755">
      <x:c r="A1755" s="47" t="n">
        <x:v>43581</x:v>
      </x:c>
      <x:c r="B1755" s="48" t="n">
        <x:v>1.0605</x:v>
      </x:c>
      <x:c r="C1755" s="22" t="str">
        <x:v>项目空间本地CSV</x:v>
      </x:c>
    </x:row>
    <x:row r="1756">
      <x:c r="A1756" s="47" t="n">
        <x:v>43580</x:v>
      </x:c>
      <x:c r="B1756" s="48" t="n">
        <x:v>1.0635</x:v>
      </x:c>
      <x:c r="C1756" s="22" t="str">
        <x:v>项目空间本地CSV</x:v>
      </x:c>
    </x:row>
    <x:row r="1757">
      <x:c r="A1757" s="47" t="n">
        <x:v>43579</x:v>
      </x:c>
      <x:c r="B1757" s="48" t="n">
        <x:v>1.0836</x:v>
      </x:c>
      <x:c r="C1757" s="22" t="str">
        <x:v>项目空间本地CSV</x:v>
      </x:c>
    </x:row>
    <x:row r="1758">
      <x:c r="A1758" s="47" t="n">
        <x:v>43578</x:v>
      </x:c>
      <x:c r="B1758" s="48" t="n">
        <x:v>1.0855</x:v>
      </x:c>
      <x:c r="C1758" s="22" t="str">
        <x:v>项目空间本地CSV</x:v>
      </x:c>
    </x:row>
    <x:row r="1759">
      <x:c r="A1759" s="47" t="n">
        <x:v>43573</x:v>
      </x:c>
      <x:c r="B1759" s="48" t="n">
        <x:v>1.0787</x:v>
      </x:c>
      <x:c r="C1759" s="22" t="str">
        <x:v>项目空间本地CSV</x:v>
      </x:c>
    </x:row>
    <x:row r="1760">
      <x:c r="A1760" s="47" t="n">
        <x:v>43572</x:v>
      </x:c>
      <x:c r="B1760" s="48" t="n">
        <x:v>1.0875</x:v>
      </x:c>
      <x:c r="C1760" s="22" t="str">
        <x:v>项目空间本地CSV</x:v>
      </x:c>
    </x:row>
    <x:row r="1761">
      <x:c r="A1761" s="47" t="n">
        <x:v>43571</x:v>
      </x:c>
      <x:c r="B1761" s="48" t="n">
        <x:v>1.0735</x:v>
      </x:c>
      <x:c r="C1761" s="22" t="str">
        <x:v>项目空间本地CSV</x:v>
      </x:c>
    </x:row>
    <x:row r="1762">
      <x:c r="A1762" s="47" t="n">
        <x:v>43570</x:v>
      </x:c>
      <x:c r="B1762" s="48" t="n">
        <x:v>1.0491</x:v>
      </x:c>
      <x:c r="C1762" s="22" t="str">
        <x:v>项目空间本地CSV</x:v>
      </x:c>
    </x:row>
    <x:row r="1763">
      <x:c r="A1763" s="47" t="n">
        <x:v>43567</x:v>
      </x:c>
      <x:c r="B1763" s="48" t="n">
        <x:v>1.057</x:v>
      </x:c>
      <x:c r="C1763" s="22" t="str">
        <x:v>项目空间本地CSV</x:v>
      </x:c>
    </x:row>
    <x:row r="1764">
      <x:c r="A1764" s="47" t="n">
        <x:v>43566</x:v>
      </x:c>
      <x:c r="B1764" s="48" t="n">
        <x:v>1.0511</x:v>
      </x:c>
      <x:c r="C1764" s="22" t="str">
        <x:v>项目空间本地CSV</x:v>
      </x:c>
    </x:row>
    <x:row r="1765">
      <x:c r="A1765" s="47" t="n">
        <x:v>43565</x:v>
      </x:c>
      <x:c r="B1765" s="48" t="n">
        <x:v>1.0675</x:v>
      </x:c>
      <x:c r="C1765" s="22" t="str">
        <x:v>项目空间本地CSV</x:v>
      </x:c>
    </x:row>
    <x:row r="1766">
      <x:c r="A1766" s="47" t="n">
        <x:v>43564</x:v>
      </x:c>
      <x:c r="B1766" s="48" t="n">
        <x:v>1.0675</x:v>
      </x:c>
      <x:c r="C1766" s="22" t="str">
        <x:v>项目空间本地CSV</x:v>
      </x:c>
    </x:row>
    <x:row r="1767">
      <x:c r="A1767" s="47" t="n">
        <x:v>43563</x:v>
      </x:c>
      <x:c r="B1767" s="48" t="n">
        <x:v>1.0591</x:v>
      </x:c>
      <x:c r="C1767" s="22" t="str">
        <x:v>项目空间本地CSV</x:v>
      </x:c>
    </x:row>
    <x:row r="1768">
      <x:c r="A1768" s="47" t="n">
        <x:v>43558</x:v>
      </x:c>
      <x:c r="B1768" s="48" t="n">
        <x:v>1.0532</x:v>
      </x:c>
      <x:c r="C1768" s="22" t="str">
        <x:v>项目空间本地CSV</x:v>
      </x:c>
    </x:row>
    <x:row r="1769">
      <x:c r="A1769" s="47" t="n">
        <x:v>43557</x:v>
      </x:c>
      <x:c r="B1769" s="48" t="n">
        <x:v>1.0454</x:v>
      </x:c>
      <x:c r="C1769" s="22" t="str">
        <x:v>项目空间本地CSV</x:v>
      </x:c>
    </x:row>
    <x:row r="1770">
      <x:c r="A1770" s="47" t="n">
        <x:v>43556</x:v>
      </x:c>
      <x:c r="B1770" s="48" t="n">
        <x:v>1.0473</x:v>
      </x:c>
      <x:c r="C1770" s="22" t="str">
        <x:v>项目空间本地CSV</x:v>
      </x:c>
    </x:row>
    <x:row r="1771">
      <x:c r="A1771" s="47" t="n">
        <x:v>43553</x:v>
      </x:c>
      <x:c r="B1771" s="48" t="n">
        <x:v>1.0273</x:v>
      </x:c>
      <x:c r="C1771" s="22" t="str">
        <x:v>项目空间本地CSV</x:v>
      </x:c>
    </x:row>
    <x:row r="1772">
      <x:c r="A1772" s="47" t="n">
        <x:v>43552</x:v>
      </x:c>
      <x:c r="B1772" s="48" t="n">
        <x:v>1.0003</x:v>
      </x:c>
      <x:c r="C1772" s="22" t="str">
        <x:v>项目空间本地CSV</x:v>
      </x:c>
    </x:row>
    <x:row r="1773">
      <x:c r="A1773" s="47" t="n">
        <x:v>43551</x:v>
      </x:c>
      <x:c r="B1773" s="48" t="n">
        <x:v>0.9979</x:v>
      </x:c>
      <x:c r="C1773" s="22" t="str">
        <x:v>项目空间本地CSV</x:v>
      </x:c>
    </x:row>
    <x:row r="1774">
      <x:c r="A1774" s="47" t="n">
        <x:v>43550</x:v>
      </x:c>
      <x:c r="B1774" s="48" t="n">
        <x:v>0.9959</x:v>
      </x:c>
      <x:c r="C1774" s="22" t="str">
        <x:v>项目空间本地CSV</x:v>
      </x:c>
    </x:row>
    <x:row r="1775">
      <x:c r="A1775" s="47" t="n">
        <x:v>43549</x:v>
      </x:c>
      <x:c r="B1775" s="48" t="n">
        <x:v>1.0027</x:v>
      </x:c>
      <x:c r="C1775" s="22" t="str">
        <x:v>项目空间本地CSV</x:v>
      </x:c>
    </x:row>
    <x:row r="1776">
      <x:c r="A1776" s="47" t="n">
        <x:v>43546</x:v>
      </x:c>
      <x:c r="B1776" s="48" t="n">
        <x:v>1.0174</x:v>
      </x:c>
      <x:c r="C1776" s="22" t="str">
        <x:v>项目空间本地CSV</x:v>
      </x:c>
    </x:row>
    <x:row r="1777">
      <x:c r="A1777" s="47" t="n">
        <x:v>43545</x:v>
      </x:c>
      <x:c r="B1777" s="48" t="n">
        <x:v>1.021</x:v>
      </x:c>
      <x:c r="C1777" s="22" t="str">
        <x:v>项目空间本地CSV</x:v>
      </x:c>
    </x:row>
    <x:row r="1778">
      <x:c r="A1778" s="47" t="n">
        <x:v>43544</x:v>
      </x:c>
      <x:c r="B1778" s="48" t="n">
        <x:v>1.0126</x:v>
      </x:c>
      <x:c r="C1778" s="22" t="str">
        <x:v>项目空间本地CSV</x:v>
      </x:c>
    </x:row>
    <x:row r="1779">
      <x:c r="A1779" s="47" t="n">
        <x:v>43543</x:v>
      </x:c>
      <x:c r="B1779" s="48" t="n">
        <x:v>1.0175</x:v>
      </x:c>
      <x:c r="C1779" s="22" t="str">
        <x:v>项目空间本地CSV</x:v>
      </x:c>
    </x:row>
    <x:row r="1780">
      <x:c r="A1780" s="47" t="n">
        <x:v>43542</x:v>
      </x:c>
      <x:c r="B1780" s="48" t="n">
        <x:v>1.016</x:v>
      </x:c>
      <x:c r="C1780" s="22" t="str">
        <x:v>项目空间本地CSV</x:v>
      </x:c>
    </x:row>
    <x:row r="1781">
      <x:c r="A1781" s="47" t="n">
        <x:v>43539</x:v>
      </x:c>
      <x:c r="B1781" s="48" t="n">
        <x:v>1.002</x:v>
      </x:c>
      <x:c r="C1781" s="22" t="str">
        <x:v>项目空间本地CSV</x:v>
      </x:c>
    </x:row>
    <x:row r="1782">
      <x:c r="A1782" s="47" t="n">
        <x:v>43538</x:v>
      </x:c>
      <x:c r="B1782" s="48" t="n">
        <x:v>0.9937</x:v>
      </x:c>
      <x:c r="C1782" s="22" t="str">
        <x:v>项目空间本地CSV</x:v>
      </x:c>
    </x:row>
    <x:row r="1783">
      <x:c r="A1783" s="47" t="n">
        <x:v>43537</x:v>
      </x:c>
      <x:c r="B1783" s="48" t="n">
        <x:v>0.9996</x:v>
      </x:c>
      <x:c r="C1783" s="22" t="str">
        <x:v>项目空间本地CSV</x:v>
      </x:c>
    </x:row>
    <x:row r="1784">
      <x:c r="A1784" s="47" t="n">
        <x:v>43536</x:v>
      </x:c>
      <x:c r="B1784" s="48" t="n">
        <x:v>1.0179</x:v>
      </x:c>
      <x:c r="C1784" s="22" t="str">
        <x:v>项目空间本地CSV</x:v>
      </x:c>
    </x:row>
    <x:row r="1785">
      <x:c r="A1785" s="47" t="n">
        <x:v>43535</x:v>
      </x:c>
      <x:c r="B1785" s="48" t="n">
        <x:v>0.998</x:v>
      </x:c>
      <x:c r="C1785" s="22" t="str">
        <x:v>项目空间本地CSV</x:v>
      </x:c>
    </x:row>
    <x:row r="1786">
      <x:c r="A1786" s="47" t="n">
        <x:v>43532</x:v>
      </x:c>
      <x:c r="B1786" s="48" t="n">
        <x:v>0.9779</x:v>
      </x:c>
      <x:c r="C1786" s="22" t="str">
        <x:v>项目空间本地CSV</x:v>
      </x:c>
    </x:row>
    <x:row r="1787">
      <x:c r="A1787" s="47" t="n">
        <x:v>43531</x:v>
      </x:c>
      <x:c r="B1787" s="48" t="n">
        <x:v>0.9952</x:v>
      </x:c>
      <x:c r="C1787" s="22" t="str">
        <x:v>项目空间本地CSV</x:v>
      </x:c>
    </x:row>
    <x:row r="1788">
      <x:c r="A1788" s="47" t="n">
        <x:v>43530</x:v>
      </x:c>
      <x:c r="B1788" s="48" t="n">
        <x:v>1.0081</x:v>
      </x:c>
      <x:c r="C1788" s="22" t="str">
        <x:v>项目空间本地CSV</x:v>
      </x:c>
    </x:row>
    <x:row r="1789">
      <x:c r="A1789" s="47" t="n">
        <x:v>43529</x:v>
      </x:c>
      <x:c r="B1789" s="48" t="n">
        <x:v>1.0062</x:v>
      </x:c>
      <x:c r="C1789" s="22" t="str">
        <x:v>项目空间本地CSV</x:v>
      </x:c>
    </x:row>
    <x:row r="1790">
      <x:c r="A1790" s="47" t="n">
        <x:v>43528</x:v>
      </x:c>
      <x:c r="B1790" s="48" t="n">
        <x:v>0.9944</x:v>
      </x:c>
      <x:c r="C1790" s="22" t="str">
        <x:v>项目空间本地CSV</x:v>
      </x:c>
    </x:row>
    <x:row r="1791">
      <x:c r="A1791" s="47" t="n">
        <x:v>43523</x:v>
      </x:c>
      <x:c r="B1791" s="48" t="n">
        <x:v>0.9836</x:v>
      </x:c>
      <x:c r="C1791" s="22" t="str">
        <x:v>项目空间本地CSV</x:v>
      </x:c>
    </x:row>
    <x:row r="1792">
      <x:c r="A1792" s="47" t="n">
        <x:v>43522</x:v>
      </x:c>
      <x:c r="B1792" s="48" t="n">
        <x:v>0.9932</x:v>
      </x:c>
      <x:c r="C1792" s="22" t="str">
        <x:v>项目空间本地CSV</x:v>
      </x:c>
    </x:row>
    <x:row r="1793">
      <x:c r="A1793" s="47" t="n">
        <x:v>43521</x:v>
      </x:c>
      <x:c r="B1793" s="48" t="n">
        <x:v>0.9987</x:v>
      </x:c>
      <x:c r="C1793" s="22" t="str">
        <x:v>项目空间本地CSV</x:v>
      </x:c>
    </x:row>
    <x:row r="1794">
      <x:c r="A1794" s="47" t="n">
        <x:v>43518</x:v>
      </x:c>
      <x:c r="B1794" s="48" t="n">
        <x:v>0.982</x:v>
      </x:c>
      <x:c r="C1794" s="22" t="str">
        <x:v>项目空间本地CSV</x:v>
      </x:c>
    </x:row>
    <x:row r="1795">
      <x:c r="A1795" s="47" t="n">
        <x:v>43517</x:v>
      </x:c>
      <x:c r="B1795" s="48" t="n">
        <x:v>0.9586</x:v>
      </x:c>
      <x:c r="C1795" s="22" t="str">
        <x:v>项目空间本地CSV</x:v>
      </x:c>
    </x:row>
    <x:row r="1796">
      <x:c r="A1796" s="47" t="n">
        <x:v>43516</x:v>
      </x:c>
      <x:c r="B1796" s="48" t="n">
        <x:v>0.9603</x:v>
      </x:c>
      <x:c r="C1796" s="22" t="str">
        <x:v>项目空间本地CSV</x:v>
      </x:c>
    </x:row>
    <x:row r="1797">
      <x:c r="A1797" s="47" t="n">
        <x:v>43515</x:v>
      </x:c>
      <x:c r="B1797" s="48" t="n">
        <x:v>0.9573</x:v>
      </x:c>
      <x:c r="C1797" s="22" t="str">
        <x:v>项目空间本地CSV</x:v>
      </x:c>
    </x:row>
    <x:row r="1798">
      <x:c r="A1798" s="47" t="n">
        <x:v>43511</x:v>
      </x:c>
      <x:c r="B1798" s="48" t="n">
        <x:v>0.9428</x:v>
      </x:c>
      <x:c r="C1798" s="22" t="str">
        <x:v>项目空间本地CSV</x:v>
      </x:c>
    </x:row>
    <x:row r="1799">
      <x:c r="A1799" s="47" t="n">
        <x:v>43510</x:v>
      </x:c>
      <x:c r="B1799" s="48" t="n">
        <x:v>0.9499</x:v>
      </x:c>
      <x:c r="C1799" s="22" t="str">
        <x:v>项目空间本地CSV</x:v>
      </x:c>
    </x:row>
    <x:row r="1800">
      <x:c r="A1800" s="47" t="n">
        <x:v>43509</x:v>
      </x:c>
      <x:c r="B1800" s="48" t="n">
        <x:v>0.9509</x:v>
      </x:c>
      <x:c r="C1800" s="22" t="str">
        <x:v>项目空间本地CSV</x:v>
      </x:c>
    </x:row>
    <x:row r="1801">
      <x:c r="A1801" s="47" t="n">
        <x:v>43508</x:v>
      </x:c>
      <x:c r="B1801" s="48" t="n">
        <x:v>0.9451</x:v>
      </x:c>
      <x:c r="C1801" s="22" t="str">
        <x:v>项目空间本地CSV</x:v>
      </x:c>
    </x:row>
    <x:row r="1802">
      <x:c r="A1802" s="47" t="n">
        <x:v>43507</x:v>
      </x:c>
      <x:c r="B1802" s="48" t="n">
        <x:v>0.9301</x:v>
      </x:c>
      <x:c r="C1802" s="22" t="str">
        <x:v>项目空间本地CSV</x:v>
      </x:c>
    </x:row>
    <x:row r="1803">
      <x:c r="A1803" s="47" t="n">
        <x:v>43495</x:v>
      </x:c>
      <x:c r="B1803" s="48" t="n">
        <x:v>0.9087</x:v>
      </x:c>
      <x:c r="C1803" s="22" t="str">
        <x:v>项目空间本地CSV</x:v>
      </x:c>
    </x:row>
    <x:row r="1804">
      <x:c r="A1804" s="47" t="n">
        <x:v>43494</x:v>
      </x:c>
      <x:c r="B1804" s="48" t="n">
        <x:v>0.8975</x:v>
      </x:c>
      <x:c r="C1804" s="22" t="str">
        <x:v>项目空间本地CSV</x:v>
      </x:c>
    </x:row>
    <x:row r="1805">
      <x:c r="A1805" s="47" t="n">
        <x:v>43493</x:v>
      </x:c>
      <x:c r="B1805" s="48" t="n">
        <x:v>0.9062</x:v>
      </x:c>
      <x:c r="C1805" s="22" t="str">
        <x:v>项目空间本地CSV</x:v>
      </x:c>
    </x:row>
    <x:row r="1806">
      <x:c r="A1806" s="47" t="n">
        <x:v>43490</x:v>
      </x:c>
      <x:c r="B1806" s="48" t="n">
        <x:v>0.9196</x:v>
      </x:c>
      <x:c r="C1806" s="22" t="str">
        <x:v>项目空间本地CSV</x:v>
      </x:c>
    </x:row>
    <x:row r="1807">
      <x:c r="A1807" s="47" t="n">
        <x:v>43489</x:v>
      </x:c>
      <x:c r="B1807" s="48" t="n">
        <x:v>0.9064</x:v>
      </x:c>
      <x:c r="C1807" s="22" t="str">
        <x:v>项目空间本地CSV</x:v>
      </x:c>
    </x:row>
    <x:row r="1808">
      <x:c r="A1808" s="47" t="n">
        <x:v>43488</x:v>
      </x:c>
      <x:c r="B1808" s="48" t="n">
        <x:v>0.9057</x:v>
      </x:c>
      <x:c r="C1808" s="22" t="str">
        <x:v>项目空间本地CSV</x:v>
      </x:c>
    </x:row>
    <x:row r="1809">
      <x:c r="A1809" s="47" t="n">
        <x:v>43487</x:v>
      </x:c>
      <x:c r="B1809" s="48" t="n">
        <x:v>0.9035</x:v>
      </x:c>
      <x:c r="C1809" s="22" t="str">
        <x:v>项目空间本地CSV</x:v>
      </x:c>
    </x:row>
    <x:row r="1810">
      <x:c r="A1810" s="47" t="n">
        <x:v>43483</x:v>
      </x:c>
      <x:c r="B1810" s="48" t="n">
        <x:v>0.911</x:v>
      </x:c>
      <x:c r="C1810" s="22" t="str">
        <x:v>项目空间本地CSV</x:v>
      </x:c>
    </x:row>
    <x:row r="1811">
      <x:c r="A1811" s="47" t="n">
        <x:v>43482</x:v>
      </x:c>
      <x:c r="B1811" s="48" t="n">
        <x:v>0.9027</x:v>
      </x:c>
      <x:c r="C1811" s="22" t="str">
        <x:v>项目空间本地CSV</x:v>
      </x:c>
    </x:row>
    <x:row r="1812">
      <x:c r="A1812" s="47" t="n">
        <x:v>43481</x:v>
      </x:c>
      <x:c r="B1812" s="48" t="n">
        <x:v>0.9009</x:v>
      </x:c>
      <x:c r="C1812" s="22" t="str">
        <x:v>项目空间本地CSV</x:v>
      </x:c>
    </x:row>
    <x:row r="1813">
      <x:c r="A1813" s="47" t="n">
        <x:v>43480</x:v>
      </x:c>
      <x:c r="B1813" s="48" t="n">
        <x:v>0.8991</x:v>
      </x:c>
      <x:c r="C1813" s="22" t="str">
        <x:v>项目空间本地CSV</x:v>
      </x:c>
    </x:row>
    <x:row r="1814">
      <x:c r="A1814" s="47" t="n">
        <x:v>43479</x:v>
      </x:c>
      <x:c r="B1814" s="48" t="n">
        <x:v>0.8884</x:v>
      </x:c>
      <x:c r="C1814" s="22" t="str">
        <x:v>项目空间本地CSV</x:v>
      </x:c>
    </x:row>
    <x:row r="1815">
      <x:c r="A1815" s="47" t="n">
        <x:v>43476</x:v>
      </x:c>
      <x:c r="B1815" s="48" t="n">
        <x:v>0.8993</x:v>
      </x:c>
      <x:c r="C1815" s="22" t="str">
        <x:v>项目空间本地CSV</x:v>
      </x:c>
    </x:row>
    <x:row r="1816">
      <x:c r="A1816" s="47" t="n">
        <x:v>43475</x:v>
      </x:c>
      <x:c r="B1816" s="48" t="n">
        <x:v>0.9043</x:v>
      </x:c>
      <x:c r="C1816" s="22" t="str">
        <x:v>项目空间本地CSV</x:v>
      </x:c>
    </x:row>
    <x:row r="1817">
      <x:c r="A1817" s="47" t="n">
        <x:v>43474</x:v>
      </x:c>
      <x:c r="B1817" s="48" t="n">
        <x:v>0.9093</x:v>
      </x:c>
      <x:c r="C1817" s="22" t="str">
        <x:v>项目空间本地CSV</x:v>
      </x:c>
    </x:row>
    <x:row r="1818">
      <x:c r="A1818" s="47" t="n">
        <x:v>43473</x:v>
      </x:c>
      <x:c r="B1818" s="48" t="n">
        <x:v>0.8966</x:v>
      </x:c>
      <x:c r="C1818" s="22" t="str">
        <x:v>项目空间本地CSV</x:v>
      </x:c>
    </x:row>
    <x:row r="1819">
      <x:c r="A1819" s="47" t="n">
        <x:v>43472</x:v>
      </x:c>
      <x:c r="B1819" s="48" t="n">
        <x:v>0.8912</x:v>
      </x:c>
      <x:c r="C1819" s="22" t="str">
        <x:v>项目空间本地CSV</x:v>
      </x:c>
    </x:row>
    <x:row r="1820">
      <x:c r="A1820" s="47" t="n">
        <x:v>43469</x:v>
      </x:c>
      <x:c r="B1820" s="48" t="n">
        <x:v>0.8802</x:v>
      </x:c>
      <x:c r="C1820" s="22" t="str">
        <x:v>项目空间本地CSV</x:v>
      </x:c>
    </x:row>
    <x:row r="1821">
      <x:c r="A1821" s="47" t="n">
        <x:v>43468</x:v>
      </x:c>
      <x:c r="B1821" s="48" t="n">
        <x:v>0.858</x:v>
      </x:c>
      <x:c r="C1821" s="22" t="str">
        <x:v>项目空间本地CSV</x:v>
      </x:c>
    </x:row>
    <x:row r="1822">
      <x:c r="A1822" s="47" t="n">
        <x:v>43467</x:v>
      </x:c>
      <x:c r="B1822" s="48" t="n">
        <x:v>0.8767</x:v>
      </x:c>
      <x:c r="C1822" s="22" t="str">
        <x:v>项目空间本地CSV</x:v>
      </x:c>
    </x:row>
    <x:row r="1823">
      <x:c r="A1823" s="47" t="n">
        <x:v>43465</x:v>
      </x:c>
      <x:c r="B1823" s="48" t="n">
        <x:v>0.8859</x:v>
      </x:c>
      <x:c r="C1823" s="22" t="str">
        <x:v>项目空间本地CSV</x:v>
      </x:c>
    </x:row>
    <x:row r="1824">
      <x:c r="A1824" s="47" t="n">
        <x:v>43455</x:v>
      </x:c>
      <x:c r="B1824" s="48" t="n">
        <x:v>0.8506</x:v>
      </x:c>
      <x:c r="C1824" s="22" t="str">
        <x:v>项目空间本地CSV</x:v>
      </x:c>
    </x:row>
    <x:row r="1825">
      <x:c r="A1825" s="47" t="n">
        <x:v>43454</x:v>
      </x:c>
      <x:c r="B1825" s="48" t="n">
        <x:v>0.8719</x:v>
      </x:c>
      <x:c r="C1825" s="22" t="str">
        <x:v>项目空间本地CSV</x:v>
      </x:c>
    </x:row>
    <x:row r="1826">
      <x:c r="A1826" s="47" t="n">
        <x:v>43453</x:v>
      </x:c>
      <x:c r="B1826" s="48" t="n">
        <x:v>0.8858</x:v>
      </x:c>
      <x:c r="C1826" s="22" t="str">
        <x:v>项目空间本地CSV</x:v>
      </x:c>
    </x:row>
    <x:row r="1827">
      <x:c r="A1827" s="47" t="n">
        <x:v>43452</x:v>
      </x:c>
      <x:c r="B1827" s="48" t="n">
        <x:v>0.8947</x:v>
      </x:c>
      <x:c r="C1827" s="22" t="str">
        <x:v>项目空间本地CSV</x:v>
      </x:c>
    </x:row>
    <x:row r="1828">
      <x:c r="A1828" s="47" t="n">
        <x:v>43451</x:v>
      </x:c>
      <x:c r="B1828" s="48" t="n">
        <x:v>0.8934</x:v>
      </x:c>
      <x:c r="C1828" s="22" t="str">
        <x:v>项目空间本地CSV</x:v>
      </x:c>
    </x:row>
    <x:row r="1829">
      <x:c r="A1829" s="47" t="n">
        <x:v>43448</x:v>
      </x:c>
      <x:c r="B1829" s="48" t="n">
        <x:v>0.9106</x:v>
      </x:c>
      <x:c r="C1829" s="22" t="str">
        <x:v>项目空间本地CSV</x:v>
      </x:c>
    </x:row>
    <x:row r="1830">
      <x:c r="A1830" s="47" t="n">
        <x:v>43447</x:v>
      </x:c>
      <x:c r="B1830" s="48" t="n">
        <x:v>0.9329</x:v>
      </x:c>
      <x:c r="C1830" s="22" t="str">
        <x:v>项目空间本地CSV</x:v>
      </x:c>
    </x:row>
    <x:row r="1831">
      <x:c r="A1831" s="47" t="n">
        <x:v>43446</x:v>
      </x:c>
      <x:c r="B1831" s="48" t="n">
        <x:v>0.9346</x:v>
      </x:c>
      <x:c r="C1831" s="22" t="str">
        <x:v>项目空间本地CSV</x:v>
      </x:c>
    </x:row>
    <x:row r="1832">
      <x:c r="A1832" s="47" t="n">
        <x:v>43445</x:v>
      </x:c>
      <x:c r="B1832" s="48" t="n">
        <x:v>0.9241</x:v>
      </x:c>
      <x:c r="C1832" s="22" t="str">
        <x:v>项目空间本地CSV</x:v>
      </x:c>
    </x:row>
    <x:row r="1833">
      <x:c r="A1833" s="47" t="n">
        <x:v>43444</x:v>
      </x:c>
      <x:c r="B1833" s="48" t="n">
        <x:v>0.9178</x:v>
      </x:c>
      <x:c r="C1833" s="22" t="str">
        <x:v>项目空间本地CSV</x:v>
      </x:c>
    </x:row>
    <x:row r="1834">
      <x:c r="A1834" s="47" t="n">
        <x:v>43441</x:v>
      </x:c>
      <x:c r="B1834" s="48" t="n">
        <x:v>0.9129</x:v>
      </x:c>
      <x:c r="C1834" s="22" t="str">
        <x:v>项目空间本地CSV</x:v>
      </x:c>
    </x:row>
    <x:row r="1835">
      <x:c r="A1835" s="47" t="n">
        <x:v>43440</x:v>
      </x:c>
      <x:c r="B1835" s="48" t="n">
        <x:v>0.9317</x:v>
      </x:c>
      <x:c r="C1835" s="22" t="str">
        <x:v>项目空间本地CSV</x:v>
      </x:c>
    </x:row>
    <x:row r="1836">
      <x:c r="A1836" s="47" t="n">
        <x:v>43438</x:v>
      </x:c>
      <x:c r="B1836" s="48" t="n">
        <x:v>0.9385</x:v>
      </x:c>
      <x:c r="C1836" s="22" t="str">
        <x:v>项目空间本地CSV</x:v>
      </x:c>
    </x:row>
    <x:row r="1837">
      <x:c r="A1837" s="47" t="n">
        <x:v>43437</x:v>
      </x:c>
      <x:c r="B1837" s="48" t="n">
        <x:v>0.9691</x:v>
      </x:c>
      <x:c r="C1837" s="22" t="str">
        <x:v>项目空间本地CSV</x:v>
      </x:c>
    </x:row>
    <x:row r="1838">
      <x:c r="A1838" s="47" t="n">
        <x:v>43434</x:v>
      </x:c>
      <x:c r="B1838" s="48" t="n">
        <x:v>0.9468</x:v>
      </x:c>
      <x:c r="C1838" s="22" t="str">
        <x:v>项目空间本地CSV</x:v>
      </x:c>
    </x:row>
    <x:row r="1839">
      <x:c r="A1839" s="47" t="n">
        <x:v>43433</x:v>
      </x:c>
      <x:c r="B1839" s="48" t="n">
        <x:v>0.9389</x:v>
      </x:c>
      <x:c r="C1839" s="22" t="str">
        <x:v>项目空间本地CSV</x:v>
      </x:c>
    </x:row>
    <x:row r="1840">
      <x:c r="A1840" s="47" t="n">
        <x:v>43432</x:v>
      </x:c>
      <x:c r="B1840" s="48" t="n">
        <x:v>0.9476</x:v>
      </x:c>
      <x:c r="C1840" s="22" t="str">
        <x:v>项目空间本地CSV</x:v>
      </x:c>
    </x:row>
    <x:row r="1841">
      <x:c r="A1841" s="47" t="n">
        <x:v>43431</x:v>
      </x:c>
      <x:c r="B1841" s="48" t="n">
        <x:v>0.919</x:v>
      </x:c>
      <x:c r="C1841" s="22" t="str">
        <x:v>项目空间本地CSV</x:v>
      </x:c>
    </x:row>
    <x:row r="1842">
      <x:c r="A1842" s="47" t="n">
        <x:v>43430</x:v>
      </x:c>
      <x:c r="B1842" s="48" t="n">
        <x:v>0.9165</x:v>
      </x:c>
      <x:c r="C1842" s="22" t="str">
        <x:v>项目空间本地CSV</x:v>
      </x:c>
    </x:row>
    <x:row r="1843">
      <x:c r="A1843" s="47" t="n">
        <x:v>43427</x:v>
      </x:c>
      <x:c r="B1843" s="48" t="n">
        <x:v>0.8937</x:v>
      </x:c>
      <x:c r="C1843" s="22" t="str">
        <x:v>项目空间本地CSV</x:v>
      </x:c>
    </x:row>
    <x:row r="1844">
      <x:c r="A1844" s="47" t="n">
        <x:v>43425</x:v>
      </x:c>
      <x:c r="B1844" s="48" t="n">
        <x:v>0.9018</x:v>
      </x:c>
      <x:c r="C1844" s="22" t="str">
        <x:v>项目空间本地CSV</x:v>
      </x:c>
    </x:row>
    <x:row r="1845">
      <x:c r="A1845" s="47" t="n">
        <x:v>43424</x:v>
      </x:c>
      <x:c r="B1845" s="48" t="n">
        <x:v>0.8913</x:v>
      </x:c>
      <x:c r="C1845" s="22" t="str">
        <x:v>项目空间本地CSV</x:v>
      </x:c>
    </x:row>
    <x:row r="1846">
      <x:c r="A1846" s="47" t="n">
        <x:v>43423</x:v>
      </x:c>
      <x:c r="B1846" s="48" t="n">
        <x:v>0.9038</x:v>
      </x:c>
      <x:c r="C1846" s="22" t="str">
        <x:v>项目空间本地CSV</x:v>
      </x:c>
    </x:row>
    <x:row r="1847">
      <x:c r="A1847" s="47" t="n">
        <x:v>43420</x:v>
      </x:c>
      <x:c r="B1847" s="48" t="n">
        <x:v>0.9356</x:v>
      </x:c>
      <x:c r="C1847" s="22" t="str">
        <x:v>项目空间本地CSV</x:v>
      </x:c>
    </x:row>
    <x:row r="1848">
      <x:c r="A1848" s="47" t="n">
        <x:v>43419</x:v>
      </x:c>
      <x:c r="B1848" s="48" t="n">
        <x:v>0.9432</x:v>
      </x:c>
      <x:c r="C1848" s="22" t="str">
        <x:v>项目空间本地CSV</x:v>
      </x:c>
    </x:row>
    <x:row r="1849">
      <x:c r="A1849" s="47" t="n">
        <x:v>43418</x:v>
      </x:c>
      <x:c r="B1849" s="48" t="n">
        <x:v>0.9297</x:v>
      </x:c>
      <x:c r="C1849" s="22" t="str">
        <x:v>项目空间本地CSV</x:v>
      </x:c>
    </x:row>
    <x:row r="1850">
      <x:c r="A1850" s="47" t="n">
        <x:v>43417</x:v>
      </x:c>
      <x:c r="B1850" s="48" t="n">
        <x:v>0.9399</x:v>
      </x:c>
      <x:c r="C1850" s="22" t="str">
        <x:v>项目空间本地CSV</x:v>
      </x:c>
    </x:row>
    <x:row r="1851">
      <x:c r="A1851" s="47" t="n">
        <x:v>43416</x:v>
      </x:c>
      <x:c r="B1851" s="48" t="n">
        <x:v>0.9373</x:v>
      </x:c>
      <x:c r="C1851" s="22" t="str">
        <x:v>项目空间本地CSV</x:v>
      </x:c>
    </x:row>
    <x:row r="1852">
      <x:c r="A1852" s="47" t="n">
        <x:v>43413</x:v>
      </x:c>
      <x:c r="B1852" s="48" t="n">
        <x:v>0.956</x:v>
      </x:c>
      <x:c r="C1852" s="22" t="str">
        <x:v>项目空间本地CSV</x:v>
      </x:c>
    </x:row>
    <x:row r="1853">
      <x:c r="A1853" s="47" t="n">
        <x:v>43412</x:v>
      </x:c>
      <x:c r="B1853" s="48" t="n">
        <x:v>0.9701</x:v>
      </x:c>
      <x:c r="C1853" s="22" t="str">
        <x:v>项目空间本地CSV</x:v>
      </x:c>
    </x:row>
    <x:row r="1854">
      <x:c r="A1854" s="47" t="n">
        <x:v>43411</x:v>
      </x:c>
      <x:c r="B1854" s="48" t="n">
        <x:v>0.9731</x:v>
      </x:c>
      <x:c r="C1854" s="22" t="str">
        <x:v>项目空间本地CSV</x:v>
      </x:c>
    </x:row>
    <x:row r="1855">
      <x:c r="A1855" s="47" t="n">
        <x:v>43410</x:v>
      </x:c>
      <x:c r="B1855" s="48" t="n">
        <x:v>0.9492</x:v>
      </x:c>
      <x:c r="C1855" s="22" t="str">
        <x:v>项目空间本地CSV</x:v>
      </x:c>
    </x:row>
    <x:row r="1856">
      <x:c r="A1856" s="47" t="n">
        <x:v>43409</x:v>
      </x:c>
      <x:c r="B1856" s="48" t="n">
        <x:v>0.9466</x:v>
      </x:c>
      <x:c r="C1856" s="22" t="str">
        <x:v>项目空间本地CSV</x:v>
      </x:c>
    </x:row>
    <x:row r="1857">
      <x:c r="A1857" s="47" t="n">
        <x:v>43406</x:v>
      </x:c>
      <x:c r="B1857" s="48" t="n">
        <x:v>0.9558</x:v>
      </x:c>
      <x:c r="C1857" s="22" t="str">
        <x:v>项目空间本地CSV</x:v>
      </x:c>
    </x:row>
    <x:row r="1858">
      <x:c r="A1858" s="47" t="n">
        <x:v>43405</x:v>
      </x:c>
      <x:c r="B1858" s="48" t="n">
        <x:v>0.9634</x:v>
      </x:c>
      <x:c r="C1858" s="22" t="str">
        <x:v>项目空间本地CSV</x:v>
      </x:c>
    </x:row>
    <x:row r="1859">
      <x:c r="A1859" s="47" t="n">
        <x:v>43404</x:v>
      </x:c>
      <x:c r="B1859" s="48" t="n">
        <x:v>0.9532</x:v>
      </x:c>
      <x:c r="C1859" s="22" t="str">
        <x:v>项目空间本地CSV</x:v>
      </x:c>
    </x:row>
    <x:row r="1860">
      <x:c r="A1860" s="47" t="n">
        <x:v>43403</x:v>
      </x:c>
      <x:c r="B1860" s="48" t="n">
        <x:v>0.9268</x:v>
      </x:c>
      <x:c r="C1860" s="22" t="str">
        <x:v>项目空间本地CSV</x:v>
      </x:c>
    </x:row>
    <x:row r="1861">
      <x:c r="A1861" s="47" t="n">
        <x:v>43402</x:v>
      </x:c>
      <x:c r="B1861" s="48" t="n">
        <x:v>0.9203</x:v>
      </x:c>
      <x:c r="C1861" s="22" t="str">
        <x:v>项目空间本地CSV</x:v>
      </x:c>
    </x:row>
    <x:row r="1862">
      <x:c r="A1862" s="47" t="n">
        <x:v>43399</x:v>
      </x:c>
      <x:c r="B1862" s="48" t="n">
        <x:v>0.9426</x:v>
      </x:c>
      <x:c r="C1862" s="22" t="str">
        <x:v>项目空间本地CSV</x:v>
      </x:c>
    </x:row>
    <x:row r="1863">
      <x:c r="A1863" s="47" t="n">
        <x:v>43398</x:v>
      </x:c>
      <x:c r="B1863" s="48" t="n">
        <x:v>0.9606</x:v>
      </x:c>
      <x:c r="C1863" s="22" t="str">
        <x:v>项目空间本地CSV</x:v>
      </x:c>
    </x:row>
    <x:row r="1864">
      <x:c r="A1864" s="47" t="n">
        <x:v>43397</x:v>
      </x:c>
      <x:c r="B1864" s="48" t="n">
        <x:v>0.9364</x:v>
      </x:c>
      <x:c r="C1864" s="22" t="str">
        <x:v>项目空间本地CSV</x:v>
      </x:c>
    </x:row>
    <x:row r="1865">
      <x:c r="A1865" s="47" t="n">
        <x:v>43396</x:v>
      </x:c>
      <x:c r="B1865" s="48" t="n">
        <x:v>0.9699</x:v>
      </x:c>
      <x:c r="C1865" s="22" t="str">
        <x:v>项目空间本地CSV</x:v>
      </x:c>
    </x:row>
    <x:row r="1866">
      <x:c r="A1866" s="47" t="n">
        <x:v>43395</x:v>
      </x:c>
      <x:c r="B1866" s="48" t="n">
        <x:v>0.98</x:v>
      </x:c>
      <x:c r="C1866" s="22" t="str">
        <x:v>项目空间本地CSV</x:v>
      </x:c>
    </x:row>
    <x:row r="1867">
      <x:c r="A1867" s="47" t="n">
        <x:v>43392</x:v>
      </x:c>
      <x:c r="B1867" s="48" t="n">
        <x:v>0.9734</x:v>
      </x:c>
      <x:c r="C1867" s="22" t="str">
        <x:v>项目空间本地CSV</x:v>
      </x:c>
    </x:row>
    <x:row r="1868">
      <x:c r="A1868" s="47" t="n">
        <x:v>43391</x:v>
      </x:c>
      <x:c r="B1868" s="48" t="n">
        <x:v>0.9757</x:v>
      </x:c>
      <x:c r="C1868" s="22" t="str">
        <x:v>项目空间本地CSV</x:v>
      </x:c>
    </x:row>
    <x:row r="1869">
      <x:c r="A1869" s="47" t="n">
        <x:v>43389</x:v>
      </x:c>
      <x:c r="B1869" s="48" t="n">
        <x:v>0.9899</x:v>
      </x:c>
      <x:c r="C1869" s="22" t="str">
        <x:v>项目空间本地CSV</x:v>
      </x:c>
    </x:row>
    <x:row r="1870">
      <x:c r="A1870" s="47" t="n">
        <x:v>43388</x:v>
      </x:c>
      <x:c r="B1870" s="48" t="n">
        <x:v>0.9622</x:v>
      </x:c>
      <x:c r="C1870" s="22" t="str">
        <x:v>项目空间本地CSV</x:v>
      </x:c>
    </x:row>
    <x:row r="1871">
      <x:c r="A1871" s="47" t="n">
        <x:v>43385</x:v>
      </x:c>
      <x:c r="B1871" s="48" t="n">
        <x:v>0.9766</x:v>
      </x:c>
      <x:c r="C1871" s="22" t="str">
        <x:v>项目空间本地CSV</x:v>
      </x:c>
    </x:row>
    <x:row r="1872">
      <x:c r="A1872" s="47" t="n">
        <x:v>43384</x:v>
      </x:c>
      <x:c r="B1872" s="48" t="n">
        <x:v>0.9484</x:v>
      </x:c>
      <x:c r="C1872" s="22" t="str">
        <x:v>项目空间本地CSV</x:v>
      </x:c>
    </x:row>
    <x:row r="1873">
      <x:c r="A1873" s="47" t="n">
        <x:v>43382</x:v>
      </x:c>
      <x:c r="B1873" s="48" t="n">
        <x:v>0.9943</x:v>
      </x:c>
      <x:c r="C1873" s="22" t="str">
        <x:v>项目空间本地CSV</x:v>
      </x:c>
    </x:row>
    <x:row r="1874">
      <x:c r="A1874" s="47" t="n">
        <x:v>43381</x:v>
      </x:c>
      <x:c r="B1874" s="48" t="n">
        <x:v>0.9911</x:v>
      </x:c>
      <x:c r="C1874" s="22" t="str">
        <x:v>项目空间本地CSV</x:v>
      </x:c>
    </x:row>
    <x:row r="1875">
      <x:c r="A1875" s="47" t="n">
        <x:v>43369</x:v>
      </x:c>
      <x:c r="B1875" s="48" t="n">
        <x:v>1.0269</x:v>
      </x:c>
      <x:c r="C1875" s="22" t="str">
        <x:v>项目空间本地CSV</x:v>
      </x:c>
    </x:row>
    <x:row r="1876">
      <x:c r="A1876" s="47" t="n">
        <x:v>43362</x:v>
      </x:c>
      <x:c r="B1876" s="48" t="n">
        <x:v>1.0172</x:v>
      </x:c>
      <x:c r="C1876" s="22" t="str">
        <x:v>项目空间本地CSV</x:v>
      </x:c>
    </x:row>
    <x:row r="1877">
      <x:c r="A1877" s="47" t="n">
        <x:v>43361</x:v>
      </x:c>
      <x:c r="B1877" s="48" t="n">
        <x:v>1.0206</x:v>
      </x:c>
      <x:c r="C1877" s="22" t="str">
        <x:v>项目空间本地CSV</x:v>
      </x:c>
    </x:row>
    <x:row r="1878">
      <x:c r="A1878" s="47" t="n">
        <x:v>43360</x:v>
      </x:c>
      <x:c r="B1878" s="48" t="n">
        <x:v>1.0171</x:v>
      </x:c>
      <x:c r="C1878" s="22" t="str">
        <x:v>项目空间本地CSV</x:v>
      </x:c>
    </x:row>
    <x:row r="1879">
      <x:c r="A1879" s="47" t="n">
        <x:v>43357</x:v>
      </x:c>
      <x:c r="B1879" s="48" t="n">
        <x:v>1.0284</x:v>
      </x:c>
      <x:c r="C1879" s="22" t="str">
        <x:v>项目空间本地CSV</x:v>
      </x:c>
    </x:row>
    <x:row r="1880">
      <x:c r="A1880" s="47" t="n">
        <x:v>43356</x:v>
      </x:c>
      <x:c r="B1880" s="48" t="n">
        <x:v>1.0294</x:v>
      </x:c>
      <x:c r="C1880" s="22" t="str">
        <x:v>项目空间本地CSV</x:v>
      </x:c>
    </x:row>
    <x:row r="1881">
      <x:c r="A1881" s="47" t="n">
        <x:v>43355</x:v>
      </x:c>
      <x:c r="B1881" s="48" t="n">
        <x:v>1.0256</x:v>
      </x:c>
      <x:c r="C1881" s="22" t="str">
        <x:v>项目空间本地CSV</x:v>
      </x:c>
    </x:row>
    <x:row r="1882">
      <x:c r="A1882" s="47" t="n">
        <x:v>43354</x:v>
      </x:c>
      <x:c r="B1882" s="48" t="n">
        <x:v>1.0261</x:v>
      </x:c>
      <x:c r="C1882" s="22" t="str">
        <x:v>项目空间本地CSV</x:v>
      </x:c>
    </x:row>
    <x:row r="1883">
      <x:c r="A1883" s="47" t="n">
        <x:v>43353</x:v>
      </x:c>
      <x:c r="B1883" s="48" t="n">
        <x:v>1.0194</x:v>
      </x:c>
      <x:c r="C1883" s="22" t="str">
        <x:v>项目空间本地CSV</x:v>
      </x:c>
    </x:row>
    <x:row r="1884">
      <x:c r="A1884" s="47" t="n">
        <x:v>43350</x:v>
      </x:c>
      <x:c r="B1884" s="48" t="n">
        <x:v>1.0261</x:v>
      </x:c>
      <x:c r="C1884" s="22" t="str">
        <x:v>项目空间本地CSV</x:v>
      </x:c>
    </x:row>
    <x:row r="1885">
      <x:c r="A1885" s="47" t="n">
        <x:v>43349</x:v>
      </x:c>
      <x:c r="B1885" s="48" t="n">
        <x:v>1.028</x:v>
      </x:c>
      <x:c r="C1885" s="22" t="str">
        <x:v>项目空间本地CSV</x:v>
      </x:c>
    </x:row>
    <x:row r="1886">
      <x:c r="A1886" s="47" t="n">
        <x:v>43348</x:v>
      </x:c>
      <x:c r="B1886" s="48" t="n">
        <x:v>1.0328</x:v>
      </x:c>
      <x:c r="C1886" s="22" t="str">
        <x:v>项目空间本地CSV</x:v>
      </x:c>
    </x:row>
    <x:row r="1887">
      <x:c r="A1887" s="47" t="n">
        <x:v>43347</x:v>
      </x:c>
      <x:c r="B1887" s="48" t="n">
        <x:v>1.0491</x:v>
      </x:c>
      <x:c r="C1887" s="22" t="str">
        <x:v>项目空间本地CSV</x:v>
      </x:c>
    </x:row>
    <x:row r="1888">
      <x:c r="A1888" s="47" t="n">
        <x:v>43343</x:v>
      </x:c>
      <x:c r="B1888" s="48" t="n">
        <x:v>1.0447</x:v>
      </x:c>
      <x:c r="C1888" s="22" t="str">
        <x:v>项目空间本地CSV</x:v>
      </x:c>
    </x:row>
    <x:row r="1889">
      <x:c r="A1889" s="47" t="n">
        <x:v>43342</x:v>
      </x:c>
      <x:c r="B1889" s="48" t="n">
        <x:v>1.0447</x:v>
      </x:c>
      <x:c r="C1889" s="22" t="str">
        <x:v>项目空间本地CSV</x:v>
      </x:c>
    </x:row>
    <x:row r="1890">
      <x:c r="A1890" s="47" t="n">
        <x:v>43341</x:v>
      </x:c>
      <x:c r="B1890" s="48" t="n">
        <x:v>1.0456</x:v>
      </x:c>
      <x:c r="C1890" s="22" t="str">
        <x:v>项目空间本地CSV</x:v>
      </x:c>
    </x:row>
    <x:row r="1891">
      <x:c r="A1891" s="47" t="n">
        <x:v>43340</x:v>
      </x:c>
      <x:c r="B1891" s="48" t="n">
        <x:v>1.0341</x:v>
      </x:c>
      <x:c r="C1891" s="22" t="str">
        <x:v>项目空间本地CSV</x:v>
      </x:c>
    </x:row>
    <x:row r="1892">
      <x:c r="A1892" s="47" t="n">
        <x:v>43339</x:v>
      </x:c>
      <x:c r="B1892" s="48" t="n">
        <x:v>1.0363</x:v>
      </x:c>
      <x:c r="C1892" s="22" t="str">
        <x:v>项目空间本地CSV</x:v>
      </x:c>
    </x:row>
    <x:row r="1893">
      <x:c r="A1893" s="47" t="n">
        <x:v>43336</x:v>
      </x:c>
      <x:c r="B1893" s="48" t="n">
        <x:v>1.0294</x:v>
      </x:c>
      <x:c r="C1893" s="22" t="str">
        <x:v>项目空间本地CSV</x:v>
      </x:c>
    </x:row>
    <x:row r="1894">
      <x:c r="A1894" s="47" t="n">
        <x:v>43335</x:v>
      </x:c>
      <x:c r="B1894" s="48" t="n">
        <x:v>1.0166</x:v>
      </x:c>
      <x:c r="C1894" s="22" t="str">
        <x:v>项目空间本地CSV</x:v>
      </x:c>
    </x:row>
    <x:row r="1895">
      <x:c r="A1895" s="47" t="n">
        <x:v>43334</x:v>
      </x:c>
      <x:c r="B1895" s="48" t="n">
        <x:v>1.0129</x:v>
      </x:c>
      <x:c r="C1895" s="22" t="str">
        <x:v>项目空间本地CSV</x:v>
      </x:c>
    </x:row>
    <x:row r="1896">
      <x:c r="A1896" s="47" t="n">
        <x:v>43333</x:v>
      </x:c>
      <x:c r="B1896" s="48" t="n">
        <x:v>1.0116</x:v>
      </x:c>
      <x:c r="C1896" s="22" t="str">
        <x:v>项目空间本地CSV</x:v>
      </x:c>
    </x:row>
    <x:row r="1897">
      <x:c r="A1897" s="47" t="n">
        <x:v>43332</x:v>
      </x:c>
      <x:c r="B1897" s="48" t="n">
        <x:v>1.0152</x:v>
      </x:c>
      <x:c r="C1897" s="22" t="str">
        <x:v>项目空间本地CSV</x:v>
      </x:c>
    </x:row>
    <x:row r="1898">
      <x:c r="A1898" s="47" t="n">
        <x:v>43329</x:v>
      </x:c>
      <x:c r="B1898" s="48" t="n">
        <x:v>1.0153</x:v>
      </x:c>
      <x:c r="C1898" s="22" t="str">
        <x:v>项目空间本地CSV</x:v>
      </x:c>
    </x:row>
    <x:row r="1899">
      <x:c r="A1899" s="47" t="n">
        <x:v>43328</x:v>
      </x:c>
      <x:c r="B1899" s="48" t="n">
        <x:v>1.0203</x:v>
      </x:c>
      <x:c r="C1899" s="22" t="str">
        <x:v>项目空间本地CSV</x:v>
      </x:c>
    </x:row>
    <x:row r="1900">
      <x:c r="A1900" s="47" t="n">
        <x:v>43327</x:v>
      </x:c>
      <x:c r="B1900" s="48" t="n">
        <x:v>1.0169</x:v>
      </x:c>
      <x:c r="C1900" s="22" t="str">
        <x:v>项目空间本地CSV</x:v>
      </x:c>
    </x:row>
    <x:row r="1901">
      <x:c r="A1901" s="47" t="n">
        <x:v>43326</x:v>
      </x:c>
      <x:c r="B1901" s="48" t="n">
        <x:v>1.0263</x:v>
      </x:c>
      <x:c r="C1901" s="22" t="str">
        <x:v>项目空间本地CSV</x:v>
      </x:c>
    </x:row>
    <x:row r="1902">
      <x:c r="A1902" s="47" t="n">
        <x:v>43325</x:v>
      </x:c>
      <x:c r="B1902" s="48" t="n">
        <x:v>1.0202</x:v>
      </x:c>
      <x:c r="C1902" s="22" t="str">
        <x:v>项目空间本地CSV</x:v>
      </x:c>
    </x:row>
    <x:row r="1903">
      <x:c r="A1903" s="47" t="n">
        <x:v>43322</x:v>
      </x:c>
      <x:c r="B1903" s="48" t="n">
        <x:v>1.0345</x:v>
      </x:c>
      <x:c r="C1903" s="22" t="str">
        <x:v>项目空间本地CSV</x:v>
      </x:c>
    </x:row>
    <x:row r="1904">
      <x:c r="A1904" s="47" t="n">
        <x:v>43321</x:v>
      </x:c>
      <x:c r="B1904" s="48" t="n">
        <x:v>1.0389</x:v>
      </x:c>
      <x:c r="C1904" s="22" t="str">
        <x:v>项目空间本地CSV</x:v>
      </x:c>
    </x:row>
    <x:row r="1905">
      <x:c r="A1905" s="47" t="n">
        <x:v>43320</x:v>
      </x:c>
      <x:c r="B1905" s="48" t="n">
        <x:v>1.0379</x:v>
      </x:c>
      <x:c r="C1905" s="22" t="str">
        <x:v>项目空间本地CSV</x:v>
      </x:c>
    </x:row>
    <x:row r="1906">
      <x:c r="A1906" s="47" t="n">
        <x:v>43319</x:v>
      </x:c>
      <x:c r="B1906" s="48" t="n">
        <x:v>1.0352</x:v>
      </x:c>
      <x:c r="C1906" s="22" t="str">
        <x:v>项目空间本地CSV</x:v>
      </x:c>
    </x:row>
    <x:row r="1907">
      <x:c r="A1907" s="47" t="n">
        <x:v>43318</x:v>
      </x:c>
      <x:c r="B1907" s="48" t="n">
        <x:v>1.0322</x:v>
      </x:c>
      <x:c r="C1907" s="22" t="str">
        <x:v>项目空间本地CSV</x:v>
      </x:c>
    </x:row>
    <x:row r="1908">
      <x:c r="A1908" s="47" t="n">
        <x:v>43315</x:v>
      </x:c>
      <x:c r="B1908" s="48" t="n">
        <x:v>1.0282</x:v>
      </x:c>
      <x:c r="C1908" s="22" t="str">
        <x:v>项目空间本地CSV</x:v>
      </x:c>
    </x:row>
    <x:row r="1909">
      <x:c r="A1909" s="47" t="n">
        <x:v>43314</x:v>
      </x:c>
      <x:c r="B1909" s="48" t="n">
        <x:v>1.0227</x:v>
      </x:c>
      <x:c r="C1909" s="22" t="str">
        <x:v>项目空间本地CSV</x:v>
      </x:c>
    </x:row>
    <x:row r="1910">
      <x:c r="A1910" s="47" t="n">
        <x:v>43313</x:v>
      </x:c>
      <x:c r="B1910" s="48" t="n">
        <x:v>1.0292</x:v>
      </x:c>
      <x:c r="C1910" s="22" t="str">
        <x:v>项目空间本地CSV</x:v>
      </x:c>
    </x:row>
    <x:row r="1911">
      <x:c r="A1911" s="47" t="n">
        <x:v>43312</x:v>
      </x:c>
      <x:c r="B1911" s="48" t="n">
        <x:v>1.0247</x:v>
      </x:c>
      <x:c r="C1911" s="22" t="str">
        <x:v>项目空间本地CSV</x:v>
      </x:c>
    </x:row>
    <x:row r="1912">
      <x:c r="A1912" s="47" t="n">
        <x:v>43311</x:v>
      </x:c>
      <x:c r="B1912" s="48" t="n">
        <x:v>1.0279</x:v>
      </x:c>
      <x:c r="C1912" s="22" t="str">
        <x:v>项目空间本地CSV</x:v>
      </x:c>
    </x:row>
    <x:row r="1913">
      <x:c r="A1913" s="47" t="n">
        <x:v>43308</x:v>
      </x:c>
      <x:c r="B1913" s="48" t="n">
        <x:v>1.0435</x:v>
      </x:c>
      <x:c r="C1913" s="22" t="str">
        <x:v>项目空间本地CSV</x:v>
      </x:c>
    </x:row>
    <x:row r="1914">
      <x:c r="A1914" s="47" t="n">
        <x:v>43307</x:v>
      </x:c>
      <x:c r="B1914" s="48" t="n">
        <x:v>1.0483</x:v>
      </x:c>
      <x:c r="C1914" s="22" t="str">
        <x:v>项目空间本地CSV</x:v>
      </x:c>
    </x:row>
    <x:row r="1915">
      <x:c r="A1915" s="47" t="n">
        <x:v>43306</x:v>
      </x:c>
      <x:c r="B1915" s="48" t="n">
        <x:v>1.0741</x:v>
      </x:c>
      <x:c r="C1915" s="22" t="str">
        <x:v>项目空间本地CSV</x:v>
      </x:c>
    </x:row>
    <x:row r="1916">
      <x:c r="A1916" s="47" t="n">
        <x:v>43305</x:v>
      </x:c>
      <x:c r="B1916" s="48" t="n">
        <x:v>1.0616</x:v>
      </x:c>
      <x:c r="C1916" s="22" t="str">
        <x:v>项目空间本地CSV</x:v>
      </x:c>
    </x:row>
    <x:row r="1917">
      <x:c r="A1917" s="47" t="n">
        <x:v>43304</x:v>
      </x:c>
      <x:c r="B1917" s="48" t="n">
        <x:v>1.0594</x:v>
      </x:c>
      <x:c r="C1917" s="22" t="str">
        <x:v>项目空间本地CSV</x:v>
      </x:c>
    </x:row>
    <x:row r="1918">
      <x:c r="A1918" s="47" t="n">
        <x:v>43301</x:v>
      </x:c>
      <x:c r="B1918" s="48" t="n">
        <x:v>1.0605</x:v>
      </x:c>
      <x:c r="C1918" s="22" t="str">
        <x:v>项目空间本地CSV</x:v>
      </x:c>
    </x:row>
    <x:row r="1919">
      <x:c r="A1919" s="47" t="n">
        <x:v>43300</x:v>
      </x:c>
      <x:c r="B1919" s="48" t="n">
        <x:v>1.0521</x:v>
      </x:c>
      <x:c r="C1919" s="22" t="str">
        <x:v>项目空间本地CSV</x:v>
      </x:c>
    </x:row>
    <x:row r="1920">
      <x:c r="A1920" s="47" t="n">
        <x:v>43299</x:v>
      </x:c>
      <x:c r="B1920" s="48" t="n">
        <x:v>1.0564</x:v>
      </x:c>
      <x:c r="C1920" s="22" t="str">
        <x:v>项目空间本地CSV</x:v>
      </x:c>
    </x:row>
    <x:row r="1921">
      <x:c r="A1921" s="47" t="n">
        <x:v>43298</x:v>
      </x:c>
      <x:c r="B1921" s="48" t="n">
        <x:v>1.0602</x:v>
      </x:c>
      <x:c r="C1921" s="22" t="str">
        <x:v>项目空间本地CSV</x:v>
      </x:c>
    </x:row>
    <x:row r="1922">
      <x:c r="A1922" s="47" t="n">
        <x:v>43297</x:v>
      </x:c>
      <x:c r="B1922" s="48" t="n">
        <x:v>1.0613</x:v>
      </x:c>
      <x:c r="C1922" s="22" t="str">
        <x:v>项目空间本地CSV</x:v>
      </x:c>
    </x:row>
    <x:row r="1923">
      <x:c r="A1923" s="47" t="n">
        <x:v>43294</x:v>
      </x:c>
      <x:c r="B1923" s="48" t="n">
        <x:v>1.0608</x:v>
      </x:c>
      <x:c r="C1923" s="22" t="str">
        <x:v>项目空间本地CSV</x:v>
      </x:c>
    </x:row>
    <x:row r="1924">
      <x:c r="A1924" s="47" t="n">
        <x:v>43293</x:v>
      </x:c>
      <x:c r="B1924" s="48" t="n">
        <x:v>1.0572</x:v>
      </x:c>
      <x:c r="C1924" s="22" t="str">
        <x:v>项目空间本地CSV</x:v>
      </x:c>
    </x:row>
    <x:row r="1925">
      <x:c r="A1925" s="47" t="n">
        <x:v>43292</x:v>
      </x:c>
      <x:c r="B1925" s="48" t="n">
        <x:v>1.0349</x:v>
      </x:c>
      <x:c r="C1925" s="22" t="str">
        <x:v>项目空间本地CSV</x:v>
      </x:c>
    </x:row>
    <x:row r="1926">
      <x:c r="A1926" s="47" t="n">
        <x:v>43291</x:v>
      </x:c>
      <x:c r="B1926" s="48" t="n">
        <x:v>1.0376</x:v>
      </x:c>
      <x:c r="C1926" s="22" t="str">
        <x:v>项目空间本地CSV</x:v>
      </x:c>
    </x:row>
    <x:row r="1927">
      <x:c r="A1927" s="47" t="n">
        <x:v>43290</x:v>
      </x:c>
      <x:c r="B1927" s="48" t="n">
        <x:v>1.039</x:v>
      </x:c>
      <x:c r="C1927" s="22" t="str">
        <x:v>项目空间本地CSV</x:v>
      </x:c>
    </x:row>
    <x:row r="1928">
      <x:c r="A1928" s="47" t="n">
        <x:v>43287</x:v>
      </x:c>
      <x:c r="B1928" s="48" t="n">
        <x:v>1.0321</x:v>
      </x:c>
      <x:c r="C1928" s="22" t="str">
        <x:v>项目空间本地CSV</x:v>
      </x:c>
    </x:row>
    <x:row r="1929">
      <x:c r="A1929" s="47" t="n">
        <x:v>43286</x:v>
      </x:c>
      <x:c r="B1929" s="48" t="n">
        <x:v>1.0251</x:v>
      </x:c>
      <x:c r="C1929" s="22" t="str">
        <x:v>项目空间本地CSV</x:v>
      </x:c>
    </x:row>
    <x:row r="1930">
      <x:c r="A1930" s="47" t="n">
        <x:v>43284</x:v>
      </x:c>
      <x:c r="B1930" s="48" t="n">
        <x:v>1.0316</x:v>
      </x:c>
      <x:c r="C1930" s="22" t="str">
        <x:v>项目空间本地CSV</x:v>
      </x:c>
    </x:row>
    <x:row r="1931">
      <x:c r="A1931" s="47" t="n">
        <x:v>43281</x:v>
      </x:c>
      <x:c r="B1931" s="48" t="n">
        <x:v>1.0334</x:v>
      </x:c>
      <x:c r="C1931" s="22" t="str">
        <x:v>项目空间本地CSV</x:v>
      </x:c>
    </x:row>
    <x:row r="1932">
      <x:c r="A1932" s="47" t="n">
        <x:v>43280</x:v>
      </x:c>
      <x:c r="B1932" s="48" t="n">
        <x:v>1.0335</x:v>
      </x:c>
      <x:c r="C1932" s="22" t="str">
        <x:v>项目空间本地CSV</x:v>
      </x:c>
    </x:row>
    <x:row r="1933">
      <x:c r="A1933" s="47" t="n">
        <x:v>43279</x:v>
      </x:c>
      <x:c r="B1933" s="48" t="n">
        <x:v>1.0152</x:v>
      </x:c>
      <x:c r="C1933" s="22" t="str">
        <x:v>项目空间本地CSV</x:v>
      </x:c>
    </x:row>
    <x:row r="1934">
      <x:c r="A1934" s="47" t="n">
        <x:v>43278</x:v>
      </x:c>
      <x:c r="B1934" s="48" t="n">
        <x:v>1.0133</x:v>
      </x:c>
      <x:c r="C1934" s="22" t="str">
        <x:v>项目空间本地CSV</x:v>
      </x:c>
    </x:row>
    <x:row r="1935">
      <x:c r="A1935" s="47" t="n">
        <x:v>43277</x:v>
      </x:c>
      <x:c r="B1935" s="48" t="n">
        <x:v>1.0308</x:v>
      </x:c>
      <x:c r="C1935" s="22" t="str">
        <x:v>项目空间本地CSV</x:v>
      </x:c>
    </x:row>
    <x:row r="1936">
      <x:c r="A1936" s="47" t="n">
        <x:v>43276</x:v>
      </x:c>
      <x:c r="B1936" s="48" t="n">
        <x:v>1.0208</x:v>
      </x:c>
      <x:c r="C1936" s="22" t="str">
        <x:v>项目空间本地CSV</x:v>
      </x:c>
    </x:row>
    <x:row r="1937">
      <x:c r="A1937" s="47" t="n">
        <x:v>43273</x:v>
      </x:c>
      <x:c r="B1937" s="48" t="n">
        <x:v>1.0414</x:v>
      </x:c>
      <x:c r="C1937" s="22" t="str">
        <x:v>项目空间本地CSV</x:v>
      </x:c>
    </x:row>
    <x:row r="1938">
      <x:c r="A1938" s="47" t="n">
        <x:v>43272</x:v>
      </x:c>
      <x:c r="B1938" s="48" t="n">
        <x:v>1.043</x:v>
      </x:c>
      <x:c r="C1938" s="22" t="str">
        <x:v>项目空间本地CSV</x:v>
      </x:c>
    </x:row>
    <x:row r="1939">
      <x:c r="A1939" s="47" t="n">
        <x:v>43271</x:v>
      </x:c>
      <x:c r="B1939" s="48" t="n">
        <x:v>1.0494</x:v>
      </x:c>
      <x:c r="C1939" s="22" t="str">
        <x:v>项目空间本地CSV</x:v>
      </x:c>
    </x:row>
    <x:row r="1940">
      <x:c r="A1940" s="47" t="n">
        <x:v>43270</x:v>
      </x:c>
      <x:c r="B1940" s="48" t="n">
        <x:v>1.0398</x:v>
      </x:c>
      <x:c r="C1940" s="22" t="str">
        <x:v>项目空间本地CSV</x:v>
      </x:c>
    </x:row>
    <x:row r="1941">
      <x:c r="A1941" s="47" t="n">
        <x:v>43266</x:v>
      </x:c>
      <x:c r="B1941" s="48" t="n">
        <x:v>1.0534</x:v>
      </x:c>
      <x:c r="C1941" s="22" t="str">
        <x:v>项目空间本地CSV</x:v>
      </x:c>
    </x:row>
    <x:row r="1942">
      <x:c r="A1942" s="47" t="n">
        <x:v>43265</x:v>
      </x:c>
      <x:c r="B1942" s="48" t="n">
        <x:v>1.0565</x:v>
      </x:c>
      <x:c r="C1942" s="22" t="str">
        <x:v>项目空间本地CSV</x:v>
      </x:c>
    </x:row>
    <x:row r="1943">
      <x:c r="A1943" s="47" t="n">
        <x:v>43264</x:v>
      </x:c>
      <x:c r="B1943" s="48" t="n">
        <x:v>1.0651</x:v>
      </x:c>
      <x:c r="C1943" s="22" t="str">
        <x:v>项目空间本地CSV</x:v>
      </x:c>
    </x:row>
    <x:row r="1944">
      <x:c r="A1944" s="47" t="n">
        <x:v>43263</x:v>
      </x:c>
      <x:c r="B1944" s="48" t="n">
        <x:v>1.0793</x:v>
      </x:c>
      <x:c r="C1944" s="22" t="str">
        <x:v>项目空间本地CSV</x:v>
      </x:c>
    </x:row>
    <x:row r="1945">
      <x:c r="A1945" s="47" t="n">
        <x:v>43262</x:v>
      </x:c>
      <x:c r="B1945" s="48" t="n">
        <x:v>1.0704</x:v>
      </x:c>
      <x:c r="C1945" s="22" t="str">
        <x:v>项目空间本地CSV</x:v>
      </x:c>
    </x:row>
    <x:row r="1946">
      <x:c r="A1946" s="47" t="n">
        <x:v>43259</x:v>
      </x:c>
      <x:c r="B1946" s="48" t="n">
        <x:v>1.067</x:v>
      </x:c>
      <x:c r="C1946" s="22" t="str">
        <x:v>项目空间本地CSV</x:v>
      </x:c>
    </x:row>
    <x:row r="1947">
      <x:c r="A1947" s="47" t="n">
        <x:v>43252</x:v>
      </x:c>
      <x:c r="B1947" s="48" t="n">
        <x:v>1.0603</x:v>
      </x:c>
      <x:c r="C1947" s="22" t="str">
        <x:v>项目空间本地CSV</x:v>
      </x:c>
    </x:row>
    <x:row r="1948">
      <x:c r="A1948" s="47" t="n">
        <x:v>43245</x:v>
      </x:c>
      <x:c r="B1948" s="48" t="n">
        <x:v>1.0478</x:v>
      </x:c>
      <x:c r="C1948" s="22" t="str">
        <x:v>项目空间本地CSV</x:v>
      </x:c>
    </x:row>
    <x:row r="1949">
      <x:c r="A1949" s="47" t="n">
        <x:v>43238</x:v>
      </x:c>
      <x:c r="B1949" s="48" t="n">
        <x:v>1.0355</x:v>
      </x:c>
      <x:c r="C1949" s="22" t="str">
        <x:v>项目空间本地CSV</x:v>
      </x:c>
    </x:row>
    <x:row r="1950">
      <x:c r="A1950" s="47" t="n">
        <x:v>43231</x:v>
      </x:c>
      <x:c r="B1950" s="48" t="n">
        <x:v>1.0231</x:v>
      </x:c>
      <x:c r="C1950" s="22" t="str">
        <x:v>项目空间本地CSV</x:v>
      </x:c>
    </x:row>
    <x:row r="1951">
      <x:c r="A1951" s="47" t="n">
        <x:v>43224</x:v>
      </x:c>
      <x:c r="B1951" s="48" t="n">
        <x:v>1.003</x:v>
      </x:c>
      <x:c r="C1951" s="22" t="str">
        <x:v>项目空间本地CSV</x:v>
      </x:c>
    </x:row>
    <x:row r="1952">
      <x:c r="A1952" s="47" t="n">
        <x:v>43217</x:v>
      </x:c>
      <x:c r="B1952" s="48" t="n">
        <x:v>0.9965</x:v>
      </x:c>
      <x:c r="C1952" s="22" t="str">
        <x:v>项目空间本地CSV</x:v>
      </x:c>
    </x:row>
    <x:row r="1953">
      <x:c r="A1953" s="47" t="n">
        <x:v>43210</x:v>
      </x:c>
      <x:c r="B1953" s="48" t="n">
        <x:v>0.9978</x:v>
      </x:c>
      <x:c r="C1953" s="22" t="str">
        <x:v>项目空间本地CSV</x:v>
      </x:c>
    </x:row>
    <x:row r="1954">
      <x:c r="A1954" s="47" t="n">
        <x:v>43207</x:v>
      </x:c>
      <x:c r="B1954" s="48" t="n">
        <x:v>1</x:v>
      </x:c>
      <x:c r="C1954" s="22" t="str">
        <x:v>项目空间本地CSV</x:v>
      </x:c>
    </x:row>
  </x:sheetData>
  <x:mergeCells>
    <x:mergeCell ref="A1:B1"/>
  </x:mergeCells>
  <x:pageMargins left="0.7" right="0.7" top="0.75" bottom="0.75" header="0.3" footer="0.3"/>
  <x:legacyDrawing xmlns:r="http://schemas.openxmlformats.org/officeDocument/2006/relationships" r:id="R5b4f33f1c8b24826"/>
  <x:tableParts count="1">
    <x:tablePart xmlns:r="http://schemas.openxmlformats.org/officeDocument/2006/relationships" r:id="R25b963bc893f4b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68" hidden="0" customWidth="1"/>
    <x:col min="4" max="4" width="44" hidden="0" customWidth="1"/>
  </x:cols>
  <x:sheetData>
    <x:row r="1" ht="30" customHeight="1">
      <x:c r="A1" s="21" t="str">
        <x:v>计算参数与数据来源</x:v>
      </x:c>
      <x:c r="B1" s="21"/>
      <x:c r="C1" s="21"/>
      <x:c r="D1" s="21"/>
    </x:row>
    <x:row r="2">
      <x:c r="A2" s="34"/>
      <x:c r="B2" s="34"/>
      <x:c r="C2" s="34"/>
      <x:c r="D2" s="34"/>
    </x:row>
    <x:row r="3">
      <x:c r="A3" s="35" t="str">
        <x:v>估值日</x:v>
      </x:c>
      <x:c r="B3" s="35" t="str">
        <x:v>最新可用单位净值</x:v>
      </x:c>
      <x:c r="C3" s="34"/>
      <x:c r="D3" s="34"/>
    </x:row>
    <x:row r="4">
      <x:c r="A4" s="36" t="n">
        <x:f>'历史净值'!A3</x:f>
        <x:v>46265</x:v>
      </x:c>
      <x:c r="B4" s="37" t="n">
        <x:f>'历史净值'!B3</x:f>
        <x:v>2.685</x:v>
      </x:c>
      <x:c r="C4" s="34"/>
      <x:c r="D4" s="34"/>
    </x:row>
    <x:row r="5">
      <x:c r="A5" s="34"/>
      <x:c r="B5" s="34"/>
      <x:c r="C5" s="34"/>
      <x:c r="D5" s="34"/>
    </x:row>
    <x:row r="6">
      <x:c r="A6" s="34" t="str">
        <x:v>手续费示例金额</x:v>
      </x:c>
      <x:c r="B6" s="38" t="n">
        <x:v>2000</x:v>
      </x:c>
      <x:c r="C6" s="34"/>
      <x:c r="D6" s="34"/>
    </x:row>
    <x:row r="7">
      <x:c r="A7" s="34" t="str">
        <x:v>手续费示例金额对应费用</x:v>
      </x:c>
      <x:c r="B7" s="38" t="n">
        <x:v>3</x:v>
      </x:c>
      <x:c r="C7" s="34"/>
      <x:c r="D7" s="34"/>
    </x:row>
    <x:row r="8">
      <x:c r="A8" s="34" t="str">
        <x:v>推导申购费率</x:v>
      </x:c>
      <x:c r="B8" s="39" t="n">
        <x:f>B7/B6</x:f>
        <x:v>0.0015</x:v>
      </x:c>
      <x:c r="C8" s="34"/>
      <x:c r="D8" s="34"/>
    </x:row>
    <x:row r="9">
      <x:c r="A9" s="34" t="str">
        <x:v>转换转入申购费率</x:v>
      </x:c>
      <x:c r="B9" s="39" t="n">
        <x:v>0</x:v>
      </x:c>
      <x:c r="C9" s="34"/>
      <x:c r="D9" s="34"/>
    </x:row>
    <x:row r="10">
      <x:c r="A10" s="34"/>
      <x:c r="B10" s="34"/>
      <x:c r="C10" s="34"/>
      <x:c r="D10" s="34"/>
    </x:row>
    <x:row r="11">
      <x:c r="A11" s="34" t="str">
        <x:v>份额保留位数</x:v>
      </x:c>
      <x:c r="B11" s="40" t="n">
        <x:v>2</x:v>
      </x:c>
      <x:c r="C11" s="34"/>
      <x:c r="D11" s="34"/>
    </x:row>
    <x:row r="12">
      <x:c r="A12" s="34" t="str">
        <x:v>交易日切换时间</x:v>
      </x:c>
      <x:c r="B12" s="40" t="str">
        <x:v>15:00</x:v>
      </x:c>
      <x:c r="C12" s="34"/>
      <x:c r="D12" s="34"/>
    </x:row>
    <x:row r="13">
      <x:c r="A13" s="34" t="str">
        <x:v>普通买入份额规则</x:v>
      </x:c>
      <x:c r="B13" s="40" t="str">
        <x:v>(截图金额-手续费)÷确认净值，四舍五入至0.01份</x:v>
      </x:c>
      <x:c r="C13" s="34"/>
      <x:c r="D13" s="34"/>
    </x:row>
    <x:row r="14">
      <x:c r="A14" s="34" t="str">
        <x:v>转换转入规则</x:v>
      </x:c>
      <x:c r="B14" s="40" t="str">
        <x:v>截图所示10,696.01元作为成本基础，不另加普通申购费</x:v>
      </x:c>
      <x:c r="C14" s="34"/>
      <x:c r="D14" s="34"/>
    </x:row>
    <x:row r="15">
      <x:c r="A15" s="34"/>
      <x:c r="B15" s="34"/>
      <x:c r="C15" s="34"/>
      <x:c r="D15" s="34"/>
    </x:row>
    <x:row r="16">
      <x:c r="A16" s="41" t="str">
        <x:v>来源</x:v>
      </x:c>
      <x:c r="B16" s="42" t="str">
        <x:v>用途</x:v>
      </x:c>
      <x:c r="C16" s="42" t="str">
        <x:v>地址/文件</x:v>
      </x:c>
      <x:c r="D16" s="43" t="str">
        <x:v>说明</x:v>
      </x:c>
    </x:row>
    <x:row r="17">
      <x:c r="A17" s="46" t="str">
        <x:v>华夏基金官网</x:v>
      </x:c>
      <x:c r="B17" s="46" t="str">
        <x:v>最新净值核验</x:v>
      </x:c>
      <x:c r="C17" s="46" t="str">
        <x:v>https://www.chinaamc.com/fund/005698/index.shtml</x:v>
      </x:c>
      <x:c r="D17" s="46" t="str">
        <x:v>截至2026-09-02，最新可用净值日为2026-08-31</x:v>
      </x:c>
    </x:row>
    <x:row r="18">
      <x:c r="A18" s="46" t="str">
        <x:v>华夏基金历史净值</x:v>
      </x:c>
      <x:c r="B18" s="46" t="str">
        <x:v>历史净值核验</x:v>
      </x:c>
      <x:c r="C18" s="46" t="str">
        <x:v>https://fund.chinaamc.com/product/fundLishijingzhi.do?fundcode=005698</x:v>
      </x:c>
      <x:c r="D18" s="46" t="str">
        <x:v>基金管理人页面</x:v>
      </x:c>
    </x:row>
    <x:row r="19">
      <x:c r="A19" s="46" t="str">
        <x:v>项目空间历史净值</x:v>
      </x:c>
      <x:c r="B19" s="46" t="str">
        <x:v>2026-07-09及以前历史净值主数据</x:v>
      </x:c>
      <x:c r="C19" s="46" t="str">
        <x:v>D:/wd/数据分析/历史基金净值_20260713/华夏全球科技先锋混合(QDII)A(人民币).csv</x:v>
      </x:c>
      <x:c r="D19" s="46" t="str">
        <x:v>与在线API重叠363条逐项核验，单位净值差异0条</x:v>
      </x:c>
    </x:row>
    <x:row r="20">
      <x:c r="A20" s="46" t="str">
        <x:v>东方财富历史净值API</x:v>
      </x:c>
      <x:c r="B20" s="46" t="str">
        <x:v>批量历史净值</x:v>
      </x:c>
      <x:c r="C20" s="46" t="str">
        <x:v>https://api.fund.eastmoney.com/f10/lsjz?fundCode=005698&amp;pageIndex=1&amp;pageSize=20</x:v>
      </x:c>
      <x:c r="D20" s="46" t="str">
        <x:v>与华夏基金可见区间抽样核对一致</x:v>
      </x:c>
    </x:row>
    <x:row r="21">
      <x:c r="A21" s="46" t="str">
        <x:v>基金招募说明书</x:v>
      </x:c>
      <x:c r="B21" s="46" t="str">
        <x:v>申购份额公式</x:v>
      </x:c>
      <x:c r="C21" s="46" t="str">
        <x:v>https://www.chinaamc.com/upload/resources/file/2026/05/29/928e507e97ae4998986f27e068688a4f.pdf</x:v>
      </x:c>
      <x:c r="D21" s="46" t="str">
        <x:v>申购份额=净申购金额/T日净值；份额保留两位</x:v>
      </x:c>
    </x:row>
    <x:row r="22">
      <x:c r="A22" s="46" t="str">
        <x:v>用户截图1</x:v>
      </x:c>
      <x:c r="B22" s="46" t="str">
        <x:v>交易记录</x:v>
      </x:c>
      <x:c r="C22" s="46" t="str">
        <x:v>D:/WeChat_files/xwechat_files/wxid_fs5n306ex72922_70f8/temp/RWTemp/2026-09/9e20f478899dc29eb19741386f9343c8/a33d8e0c58b1a61851440346ba3a071b.jpg</x:v>
      </x:c>
      <x:c r="D22" s="46" t="str">
        <x:v>长截图</x:v>
      </x:c>
    </x:row>
    <x:row r="23">
      <x:c r="A23" s="46" t="str">
        <x:v>用户截图2</x:v>
      </x:c>
      <x:c r="B23" s="46" t="str">
        <x:v>交易记录补充</x:v>
      </x:c>
      <x:c r="C23" s="46" t="str">
        <x:v>D:/WeChat_files/xwechat_files/wxid_fs5n306ex72922_70f8/temp/RWTemp/2026-09/9e20f478899dc29eb19741386f9343c8/c35998e8b35b78b6d7b30fd70f72453a.jpg</x:v>
      </x:c>
      <x:c r="D23" s="46" t="str">
        <x:v>底部记录</x:v>
      </x:c>
    </x:row>
    <x:row r="24">
      <x:c r="A24" s="34"/>
      <x:c r="B24" s="34"/>
      <x:c r="C24" s="34"/>
      <x:c r="D24" s="34"/>
    </x:row>
    <x:row r="25">
      <x:c r="A25" s="44" t="str">
        <x:v>重要限制</x:v>
      </x:c>
      <x:c r="B25" s="44"/>
      <x:c r="C25" s="44"/>
      <x:c r="D25" s="44"/>
    </x:row>
    <x:row r="26" ht="30" customHeight="1">
      <x:c r="A26" s="45" t="str">
        <x:v>截图未显示每笔实际确认份额、确认净值和费用；本表按历史净值与用户提供的手续费标准重建。</x:v>
      </x:c>
      <x:c r="B26" s="45"/>
      <x:c r="C26" s="45"/>
      <x:c r="D26" s="45"/>
    </x:row>
    <x:row r="27" ht="30" customHeight="1">
      <x:c r="A27" s="45" t="str">
        <x:v>2026-06-02 22:49买入按15:00后下单处理，使用下一可用净值日2026-06-03。</x:v>
      </x:c>
      <x:c r="B27" s="45"/>
      <x:c r="C27" s="45"/>
      <x:c r="D27" s="45"/>
    </x:row>
    <x:row r="28" ht="30" customHeight="1">
      <x:c r="A28" s="45" t="str">
        <x:v>全部4笔卖出记录均显示“已撤单”，因此本次没有成功卖出，也没有FIFO已实现收益。</x:v>
      </x:c>
      <x:c r="B28" s="45"/>
      <x:c r="C28" s="45"/>
      <x:c r="D28" s="45"/>
    </x:row>
  </x:sheetData>
  <x:mergeCells>
    <x:mergeCell ref="A1:D1"/>
    <x:mergeCell ref="A25:D25"/>
    <x:mergeCell ref="A26:D26"/>
    <x:mergeCell ref="A27:D27"/>
    <x:mergeCell ref="A28:D28"/>
  </x:mergeCells>
  <x:pageMargins left="0.7" right="0.7" top="0.75" bottom="0.75" header="0.3" footer="0.3"/>
  <x:legacyDrawing xmlns:r="http://schemas.openxmlformats.org/officeDocument/2006/relationships" r:id="R4869ac3695b847e7"/>
</x:worksheet>
</file>
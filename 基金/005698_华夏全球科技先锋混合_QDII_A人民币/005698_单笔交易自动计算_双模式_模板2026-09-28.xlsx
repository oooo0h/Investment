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d\数据分析\基金\005698_华夏全球科技先锋混合_QDII_A人民币\交易分析\outputs\01a0e6cf-05ba-7442-a0c0-3799a11dd947\"/>
    </mc:Choice>
  </mc:AlternateContent>
  <bookViews>
    <workbookView windowWidth="16005" windowHeight="7350"/>
  </bookViews>
  <sheets>
    <sheet name="持仓总览" sheetId="1" r:id="rId1"/>
    <sheet name="逐笔交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<sst xmlns="http://schemas.openxmlformats.org/spreadsheetml/2006/main" count="411" uniqueCount="194">
  <si>
    <t>华夏全球科技先锋 · 单笔交易账本</t>
  </si>
  <si>
    <t>005698 / QDII A人民币　　模板更新：2026-09-28　　支持利润优先与本金优先两种记账模式</t>
  </si>
  <si>
    <t>估值净值日期</t>
  </si>
  <si>
    <t>估值单位净值</t>
  </si>
  <si>
    <t>金额核对容差（元）</t>
  </si>
  <si>
    <t>录入提示</t>
  </si>
  <si>
    <t>自动取日期较新的净值；公布净值在下方更新。</t>
  </si>
  <si>
    <t>卖出分配模式</t>
  </si>
  <si>
    <t>利润优先</t>
  </si>
  <si>
    <t>切换模式后，重算全部已确认卖出记录。</t>
  </si>
  <si>
    <t>当前持仓</t>
  </si>
  <si>
    <t>累计收支</t>
  </si>
  <si>
    <t>当前持有金额（元）</t>
  </si>
  <si>
    <t>累计投入及转入成本</t>
  </si>
  <si>
    <t>剩余本金（元）</t>
  </si>
  <si>
    <t>累计收回金额（元）</t>
  </si>
  <si>
    <t>持有盈亏（元）</t>
  </si>
  <si>
    <t>累计提取利润（元）</t>
  </si>
  <si>
    <t>持有盈亏比例</t>
  </si>
  <si>
    <t>累计结清亏损（元）</t>
  </si>
  <si>
    <t>当前持有份额</t>
  </si>
  <si>
    <t>累计总盈亏（元）</t>
  </si>
  <si>
    <t>本金状态</t>
  </si>
  <si>
    <t>累计收益率（非年化）</t>
  </si>
  <si>
    <t>已计入笔数</t>
  </si>
  <si>
    <t>待确认／待修正</t>
  </si>
  <si>
    <t>含历史估算（笔）</t>
  </si>
  <si>
    <t>最新成交净值日</t>
  </si>
  <si>
    <t>收益恒等式核对</t>
  </si>
  <si>
    <t>填写与计算口径</t>
  </si>
  <si>
    <t>1. 新增买卖从第 117 行起，仅手填 A:D、F 五项黄色格；按实际成交净值日期升序填写。</t>
  </si>
  <si>
    <t>2. 自动金额：买入／定投 = 份额 × 净值 + 手续费；卖出 = 份额 × 净值 − 手续费，保留到分。</t>
  </si>
  <si>
    <t>3. 五项采用成交确认单数据，费用为 0 也需填写。确认份额不要再根据金额自行反推。</t>
  </si>
  <si>
    <t>4. 五项录入支持买入、定投、卖出、红利再投。现金分红和转换转入需实际金额，不支持五项反推。</t>
  </si>
  <si>
    <t>5. 新增记录填完五项且通过 I 列检查即计入，状态与说明自动填写；只录真实成交，不录撤单。</t>
  </si>
  <si>
    <t>6. 利润优先：可提利润 = MAX(交易前市值 − 交易前本金 − 赎回费, 0)。到账先提利润，再收本金。</t>
  </si>
  <si>
    <t>7. 全部赎回后，未收回的本金记为结清亏损；剩余份额与本金归零，之后买入重新累计本金。</t>
  </si>
  <si>
    <t>8. 持有盈亏 = 当前市值 − 剩余本金。盈亏比例 = 持有盈亏 ÷ 剩余本金；本金为 0 时留空。</t>
  </si>
  <si>
    <t>9. 累计总盈亏 = 市值 + 累计收回 − 累计投入及转入成本。累计收益率以该成本合计为分母，非年化。</t>
  </si>
  <si>
    <t>10. 本金优先：卖出净到账先冲减剩余本金，超出本金才计为提取利润。现金分红仍按利润优先。</t>
  </si>
  <si>
    <t>11. 同花顺界面供参考，未确认其内部收益算法。逐笔右侧显示每笔成交后的整个账户状态。</t>
  </si>
  <si>
    <t>12. 预置 500 笔公式。请从首次交易起录入完整历史；超过 500 笔需扩展公式及总览引用。</t>
  </si>
  <si>
    <t>13. 切换模式重算全部卖出历史，不改变市值或累计总盈亏；只改变本金与利润的分配及持有收益率。</t>
  </si>
  <si>
    <t>14. 自动比较公布净值与末笔交易净值，取日期较新者；删除记录自动回退。同日优先取公布净值。</t>
  </si>
  <si>
    <t>历史 110 笔及转入成本按原表保留；已删除用户确认的 9 月 28 日试填交易，最后真实操作仍为 8 月 13 日。</t>
  </si>
  <si>
    <t>公布净值日期</t>
  </si>
  <si>
    <t>公布单位净值</t>
  </si>
  <si>
    <t>净值来源：华夏基金 https://fund.chinaamc.com/fund/005698/index.shtml（核验 2026-09-28，后续净值需更新）</t>
  </si>
  <si>
    <t>公布净值栏需手动更新，不自动联网。历史数据含估算；新增金额反推可能有分位尾差，以成交单为准。</t>
  </si>
  <si>
    <t>逐笔交易录入</t>
  </si>
  <si>
    <t>交易后账户明细（公式自动计算）</t>
  </si>
  <si>
    <t>新增买卖仅填写黄色五项：净值日期、交易类型、成交净值、确认份额、手续费（无费用填 0）。</t>
  </si>
  <si>
    <t>从第 117 行录入已成交记录，填完自动计入。历史 110 笔保留原数据；估值日期另在总览更新。</t>
  </si>
  <si>
    <t>净值日期</t>
  </si>
  <si>
    <t>交易类型</t>
  </si>
  <si>
    <t>成交净值</t>
  </si>
  <si>
    <t>确认份额</t>
  </si>
  <si>
    <t>金额／历史转入成本</t>
  </si>
  <si>
    <t>手续费（元）</t>
  </si>
  <si>
    <t>状态</t>
  </si>
  <si>
    <t>说明</t>
  </si>
  <si>
    <t>录入检查</t>
  </si>
  <si>
    <t>份额变动</t>
  </si>
  <si>
    <t>交易后份额</t>
  </si>
  <si>
    <t>交易前市值</t>
  </si>
  <si>
    <t>可提取利润</t>
  </si>
  <si>
    <t>本笔提取利润</t>
  </si>
  <si>
    <t>本笔收回本金</t>
  </si>
  <si>
    <t>清仓确认亏损</t>
  </si>
  <si>
    <t>交易后本金</t>
  </si>
  <si>
    <t>交易后市值</t>
  </si>
  <si>
    <t>交易后盈亏</t>
  </si>
  <si>
    <t>交易后收益率</t>
  </si>
  <si>
    <t>累计收回金额</t>
  </si>
  <si>
    <t>累计提取利润</t>
  </si>
  <si>
    <t>累计结清亏损</t>
  </si>
  <si>
    <t>累计总盈亏</t>
  </si>
  <si>
    <t>最近成交净值日</t>
  </si>
  <si>
    <t>计算链状态</t>
  </si>
  <si>
    <t>最近成交净值</t>
  </si>
  <si>
    <t>买入</t>
  </si>
  <si>
    <t>历史估算</t>
  </si>
  <si>
    <t>原下单 2025-08-01T10:13:48
份额、费用及净值日沿用旧表估算</t>
  </si>
  <si>
    <t>原下单 2025-08-01T14:53:00
份额、费用及净值日沿用旧表估算</t>
  </si>
  <si>
    <t>原下单 2025-08-04T08:27:29
份额、费用及净值日沿用旧表估算</t>
  </si>
  <si>
    <t>原下单 2025-08-06T09:08:01
份额、费用及净值日沿用旧表估算</t>
  </si>
  <si>
    <t>转换转入</t>
  </si>
  <si>
    <t>原下单 2025-08-06T14:32:28
份额、费用及净值日沿用旧表估算</t>
  </si>
  <si>
    <t>原下单 2025-09-19T08:01:23
份额、费用及净值日沿用旧表估算</t>
  </si>
  <si>
    <t>原下单 2025-10-10T14:15:47
份额、费用及净值日沿用旧表估算</t>
  </si>
  <si>
    <t>定投</t>
  </si>
  <si>
    <t>原下单 2025-11-03T10:13:33
份额、费用及净值日沿用旧表估算</t>
  </si>
  <si>
    <t>原下单 2025-11-04T11:06:31
份额、费用及净值日沿用旧表估算</t>
  </si>
  <si>
    <t>原下单 2025-11-05T10:05:15
份额、费用及净值日沿用旧表估算</t>
  </si>
  <si>
    <t>原下单 2025-12-12T10:16:18
份额、费用及净值日沿用旧表估算</t>
  </si>
  <si>
    <t>原下单 2025-12-15T10:22:03
份额、费用及净值日沿用旧表估算</t>
  </si>
  <si>
    <t>原下单 2025-12-16T10:16:25
份额、费用及净值日沿用旧表估算</t>
  </si>
  <si>
    <t>原下单 2025-12-17T10:15:12
份额、费用及净值日沿用旧表估算</t>
  </si>
  <si>
    <t>原下单 2026-02-04T11:04:38
份额、费用及净值日沿用旧表估算</t>
  </si>
  <si>
    <t>原下单 2026-02-05T11:05:57
份额、费用及净值日沿用旧表估算</t>
  </si>
  <si>
    <t>原下单 2026-02-06T10:58:32
份额、费用及净值日沿用旧表估算</t>
  </si>
  <si>
    <t>原下单 2026-02-09T11:06:36
份额、费用及净值日沿用旧表估算</t>
  </si>
  <si>
    <t>原下单 2026-02-10T10:55:46
份额、费用及净值日沿用旧表估算</t>
  </si>
  <si>
    <t>原下单 2026-02-11T10:51:26
份额、费用及净值日沿用旧表估算</t>
  </si>
  <si>
    <t>原下单 2026-02-12T10:55:36
份额、费用及净值日沿用旧表估算</t>
  </si>
  <si>
    <t>原下单 2026-02-13T10:49:37
份额、费用及净值日沿用旧表估算</t>
  </si>
  <si>
    <t>原下单 2026-02-24T10:33:10
份额、费用及净值日沿用旧表估算</t>
  </si>
  <si>
    <t>原下单 2026-02-25T10:47:18
份额、费用及净值日沿用旧表估算</t>
  </si>
  <si>
    <t>原下单 2026-02-26T10:49:16
份额、费用及净值日沿用旧表估算</t>
  </si>
  <si>
    <t>原下单 2026-02-27T10:59:32
份额、费用及净值日沿用旧表估算</t>
  </si>
  <si>
    <t>原下单 2026-03-02T11:11:14
份额、费用及净值日沿用旧表估算</t>
  </si>
  <si>
    <t>原下单 2026-03-12T11:06:34
份额、费用及净值日沿用旧表估算</t>
  </si>
  <si>
    <t>原下单 2026-03-13T11:01:12
份额、费用及净值日沿用旧表估算</t>
  </si>
  <si>
    <t>原下单 2026-03-16T11:09:49
份额、费用及净值日沿用旧表估算</t>
  </si>
  <si>
    <t>原下单 2026-03-17T10:57:11
份额、费用及净值日沿用旧表估算</t>
  </si>
  <si>
    <t>原下单 2026-03-18T10:55:42
份额、费用及净值日沿用旧表估算</t>
  </si>
  <si>
    <t>原下单 2026-03-19T10:56:44
份额、费用及净值日沿用旧表估算</t>
  </si>
  <si>
    <t>原下单 2026-03-20T10:49:00
份额、费用及净值日沿用旧表估算</t>
  </si>
  <si>
    <t>原下单 2026-03-23T11:00:17
份额、费用及净值日沿用旧表估算</t>
  </si>
  <si>
    <t>原下单 2026-03-24T10:48:17
份额、费用及净值日沿用旧表估算</t>
  </si>
  <si>
    <t>原下单 2026-03-25T10:48:17
份额、费用及净值日沿用旧表估算</t>
  </si>
  <si>
    <t>原下单 2026-03-26T10:51:43
份额、费用及净值日沿用旧表估算</t>
  </si>
  <si>
    <t>原下单 2026-03-27T10:44:12
份额、费用及净值日沿用旧表估算</t>
  </si>
  <si>
    <t>原下单 2026-03-30T10:54:18
份额、费用及净值日沿用旧表估算</t>
  </si>
  <si>
    <t>原下单 2026-03-31T10:43:24
份额、费用及净值日沿用旧表估算</t>
  </si>
  <si>
    <t>原下单 2026-04-01T10:46:45
份额、费用及净值日沿用旧表估算</t>
  </si>
  <si>
    <t>原下单 2026-04-02T10:45:56
份额、费用及净值日沿用旧表估算</t>
  </si>
  <si>
    <t>原下单 2026-04-08T09:37:40
份额、费用及净值日沿用旧表估算</t>
  </si>
  <si>
    <t>原下单 2026-04-09T09:39:49
份额、费用及净值日沿用旧表估算</t>
  </si>
  <si>
    <t>原下单 2026-04-10T09:35:06
份额、费用及净值日沿用旧表估算</t>
  </si>
  <si>
    <t>原下单 2026-04-13T09:45:24
份额、费用及净值日沿用旧表估算</t>
  </si>
  <si>
    <t>原下单 2026-04-14T09:35:51
份额、费用及净值日沿用旧表估算</t>
  </si>
  <si>
    <t>原下单 2026-04-15T11:01:42
份额、费用及净值日沿用旧表估算</t>
  </si>
  <si>
    <t>原下单 2026-04-16T11:01:32
份额、费用及净值日沿用旧表估算</t>
  </si>
  <si>
    <t>原下单 2026-04-17T10:51:01
份额、费用及净值日沿用旧表估算</t>
  </si>
  <si>
    <t>原下单 2026-04-20T11:00:12
份额、费用及净值日沿用旧表估算</t>
  </si>
  <si>
    <t>原下单 2026-04-21T10:49:48
份额、费用及净值日沿用旧表估算</t>
  </si>
  <si>
    <t>原下单 2026-04-22T10:48:08
份额、费用及净值日沿用旧表估算</t>
  </si>
  <si>
    <t>原下单 2026-04-23T10:50:39
份额、费用及净值日沿用旧表估算</t>
  </si>
  <si>
    <t>原下单 2026-04-24T10:47:56
份额、费用及净值日沿用旧表估算</t>
  </si>
  <si>
    <t>原下单 2026-04-27T10:56:10
份额、费用及净值日沿用旧表估算</t>
  </si>
  <si>
    <t>原下单 2026-04-28T10:45:29
份额、费用及净值日沿用旧表估算</t>
  </si>
  <si>
    <t>原下单 2026-04-29T11:08:02
份额、费用及净值日沿用旧表估算</t>
  </si>
  <si>
    <t>原下单 2026-04-30T11:12:10
份额、费用及净值日沿用旧表估算</t>
  </si>
  <si>
    <t>原下单 2026-05-06T11:49:44
份额、费用及净值日沿用旧表估算</t>
  </si>
  <si>
    <t>原下单 2026-05-07T11:09:35
份额、费用及净值日沿用旧表估算</t>
  </si>
  <si>
    <t>原下单 2026-05-08T11:01:49
份额、费用及净值日沿用旧表估算</t>
  </si>
  <si>
    <t>原下单 2026-05-11T11:12:16
份额、费用及净值日沿用旧表估算</t>
  </si>
  <si>
    <t>原下单 2026-05-12T11:00:30
份额、费用及净值日沿用旧表估算</t>
  </si>
  <si>
    <t>原下单 2026-05-13T10:59:31
份额、费用及净值日沿用旧表估算</t>
  </si>
  <si>
    <t>原下单 2026-05-14T10:58:26
份额、费用及净值日沿用旧表估算</t>
  </si>
  <si>
    <t>原下单 2026-05-15T10:53:51
份额、费用及净值日沿用旧表估算</t>
  </si>
  <si>
    <t>原下单 2026-05-18T11:05:01
份额、费用及净值日沿用旧表估算</t>
  </si>
  <si>
    <t>原下单 2026-05-19T10:53:11
份额、费用及净值日沿用旧表估算</t>
  </si>
  <si>
    <t>原下单 2026-05-20T10:54:27
份额、费用及净值日沿用旧表估算</t>
  </si>
  <si>
    <t>原下单 2026-05-21T11:41:41
份额、费用及净值日沿用旧表估算</t>
  </si>
  <si>
    <t>原下单 2026-05-22T11:38:01
份额、费用及净值日沿用旧表估算</t>
  </si>
  <si>
    <t>原下单 2026-05-26T10:56:44
份额、费用及净值日沿用旧表估算</t>
  </si>
  <si>
    <t>原下单 2026-05-27T10:47:29
份额、费用及净值日沿用旧表估算</t>
  </si>
  <si>
    <t>原下单 2026-06-02T22:49:00
份额、费用及净值日沿用旧表估算</t>
  </si>
  <si>
    <t>原下单 2026-06-08T12:22:09
份额、费用及净值日沿用旧表估算</t>
  </si>
  <si>
    <t>原下单 2026-06-09T12:05:41
份额、费用及净值日沿用旧表估算</t>
  </si>
  <si>
    <t>原下单 2026-06-10T12:03:23
份额、费用及净值日沿用旧表估算</t>
  </si>
  <si>
    <t>原下单 2026-06-11T12:18:01
份额、费用及净值日沿用旧表估算</t>
  </si>
  <si>
    <t>原下单 2026-06-12T12:04:41
份额、费用及净值日沿用旧表估算</t>
  </si>
  <si>
    <t>原下单 2026-07-06T13:30:13
份额、费用及净值日沿用旧表估算</t>
  </si>
  <si>
    <t>原下单 2026-07-07T12:34:42
份额、费用及净值日沿用旧表估算</t>
  </si>
  <si>
    <t>原下单 2026-07-08T12:31:54
份额、费用及净值日沿用旧表估算</t>
  </si>
  <si>
    <t>原下单 2026-07-09T12:30:04
份额、费用及净值日沿用旧表估算</t>
  </si>
  <si>
    <t>原下单 2026-07-10T14:28:45
份额、费用及净值日沿用旧表估算</t>
  </si>
  <si>
    <t>原下单 2026-07-13T12:38:35
份额、费用及净值日沿用旧表估算</t>
  </si>
  <si>
    <t>原下单 2026-07-14T12:25:58
份额、费用及净值日沿用旧表估算</t>
  </si>
  <si>
    <t>原下单 2026-07-15T12:21:48
份额、费用及净值日沿用旧表估算</t>
  </si>
  <si>
    <t>原下单 2026-07-16T12:22:48
份额、费用及净值日沿用旧表估算</t>
  </si>
  <si>
    <t>原下单 2026-07-17T12:12:45
份额、费用及净值日沿用旧表估算</t>
  </si>
  <si>
    <t>原下单 2026-07-20T12:24:05
份额、费用及净值日沿用旧表估算</t>
  </si>
  <si>
    <t>原下单 2026-07-21T12:11:54
份额、费用及净值日沿用旧表估算</t>
  </si>
  <si>
    <t>原下单 2026-07-22T12:10:17
份额、费用及净值日沿用旧表估算</t>
  </si>
  <si>
    <t>原下单 2026-07-23T12:11:28
份额、费用及净值日沿用旧表估算</t>
  </si>
  <si>
    <t>原下单 2026-07-24T12:03:05
份额、费用及净值日沿用旧表估算</t>
  </si>
  <si>
    <t>原下单 2026-07-27T12:20:11
份额、费用及净值日沿用旧表估算</t>
  </si>
  <si>
    <t>原下单 2026-07-28T12:05:31
份额、费用及净值日沿用旧表估算</t>
  </si>
  <si>
    <t>原下单 2026-07-29T12:01:42
份额、费用及净值日沿用旧表估算</t>
  </si>
  <si>
    <t>原下单 2026-07-30T12:03:30
份额、费用及净值日沿用旧表估算</t>
  </si>
  <si>
    <t>原下单 2026-07-31T12:00:38
份额、费用及净值日沿用旧表估算</t>
  </si>
  <si>
    <t>原下单 2026-08-03T12:15:32
份额、费用及净值日沿用旧表估算</t>
  </si>
  <si>
    <t>原下单 2026-08-04T11:57:42
份额、费用及净值日沿用旧表估算</t>
  </si>
  <si>
    <t>原下单 2026-08-05T11:55:39
份额、费用及净值日沿用旧表估算</t>
  </si>
  <si>
    <t>原下单 2026-08-06T12:06:54
份额、费用及净值日沿用旧表估算</t>
  </si>
  <si>
    <t>原下单 2026-08-07T11:59:54
份额、费用及净值日沿用旧表估算</t>
  </si>
  <si>
    <t>原下单 2026-08-10T12:10:20
份额、费用及净值日沿用旧表估算</t>
  </si>
  <si>
    <t>原下单 2026-08-11T11:54:28
份额、费用及净值日沿用旧表估算</t>
  </si>
  <si>
    <t>原下单 2026-08-12T11:54:34
份额、费用及净值日沿用旧表估算</t>
  </si>
  <si>
    <t>原下单 2026-08-13T11:57:52
份额、费用及净值日沿用旧表估算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</si>
</sst>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  <numFmt numFmtId="178" formatCode="#,##0.00;[Red]\(#,##0.00\);&quot;—&quot;"/>
    <numFmt numFmtId="179" formatCode="0.0%;[Green]\(0.0%\);&quot;—&quot;"/>
    <numFmt numFmtId="180" formatCode="yyyy\-mm\-dd;;"/>
    <numFmt numFmtId="181" formatCode="0.0000;;"/>
    <numFmt numFmtId="182" formatCode="0.00%;[Green]\(0.00%\);&quot;—&quot;"/>
  </numFmts>
  <fonts count="27">
    <font>
      <sz val="11"/>
      <name val="Carlito"/>
      <charset val="134"/>
    </font>
    <font>
      <sz val="10"/>
      <color rgb="FF223148"/>
      <name val="Microsoft YaHei"/>
      <charset val="134"/>
    </font>
    <font>
      <b/>
      <sz val="16"/>
      <color rgb="FF223148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656B2"/>
      <name val="Microsoft YaHei"/>
      <charset val="134"/>
    </font>
    <font>
      <sz val="10"/>
      <color rgb="FF66758A"/>
      <name val="Microsoft YaHei"/>
      <charset val="134"/>
    </font>
    <font>
      <b/>
      <sz val="10"/>
      <color rgb="FF223148"/>
      <name val="Microsoft YaHei"/>
      <charset val="134"/>
    </font>
    <font>
      <sz val="9"/>
      <color rgb="FF66758A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23C5C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176" fontId="4" fillId="3" borderId="0" xfId="49" applyNumberFormat="1" applyFont="1" applyFill="1" applyBorder="1" applyAlignment="1">
      <alignment vertical="center"/>
    </xf>
    <xf numFmtId="0" fontId="4" fillId="3" borderId="0" xfId="49" applyNumberFormat="1" applyFont="1" applyFill="1" applyBorder="1" applyAlignment="1">
      <alignment vertical="center"/>
    </xf>
    <xf numFmtId="177" fontId="4" fillId="3" borderId="0" xfId="49" applyNumberFormat="1" applyFont="1" applyFill="1" applyBorder="1" applyAlignment="1">
      <alignment vertical="center"/>
    </xf>
    <xf numFmtId="178" fontId="4" fillId="3" borderId="0" xfId="49" applyNumberFormat="1" applyFont="1" applyFill="1" applyBorder="1" applyAlignment="1">
      <alignment vertical="center"/>
    </xf>
    <xf numFmtId="0" fontId="4" fillId="3" borderId="0" xfId="49" applyNumberFormat="1" applyFont="1" applyFill="1" applyBorder="1" applyAlignment="1">
      <alignment vertical="center" wrapText="1"/>
    </xf>
    <xf numFmtId="0" fontId="1" fillId="4" borderId="0" xfId="49" applyNumberFormat="1" applyFont="1" applyFill="1" applyBorder="1" applyAlignment="1">
      <alignment vertical="center"/>
    </xf>
    <xf numFmtId="178" fontId="1" fillId="4" borderId="0" xfId="49" applyNumberFormat="1" applyFont="1" applyFill="1" applyBorder="1" applyAlignment="1">
      <alignment vertical="center"/>
    </xf>
    <xf numFmtId="179" fontId="1" fillId="4" borderId="0" xfId="49" applyNumberFormat="1" applyFont="1" applyFill="1" applyBorder="1" applyAlignment="1">
      <alignment vertical="center"/>
    </xf>
    <xf numFmtId="180" fontId="1" fillId="4" borderId="0" xfId="49" applyNumberFormat="1" applyFont="1" applyFill="1" applyBorder="1" applyAlignment="1">
      <alignment vertical="center"/>
    </xf>
    <xf numFmtId="181" fontId="0" fillId="0" borderId="0" xfId="0" applyNumberFormat="1" applyFont="1" applyFill="1" applyBorder="1" applyAlignment="1"/>
    <xf numFmtId="176" fontId="4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177" fontId="4" fillId="3" borderId="0" xfId="0" applyNumberFormat="1" applyFont="1" applyFill="1" applyBorder="1" applyAlignment="1">
      <alignment vertical="center"/>
    </xf>
    <xf numFmtId="178" fontId="4" fillId="3" borderId="0" xfId="0" applyNumberFormat="1" applyFont="1" applyFill="1" applyBorder="1" applyAlignment="1">
      <alignment vertical="center"/>
    </xf>
    <xf numFmtId="178" fontId="1" fillId="4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vertical="center"/>
    </xf>
    <xf numFmtId="176" fontId="1" fillId="4" borderId="0" xfId="0" applyNumberFormat="1" applyFont="1" applyFill="1" applyBorder="1" applyAlignment="1">
      <alignment vertical="center"/>
    </xf>
    <xf numFmtId="177" fontId="1" fillId="4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2" fontId="4" fillId="3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vertical="center"/>
    </xf>
    <xf numFmtId="178" fontId="6" fillId="4" borderId="0" xfId="49" applyNumberFormat="1" applyFont="1" applyFill="1" applyBorder="1" applyAlignment="1">
      <alignment vertical="center"/>
    </xf>
    <xf numFmtId="178" fontId="1" fillId="0" borderId="0" xfId="49" applyNumberFormat="1" applyFont="1" applyFill="1" applyBorder="1" applyAlignment="1">
      <alignment vertical="center"/>
    </xf>
    <xf numFmtId="182" fontId="6" fillId="4" borderId="0" xfId="49" applyNumberFormat="1" applyFont="1" applyFill="1" applyBorder="1" applyAlignment="1">
      <alignment vertical="center"/>
    </xf>
    <xf numFmtId="2" fontId="1" fillId="0" borderId="0" xfId="49" applyNumberFormat="1" applyFont="1" applyFill="1" applyBorder="1" applyAlignment="1">
      <alignment vertical="center"/>
    </xf>
    <xf numFmtId="182" fontId="1" fillId="0" borderId="0" xfId="49" applyNumberFormat="1" applyFont="1" applyFill="1" applyBorder="1" applyAlignment="1">
      <alignment vertical="center"/>
    </xf>
    <xf numFmtId="176" fontId="1" fillId="0" borderId="0" xfId="49" applyNumberFormat="1" applyFont="1" applyFill="1" applyBorder="1" applyAlignment="1">
      <alignment vertical="center"/>
    </xf>
    <xf numFmtId="0" fontId="7" fillId="0" borderId="0" xfId="49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color rgb="FFC62828"/>
      </font>
    </dxf>
    <dxf>
      <font>
        <color rgb="FF167647"/>
      </font>
    </dxf>
    <dxf>
      <font>
        <b val="1"/>
        <color rgb="FFC62828"/>
      </font>
      <fill>
        <patternFill patternType="solid">
          <bgColor rgb="FFFCE4E4"/>
        </patternFill>
      </fill>
    </dxf>
    <dxf>
      <numFmt numFmtId="183" formatCode=";;;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nsactions" displayName="Transactions" ref="A6:AA506" totalsRowShown="0">
  <autoFilter xmlns:etc="http://www.wps.cn/officeDocument/2017/etCustomData" ref="A6:AA506" etc:filterBottomFollowUsedRange="0"/>
  <tableColumns count="27">
    <tableColumn id="1" name="净值日期"/>
    <tableColumn id="2" name="交易类型"/>
    <tableColumn id="3" name="成交净值"/>
    <tableColumn id="4" name="确认份额"/>
    <tableColumn id="5" name="确认金额（元）"/>
    <tableColumn id="6" name="手续费（元）"/>
    <tableColumn id="7" name="确认状态"/>
    <tableColumn id="8" name="备注"/>
    <tableColumn id="9" name="录入检查"/>
    <tableColumn id="10" name="份额变动"/>
    <tableColumn id="11" name="交易后份额"/>
    <tableColumn id="12" name="交易前市值"/>
    <tableColumn id="13" name="可提取利润"/>
    <tableColumn id="14" name="本笔提取利润"/>
    <tableColumn id="15" name="本笔收回本金"/>
    <tableColumn id="16" name="清仓确认亏损"/>
    <tableColumn id="17" name="交易后本金"/>
    <tableColumn id="18" name="交易后市值"/>
    <tableColumn id="19" name="交易后盈亏"/>
    <tableColumn id="20" name="交易后收益率"/>
    <tableColumn id="21" name="累计买入支出"/>
    <tableColumn id="22" name="累计收回金额"/>
    <tableColumn id="23" name="累计提取利润"/>
    <tableColumn id="24" name="累计结清亏损"/>
    <tableColumn id="25" name="累计总盈亏"/>
    <tableColumn id="26" name="最近成交净值日"/>
    <tableColumn id="27" name="计算链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3C5C"/>
  </sheetPr>
  <dimension ref="A1:H39"/>
  <sheetViews>
    <sheetView showGridLines="0" tabSelected="1" topLeftCell="A10" workbookViewId="0">
      <selection activeCell="E13" sqref="E13"/>
    </sheetView>
  </sheetViews>
  <sheetFormatPr defaultColWidth="9" defaultRowHeight="14.25" outlineLevelCol="7"/>
  <cols>
    <col min="1" max="1" width="3" customWidth="1"/>
    <col min="2" max="2" width="23" customWidth="1"/>
    <col min="3" max="3" width="20" customWidth="1"/>
    <col min="4" max="4" width="3" customWidth="1"/>
    <col min="5" max="5" width="24" customWidth="1"/>
    <col min="6" max="6" width="20" customWidth="1"/>
    <col min="7" max="7" width="3" customWidth="1"/>
    <col min="8" max="8" width="20" customWidth="1"/>
  </cols>
  <sheetData>
    <row r="1" ht="23" customHeight="1" spans="1:8">
      <c r="A1" s="1"/>
      <c r="B1" s="1"/>
      <c r="C1" s="1"/>
      <c r="D1" s="1"/>
      <c r="E1" s="1"/>
      <c r="F1" s="1"/>
      <c r="G1" s="1"/>
      <c r="H1" s="1"/>
    </row>
    <row r="2" ht="33" customHeight="1" spans="1:8">
      <c r="A2" s="1"/>
      <c r="B2" s="2" t="s">
        <v>0</v>
      </c>
      <c r="C2" s="1"/>
      <c r="D2" s="1"/>
      <c r="E2" s="1"/>
      <c r="F2" s="1"/>
      <c r="G2" s="1"/>
      <c r="H2" s="1"/>
    </row>
    <row r="3" ht="23" customHeight="1" spans="1:8">
      <c r="A3" s="1"/>
      <c r="B3" s="22" t="s">
        <v>1</v>
      </c>
      <c r="C3" s="22"/>
      <c r="D3" s="22"/>
      <c r="E3" s="22"/>
      <c r="F3" s="22"/>
      <c r="G3" s="22"/>
      <c r="H3" s="22"/>
    </row>
    <row r="4" ht="23" customHeight="1" spans="1:8">
      <c r="A4" s="1"/>
      <c r="B4" s="1"/>
      <c r="C4" s="1"/>
      <c r="D4" s="1"/>
      <c r="E4" s="1"/>
      <c r="F4" s="1"/>
      <c r="G4" s="1"/>
      <c r="H4" s="1"/>
    </row>
    <row r="5" ht="23" customHeight="1" spans="1:8">
      <c r="A5" s="1"/>
      <c r="B5" s="1" t="s">
        <v>2</v>
      </c>
      <c r="C5" s="23">
        <f>IF(AND(AND(ISNUMBER(C37),C37&gt;0,C37=INT(C37),ISNUMBER(F37),F37&gt;0),OR(NOT(AND(ISNUMBER(C19),C19&gt;0,ISNUMBER(逐笔交易!AB506),逐笔交易!AB506&gt;0)),C37&gt;=C19)),C37,IF(AND(ISNUMBER(C19),C19&gt;0,ISNUMBER(逐笔交易!AB506),逐笔交易!AB506&gt;0),C19,""))</f>
        <v>46288</v>
      </c>
      <c r="D5" s="1"/>
      <c r="E5" s="1" t="s">
        <v>3</v>
      </c>
      <c r="F5" s="24">
        <f>IF(AND(AND(ISNUMBER(C37),C37&gt;0,C37=INT(C37),ISNUMBER(F37),F37&gt;0),OR(NOT(AND(ISNUMBER(C19),C19&gt;0,ISNUMBER(逐笔交易!AB506),逐笔交易!AB506&gt;0)),C37&gt;=C19)),F37,IF(AND(ISNUMBER(C19),C19&gt;0,ISNUMBER(逐笔交易!AB506),逐笔交易!AB506&gt;0),逐笔交易!AB506,""))</f>
        <v>2.8398</v>
      </c>
      <c r="G5" s="1"/>
      <c r="H5" s="1" t="s">
        <v>4</v>
      </c>
    </row>
    <row r="6" ht="34" customHeight="1" spans="1:8">
      <c r="A6" s="1"/>
      <c r="B6" s="1" t="s">
        <v>5</v>
      </c>
      <c r="C6" s="25" t="s">
        <v>6</v>
      </c>
      <c r="D6" s="25"/>
      <c r="E6" s="25"/>
      <c r="F6" s="25"/>
      <c r="G6" s="1"/>
      <c r="H6" s="26">
        <v>0.1</v>
      </c>
    </row>
    <row r="7" ht="23" customHeight="1" spans="1:8">
      <c r="A7" s="1"/>
      <c r="B7" s="1" t="s">
        <v>7</v>
      </c>
      <c r="C7" s="6" t="s">
        <v>8</v>
      </c>
      <c r="D7" s="1"/>
      <c r="E7" s="22" t="s">
        <v>9</v>
      </c>
      <c r="F7" s="22"/>
      <c r="G7" s="22"/>
      <c r="H7" s="22"/>
    </row>
    <row r="8" ht="38" customHeight="1" spans="1:8">
      <c r="A8" s="1"/>
      <c r="B8" s="21" t="str">
        <f>IF(逐笔交易!AA506="错误","存在录入问题，请先修正逐笔交易 I 列提示",IF(COUNTIFS(逐笔交易!I7:I506,"已计入")=0,"尚未录入可计入交易",IF(NOT(ISNUMBER(C5)),"估值日期未填写或格式无效，请检查 C5",IF(OR(C5&lt;=0,C5&lt;&gt;INT(C5)),"估值日期无效，请检查 C5",IF(NOT(ISNUMBER(F5)),"估值单位净值未填写或不是数字，请检查 F5",IF(F5&lt;=0,"估值单位净值须大于 0，请检查 F5",IF(C5&lt;逐笔交易!Z506,"估值日期 "&amp;TEXT(C5,"yyyy-mm-dd")&amp;" 早于最近交易 "&amp;TEXT(逐笔交易!Z506,"yyyy-mm-dd")&amp;"；请核对交易日期，或更新同日净值。",IF(H19&gt;0,"历史交易已入账；含原表估算，请核对成交单","已按录入交易更新"))))))))</f>
        <v>历史交易已入账；含原表估算，请核对成交单</v>
      </c>
      <c r="C8" s="21"/>
      <c r="D8" s="21"/>
      <c r="E8" s="21"/>
      <c r="F8" s="21"/>
      <c r="G8" s="21"/>
      <c r="H8" s="21"/>
    </row>
    <row r="9" ht="23" customHeight="1" spans="1:8">
      <c r="A9" s="1"/>
      <c r="B9" s="1"/>
      <c r="C9" s="1"/>
      <c r="D9" s="1"/>
      <c r="E9" s="1"/>
      <c r="F9" s="1"/>
      <c r="G9" s="1"/>
      <c r="H9" s="1"/>
    </row>
    <row r="10" ht="23" customHeight="1" spans="1:8">
      <c r="A10" s="1"/>
      <c r="B10" s="27" t="s">
        <v>10</v>
      </c>
      <c r="C10" s="27"/>
      <c r="D10" s="1"/>
      <c r="E10" s="27" t="s">
        <v>11</v>
      </c>
      <c r="F10" s="27"/>
      <c r="G10" s="1"/>
      <c r="H10" s="1"/>
    </row>
    <row r="11" ht="23" customHeight="1" spans="1:8">
      <c r="A11" s="1"/>
      <c r="B11" s="1" t="s">
        <v>12</v>
      </c>
      <c r="C11" s="28">
        <f>IF(AND(AND(逐笔交易!AA506="正常",COUNTIFS(逐笔交易!I7:I506,"已计入")&gt;0),ISNUMBER(C5),ISNUMBER(F5),F5&gt;0,C5&gt;=逐笔交易!Z506),ROUND(逐笔交易!K506*F5,2),"")</f>
        <v>97360.92</v>
      </c>
      <c r="D11" s="1"/>
      <c r="E11" s="1" t="s">
        <v>13</v>
      </c>
      <c r="F11" s="29">
        <f>IF(AND(逐笔交易!AA506="正常",COUNTIFS(逐笔交易!I7:I506,"已计入")&gt;0),逐笔交易!U506,"")</f>
        <v>82516.01</v>
      </c>
      <c r="G11" s="1"/>
      <c r="H11" s="1"/>
    </row>
    <row r="12" ht="23" customHeight="1" spans="1:8">
      <c r="A12" s="1"/>
      <c r="B12" s="1" t="s">
        <v>14</v>
      </c>
      <c r="C12" s="28">
        <f>IF(AND(逐笔交易!AA506="正常",COUNTIFS(逐笔交易!I7:I506,"已计入")&gt;0),逐笔交易!Q506,"")</f>
        <v>82516.01</v>
      </c>
      <c r="D12" s="1"/>
      <c r="E12" s="1" t="s">
        <v>15</v>
      </c>
      <c r="F12" s="29">
        <f>IF(AND(逐笔交易!AA506="正常",COUNTIFS(逐笔交易!I7:I506,"已计入")&gt;0),逐笔交易!V506,"")</f>
        <v>0</v>
      </c>
      <c r="G12" s="1"/>
      <c r="H12" s="1"/>
    </row>
    <row r="13" ht="23" customHeight="1" spans="1:8">
      <c r="A13" s="1"/>
      <c r="B13" s="1" t="s">
        <v>16</v>
      </c>
      <c r="C13" s="28">
        <f>IF(ISNUMBER(C11),ROUND(C11-C12,2),"")</f>
        <v>14844.91</v>
      </c>
      <c r="D13" s="1"/>
      <c r="E13" s="1" t="s">
        <v>17</v>
      </c>
      <c r="F13" s="29">
        <f>IF(AND(逐笔交易!AA506="正常",COUNTIFS(逐笔交易!I7:I506,"已计入")&gt;0),逐笔交易!W506,"")</f>
        <v>0</v>
      </c>
      <c r="G13" s="1"/>
      <c r="H13" s="1"/>
    </row>
    <row r="14" ht="23" customHeight="1" spans="1:8">
      <c r="A14" s="1"/>
      <c r="B14" s="1" t="s">
        <v>18</v>
      </c>
      <c r="C14" s="30">
        <f>IF(AND(ISNUMBER(C13),C12&gt;0),C13/C12,"")</f>
        <v>0.179903390869239</v>
      </c>
      <c r="D14" s="1"/>
      <c r="E14" s="1" t="s">
        <v>19</v>
      </c>
      <c r="F14" s="29">
        <f>IF(AND(逐笔交易!AA506="正常",COUNTIFS(逐笔交易!I7:I506,"已计入")&gt;0),逐笔交易!X506,"")</f>
        <v>0</v>
      </c>
      <c r="G14" s="1"/>
      <c r="H14" s="1"/>
    </row>
    <row r="15" ht="23" customHeight="1" spans="1:8">
      <c r="A15" s="1"/>
      <c r="B15" s="1" t="s">
        <v>20</v>
      </c>
      <c r="C15" s="31">
        <f>IF(AND(逐笔交易!AA506="正常",COUNTIFS(逐笔交易!I7:I506,"已计入")&gt;0),逐笔交易!K506,"")</f>
        <v>34284.43</v>
      </c>
      <c r="D15" s="1"/>
      <c r="E15" s="1" t="s">
        <v>21</v>
      </c>
      <c r="F15" s="29">
        <f>IF(ISNUMBER(C11),ROUND(C11+F12-F11,2),"")</f>
        <v>14844.91</v>
      </c>
      <c r="G15" s="1"/>
      <c r="H15" s="1"/>
    </row>
    <row r="16" ht="23" customHeight="1" spans="1:8">
      <c r="A16" s="1"/>
      <c r="B16" s="1" t="s">
        <v>22</v>
      </c>
      <c r="C16" s="1" t="str">
        <f>IF(ISNUMBER(C15),IF(C15=0,"已清仓",IF(C12=0,"本金已收回","仍有本金")),"")</f>
        <v>仍有本金</v>
      </c>
      <c r="D16" s="1"/>
      <c r="E16" s="1" t="s">
        <v>23</v>
      </c>
      <c r="F16" s="32">
        <f>IF(AND(ISNUMBER(F15),F11&gt;0),F15/F11,"")</f>
        <v>0.179903390869239</v>
      </c>
      <c r="G16" s="1"/>
      <c r="H16" s="1"/>
    </row>
    <row r="17" ht="23" customHeight="1" spans="1:8">
      <c r="A17" s="1"/>
      <c r="B17" s="1"/>
      <c r="C17" s="1"/>
      <c r="D17" s="1"/>
      <c r="E17" s="1"/>
      <c r="F17" s="1"/>
      <c r="G17" s="1"/>
      <c r="H17" s="1"/>
    </row>
    <row r="18" ht="23" customHeight="1" spans="1:8">
      <c r="A18" s="1"/>
      <c r="B18" s="1" t="s">
        <v>24</v>
      </c>
      <c r="C18" s="1">
        <f>COUNTIFS(逐笔交易!I7:I506,"已计入")</f>
        <v>110</v>
      </c>
      <c r="D18" s="1"/>
      <c r="E18" s="1" t="s">
        <v>25</v>
      </c>
      <c r="F18" s="1">
        <f>COUNTIFS(逐笔交易!G7:G506,"待确认")+COUNTIFS(逐笔交易!G7:G506,"待修正")</f>
        <v>0</v>
      </c>
      <c r="G18" s="1"/>
      <c r="H18" s="1" t="s">
        <v>26</v>
      </c>
    </row>
    <row r="19" ht="23" customHeight="1" spans="1:8">
      <c r="A19" s="1"/>
      <c r="B19" s="1" t="s">
        <v>27</v>
      </c>
      <c r="C19" s="33">
        <f>IF(AND(逐笔交易!AA506="正常",COUNTIFS(逐笔交易!I7:I506,"已计入")&gt;0),逐笔交易!Z506,"")</f>
        <v>46247</v>
      </c>
      <c r="D19" s="1"/>
      <c r="E19" s="1" t="s">
        <v>28</v>
      </c>
      <c r="F19" s="1" t="str">
        <f>IF(ISNUMBER(F15),IF(ABS(F15-(C13+F13-F14))&lt;0.02,"一致","需检查"),"")</f>
        <v>一致</v>
      </c>
      <c r="G19" s="1"/>
      <c r="H19" s="1">
        <f>COUNTIFS(逐笔交易!G7:G506,"历史估算")</f>
        <v>110</v>
      </c>
    </row>
    <row r="20" ht="23" customHeight="1" spans="1:8">
      <c r="A20" s="1"/>
      <c r="B20" s="1"/>
      <c r="C20" s="1"/>
      <c r="D20" s="1"/>
      <c r="E20" s="1"/>
      <c r="F20" s="1"/>
      <c r="G20" s="1"/>
      <c r="H20" s="1"/>
    </row>
    <row r="21" ht="23" customHeight="1" spans="1:8">
      <c r="A21" s="1"/>
      <c r="B21" s="27" t="s">
        <v>29</v>
      </c>
      <c r="C21" s="27"/>
      <c r="D21" s="27"/>
      <c r="E21" s="27"/>
      <c r="F21" s="27"/>
      <c r="G21" s="27"/>
      <c r="H21" s="27"/>
    </row>
    <row r="22" ht="26" customHeight="1" spans="1:8">
      <c r="A22" s="1"/>
      <c r="B22" s="1" t="s">
        <v>30</v>
      </c>
      <c r="C22" s="1"/>
      <c r="D22" s="1"/>
      <c r="E22" s="1"/>
      <c r="F22" s="1"/>
      <c r="G22" s="1"/>
      <c r="H22" s="1"/>
    </row>
    <row r="23" ht="26" customHeight="1" spans="1:8">
      <c r="A23" s="1"/>
      <c r="B23" s="1" t="s">
        <v>31</v>
      </c>
      <c r="C23" s="1"/>
      <c r="D23" s="1"/>
      <c r="E23" s="1"/>
      <c r="F23" s="1"/>
      <c r="G23" s="1"/>
      <c r="H23" s="1"/>
    </row>
    <row r="24" ht="26" customHeight="1" spans="1:8">
      <c r="A24" s="1"/>
      <c r="B24" s="1" t="s">
        <v>32</v>
      </c>
      <c r="C24" s="1"/>
      <c r="D24" s="1"/>
      <c r="E24" s="1"/>
      <c r="F24" s="1"/>
      <c r="G24" s="1"/>
      <c r="H24" s="1"/>
    </row>
    <row r="25" ht="34" customHeight="1" spans="1:8">
      <c r="A25" s="1"/>
      <c r="B25" s="25" t="s">
        <v>33</v>
      </c>
      <c r="C25" s="25"/>
      <c r="D25" s="25"/>
      <c r="E25" s="25"/>
      <c r="F25" s="25"/>
      <c r="G25" s="25"/>
      <c r="H25" s="25"/>
    </row>
    <row r="26" ht="26" customHeight="1" spans="1:8">
      <c r="A26" s="1"/>
      <c r="B26" s="1" t="s">
        <v>34</v>
      </c>
      <c r="C26" s="1"/>
      <c r="D26" s="1"/>
      <c r="E26" s="1"/>
      <c r="F26" s="1"/>
      <c r="G26" s="1"/>
      <c r="H26" s="1"/>
    </row>
    <row r="27" ht="26" customHeight="1" spans="1:8">
      <c r="A27" s="1"/>
      <c r="B27" s="1" t="s">
        <v>35</v>
      </c>
      <c r="C27" s="1"/>
      <c r="D27" s="1"/>
      <c r="E27" s="1"/>
      <c r="F27" s="1"/>
      <c r="G27" s="1"/>
      <c r="H27" s="1"/>
    </row>
    <row r="28" ht="26" customHeight="1" spans="1:8">
      <c r="A28" s="1"/>
      <c r="B28" s="1" t="s">
        <v>36</v>
      </c>
      <c r="C28" s="1"/>
      <c r="D28" s="1"/>
      <c r="E28" s="1"/>
      <c r="F28" s="1"/>
      <c r="G28" s="1"/>
      <c r="H28" s="1"/>
    </row>
    <row r="29" ht="26" customHeight="1" spans="1:8">
      <c r="A29" s="1"/>
      <c r="B29" s="1" t="s">
        <v>37</v>
      </c>
      <c r="C29" s="1"/>
      <c r="D29" s="1"/>
      <c r="E29" s="1"/>
      <c r="F29" s="1"/>
      <c r="G29" s="1"/>
      <c r="H29" s="1"/>
    </row>
    <row r="30" ht="26" customHeight="1" spans="1:8">
      <c r="A30" s="1"/>
      <c r="B30" s="1" t="s">
        <v>38</v>
      </c>
      <c r="C30" s="1"/>
      <c r="D30" s="1"/>
      <c r="E30" s="1"/>
      <c r="F30" s="1"/>
      <c r="G30" s="1"/>
      <c r="H30" s="1"/>
    </row>
    <row r="31" ht="26" customHeight="1" spans="1:8">
      <c r="A31" s="1"/>
      <c r="B31" s="1" t="s">
        <v>39</v>
      </c>
      <c r="C31" s="1"/>
      <c r="D31" s="1"/>
      <c r="E31" s="1"/>
      <c r="F31" s="1"/>
      <c r="G31" s="1"/>
      <c r="H31" s="1"/>
    </row>
    <row r="32" ht="26" customHeight="1" spans="1:8">
      <c r="A32" s="1"/>
      <c r="B32" s="1" t="s">
        <v>40</v>
      </c>
      <c r="C32" s="1"/>
      <c r="D32" s="1"/>
      <c r="E32" s="1"/>
      <c r="F32" s="1"/>
      <c r="G32" s="1"/>
      <c r="H32" s="1"/>
    </row>
    <row r="33" ht="26" customHeight="1" spans="1:8">
      <c r="A33" s="1"/>
      <c r="B33" s="1" t="s">
        <v>41</v>
      </c>
      <c r="C33" s="1"/>
      <c r="D33" s="1"/>
      <c r="E33" s="1"/>
      <c r="F33" s="1"/>
      <c r="G33" s="1"/>
      <c r="H33" s="1"/>
    </row>
    <row r="34" ht="26" customHeight="1" spans="1:8">
      <c r="A34" s="1"/>
      <c r="B34" s="1" t="s">
        <v>42</v>
      </c>
      <c r="C34" s="1"/>
      <c r="D34" s="1"/>
      <c r="E34" s="1"/>
      <c r="F34" s="1"/>
      <c r="G34" s="1"/>
      <c r="H34" s="1"/>
    </row>
    <row r="35" ht="26" customHeight="1" spans="1:8">
      <c r="A35" s="1"/>
      <c r="B35" s="1" t="s">
        <v>43</v>
      </c>
      <c r="C35" s="1"/>
      <c r="D35" s="1"/>
      <c r="E35" s="1"/>
      <c r="F35" s="1"/>
      <c r="G35" s="1"/>
      <c r="H35" s="1"/>
    </row>
    <row r="36" ht="34" customHeight="1" spans="1:8">
      <c r="A36" s="1"/>
      <c r="B36" s="25" t="s">
        <v>44</v>
      </c>
      <c r="C36" s="25"/>
      <c r="D36" s="25"/>
      <c r="E36" s="25"/>
      <c r="F36" s="25"/>
      <c r="G36" s="25"/>
      <c r="H36" s="25"/>
    </row>
    <row r="37" ht="23" customHeight="1" spans="1:8">
      <c r="A37" s="1"/>
      <c r="B37" s="1" t="s">
        <v>45</v>
      </c>
      <c r="C37" s="15">
        <v>46288</v>
      </c>
      <c r="D37" s="1"/>
      <c r="E37" s="1" t="s">
        <v>46</v>
      </c>
      <c r="F37" s="17">
        <v>2.8398</v>
      </c>
      <c r="G37" s="1"/>
      <c r="H37" s="1"/>
    </row>
    <row r="38" ht="23" customHeight="1" spans="1:8">
      <c r="A38" s="1"/>
      <c r="B38" s="34" t="s">
        <v>47</v>
      </c>
      <c r="C38" s="34"/>
      <c r="D38" s="34"/>
      <c r="E38" s="34"/>
      <c r="F38" s="34"/>
      <c r="G38" s="34"/>
      <c r="H38" s="34"/>
    </row>
    <row r="39" ht="34" customHeight="1" spans="1:8">
      <c r="A39" s="1"/>
      <c r="B39" s="35" t="s">
        <v>48</v>
      </c>
      <c r="C39" s="35"/>
      <c r="D39" s="35"/>
      <c r="E39" s="35"/>
      <c r="F39" s="35"/>
      <c r="G39" s="35"/>
      <c r="H39" s="35"/>
    </row>
  </sheetData>
  <mergeCells count="23">
    <mergeCell ref="B2:H2"/>
    <mergeCell ref="B3:H3"/>
    <mergeCell ref="C6:F6"/>
    <mergeCell ref="E7:H7"/>
    <mergeCell ref="B8:H8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8:H38"/>
    <mergeCell ref="B39:H39"/>
  </mergeCells>
  <conditionalFormatting sqref="C13:C14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F15:F16">
    <cfRule type="cellIs" dxfId="0" priority="3" operator="greaterThan">
      <formula>0</formula>
    </cfRule>
    <cfRule type="cellIs" dxfId="1" priority="4" operator="lessThan">
      <formula>0</formula>
    </cfRule>
  </conditionalFormatting>
  <dataValidations count="1">
    <dataValidation type="list" sqref="C7">
      <formula1>"利润优先,本金优先"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66C98"/>
  </sheetPr>
  <dimension ref="A1:AB506"/>
  <sheetViews>
    <sheetView showGridLines="0" workbookViewId="0">
      <pane xSplit="2" ySplit="6" topLeftCell="C115" activePane="bottomRight" state="frozen"/>
      <selection/>
      <selection pane="topRight"/>
      <selection pane="bottomLeft"/>
      <selection pane="bottomRight" activeCell="B120" sqref="B120"/>
    </sheetView>
  </sheetViews>
  <sheetFormatPr defaultColWidth="9" defaultRowHeight="14.25"/>
  <cols>
    <col min="1" max="1" width="15" customWidth="1"/>
    <col min="2" max="2" width="14" customWidth="1"/>
    <col min="3" max="3" width="13" customWidth="1"/>
    <col min="4" max="4" width="14" customWidth="1"/>
    <col min="5" max="5" width="23" customWidth="1"/>
    <col min="6" max="6" width="18" customWidth="1"/>
    <col min="7" max="7" width="15" customWidth="1"/>
    <col min="8" max="8" width="39" customWidth="1"/>
    <col min="9" max="9" width="30" customWidth="1"/>
    <col min="10" max="10" width="15" customWidth="1"/>
    <col min="11" max="11" width="17" customWidth="1"/>
    <col min="12" max="19" width="19" customWidth="1"/>
    <col min="20" max="20" width="18" customWidth="1"/>
    <col min="21" max="21" width="23" customWidth="1"/>
    <col min="22" max="25" width="20" customWidth="1"/>
    <col min="26" max="26" width="19" customWidth="1"/>
    <col min="27" max="27" width="16" customWidth="1"/>
    <col min="28" max="28" width="19" customWidth="1"/>
  </cols>
  <sheetData>
    <row r="1" ht="23" customHeight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2" customHeight="1" spans="1:28">
      <c r="A2" s="2" t="s">
        <v>49</v>
      </c>
      <c r="B2" s="1"/>
      <c r="C2" s="1"/>
      <c r="D2" s="1"/>
      <c r="E2" s="1"/>
      <c r="F2" s="1"/>
      <c r="G2" s="1"/>
      <c r="H2" s="1"/>
      <c r="I2" s="1"/>
      <c r="J2" s="1" t="s">
        <v>50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3" customHeight="1" spans="1:28">
      <c r="A3" s="1" t="s">
        <v>51</v>
      </c>
      <c r="B3" s="1"/>
      <c r="C3" s="1"/>
      <c r="D3" s="1"/>
      <c r="E3" s="1"/>
      <c r="F3" s="1"/>
      <c r="G3" s="1"/>
      <c r="H3" s="1"/>
      <c r="I3" s="1"/>
      <c r="J3" s="1" t="str">
        <f>"当前模式："&amp;持仓总览!C7&amp;"。卖出按所选模式分配；全部赎回时确认未收回本金的亏损。"</f>
        <v>当前模式：利润优先。卖出按所选模式分配；全部赎回时确认未收回本金的亏损。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3" customHeight="1" spans="1:28">
      <c r="A4" s="1" t="s">
        <v>52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3" customHeight="1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4" customHeight="1" spans="1:28">
      <c r="A6" s="3" t="s">
        <v>53</v>
      </c>
      <c r="B6" s="3" t="s">
        <v>54</v>
      </c>
      <c r="C6" s="3" t="s">
        <v>55</v>
      </c>
      <c r="D6" s="3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3" t="s">
        <v>62</v>
      </c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69</v>
      </c>
      <c r="R6" s="3" t="s">
        <v>70</v>
      </c>
      <c r="S6" s="3" t="s">
        <v>71</v>
      </c>
      <c r="T6" s="3" t="s">
        <v>72</v>
      </c>
      <c r="U6" s="3" t="s">
        <v>13</v>
      </c>
      <c r="V6" s="3" t="s">
        <v>73</v>
      </c>
      <c r="W6" s="3" t="s">
        <v>74</v>
      </c>
      <c r="X6" s="3" t="s">
        <v>75</v>
      </c>
      <c r="Y6" s="3" t="s">
        <v>76</v>
      </c>
      <c r="Z6" s="3" t="s">
        <v>77</v>
      </c>
      <c r="AA6" s="3" t="s">
        <v>78</v>
      </c>
      <c r="AB6" t="s">
        <v>79</v>
      </c>
    </row>
    <row r="7" ht="38" customHeight="1" spans="1:28">
      <c r="A7" s="5">
        <v>45870</v>
      </c>
      <c r="B7" s="6" t="s">
        <v>80</v>
      </c>
      <c r="C7" s="7">
        <v>1.937</v>
      </c>
      <c r="D7" s="8">
        <v>4123.9</v>
      </c>
      <c r="E7" s="8">
        <v>8000</v>
      </c>
      <c r="F7" s="8">
        <v>12</v>
      </c>
      <c r="G7" s="6" t="s">
        <v>81</v>
      </c>
      <c r="H7" s="9" t="s">
        <v>82</v>
      </c>
      <c r="I7" s="10" t="str">
        <f>IF(COUNTA(A7:H7)=0,"",IF(OR(OR(OR(G7="撤单",G7="交易失败",G7="交易关闭"),G7="交易失败",G7="交易关闭"),G7="交易失败",G7="交易关闭"),"已排除",IF(G7="待确认","待确认",IF(NOT(OR(G7="已确认",G7="历史估算")),"请选择确认状态",IF(NOT(ISNUMBER(A7)),"缺少有效净值日期",IF(OR(A7&lt;=0,A7&lt;&gt;INT(A7)),"净值日期无效",IF(NOT(OR(OR(B7="买入",B7="定投",B7="转换转入"),B7="卖出",B7="现金分红",B7="红利再投")),"请选择交易类型",IF(NOT(ISNUMBER(C7)),"缺少成交净值",IF(C7&lt;=0,"成交净值须大于零",IF(NOT(ISNUMBER(D7)),"缺少确认份额（分红填0）",IF(NOT(ISNUMBER(E7)),"缺少确认金额（再投填0）",IF(NOT(ISNUMBER(F7)),"缺少手续费（无费用填0）",IF(OR(D7&lt;0,E7&lt;0,F7&lt;0),"份额金额费用不能为负",IF("正常"="错误","前行待修正",IF(A7&lt;0,"日期需按成交顺序递增",IF(AND(B7="现金分红",OR(D7&lt;&gt;0,E7&lt;=0,F7&lt;&gt;0)),"分红填份额0、费用0、正金额",IF(AND(B7="红利再投",OR(D7&lt;=0,E7&lt;&gt;0,F7&lt;&gt;0)),"再投填正份额、金额0、费用0",IF(AND(OR(B7="现金分红",B7="红利再投"),0&lt;=0),"分红或再投前须有持仓",IF(AND(OR(OR(B7="买入",B7="定投",B7="转换转入"),B7="卖出"),OR(D7&lt;=0,E7&lt;=0)),"买卖须填正份额、正金额",IF(AND(B7="卖出",D7&gt;0+0.000001),"卖出份额超过持仓",IF(AND(OR(B7="买入",B7="定投",B7="转换转入"),F7&gt;=E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="买入",B7="定投",B7="转换转入"),ABS(E7-F7-C7*D7)&gt;持仓总览!$H$6),"买入金额与份额净值不符",IF(AND(B7="卖出",ABS(E7+F7-C7*D7)&gt;持仓总览!$H$6),"到账加费用与赎回市值不符","已计入"))))))))))))))))))))))))))</f>
        <v>已计入</v>
      </c>
      <c r="J7" s="11">
        <f t="shared" ref="J7:J70" si="0">IF(AA7="正常",IF(I7="已计入",IF(OR(OR(B7="买入",B7="定投",B7="转换转入"),B7="红利再投"),D7,IF(B7="卖出",-D7,0)),0),"")</f>
        <v>4123.9</v>
      </c>
      <c r="K7" s="11">
        <f>IF(AA7="正常",ROUND(0+J7,6),"")</f>
        <v>4123.9</v>
      </c>
      <c r="L7" s="11">
        <f>IF(I7="已计入",ROUND(0*C7,2),"")</f>
        <v>0</v>
      </c>
      <c r="M7" s="11">
        <f>IF(I7="已计入",IF(B7="卖出",MAX(0,L7-0-F7),IF(B7="现金分红",MAX(0,L7+E7-0),0)),"")</f>
        <v>0</v>
      </c>
      <c r="N7" s="11">
        <f>IF(I7="已计入",IF(AND(B7="卖出",持仓总览!$C$7="本金优先"),MAX(0,E7-0),IF(OR(B7="卖出",B7="现金分红"),MIN(E7,M7),0)),"")</f>
        <v>0</v>
      </c>
      <c r="O7" s="11">
        <f>IF(I7="已计入",IF(OR(B7="卖出",B7="现金分红"),MIN(0,MAX(0,E7-N7)),0),"")</f>
        <v>0</v>
      </c>
      <c r="P7" s="11">
        <f>IF(I7="已计入",IF(AND(B7="卖出",K7=0),MAX(0,0-O7),0),"")</f>
        <v>0</v>
      </c>
      <c r="Q7" s="11">
        <f>IF(AA7="正常",IF(I7="已计入",ROUND(0+IF(OR(B7="买入",B7="定投",B7="转换转入"),E7,0)-O7-P7,2),0),"")</f>
        <v>8000</v>
      </c>
      <c r="R7" s="11">
        <f t="shared" ref="R7:R70" si="1">IF(I7="已计入",ROUND(K7*C7,2),"")</f>
        <v>7987.99</v>
      </c>
      <c r="S7" s="11">
        <f t="shared" ref="S7:S70" si="2">IF(I7="已计入",ROUND(R7-Q7,2),"")</f>
        <v>-12.01</v>
      </c>
      <c r="T7" s="12">
        <f t="shared" ref="T7:T70" si="3">IF(I7="已计入",IF(Q7=0,"",S7/Q7),"")</f>
        <v>-0.00150125</v>
      </c>
      <c r="U7" s="11">
        <f>IF(AA7="正常",0+IF(AND(I7="已计入",OR(B7="买入",B7="定投",B7="转换转入")),E7,0),"")</f>
        <v>8000</v>
      </c>
      <c r="V7" s="11">
        <f>IF(AA7="正常",0+IF(AND(I7="已计入",OR(B7="卖出",B7="现金分红")),E7,0),"")</f>
        <v>0</v>
      </c>
      <c r="W7" s="11">
        <f>IF(AA7="正常",0+IF(I7="已计入",N7,0),"")</f>
        <v>0</v>
      </c>
      <c r="X7" s="11">
        <f>IF(AA7="正常",0+IF(I7="已计入",P7,0),"")</f>
        <v>0</v>
      </c>
      <c r="Y7" s="11">
        <f t="shared" ref="Y7:Y70" si="4">IF(I7="已计入",ROUND(R7+V7-U7,2),"")</f>
        <v>-12.01</v>
      </c>
      <c r="Z7" s="13">
        <f>IF(AA7="正常",IF(I7="已计入",A7,0),"")</f>
        <v>45870</v>
      </c>
      <c r="AA7" s="10" t="str">
        <f>IF(OR("正常"="错误",AND(I7&lt;&gt;"",I7&lt;&gt;"已排除",I7&lt;&gt;"待确认",I7&lt;&gt;"已计入")),"错误","正常")</f>
        <v>正常</v>
      </c>
      <c r="AB7" s="14">
        <f>IF(AA7="正常",IF(I7="已计入",C7,0),"")</f>
        <v>1.937</v>
      </c>
    </row>
    <row r="8" ht="38" customHeight="1" spans="1:28">
      <c r="A8" s="5">
        <v>45870</v>
      </c>
      <c r="B8" s="6" t="s">
        <v>80</v>
      </c>
      <c r="C8" s="7">
        <v>1.937</v>
      </c>
      <c r="D8" s="8">
        <v>5154.88</v>
      </c>
      <c r="E8" s="8">
        <v>10000</v>
      </c>
      <c r="F8" s="8">
        <v>15</v>
      </c>
      <c r="G8" s="6" t="s">
        <v>81</v>
      </c>
      <c r="H8" s="9" t="s">
        <v>83</v>
      </c>
      <c r="I8" s="10" t="str">
        <f>IF(COUNTA(A8:H8)=0,"",IF(OR(OR(OR(G8="撤单",G8="交易失败",G8="交易关闭"),G8="交易失败",G8="交易关闭"),G8="交易失败",G8="交易关闭"),"已排除",IF(G8="待确认","待确认",IF(NOT(OR(G8="已确认",G8="历史估算")),"请选择确认状态",IF(NOT(ISNUMBER(A8)),"缺少有效净值日期",IF(OR(A8&lt;=0,A8&lt;&gt;INT(A8)),"净值日期无效",IF(NOT(OR(OR(B8="买入",B8="定投",B8="转换转入"),B8="卖出",B8="现金分红",B8="红利再投")),"请选择交易类型",IF(NOT(ISNUMBER(C8)),"缺少成交净值",IF(C8&lt;=0,"成交净值须大于零",IF(NOT(ISNUMBER(D8)),"缺少确认份额（分红填0）",IF(NOT(ISNUMBER(E8)),"缺少确认金额（再投填0）",IF(NOT(ISNUMBER(F8)),"缺少手续费（无费用填0）",IF(OR(D8&lt;0,E8&lt;0,F8&lt;0),"份额金额费用不能为负",IF(AA7="错误","前行待修正",IF(A8&lt;Z7,"日期需按成交顺序递增",IF(AND(B8="现金分红",OR(D8&lt;&gt;0,E8&lt;=0,F8&lt;&gt;0)),"分红填份额0、费用0、正金额",IF(AND(B8="红利再投",OR(D8&lt;=0,E8&lt;&gt;0,F8&lt;&gt;0)),"再投填正份额、金额0、费用0",IF(AND(OR(B8="现金分红",B8="红利再投"),K7&lt;=0),"分红或再投前须有持仓",IF(AND(OR(OR(B8="买入",B8="定投",B8="转换转入"),B8="卖出"),OR(D8&lt;=0,E8&lt;=0)),"买卖须填正份额、正金额",IF(AND(B8="卖出",D8&gt;K7+0.000001),"卖出份额超过持仓",IF(AND(OR(B8="买入",B8="定投",B8="转换转入"),F8&gt;=E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="买入",B8="定投",B8="转换转入"),ABS(E8-F8-C8*D8)&gt;持仓总览!$H$6),"买入金额与份额净值不符",IF(AND(B8="卖出",ABS(E8+F8-C8*D8)&gt;持仓总览!$H$6),"到账加费用与赎回市值不符","已计入"))))))))))))))))))))))))))</f>
        <v>已计入</v>
      </c>
      <c r="J8" s="11">
        <f t="shared" si="0"/>
        <v>5154.88</v>
      </c>
      <c r="K8" s="11">
        <f t="shared" ref="K8:K71" si="5">IF(AA8="正常",ROUND(K7+J8,6),"")</f>
        <v>9278.78</v>
      </c>
      <c r="L8" s="11">
        <f t="shared" ref="L8:L71" si="6">IF(I8="已计入",ROUND(K7*C8,2),"")</f>
        <v>7987.99</v>
      </c>
      <c r="M8" s="11">
        <f t="shared" ref="M8:M71" si="7">IF(I8="已计入",IF(B8="卖出",MAX(0,L8-Q7-F8),IF(B8="现金分红",MAX(0,L8+E8-Q7),0)),"")</f>
        <v>0</v>
      </c>
      <c r="N8" s="11">
        <f>IF(I8="已计入",IF(AND(B8="卖出",持仓总览!$C$7="本金优先"),MAX(0,E8-Q7),IF(OR(B8="卖出",B8="现金分红"),MIN(E8,M8),0)),"")</f>
        <v>0</v>
      </c>
      <c r="O8" s="11">
        <f t="shared" ref="O8:O71" si="8">IF(I8="已计入",IF(OR(B8="卖出",B8="现金分红"),MIN(Q7,MAX(0,E8-N8)),0),"")</f>
        <v>0</v>
      </c>
      <c r="P8" s="11">
        <f t="shared" ref="P8:P71" si="9">IF(I8="已计入",IF(AND(B8="卖出",K8=0),MAX(0,Q7-O8),0),"")</f>
        <v>0</v>
      </c>
      <c r="Q8" s="11">
        <f t="shared" ref="Q8:Q71" si="10">IF(AA8="正常",IF(I8="已计入",ROUND(Q7+IF(OR(B8="买入",B8="定投",B8="转换转入"),E8,0)-O8-P8,2),Q7),"")</f>
        <v>18000</v>
      </c>
      <c r="R8" s="11">
        <f t="shared" si="1"/>
        <v>17973</v>
      </c>
      <c r="S8" s="11">
        <f t="shared" si="2"/>
        <v>-27</v>
      </c>
      <c r="T8" s="12">
        <f t="shared" si="3"/>
        <v>-0.0015</v>
      </c>
      <c r="U8" s="11">
        <f t="shared" ref="U8:U71" si="11">IF(AA8="正常",U7+IF(AND(I8="已计入",OR(B8="买入",B8="定投",B8="转换转入")),E8,0),"")</f>
        <v>18000</v>
      </c>
      <c r="V8" s="11">
        <f t="shared" ref="V8:V71" si="12">IF(AA8="正常",V7+IF(AND(I8="已计入",OR(B8="卖出",B8="现金分红")),E8,0),"")</f>
        <v>0</v>
      </c>
      <c r="W8" s="11">
        <f t="shared" ref="W8:W71" si="13">IF(AA8="正常",W7+IF(I8="已计入",N8,0),"")</f>
        <v>0</v>
      </c>
      <c r="X8" s="11">
        <f t="shared" ref="X8:X71" si="14">IF(AA8="正常",X7+IF(I8="已计入",P8,0),"")</f>
        <v>0</v>
      </c>
      <c r="Y8" s="11">
        <f t="shared" si="4"/>
        <v>-27</v>
      </c>
      <c r="Z8" s="13">
        <f t="shared" ref="Z8:Z71" si="15">IF(AA8="正常",IF(I8="已计入",A8,Z7),"")</f>
        <v>45870</v>
      </c>
      <c r="AA8" s="10" t="str">
        <f t="shared" ref="AA8:AA71" si="16">IF(OR(AA7="错误",AND(I8&lt;&gt;"",I8&lt;&gt;"已排除",I8&lt;&gt;"待确认",I8&lt;&gt;"已计入")),"错误","正常")</f>
        <v>正常</v>
      </c>
      <c r="AB8" s="14">
        <f t="shared" ref="AB8:AB71" si="17">IF(AA8="正常",IF(I8="已计入",C8,AB7),"")</f>
        <v>1.937</v>
      </c>
    </row>
    <row r="9" ht="38" customHeight="1" spans="1:28">
      <c r="A9" s="5">
        <v>45873</v>
      </c>
      <c r="B9" s="6" t="s">
        <v>80</v>
      </c>
      <c r="C9" s="7">
        <v>1.9949</v>
      </c>
      <c r="D9" s="8">
        <v>1001.05</v>
      </c>
      <c r="E9" s="8">
        <v>2000</v>
      </c>
      <c r="F9" s="8">
        <v>3</v>
      </c>
      <c r="G9" s="6" t="s">
        <v>81</v>
      </c>
      <c r="H9" s="9" t="s">
        <v>84</v>
      </c>
      <c r="I9" s="10" t="str">
        <f>IF(COUNTA(A9:H9)=0,"",IF(OR(OR(OR(G9="撤单",G9="交易失败",G9="交易关闭"),G9="交易失败",G9="交易关闭"),G9="交易失败",G9="交易关闭"),"已排除",IF(G9="待确认","待确认",IF(NOT(OR(G9="已确认",G9="历史估算")),"请选择确认状态",IF(NOT(ISNUMBER(A9)),"缺少有效净值日期",IF(OR(A9&lt;=0,A9&lt;&gt;INT(A9)),"净值日期无效",IF(NOT(OR(OR(B9="买入",B9="定投",B9="转换转入"),B9="卖出",B9="现金分红",B9="红利再投")),"请选择交易类型",IF(NOT(ISNUMBER(C9)),"缺少成交净值",IF(C9&lt;=0,"成交净值须大于零",IF(NOT(ISNUMBER(D9)),"缺少确认份额（分红填0）",IF(NOT(ISNUMBER(E9)),"缺少确认金额（再投填0）",IF(NOT(ISNUMBER(F9)),"缺少手续费（无费用填0）",IF(OR(D9&lt;0,E9&lt;0,F9&lt;0),"份额金额费用不能为负",IF(AA8="错误","前行待修正",IF(A9&lt;Z8,"日期需按成交顺序递增",IF(AND(B9="现金分红",OR(D9&lt;&gt;0,E9&lt;=0,F9&lt;&gt;0)),"分红填份额0、费用0、正金额",IF(AND(B9="红利再投",OR(D9&lt;=0,E9&lt;&gt;0,F9&lt;&gt;0)),"再投填正份额、金额0、费用0",IF(AND(OR(B9="现金分红",B9="红利再投"),K8&lt;=0),"分红或再投前须有持仓",IF(AND(OR(OR(B9="买入",B9="定投",B9="转换转入"),B9="卖出"),OR(D9&lt;=0,E9&lt;=0)),"买卖须填正份额、正金额",IF(AND(B9="卖出",D9&gt;K8+0.000001),"卖出份额超过持仓",IF(AND(OR(B9="买入",B9="定投",B9="转换转入"),F9&gt;=E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="买入",B9="定投",B9="转换转入"),ABS(E9-F9-C9*D9)&gt;持仓总览!$H$6),"买入金额与份额净值不符",IF(AND(B9="卖出",ABS(E9+F9-C9*D9)&gt;持仓总览!$H$6),"到账加费用与赎回市值不符","已计入"))))))))))))))))))))))))))</f>
        <v>已计入</v>
      </c>
      <c r="J9" s="11">
        <f t="shared" si="0"/>
        <v>1001.05</v>
      </c>
      <c r="K9" s="11">
        <f t="shared" si="5"/>
        <v>10279.83</v>
      </c>
      <c r="L9" s="11">
        <f t="shared" si="6"/>
        <v>18510.24</v>
      </c>
      <c r="M9" s="11">
        <f t="shared" si="7"/>
        <v>0</v>
      </c>
      <c r="N9" s="11">
        <f>IF(I9="已计入",IF(AND(B9="卖出",持仓总览!$C$7="本金优先"),MAX(0,E9-Q8),IF(OR(B9="卖出",B9="现金分红"),MIN(E9,M9),0)),"")</f>
        <v>0</v>
      </c>
      <c r="O9" s="11">
        <f t="shared" si="8"/>
        <v>0</v>
      </c>
      <c r="P9" s="11">
        <f t="shared" si="9"/>
        <v>0</v>
      </c>
      <c r="Q9" s="11">
        <f t="shared" si="10"/>
        <v>20000</v>
      </c>
      <c r="R9" s="11">
        <f t="shared" si="1"/>
        <v>20507.23</v>
      </c>
      <c r="S9" s="11">
        <f t="shared" si="2"/>
        <v>507.23</v>
      </c>
      <c r="T9" s="12">
        <f t="shared" si="3"/>
        <v>0.0253615</v>
      </c>
      <c r="U9" s="11">
        <f t="shared" si="11"/>
        <v>20000</v>
      </c>
      <c r="V9" s="11">
        <f t="shared" si="12"/>
        <v>0</v>
      </c>
      <c r="W9" s="11">
        <f t="shared" si="13"/>
        <v>0</v>
      </c>
      <c r="X9" s="11">
        <f t="shared" si="14"/>
        <v>0</v>
      </c>
      <c r="Y9" s="11">
        <f t="shared" si="4"/>
        <v>507.23</v>
      </c>
      <c r="Z9" s="13">
        <f t="shared" si="15"/>
        <v>45873</v>
      </c>
      <c r="AA9" s="10" t="str">
        <f t="shared" si="16"/>
        <v>正常</v>
      </c>
      <c r="AB9" s="14">
        <f t="shared" si="17"/>
        <v>1.9949</v>
      </c>
    </row>
    <row r="10" ht="38" customHeight="1" spans="1:28">
      <c r="A10" s="5">
        <v>45875</v>
      </c>
      <c r="B10" s="6" t="s">
        <v>80</v>
      </c>
      <c r="C10" s="7">
        <v>2.0113</v>
      </c>
      <c r="D10" s="8">
        <v>24.82</v>
      </c>
      <c r="E10" s="8">
        <v>50</v>
      </c>
      <c r="F10" s="8">
        <v>0.08</v>
      </c>
      <c r="G10" s="6" t="s">
        <v>81</v>
      </c>
      <c r="H10" s="9" t="s">
        <v>85</v>
      </c>
      <c r="I10" s="10" t="str">
        <f>IF(COUNTA(A10:H10)=0,"",IF(OR(OR(OR(G10="撤单",G10="交易失败",G10="交易关闭"),G10="交易失败",G10="交易关闭"),G10="交易失败",G10="交易关闭"),"已排除",IF(G10="待确认","待确认",IF(NOT(OR(G10="已确认",G10="历史估算")),"请选择确认状态",IF(NOT(ISNUMBER(A10)),"缺少有效净值日期",IF(OR(A10&lt;=0,A10&lt;&gt;INT(A10)),"净值日期无效",IF(NOT(OR(OR(B10="买入",B10="定投",B10="转换转入"),B10="卖出",B10="现金分红",B10="红利再投")),"请选择交易类型",IF(NOT(ISNUMBER(C10)),"缺少成交净值",IF(C10&lt;=0,"成交净值须大于零",IF(NOT(ISNUMBER(D10)),"缺少确认份额（分红填0）",IF(NOT(ISNUMBER(E10)),"缺少确认金额（再投填0）",IF(NOT(ISNUMBER(F10)),"缺少手续费（无费用填0）",IF(OR(D10&lt;0,E10&lt;0,F10&lt;0),"份额金额费用不能为负",IF(AA9="错误","前行待修正",IF(A10&lt;Z9,"日期需按成交顺序递增",IF(AND(B10="现金分红",OR(D10&lt;&gt;0,E10&lt;=0,F10&lt;&gt;0)),"分红填份额0、费用0、正金额",IF(AND(B10="红利再投",OR(D10&lt;=0,E10&lt;&gt;0,F10&lt;&gt;0)),"再投填正份额、金额0、费用0",IF(AND(OR(B10="现金分红",B10="红利再投"),K9&lt;=0),"分红或再投前须有持仓",IF(AND(OR(OR(B10="买入",B10="定投",B10="转换转入"),B10="卖出"),OR(D10&lt;=0,E10&lt;=0)),"买卖须填正份额、正金额",IF(AND(B10="卖出",D10&gt;K9+0.000001),"卖出份额超过持仓",IF(AND(OR(B10="买入",B10="定投",B10="转换转入"),F10&gt;=E10)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="买入",B10="定投",B10="转换转入"),ABS(E10-F10-C10*D10)&gt;持仓总览!$H$6),"买入金额与份额净值不符",IF(AND(B10="卖出",ABS(E10+F10-C10*D10)&gt;持仓总览!$H$6),"到账加费用与赎回市值不符","已计入"))))))))))))))))))))))))))</f>
        <v>已计入</v>
      </c>
      <c r="J10" s="11">
        <f t="shared" si="0"/>
        <v>24.82</v>
      </c>
      <c r="K10" s="11">
        <f t="shared" si="5"/>
        <v>10304.65</v>
      </c>
      <c r="L10" s="11">
        <f t="shared" si="6"/>
        <v>20675.82</v>
      </c>
      <c r="M10" s="11">
        <f t="shared" si="7"/>
        <v>0</v>
      </c>
      <c r="N10" s="11">
        <f>IF(I10="已计入",IF(AND(B10="卖出",持仓总览!$C$7="本金优先"),MAX(0,E10-Q9),IF(OR(B10="卖出",B10="现金分红"),MIN(E10,M10),0)),"")</f>
        <v>0</v>
      </c>
      <c r="O10" s="11">
        <f t="shared" si="8"/>
        <v>0</v>
      </c>
      <c r="P10" s="11">
        <f t="shared" si="9"/>
        <v>0</v>
      </c>
      <c r="Q10" s="11">
        <f t="shared" si="10"/>
        <v>20050</v>
      </c>
      <c r="R10" s="11">
        <f t="shared" si="1"/>
        <v>20725.74</v>
      </c>
      <c r="S10" s="11">
        <f t="shared" si="2"/>
        <v>675.74</v>
      </c>
      <c r="T10" s="12">
        <f t="shared" si="3"/>
        <v>0.0337027431421446</v>
      </c>
      <c r="U10" s="11">
        <f t="shared" si="11"/>
        <v>20050</v>
      </c>
      <c r="V10" s="11">
        <f t="shared" si="12"/>
        <v>0</v>
      </c>
      <c r="W10" s="11">
        <f t="shared" si="13"/>
        <v>0</v>
      </c>
      <c r="X10" s="11">
        <f t="shared" si="14"/>
        <v>0</v>
      </c>
      <c r="Y10" s="11">
        <f t="shared" si="4"/>
        <v>675.74</v>
      </c>
      <c r="Z10" s="13">
        <f t="shared" si="15"/>
        <v>45875</v>
      </c>
      <c r="AA10" s="10" t="str">
        <f t="shared" si="16"/>
        <v>正常</v>
      </c>
      <c r="AB10" s="14">
        <f t="shared" si="17"/>
        <v>2.0113</v>
      </c>
    </row>
    <row r="11" ht="38" customHeight="1" spans="1:28">
      <c r="A11" s="5">
        <v>45875</v>
      </c>
      <c r="B11" s="6" t="s">
        <v>86</v>
      </c>
      <c r="C11" s="7">
        <v>2.0113</v>
      </c>
      <c r="D11" s="8">
        <v>5317.96</v>
      </c>
      <c r="E11" s="8">
        <v>10696.01</v>
      </c>
      <c r="F11" s="8">
        <v>0</v>
      </c>
      <c r="G11" s="6" t="s">
        <v>81</v>
      </c>
      <c r="H11" s="9" t="s">
        <v>87</v>
      </c>
      <c r="I11" s="10" t="str">
        <f>IF(COUNTA(A11:H11)=0,"",IF(OR(OR(OR(G11="撤单",G11="交易失败",G11="交易关闭"),G11="交易失败",G11="交易关闭"),G11="交易失败",G11="交易关闭"),"已排除",IF(G11="待确认","待确认",IF(NOT(OR(G11="已确认",G11="历史估算")),"请选择确认状态",IF(NOT(ISNUMBER(A11)),"缺少有效净值日期",IF(OR(A11&lt;=0,A11&lt;&gt;INT(A11)),"净值日期无效",IF(NOT(OR(OR(B11="买入",B11="定投",B11="转换转入"),B11="卖出",B11="现金分红",B11="红利再投")),"请选择交易类型",IF(NOT(ISNUMBER(C11)),"缺少成交净值",IF(C11&lt;=0,"成交净值须大于零",IF(NOT(ISNUMBER(D11)),"缺少确认份额（分红填0）",IF(NOT(ISNUMBER(E11)),"缺少确认金额（再投填0）",IF(NOT(ISNUMBER(F11)),"缺少手续费（无费用填0）",IF(OR(D11&lt;0,E11&lt;0,F11&lt;0),"份额金额费用不能为负",IF(AA10="错误","前行待修正",IF(A11&lt;Z10,"日期需按成交顺序递增",IF(AND(B11="现金分红",OR(D11&lt;&gt;0,E11&lt;=0,F11&lt;&gt;0)),"分红填份额0、费用0、正金额",IF(AND(B11="红利再投",OR(D11&lt;=0,E11&lt;&gt;0,F11&lt;&gt;0)),"再投填正份额、金额0、费用0",IF(AND(OR(B11="现金分红",B11="红利再投"),K10&lt;=0),"分红或再投前须有持仓",IF(AND(OR(OR(B11="买入",B11="定投",B11="转换转入"),B11="卖出"),OR(D11&lt;=0,E11&lt;=0)),"买卖须填正份额、正金额",IF(AND(B11="卖出",D11&gt;K10+0.000001),"卖出份额超过持仓",IF(AND(OR(B11="买入",B11="定投",B11="转换转入"),F11&gt;=E11)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="买入",B11="定投",B11="转换转入"),ABS(E11-F11-C11*D11)&gt;持仓总览!$H$6),"买入金额与份额净值不符",IF(AND(B11="卖出",ABS(E11+F11-C11*D11)&gt;持仓总览!$H$6),"到账加费用与赎回市值不符","已计入"))))))))))))))))))))))))))</f>
        <v>已计入</v>
      </c>
      <c r="J11" s="11">
        <f t="shared" si="0"/>
        <v>5317.96</v>
      </c>
      <c r="K11" s="11">
        <f t="shared" si="5"/>
        <v>15622.61</v>
      </c>
      <c r="L11" s="11">
        <f t="shared" si="6"/>
        <v>20725.74</v>
      </c>
      <c r="M11" s="11">
        <f t="shared" si="7"/>
        <v>0</v>
      </c>
      <c r="N11" s="11">
        <f>IF(I11="已计入",IF(AND(B11="卖出",持仓总览!$C$7="本金优先"),MAX(0,E11-Q10),IF(OR(B11="卖出",B11="现金分红"),MIN(E11,M11),0)),"")</f>
        <v>0</v>
      </c>
      <c r="O11" s="11">
        <f t="shared" si="8"/>
        <v>0</v>
      </c>
      <c r="P11" s="11">
        <f t="shared" si="9"/>
        <v>0</v>
      </c>
      <c r="Q11" s="11">
        <f t="shared" si="10"/>
        <v>30746.01</v>
      </c>
      <c r="R11" s="11">
        <f t="shared" si="1"/>
        <v>31421.76</v>
      </c>
      <c r="S11" s="11">
        <f t="shared" si="2"/>
        <v>675.75</v>
      </c>
      <c r="T11" s="12">
        <f t="shared" si="3"/>
        <v>0.0219784615955046</v>
      </c>
      <c r="U11" s="11">
        <f t="shared" si="11"/>
        <v>30746.01</v>
      </c>
      <c r="V11" s="11">
        <f t="shared" si="12"/>
        <v>0</v>
      </c>
      <c r="W11" s="11">
        <f t="shared" si="13"/>
        <v>0</v>
      </c>
      <c r="X11" s="11">
        <f t="shared" si="14"/>
        <v>0</v>
      </c>
      <c r="Y11" s="11">
        <f t="shared" si="4"/>
        <v>675.75</v>
      </c>
      <c r="Z11" s="13">
        <f t="shared" si="15"/>
        <v>45875</v>
      </c>
      <c r="AA11" s="10" t="str">
        <f t="shared" si="16"/>
        <v>正常</v>
      </c>
      <c r="AB11" s="14">
        <f t="shared" si="17"/>
        <v>2.0113</v>
      </c>
    </row>
    <row r="12" ht="38" customHeight="1" spans="1:28">
      <c r="A12" s="5">
        <v>45919</v>
      </c>
      <c r="B12" s="6" t="s">
        <v>80</v>
      </c>
      <c r="C12" s="7">
        <v>2.1377</v>
      </c>
      <c r="D12" s="8">
        <v>467.09</v>
      </c>
      <c r="E12" s="8">
        <v>1000</v>
      </c>
      <c r="F12" s="8">
        <v>1.5</v>
      </c>
      <c r="G12" s="6" t="s">
        <v>81</v>
      </c>
      <c r="H12" s="9" t="s">
        <v>88</v>
      </c>
      <c r="I12" s="10" t="str">
        <f>IF(COUNTA(A12:H12)=0,"",IF(OR(OR(OR(G12="撤单",G12="交易失败",G12="交易关闭"),G12="交易失败",G12="交易关闭"),G12="交易失败",G12="交易关闭"),"已排除",IF(G12="待确认","待确认",IF(NOT(OR(G12="已确认",G12="历史估算")),"请选择确认状态",IF(NOT(ISNUMBER(A12)),"缺少有效净值日期",IF(OR(A12&lt;=0,A12&lt;&gt;INT(A12)),"净值日期无效",IF(NOT(OR(OR(B12="买入",B12="定投",B12="转换转入"),B12="卖出",B12="现金分红",B12="红利再投")),"请选择交易类型",IF(NOT(ISNUMBER(C12)),"缺少成交净值",IF(C12&lt;=0,"成交净值须大于零",IF(NOT(ISNUMBER(D12)),"缺少确认份额（分红填0）",IF(NOT(ISNUMBER(E12)),"缺少确认金额（再投填0）",IF(NOT(ISNUMBER(F12)),"缺少手续费（无费用填0）",IF(OR(D12&lt;0,E12&lt;0,F12&lt;0),"份额金额费用不能为负",IF(AA11="错误","前行待修正",IF(A12&lt;Z11,"日期需按成交顺序递增",IF(AND(B12="现金分红",OR(D12&lt;&gt;0,E12&lt;=0,F12&lt;&gt;0)),"分红填份额0、费用0、正金额",IF(AND(B12="红利再投",OR(D12&lt;=0,E12&lt;&gt;0,F12&lt;&gt;0)),"再投填正份额、金额0、费用0",IF(AND(OR(B12="现金分红",B12="红利再投"),K11&lt;=0),"分红或再投前须有持仓",IF(AND(OR(OR(B12="买入",B12="定投",B12="转换转入"),B12="卖出"),OR(D12&lt;=0,E12&lt;=0)),"买卖须填正份额、正金额",IF(AND(B12="卖出",D12&gt;K11+0.000001),"卖出份额超过持仓",IF(AND(OR(B12="买入",B12="定投",B12="转换转入"),F12&gt;=E12)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12="买入",B12="定投",B12="转换转入"),ABS(E12-F12-C12*D12)&gt;持仓总览!$H$6),"买入金额与份额净值不符",IF(AND(B12="卖出",ABS(E12+F12-C12*D12)&gt;持仓总览!$H$6),"到账加费用与赎回市值不符","已计入"))))))))))))))))))))))))))</f>
        <v>已计入</v>
      </c>
      <c r="J12" s="11">
        <f t="shared" si="0"/>
        <v>467.09</v>
      </c>
      <c r="K12" s="11">
        <f t="shared" si="5"/>
        <v>16089.7</v>
      </c>
      <c r="L12" s="11">
        <f t="shared" si="6"/>
        <v>33396.45</v>
      </c>
      <c r="M12" s="11">
        <f t="shared" si="7"/>
        <v>0</v>
      </c>
      <c r="N12" s="11">
        <f>IF(I12="已计入",IF(AND(B12="卖出",持仓总览!$C$7="本金优先"),MAX(0,E12-Q11),IF(OR(B12="卖出",B12="现金分红"),MIN(E12,M12),0)),"")</f>
        <v>0</v>
      </c>
      <c r="O12" s="11">
        <f t="shared" si="8"/>
        <v>0</v>
      </c>
      <c r="P12" s="11">
        <f t="shared" si="9"/>
        <v>0</v>
      </c>
      <c r="Q12" s="11">
        <f t="shared" si="10"/>
        <v>31746.01</v>
      </c>
      <c r="R12" s="11">
        <f t="shared" si="1"/>
        <v>34394.95</v>
      </c>
      <c r="S12" s="11">
        <f t="shared" si="2"/>
        <v>2648.94</v>
      </c>
      <c r="T12" s="12">
        <f t="shared" si="3"/>
        <v>0.083441667157542</v>
      </c>
      <c r="U12" s="11">
        <f t="shared" si="11"/>
        <v>31746.01</v>
      </c>
      <c r="V12" s="11">
        <f t="shared" si="12"/>
        <v>0</v>
      </c>
      <c r="W12" s="11">
        <f t="shared" si="13"/>
        <v>0</v>
      </c>
      <c r="X12" s="11">
        <f t="shared" si="14"/>
        <v>0</v>
      </c>
      <c r="Y12" s="11">
        <f t="shared" si="4"/>
        <v>2648.94</v>
      </c>
      <c r="Z12" s="13">
        <f t="shared" si="15"/>
        <v>45919</v>
      </c>
      <c r="AA12" s="10" t="str">
        <f t="shared" si="16"/>
        <v>正常</v>
      </c>
      <c r="AB12" s="14">
        <f t="shared" si="17"/>
        <v>2.1377</v>
      </c>
    </row>
    <row r="13" ht="38" customHeight="1" spans="1:28">
      <c r="A13" s="5">
        <v>45940</v>
      </c>
      <c r="B13" s="6" t="s">
        <v>80</v>
      </c>
      <c r="C13" s="7">
        <v>2.0671</v>
      </c>
      <c r="D13" s="8">
        <v>483.04</v>
      </c>
      <c r="E13" s="8">
        <v>1000</v>
      </c>
      <c r="F13" s="8">
        <v>1.5</v>
      </c>
      <c r="G13" s="6" t="s">
        <v>81</v>
      </c>
      <c r="H13" s="9" t="s">
        <v>89</v>
      </c>
      <c r="I13" s="10" t="str">
        <f>IF(COUNTA(A13:H13)=0,"",IF(OR(OR(OR(G13="撤单",G13="交易失败",G13="交易关闭"),G13="交易失败",G13="交易关闭"),G13="交易失败",G13="交易关闭"),"已排除",IF(G13="待确认","待确认",IF(NOT(OR(G13="已确认",G13="历史估算")),"请选择确认状态",IF(NOT(ISNUMBER(A13)),"缺少有效净值日期",IF(OR(A13&lt;=0,A13&lt;&gt;INT(A13)),"净值日期无效",IF(NOT(OR(OR(B13="买入",B13="定投",B13="转换转入"),B13="卖出",B13="现金分红",B13="红利再投")),"请选择交易类型",IF(NOT(ISNUMBER(C13)),"缺少成交净值",IF(C13&lt;=0,"成交净值须大于零",IF(NOT(ISNUMBER(D13)),"缺少确认份额（分红填0）",IF(NOT(ISNUMBER(E13)),"缺少确认金额（再投填0）",IF(NOT(ISNUMBER(F13)),"缺少手续费（无费用填0）",IF(OR(D13&lt;0,E13&lt;0,F13&lt;0),"份额金额费用不能为负",IF(AA12="错误","前行待修正",IF(A13&lt;Z12,"日期需按成交顺序递增",IF(AND(B13="现金分红",OR(D13&lt;&gt;0,E13&lt;=0,F13&lt;&gt;0)),"分红填份额0、费用0、正金额",IF(AND(B13="红利再投",OR(D13&lt;=0,E13&lt;&gt;0,F13&lt;&gt;0)),"再投填正份额、金额0、费用0",IF(AND(OR(B13="现金分红",B13="红利再投"),K12&lt;=0),"分红或再投前须有持仓",IF(AND(OR(OR(B13="买入",B13="定投",B13="转换转入"),B13="卖出"),OR(D13&lt;=0,E13&lt;=0)),"买卖须填正份额、正金额",IF(AND(B13="卖出",D13&gt;K12+0.000001),"卖出份额超过持仓",IF(AND(OR(B13="买入",B13="定投",B13="转换转入"),F13&gt;=E13)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13="买入",B13="定投",B13="转换转入"),ABS(E13-F13-C13*D13)&gt;持仓总览!$H$6),"买入金额与份额净值不符",IF(AND(B13="卖出",ABS(E13+F13-C13*D13)&gt;持仓总览!$H$6),"到账加费用与赎回市值不符","已计入"))))))))))))))))))))))))))</f>
        <v>已计入</v>
      </c>
      <c r="J13" s="11">
        <f t="shared" si="0"/>
        <v>483.04</v>
      </c>
      <c r="K13" s="11">
        <f t="shared" si="5"/>
        <v>16572.74</v>
      </c>
      <c r="L13" s="11">
        <f t="shared" si="6"/>
        <v>33259.02</v>
      </c>
      <c r="M13" s="11">
        <f t="shared" si="7"/>
        <v>0</v>
      </c>
      <c r="N13" s="11">
        <f>IF(I13="已计入",IF(AND(B13="卖出",持仓总览!$C$7="本金优先"),MAX(0,E13-Q12),IF(OR(B13="卖出",B13="现金分红"),MIN(E13,M13),0)),"")</f>
        <v>0</v>
      </c>
      <c r="O13" s="11">
        <f t="shared" si="8"/>
        <v>0</v>
      </c>
      <c r="P13" s="11">
        <f t="shared" si="9"/>
        <v>0</v>
      </c>
      <c r="Q13" s="11">
        <f t="shared" si="10"/>
        <v>32746.01</v>
      </c>
      <c r="R13" s="11">
        <f t="shared" si="1"/>
        <v>34257.51</v>
      </c>
      <c r="S13" s="11">
        <f t="shared" si="2"/>
        <v>1511.5</v>
      </c>
      <c r="T13" s="12">
        <f t="shared" si="3"/>
        <v>0.046158295315979</v>
      </c>
      <c r="U13" s="11">
        <f t="shared" si="11"/>
        <v>32746.01</v>
      </c>
      <c r="V13" s="11">
        <f t="shared" si="12"/>
        <v>0</v>
      </c>
      <c r="W13" s="11">
        <f t="shared" si="13"/>
        <v>0</v>
      </c>
      <c r="X13" s="11">
        <f t="shared" si="14"/>
        <v>0</v>
      </c>
      <c r="Y13" s="11">
        <f t="shared" si="4"/>
        <v>1511.5</v>
      </c>
      <c r="Z13" s="13">
        <f t="shared" si="15"/>
        <v>45940</v>
      </c>
      <c r="AA13" s="10" t="str">
        <f t="shared" si="16"/>
        <v>正常</v>
      </c>
      <c r="AB13" s="14">
        <f t="shared" si="17"/>
        <v>2.0671</v>
      </c>
    </row>
    <row r="14" ht="38" customHeight="1" spans="1:28">
      <c r="A14" s="5">
        <v>45964</v>
      </c>
      <c r="B14" s="6" t="s">
        <v>90</v>
      </c>
      <c r="C14" s="7">
        <v>2.2572</v>
      </c>
      <c r="D14" s="8">
        <v>132.71</v>
      </c>
      <c r="E14" s="8">
        <v>300</v>
      </c>
      <c r="F14" s="8">
        <v>0.45</v>
      </c>
      <c r="G14" s="6" t="s">
        <v>81</v>
      </c>
      <c r="H14" s="9" t="s">
        <v>91</v>
      </c>
      <c r="I14" s="10" t="str">
        <f>IF(COUNTA(A14:H14)=0,"",IF(OR(OR(OR(G14="撤单",G14="交易失败",G14="交易关闭"),G14="交易失败",G14="交易关闭"),G14="交易失败",G14="交易关闭"),"已排除",IF(G14="待确认","待确认",IF(NOT(OR(G14="已确认",G14="历史估算")),"请选择确认状态",IF(NOT(ISNUMBER(A14)),"缺少有效净值日期",IF(OR(A14&lt;=0,A14&lt;&gt;INT(A14)),"净值日期无效",IF(NOT(OR(OR(B14="买入",B14="定投",B14="转换转入"),B14="卖出",B14="现金分红",B14="红利再投")),"请选择交易类型",IF(NOT(ISNUMBER(C14)),"缺少成交净值",IF(C14&lt;=0,"成交净值须大于零",IF(NOT(ISNUMBER(D14)),"缺少确认份额（分红填0）",IF(NOT(ISNUMBER(E14)),"缺少确认金额（再投填0）",IF(NOT(ISNUMBER(F14)),"缺少手续费（无费用填0）",IF(OR(D14&lt;0,E14&lt;0,F14&lt;0),"份额金额费用不能为负",IF(AA13="错误","前行待修正",IF(A14&lt;Z13,"日期需按成交顺序递增",IF(AND(B14="现金分红",OR(D14&lt;&gt;0,E14&lt;=0,F14&lt;&gt;0)),"分红填份额0、费用0、正金额",IF(AND(B14="红利再投",OR(D14&lt;=0,E14&lt;&gt;0,F14&lt;&gt;0)),"再投填正份额、金额0、费用0",IF(AND(OR(B14="现金分红",B14="红利再投"),K13&lt;=0),"分红或再投前须有持仓",IF(AND(OR(OR(B14="买入",B14="定投",B14="转换转入"),B14="卖出"),OR(D14&lt;=0,E14&lt;=0)),"买卖须填正份额、正金额",IF(AND(B14="卖出",D14&gt;K13+0.000001),"卖出份额超过持仓",IF(AND(OR(B14="买入",B14="定投",B14="转换转入"),F14&gt;=E14)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14="买入",B14="定投",B14="转换转入"),ABS(E14-F14-C14*D14)&gt;持仓总览!$H$6),"买入金额与份额净值不符",IF(AND(B14="卖出",ABS(E14+F14-C14*D14)&gt;持仓总览!$H$6),"到账加费用与赎回市值不符","已计入"))))))))))))))))))))))))))</f>
        <v>已计入</v>
      </c>
      <c r="J14" s="11">
        <f t="shared" si="0"/>
        <v>132.71</v>
      </c>
      <c r="K14" s="11">
        <f t="shared" si="5"/>
        <v>16705.45</v>
      </c>
      <c r="L14" s="11">
        <f t="shared" si="6"/>
        <v>37407.99</v>
      </c>
      <c r="M14" s="11">
        <f t="shared" si="7"/>
        <v>0</v>
      </c>
      <c r="N14" s="11">
        <f>IF(I14="已计入",IF(AND(B14="卖出",持仓总览!$C$7="本金优先"),MAX(0,E14-Q13),IF(OR(B14="卖出",B14="现金分红"),MIN(E14,M14),0)),"")</f>
        <v>0</v>
      </c>
      <c r="O14" s="11">
        <f t="shared" si="8"/>
        <v>0</v>
      </c>
      <c r="P14" s="11">
        <f t="shared" si="9"/>
        <v>0</v>
      </c>
      <c r="Q14" s="11">
        <f t="shared" si="10"/>
        <v>33046.01</v>
      </c>
      <c r="R14" s="11">
        <f t="shared" si="1"/>
        <v>37707.54</v>
      </c>
      <c r="S14" s="11">
        <f t="shared" si="2"/>
        <v>4661.53</v>
      </c>
      <c r="T14" s="12">
        <f t="shared" si="3"/>
        <v>0.141061810487862</v>
      </c>
      <c r="U14" s="11">
        <f t="shared" si="11"/>
        <v>33046.01</v>
      </c>
      <c r="V14" s="11">
        <f t="shared" si="12"/>
        <v>0</v>
      </c>
      <c r="W14" s="11">
        <f t="shared" si="13"/>
        <v>0</v>
      </c>
      <c r="X14" s="11">
        <f t="shared" si="14"/>
        <v>0</v>
      </c>
      <c r="Y14" s="11">
        <f t="shared" si="4"/>
        <v>4661.53</v>
      </c>
      <c r="Z14" s="13">
        <f t="shared" si="15"/>
        <v>45964</v>
      </c>
      <c r="AA14" s="10" t="str">
        <f t="shared" si="16"/>
        <v>正常</v>
      </c>
      <c r="AB14" s="14">
        <f t="shared" si="17"/>
        <v>2.2572</v>
      </c>
    </row>
    <row r="15" ht="38" customHeight="1" spans="1:28">
      <c r="A15" s="5">
        <v>45965</v>
      </c>
      <c r="B15" s="6" t="s">
        <v>80</v>
      </c>
      <c r="C15" s="7">
        <v>2.1901</v>
      </c>
      <c r="D15" s="8">
        <v>136.77</v>
      </c>
      <c r="E15" s="8">
        <v>300</v>
      </c>
      <c r="F15" s="8">
        <v>0.45</v>
      </c>
      <c r="G15" s="6" t="s">
        <v>81</v>
      </c>
      <c r="H15" s="9" t="s">
        <v>92</v>
      </c>
      <c r="I15" s="10" t="str">
        <f>IF(COUNTA(A15:H15)=0,"",IF(OR(OR(OR(G15="撤单",G15="交易失败",G15="交易关闭"),G15="交易失败",G15="交易关闭"),G15="交易失败",G15="交易关闭"),"已排除",IF(G15="待确认","待确认",IF(NOT(OR(G15="已确认",G15="历史估算")),"请选择确认状态",IF(NOT(ISNUMBER(A15)),"缺少有效净值日期",IF(OR(A15&lt;=0,A15&lt;&gt;INT(A15)),"净值日期无效",IF(NOT(OR(OR(B15="买入",B15="定投",B15="转换转入"),B15="卖出",B15="现金分红",B15="红利再投")),"请选择交易类型",IF(NOT(ISNUMBER(C15)),"缺少成交净值",IF(C15&lt;=0,"成交净值须大于零",IF(NOT(ISNUMBER(D15)),"缺少确认份额（分红填0）",IF(NOT(ISNUMBER(E15)),"缺少确认金额（再投填0）",IF(NOT(ISNUMBER(F15)),"缺少手续费（无费用填0）",IF(OR(D15&lt;0,E15&lt;0,F15&lt;0),"份额金额费用不能为负",IF(AA14="错误","前行待修正",IF(A15&lt;Z14,"日期需按成交顺序递增",IF(AND(B15="现金分红",OR(D15&lt;&gt;0,E15&lt;=0,F15&lt;&gt;0)),"分红填份额0、费用0、正金额",IF(AND(B15="红利再投",OR(D15&lt;=0,E15&lt;&gt;0,F15&lt;&gt;0)),"再投填正份额、金额0、费用0",IF(AND(OR(B15="现金分红",B15="红利再投"),K14&lt;=0),"分红或再投前须有持仓",IF(AND(OR(OR(B15="买入",B15="定投",B15="转换转入"),B15="卖出"),OR(D15&lt;=0,E15&lt;=0)),"买卖须填正份额、正金额",IF(AND(B15="卖出",D15&gt;K14+0.000001),"卖出份额超过持仓",IF(AND(OR(B15="买入",B15="定投",B15="转换转入"),F15&gt;=E15)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15="买入",B15="定投",B15="转换转入"),ABS(E15-F15-C15*D15)&gt;持仓总览!$H$6),"买入金额与份额净值不符",IF(AND(B15="卖出",ABS(E15+F15-C15*D15)&gt;持仓总览!$H$6),"到账加费用与赎回市值不符","已计入"))))))))))))))))))))))))))</f>
        <v>已计入</v>
      </c>
      <c r="J15" s="11">
        <f t="shared" si="0"/>
        <v>136.77</v>
      </c>
      <c r="K15" s="11">
        <f t="shared" si="5"/>
        <v>16842.22</v>
      </c>
      <c r="L15" s="11">
        <f t="shared" si="6"/>
        <v>36586.61</v>
      </c>
      <c r="M15" s="11">
        <f t="shared" si="7"/>
        <v>0</v>
      </c>
      <c r="N15" s="11">
        <f>IF(I15="已计入",IF(AND(B15="卖出",持仓总览!$C$7="本金优先"),MAX(0,E15-Q14),IF(OR(B15="卖出",B15="现金分红"),MIN(E15,M15),0)),"")</f>
        <v>0</v>
      </c>
      <c r="O15" s="11">
        <f t="shared" si="8"/>
        <v>0</v>
      </c>
      <c r="P15" s="11">
        <f t="shared" si="9"/>
        <v>0</v>
      </c>
      <c r="Q15" s="11">
        <f t="shared" si="10"/>
        <v>33346.01</v>
      </c>
      <c r="R15" s="11">
        <f t="shared" si="1"/>
        <v>36886.15</v>
      </c>
      <c r="S15" s="11">
        <f t="shared" si="2"/>
        <v>3540.14</v>
      </c>
      <c r="T15" s="12">
        <f t="shared" si="3"/>
        <v>0.106163825897011</v>
      </c>
      <c r="U15" s="11">
        <f t="shared" si="11"/>
        <v>33346.01</v>
      </c>
      <c r="V15" s="11">
        <f t="shared" si="12"/>
        <v>0</v>
      </c>
      <c r="W15" s="11">
        <f t="shared" si="13"/>
        <v>0</v>
      </c>
      <c r="X15" s="11">
        <f t="shared" si="14"/>
        <v>0</v>
      </c>
      <c r="Y15" s="11">
        <f t="shared" si="4"/>
        <v>3540.14</v>
      </c>
      <c r="Z15" s="13">
        <f t="shared" si="15"/>
        <v>45965</v>
      </c>
      <c r="AA15" s="10" t="str">
        <f t="shared" si="16"/>
        <v>正常</v>
      </c>
      <c r="AB15" s="14">
        <f t="shared" si="17"/>
        <v>2.1901</v>
      </c>
    </row>
    <row r="16" ht="38" customHeight="1" spans="1:28">
      <c r="A16" s="5">
        <v>45966</v>
      </c>
      <c r="B16" s="6" t="s">
        <v>90</v>
      </c>
      <c r="C16" s="7">
        <v>2.2152</v>
      </c>
      <c r="D16" s="8">
        <v>135.22</v>
      </c>
      <c r="E16" s="8">
        <v>300</v>
      </c>
      <c r="F16" s="8">
        <v>0.45</v>
      </c>
      <c r="G16" s="6" t="s">
        <v>81</v>
      </c>
      <c r="H16" s="9" t="s">
        <v>93</v>
      </c>
      <c r="I16" s="10" t="str">
        <f>IF(COUNTA(A16:H16)=0,"",IF(OR(OR(OR(G16="撤单",G16="交易失败",G16="交易关闭"),G16="交易失败",G16="交易关闭"),G16="交易失败",G16="交易关闭"),"已排除",IF(G16="待确认","待确认",IF(NOT(OR(G16="已确认",G16="历史估算")),"请选择确认状态",IF(NOT(ISNUMBER(A16)),"缺少有效净值日期",IF(OR(A16&lt;=0,A16&lt;&gt;INT(A16)),"净值日期无效",IF(NOT(OR(OR(B16="买入",B16="定投",B16="转换转入"),B16="卖出",B16="现金分红",B16="红利再投")),"请选择交易类型",IF(NOT(ISNUMBER(C16)),"缺少成交净值",IF(C16&lt;=0,"成交净值须大于零",IF(NOT(ISNUMBER(D16)),"缺少确认份额（分红填0）",IF(NOT(ISNUMBER(E16)),"缺少确认金额（再投填0）",IF(NOT(ISNUMBER(F16)),"缺少手续费（无费用填0）",IF(OR(D16&lt;0,E16&lt;0,F16&lt;0),"份额金额费用不能为负",IF(AA15="错误","前行待修正",IF(A16&lt;Z15,"日期需按成交顺序递增",IF(AND(B16="现金分红",OR(D16&lt;&gt;0,E16&lt;=0,F16&lt;&gt;0)),"分红填份额0、费用0、正金额",IF(AND(B16="红利再投",OR(D16&lt;=0,E16&lt;&gt;0,F16&lt;&gt;0)),"再投填正份额、金额0、费用0",IF(AND(OR(B16="现金分红",B16="红利再投"),K15&lt;=0),"分红或再投前须有持仓",IF(AND(OR(OR(B16="买入",B16="定投",B16="转换转入"),B16="卖出"),OR(D16&lt;=0,E16&lt;=0)),"买卖须填正份额、正金额",IF(AND(B16="卖出",D16&gt;K15+0.000001),"卖出份额超过持仓",IF(AND(OR(B16="买入",B16="定投",B16="转换转入"),F16&gt;=E16)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16="买入",B16="定投",B16="转换转入"),ABS(E16-F16-C16*D16)&gt;持仓总览!$H$6),"买入金额与份额净值不符",IF(AND(B16="卖出",ABS(E16+F16-C16*D16)&gt;持仓总览!$H$6),"到账加费用与赎回市值不符","已计入"))))))))))))))))))))))))))</f>
        <v>已计入</v>
      </c>
      <c r="J16" s="11">
        <f t="shared" si="0"/>
        <v>135.22</v>
      </c>
      <c r="K16" s="11">
        <f t="shared" si="5"/>
        <v>16977.44</v>
      </c>
      <c r="L16" s="11">
        <f t="shared" si="6"/>
        <v>37308.89</v>
      </c>
      <c r="M16" s="11">
        <f t="shared" si="7"/>
        <v>0</v>
      </c>
      <c r="N16" s="11">
        <f>IF(I16="已计入",IF(AND(B16="卖出",持仓总览!$C$7="本金优先"),MAX(0,E16-Q15),IF(OR(B16="卖出",B16="现金分红"),MIN(E16,M16),0)),"")</f>
        <v>0</v>
      </c>
      <c r="O16" s="11">
        <f t="shared" si="8"/>
        <v>0</v>
      </c>
      <c r="P16" s="11">
        <f t="shared" si="9"/>
        <v>0</v>
      </c>
      <c r="Q16" s="11">
        <f t="shared" si="10"/>
        <v>33646.01</v>
      </c>
      <c r="R16" s="11">
        <f t="shared" si="1"/>
        <v>37608.43</v>
      </c>
      <c r="S16" s="11">
        <f t="shared" si="2"/>
        <v>3962.42</v>
      </c>
      <c r="T16" s="12">
        <f t="shared" si="3"/>
        <v>0.117767901751203</v>
      </c>
      <c r="U16" s="11">
        <f t="shared" si="11"/>
        <v>33646.01</v>
      </c>
      <c r="V16" s="11">
        <f t="shared" si="12"/>
        <v>0</v>
      </c>
      <c r="W16" s="11">
        <f t="shared" si="13"/>
        <v>0</v>
      </c>
      <c r="X16" s="11">
        <f t="shared" si="14"/>
        <v>0</v>
      </c>
      <c r="Y16" s="11">
        <f t="shared" si="4"/>
        <v>3962.42</v>
      </c>
      <c r="Z16" s="13">
        <f t="shared" si="15"/>
        <v>45966</v>
      </c>
      <c r="AA16" s="10" t="str">
        <f t="shared" si="16"/>
        <v>正常</v>
      </c>
      <c r="AB16" s="14">
        <f t="shared" si="17"/>
        <v>2.2152</v>
      </c>
    </row>
    <row r="17" ht="38" customHeight="1" spans="1:28">
      <c r="A17" s="5">
        <v>46003</v>
      </c>
      <c r="B17" s="6" t="s">
        <v>90</v>
      </c>
      <c r="C17" s="7">
        <v>2.1506</v>
      </c>
      <c r="D17" s="8">
        <v>46.43</v>
      </c>
      <c r="E17" s="8">
        <v>100</v>
      </c>
      <c r="F17" s="8">
        <v>0.15</v>
      </c>
      <c r="G17" s="6" t="s">
        <v>81</v>
      </c>
      <c r="H17" s="9" t="s">
        <v>94</v>
      </c>
      <c r="I17" s="10" t="str">
        <f>IF(COUNTA(A17:H17)=0,"",IF(OR(OR(OR(G17="撤单",G17="交易失败",G17="交易关闭"),G17="交易失败",G17="交易关闭"),G17="交易失败",G17="交易关闭"),"已排除",IF(G17="待确认","待确认",IF(NOT(OR(G17="已确认",G17="历史估算")),"请选择确认状态",IF(NOT(ISNUMBER(A17)),"缺少有效净值日期",IF(OR(A17&lt;=0,A17&lt;&gt;INT(A17)),"净值日期无效",IF(NOT(OR(OR(B17="买入",B17="定投",B17="转换转入"),B17="卖出",B17="现金分红",B17="红利再投")),"请选择交易类型",IF(NOT(ISNUMBER(C17)),"缺少成交净值",IF(C17&lt;=0,"成交净值须大于零",IF(NOT(ISNUMBER(D17)),"缺少确认份额（分红填0）",IF(NOT(ISNUMBER(E17)),"缺少确认金额（再投填0）",IF(NOT(ISNUMBER(F17)),"缺少手续费（无费用填0）",IF(OR(D17&lt;0,E17&lt;0,F17&lt;0),"份额金额费用不能为负",IF(AA16="错误","前行待修正",IF(A17&lt;Z16,"日期需按成交顺序递增",IF(AND(B17="现金分红",OR(D17&lt;&gt;0,E17&lt;=0,F17&lt;&gt;0)),"分红填份额0、费用0、正金额",IF(AND(B17="红利再投",OR(D17&lt;=0,E17&lt;&gt;0,F17&lt;&gt;0)),"再投填正份额、金额0、费用0",IF(AND(OR(B17="现金分红",B17="红利再投"),K16&lt;=0),"分红或再投前须有持仓",IF(AND(OR(OR(B17="买入",B17="定投",B17="转换转入"),B17="卖出"),OR(D17&lt;=0,E17&lt;=0)),"买卖须填正份额、正金额",IF(AND(B17="卖出",D17&gt;K16+0.000001),"卖出份额超过持仓",IF(AND(OR(B17="买入",B17="定投",B17="转换转入"),F17&gt;=E17)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17="买入",B17="定投",B17="转换转入"),ABS(E17-F17-C17*D17)&gt;持仓总览!$H$6),"买入金额与份额净值不符",IF(AND(B17="卖出",ABS(E17+F17-C17*D17)&gt;持仓总览!$H$6),"到账加费用与赎回市值不符","已计入"))))))))))))))))))))))))))</f>
        <v>已计入</v>
      </c>
      <c r="J17" s="11">
        <f t="shared" si="0"/>
        <v>46.43</v>
      </c>
      <c r="K17" s="11">
        <f t="shared" si="5"/>
        <v>17023.87</v>
      </c>
      <c r="L17" s="11">
        <f t="shared" si="6"/>
        <v>36511.68</v>
      </c>
      <c r="M17" s="11">
        <f t="shared" si="7"/>
        <v>0</v>
      </c>
      <c r="N17" s="11">
        <f>IF(I17="已计入",IF(AND(B17="卖出",持仓总览!$C$7="本金优先"),MAX(0,E17-Q16),IF(OR(B17="卖出",B17="现金分红"),MIN(E17,M17),0)),"")</f>
        <v>0</v>
      </c>
      <c r="O17" s="11">
        <f t="shared" si="8"/>
        <v>0</v>
      </c>
      <c r="P17" s="11">
        <f t="shared" si="9"/>
        <v>0</v>
      </c>
      <c r="Q17" s="11">
        <f t="shared" si="10"/>
        <v>33746.01</v>
      </c>
      <c r="R17" s="11">
        <f t="shared" si="1"/>
        <v>36611.53</v>
      </c>
      <c r="S17" s="11">
        <f t="shared" si="2"/>
        <v>2865.52</v>
      </c>
      <c r="T17" s="12">
        <f t="shared" si="3"/>
        <v>0.0849143350576853</v>
      </c>
      <c r="U17" s="11">
        <f t="shared" si="11"/>
        <v>33746.01</v>
      </c>
      <c r="V17" s="11">
        <f t="shared" si="12"/>
        <v>0</v>
      </c>
      <c r="W17" s="11">
        <f t="shared" si="13"/>
        <v>0</v>
      </c>
      <c r="X17" s="11">
        <f t="shared" si="14"/>
        <v>0</v>
      </c>
      <c r="Y17" s="11">
        <f t="shared" si="4"/>
        <v>2865.52</v>
      </c>
      <c r="Z17" s="13">
        <f t="shared" si="15"/>
        <v>46003</v>
      </c>
      <c r="AA17" s="10" t="str">
        <f t="shared" si="16"/>
        <v>正常</v>
      </c>
      <c r="AB17" s="14">
        <f t="shared" si="17"/>
        <v>2.1506</v>
      </c>
    </row>
    <row r="18" ht="38" customHeight="1" spans="1:28">
      <c r="A18" s="5">
        <v>46006</v>
      </c>
      <c r="B18" s="6" t="s">
        <v>90</v>
      </c>
      <c r="C18" s="7">
        <v>2.1177</v>
      </c>
      <c r="D18" s="8">
        <v>94.3</v>
      </c>
      <c r="E18" s="8">
        <v>200</v>
      </c>
      <c r="F18" s="8">
        <v>0.3</v>
      </c>
      <c r="G18" s="6" t="s">
        <v>81</v>
      </c>
      <c r="H18" s="9" t="s">
        <v>95</v>
      </c>
      <c r="I18" s="10" t="str">
        <f>IF(COUNTA(A18:H18)=0,"",IF(OR(OR(OR(G18="撤单",G18="交易失败",G18="交易关闭"),G18="交易失败",G18="交易关闭"),G18="交易失败",G18="交易关闭"),"已排除",IF(G18="待确认","待确认",IF(NOT(OR(G18="已确认",G18="历史估算")),"请选择确认状态",IF(NOT(ISNUMBER(A18)),"缺少有效净值日期",IF(OR(A18&lt;=0,A18&lt;&gt;INT(A18)),"净值日期无效",IF(NOT(OR(OR(B18="买入",B18="定投",B18="转换转入"),B18="卖出",B18="现金分红",B18="红利再投")),"请选择交易类型",IF(NOT(ISNUMBER(C18)),"缺少成交净值",IF(C18&lt;=0,"成交净值须大于零",IF(NOT(ISNUMBER(D18)),"缺少确认份额（分红填0）",IF(NOT(ISNUMBER(E18)),"缺少确认金额（再投填0）",IF(NOT(ISNUMBER(F18)),"缺少手续费（无费用填0）",IF(OR(D18&lt;0,E18&lt;0,F18&lt;0),"份额金额费用不能为负",IF(AA17="错误","前行待修正",IF(A18&lt;Z17,"日期需按成交顺序递增",IF(AND(B18="现金分红",OR(D18&lt;&gt;0,E18&lt;=0,F18&lt;&gt;0)),"分红填份额0、费用0、正金额",IF(AND(B18="红利再投",OR(D18&lt;=0,E18&lt;&gt;0,F18&lt;&gt;0)),"再投填正份额、金额0、费用0",IF(AND(OR(B18="现金分红",B18="红利再投"),K17&lt;=0),"分红或再投前须有持仓",IF(AND(OR(OR(B18="买入",B18="定投",B18="转换转入"),B18="卖出"),OR(D18&lt;=0,E18&lt;=0)),"买卖须填正份额、正金额",IF(AND(B18="卖出",D18&gt;K17+0.000001),"卖出份额超过持仓",IF(AND(OR(B18="买入",B18="定投",B18="转换转入"),F18&gt;=E18)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18="买入",B18="定投",B18="转换转入"),ABS(E18-F18-C18*D18)&gt;持仓总览!$H$6),"买入金额与份额净值不符",IF(AND(B18="卖出",ABS(E18+F18-C18*D18)&gt;持仓总览!$H$6),"到账加费用与赎回市值不符","已计入"))))))))))))))))))))))))))</f>
        <v>已计入</v>
      </c>
      <c r="J18" s="11">
        <f t="shared" si="0"/>
        <v>94.3</v>
      </c>
      <c r="K18" s="11">
        <f t="shared" si="5"/>
        <v>17118.17</v>
      </c>
      <c r="L18" s="11">
        <f t="shared" si="6"/>
        <v>36051.45</v>
      </c>
      <c r="M18" s="11">
        <f t="shared" si="7"/>
        <v>0</v>
      </c>
      <c r="N18" s="11">
        <f>IF(I18="已计入",IF(AND(B18="卖出",持仓总览!$C$7="本金优先"),MAX(0,E18-Q17),IF(OR(B18="卖出",B18="现金分红"),MIN(E18,M18),0)),"")</f>
        <v>0</v>
      </c>
      <c r="O18" s="11">
        <f t="shared" si="8"/>
        <v>0</v>
      </c>
      <c r="P18" s="11">
        <f t="shared" si="9"/>
        <v>0</v>
      </c>
      <c r="Q18" s="11">
        <f t="shared" si="10"/>
        <v>33946.01</v>
      </c>
      <c r="R18" s="11">
        <f t="shared" si="1"/>
        <v>36251.15</v>
      </c>
      <c r="S18" s="11">
        <f t="shared" si="2"/>
        <v>2305.14</v>
      </c>
      <c r="T18" s="12">
        <f t="shared" si="3"/>
        <v>0.0679060661326618</v>
      </c>
      <c r="U18" s="11">
        <f t="shared" si="11"/>
        <v>33946.01</v>
      </c>
      <c r="V18" s="11">
        <f t="shared" si="12"/>
        <v>0</v>
      </c>
      <c r="W18" s="11">
        <f t="shared" si="13"/>
        <v>0</v>
      </c>
      <c r="X18" s="11">
        <f t="shared" si="14"/>
        <v>0</v>
      </c>
      <c r="Y18" s="11">
        <f t="shared" si="4"/>
        <v>2305.14</v>
      </c>
      <c r="Z18" s="13">
        <f t="shared" si="15"/>
        <v>46006</v>
      </c>
      <c r="AA18" s="10" t="str">
        <f t="shared" si="16"/>
        <v>正常</v>
      </c>
      <c r="AB18" s="14">
        <f t="shared" si="17"/>
        <v>2.1177</v>
      </c>
    </row>
    <row r="19" ht="38" customHeight="1" spans="1:28">
      <c r="A19" s="5">
        <v>46007</v>
      </c>
      <c r="B19" s="6" t="s">
        <v>90</v>
      </c>
      <c r="C19" s="7">
        <v>2.1043</v>
      </c>
      <c r="D19" s="8">
        <v>94.9</v>
      </c>
      <c r="E19" s="8">
        <v>200</v>
      </c>
      <c r="F19" s="8">
        <v>0.3</v>
      </c>
      <c r="G19" s="6" t="s">
        <v>81</v>
      </c>
      <c r="H19" s="9" t="s">
        <v>96</v>
      </c>
      <c r="I19" s="10" t="str">
        <f>IF(COUNTA(A19:H19)=0,"",IF(OR(OR(OR(G19="撤单",G19="交易失败",G19="交易关闭"),G19="交易失败",G19="交易关闭"),G19="交易失败",G19="交易关闭"),"已排除",IF(G19="待确认","待确认",IF(NOT(OR(G19="已确认",G19="历史估算")),"请选择确认状态",IF(NOT(ISNUMBER(A19)),"缺少有效净值日期",IF(OR(A19&lt;=0,A19&lt;&gt;INT(A19)),"净值日期无效",IF(NOT(OR(OR(B19="买入",B19="定投",B19="转换转入"),B19="卖出",B19="现金分红",B19="红利再投")),"请选择交易类型",IF(NOT(ISNUMBER(C19)),"缺少成交净值",IF(C19&lt;=0,"成交净值须大于零",IF(NOT(ISNUMBER(D19)),"缺少确认份额（分红填0）",IF(NOT(ISNUMBER(E19)),"缺少确认金额（再投填0）",IF(NOT(ISNUMBER(F19)),"缺少手续费（无费用填0）",IF(OR(D19&lt;0,E19&lt;0,F19&lt;0),"份额金额费用不能为负",IF(AA18="错误","前行待修正",IF(A19&lt;Z18,"日期需按成交顺序递增",IF(AND(B19="现金分红",OR(D19&lt;&gt;0,E19&lt;=0,F19&lt;&gt;0)),"分红填份额0、费用0、正金额",IF(AND(B19="红利再投",OR(D19&lt;=0,E19&lt;&gt;0,F19&lt;&gt;0)),"再投填正份额、金额0、费用0",IF(AND(OR(B19="现金分红",B19="红利再投"),K18&lt;=0),"分红或再投前须有持仓",IF(AND(OR(OR(B19="买入",B19="定投",B19="转换转入"),B19="卖出"),OR(D19&lt;=0,E19&lt;=0)),"买卖须填正份额、正金额",IF(AND(B19="卖出",D19&gt;K18+0.000001),"卖出份额超过持仓",IF(AND(OR(B19="买入",B19="定投",B19="转换转入"),F19&gt;=E19)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19="买入",B19="定投",B19="转换转入"),ABS(E19-F19-C19*D19)&gt;持仓总览!$H$6),"买入金额与份额净值不符",IF(AND(B19="卖出",ABS(E19+F19-C19*D19)&gt;持仓总览!$H$6),"到账加费用与赎回市值不符","已计入"))))))))))))))))))))))))))</f>
        <v>已计入</v>
      </c>
      <c r="J19" s="11">
        <f t="shared" si="0"/>
        <v>94.9</v>
      </c>
      <c r="K19" s="11">
        <f t="shared" si="5"/>
        <v>17213.07</v>
      </c>
      <c r="L19" s="11">
        <f t="shared" si="6"/>
        <v>36021.77</v>
      </c>
      <c r="M19" s="11">
        <f t="shared" si="7"/>
        <v>0</v>
      </c>
      <c r="N19" s="11">
        <f>IF(I19="已计入",IF(AND(B19="卖出",持仓总览!$C$7="本金优先"),MAX(0,E19-Q18),IF(OR(B19="卖出",B19="现金分红"),MIN(E19,M19),0)),"")</f>
        <v>0</v>
      </c>
      <c r="O19" s="11">
        <f t="shared" si="8"/>
        <v>0</v>
      </c>
      <c r="P19" s="11">
        <f t="shared" si="9"/>
        <v>0</v>
      </c>
      <c r="Q19" s="11">
        <f t="shared" si="10"/>
        <v>34146.01</v>
      </c>
      <c r="R19" s="11">
        <f t="shared" si="1"/>
        <v>36221.46</v>
      </c>
      <c r="S19" s="11">
        <f t="shared" si="2"/>
        <v>2075.45</v>
      </c>
      <c r="T19" s="12">
        <f t="shared" si="3"/>
        <v>0.0607816257302098</v>
      </c>
      <c r="U19" s="11">
        <f t="shared" si="11"/>
        <v>34146.01</v>
      </c>
      <c r="V19" s="11">
        <f t="shared" si="12"/>
        <v>0</v>
      </c>
      <c r="W19" s="11">
        <f t="shared" si="13"/>
        <v>0</v>
      </c>
      <c r="X19" s="11">
        <f t="shared" si="14"/>
        <v>0</v>
      </c>
      <c r="Y19" s="11">
        <f t="shared" si="4"/>
        <v>2075.45</v>
      </c>
      <c r="Z19" s="13">
        <f t="shared" si="15"/>
        <v>46007</v>
      </c>
      <c r="AA19" s="10" t="str">
        <f t="shared" si="16"/>
        <v>正常</v>
      </c>
      <c r="AB19" s="14">
        <f t="shared" si="17"/>
        <v>2.1043</v>
      </c>
    </row>
    <row r="20" ht="38" customHeight="1" spans="1:28">
      <c r="A20" s="5">
        <v>46008</v>
      </c>
      <c r="B20" s="6" t="s">
        <v>90</v>
      </c>
      <c r="C20" s="7">
        <v>2.0716</v>
      </c>
      <c r="D20" s="8">
        <v>96.4</v>
      </c>
      <c r="E20" s="8">
        <v>200</v>
      </c>
      <c r="F20" s="8">
        <v>0.3</v>
      </c>
      <c r="G20" s="6" t="s">
        <v>81</v>
      </c>
      <c r="H20" s="9" t="s">
        <v>97</v>
      </c>
      <c r="I20" s="10" t="str">
        <f>IF(COUNTA(A20:H20)=0,"",IF(OR(OR(OR(G20="撤单",G20="交易失败",G20="交易关闭"),G20="交易失败",G20="交易关闭"),G20="交易失败",G20="交易关闭"),"已排除",IF(G20="待确认","待确认",IF(NOT(OR(G20="已确认",G20="历史估算")),"请选择确认状态",IF(NOT(ISNUMBER(A20)),"缺少有效净值日期",IF(OR(A20&lt;=0,A20&lt;&gt;INT(A20)),"净值日期无效",IF(NOT(OR(OR(B20="买入",B20="定投",B20="转换转入"),B20="卖出",B20="现金分红",B20="红利再投")),"请选择交易类型",IF(NOT(ISNUMBER(C20)),"缺少成交净值",IF(C20&lt;=0,"成交净值须大于零",IF(NOT(ISNUMBER(D20)),"缺少确认份额（分红填0）",IF(NOT(ISNUMBER(E20)),"缺少确认金额（再投填0）",IF(NOT(ISNUMBER(F20)),"缺少手续费（无费用填0）",IF(OR(D20&lt;0,E20&lt;0,F20&lt;0),"份额金额费用不能为负",IF(AA19="错误","前行待修正",IF(A20&lt;Z19,"日期需按成交顺序递增",IF(AND(B20="现金分红",OR(D20&lt;&gt;0,E20&lt;=0,F20&lt;&gt;0)),"分红填份额0、费用0、正金额",IF(AND(B20="红利再投",OR(D20&lt;=0,E20&lt;&gt;0,F20&lt;&gt;0)),"再投填正份额、金额0、费用0",IF(AND(OR(B20="现金分红",B20="红利再投"),K19&lt;=0),"分红或再投前须有持仓",IF(AND(OR(OR(B20="买入",B20="定投",B20="转换转入"),B20="卖出"),OR(D20&lt;=0,E20&lt;=0)),"买卖须填正份额、正金额",IF(AND(B20="卖出",D20&gt;K19+0.000001),"卖出份额超过持仓",IF(AND(OR(B20="买入",B20="定投",B20="转换转入"),F20&gt;=E20)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20="买入",B20="定投",B20="转换转入"),ABS(E20-F20-C20*D20)&gt;持仓总览!$H$6),"买入金额与份额净值不符",IF(AND(B20="卖出",ABS(E20+F20-C20*D20)&gt;持仓总览!$H$6),"到账加费用与赎回市值不符","已计入"))))))))))))))))))))))))))</f>
        <v>已计入</v>
      </c>
      <c r="J20" s="11">
        <f t="shared" si="0"/>
        <v>96.4</v>
      </c>
      <c r="K20" s="11">
        <f t="shared" si="5"/>
        <v>17309.47</v>
      </c>
      <c r="L20" s="11">
        <f t="shared" si="6"/>
        <v>35658.6</v>
      </c>
      <c r="M20" s="11">
        <f t="shared" si="7"/>
        <v>0</v>
      </c>
      <c r="N20" s="11">
        <f>IF(I20="已计入",IF(AND(B20="卖出",持仓总览!$C$7="本金优先"),MAX(0,E20-Q19),IF(OR(B20="卖出",B20="现金分红"),MIN(E20,M20),0)),"")</f>
        <v>0</v>
      </c>
      <c r="O20" s="11">
        <f t="shared" si="8"/>
        <v>0</v>
      </c>
      <c r="P20" s="11">
        <f t="shared" si="9"/>
        <v>0</v>
      </c>
      <c r="Q20" s="11">
        <f t="shared" si="10"/>
        <v>34346.01</v>
      </c>
      <c r="R20" s="11">
        <f t="shared" si="1"/>
        <v>35858.3</v>
      </c>
      <c r="S20" s="11">
        <f t="shared" si="2"/>
        <v>1512.29</v>
      </c>
      <c r="T20" s="12">
        <f t="shared" si="3"/>
        <v>0.0440310242732707</v>
      </c>
      <c r="U20" s="11">
        <f t="shared" si="11"/>
        <v>34346.01</v>
      </c>
      <c r="V20" s="11">
        <f t="shared" si="12"/>
        <v>0</v>
      </c>
      <c r="W20" s="11">
        <f t="shared" si="13"/>
        <v>0</v>
      </c>
      <c r="X20" s="11">
        <f t="shared" si="14"/>
        <v>0</v>
      </c>
      <c r="Y20" s="11">
        <f t="shared" si="4"/>
        <v>1512.29</v>
      </c>
      <c r="Z20" s="13">
        <f t="shared" si="15"/>
        <v>46008</v>
      </c>
      <c r="AA20" s="10" t="str">
        <f t="shared" si="16"/>
        <v>正常</v>
      </c>
      <c r="AB20" s="14">
        <f t="shared" si="17"/>
        <v>2.0716</v>
      </c>
    </row>
    <row r="21" ht="38" customHeight="1" spans="1:28">
      <c r="A21" s="5">
        <v>46057</v>
      </c>
      <c r="B21" s="6" t="s">
        <v>90</v>
      </c>
      <c r="C21" s="7">
        <v>2.2587</v>
      </c>
      <c r="D21" s="8">
        <v>110.51</v>
      </c>
      <c r="E21" s="8">
        <v>250</v>
      </c>
      <c r="F21" s="8">
        <v>0.38</v>
      </c>
      <c r="G21" s="6" t="s">
        <v>81</v>
      </c>
      <c r="H21" s="9" t="s">
        <v>98</v>
      </c>
      <c r="I21" s="10" t="str">
        <f>IF(COUNTA(A21:H21)=0,"",IF(OR(OR(OR(G21="撤单",G21="交易失败",G21="交易关闭"),G21="交易失败",G21="交易关闭"),G21="交易失败",G21="交易关闭"),"已排除",IF(G21="待确认","待确认",IF(NOT(OR(G21="已确认",G21="历史估算")),"请选择确认状态",IF(NOT(ISNUMBER(A21)),"缺少有效净值日期",IF(OR(A21&lt;=0,A21&lt;&gt;INT(A21)),"净值日期无效",IF(NOT(OR(OR(B21="买入",B21="定投",B21="转换转入"),B21="卖出",B21="现金分红",B21="红利再投")),"请选择交易类型",IF(NOT(ISNUMBER(C21)),"缺少成交净值",IF(C21&lt;=0,"成交净值须大于零",IF(NOT(ISNUMBER(D21)),"缺少确认份额（分红填0）",IF(NOT(ISNUMBER(E21)),"缺少确认金额（再投填0）",IF(NOT(ISNUMBER(F21)),"缺少手续费（无费用填0）",IF(OR(D21&lt;0,E21&lt;0,F21&lt;0),"份额金额费用不能为负",IF(AA20="错误","前行待修正",IF(A21&lt;Z20,"日期需按成交顺序递增",IF(AND(B21="现金分红",OR(D21&lt;&gt;0,E21&lt;=0,F21&lt;&gt;0)),"分红填份额0、费用0、正金额",IF(AND(B21="红利再投",OR(D21&lt;=0,E21&lt;&gt;0,F21&lt;&gt;0)),"再投填正份额、金额0、费用0",IF(AND(OR(B21="现金分红",B21="红利再投"),K20&lt;=0),"分红或再投前须有持仓",IF(AND(OR(OR(B21="买入",B21="定投",B21="转换转入"),B21="卖出"),OR(D21&lt;=0,E21&lt;=0)),"买卖须填正份额、正金额",IF(AND(B21="卖出",D21&gt;K20+0.000001),"卖出份额超过持仓",IF(AND(OR(B21="买入",B21="定投",B21="转换转入"),F21&gt;=E21)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21="买入",B21="定投",B21="转换转入"),ABS(E21-F21-C21*D21)&gt;持仓总览!$H$6),"买入金额与份额净值不符",IF(AND(B21="卖出",ABS(E21+F21-C21*D21)&gt;持仓总览!$H$6),"到账加费用与赎回市值不符","已计入"))))))))))))))))))))))))))</f>
        <v>已计入</v>
      </c>
      <c r="J21" s="11">
        <f t="shared" si="0"/>
        <v>110.51</v>
      </c>
      <c r="K21" s="11">
        <f t="shared" si="5"/>
        <v>17419.98</v>
      </c>
      <c r="L21" s="11">
        <f t="shared" si="6"/>
        <v>39096.9</v>
      </c>
      <c r="M21" s="11">
        <f t="shared" si="7"/>
        <v>0</v>
      </c>
      <c r="N21" s="11">
        <f>IF(I21="已计入",IF(AND(B21="卖出",持仓总览!$C$7="本金优先"),MAX(0,E21-Q20),IF(OR(B21="卖出",B21="现金分红"),MIN(E21,M21),0)),"")</f>
        <v>0</v>
      </c>
      <c r="O21" s="11">
        <f t="shared" si="8"/>
        <v>0</v>
      </c>
      <c r="P21" s="11">
        <f t="shared" si="9"/>
        <v>0</v>
      </c>
      <c r="Q21" s="11">
        <f t="shared" si="10"/>
        <v>34596.01</v>
      </c>
      <c r="R21" s="11">
        <f t="shared" si="1"/>
        <v>39346.51</v>
      </c>
      <c r="S21" s="11">
        <f t="shared" si="2"/>
        <v>4750.5</v>
      </c>
      <c r="T21" s="12">
        <f t="shared" si="3"/>
        <v>0.137313522570955</v>
      </c>
      <c r="U21" s="11">
        <f t="shared" si="11"/>
        <v>34596.01</v>
      </c>
      <c r="V21" s="11">
        <f t="shared" si="12"/>
        <v>0</v>
      </c>
      <c r="W21" s="11">
        <f t="shared" si="13"/>
        <v>0</v>
      </c>
      <c r="X21" s="11">
        <f t="shared" si="14"/>
        <v>0</v>
      </c>
      <c r="Y21" s="11">
        <f t="shared" si="4"/>
        <v>4750.5</v>
      </c>
      <c r="Z21" s="13">
        <f t="shared" si="15"/>
        <v>46057</v>
      </c>
      <c r="AA21" s="10" t="str">
        <f t="shared" si="16"/>
        <v>正常</v>
      </c>
      <c r="AB21" s="14">
        <f t="shared" si="17"/>
        <v>2.2587</v>
      </c>
    </row>
    <row r="22" ht="38" customHeight="1" spans="1:28">
      <c r="A22" s="5">
        <v>46058</v>
      </c>
      <c r="B22" s="6" t="s">
        <v>90</v>
      </c>
      <c r="C22" s="7">
        <v>2.2674</v>
      </c>
      <c r="D22" s="8">
        <v>44.04</v>
      </c>
      <c r="E22" s="8">
        <v>100</v>
      </c>
      <c r="F22" s="8">
        <v>0.15</v>
      </c>
      <c r="G22" s="6" t="s">
        <v>81</v>
      </c>
      <c r="H22" s="9" t="s">
        <v>99</v>
      </c>
      <c r="I22" s="10" t="str">
        <f>IF(COUNTA(A22:H22)=0,"",IF(OR(OR(OR(G22="撤单",G22="交易失败",G22="交易关闭"),G22="交易失败",G22="交易关闭"),G22="交易失败",G22="交易关闭"),"已排除",IF(G22="待确认","待确认",IF(NOT(OR(G22="已确认",G22="历史估算")),"请选择确认状态",IF(NOT(ISNUMBER(A22)),"缺少有效净值日期",IF(OR(A22&lt;=0,A22&lt;&gt;INT(A22)),"净值日期无效",IF(NOT(OR(OR(B22="买入",B22="定投",B22="转换转入"),B22="卖出",B22="现金分红",B22="红利再投")),"请选择交易类型",IF(NOT(ISNUMBER(C22)),"缺少成交净值",IF(C22&lt;=0,"成交净值须大于零",IF(NOT(ISNUMBER(D22)),"缺少确认份额（分红填0）",IF(NOT(ISNUMBER(E22)),"缺少确认金额（再投填0）",IF(NOT(ISNUMBER(F22)),"缺少手续费（无费用填0）",IF(OR(D22&lt;0,E22&lt;0,F22&lt;0),"份额金额费用不能为负",IF(AA21="错误","前行待修正",IF(A22&lt;Z21,"日期需按成交顺序递增",IF(AND(B22="现金分红",OR(D22&lt;&gt;0,E22&lt;=0,F22&lt;&gt;0)),"分红填份额0、费用0、正金额",IF(AND(B22="红利再投",OR(D22&lt;=0,E22&lt;&gt;0,F22&lt;&gt;0)),"再投填正份额、金额0、费用0",IF(AND(OR(B22="现金分红",B22="红利再投"),K21&lt;=0),"分红或再投前须有持仓",IF(AND(OR(OR(B22="买入",B22="定投",B22="转换转入"),B22="卖出"),OR(D22&lt;=0,E22&lt;=0)),"买卖须填正份额、正金额",IF(AND(B22="卖出",D22&gt;K21+0.000001),"卖出份额超过持仓",IF(AND(OR(B22="买入",B22="定投",B22="转换转入"),F22&gt;=E22)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22="买入",B22="定投",B22="转换转入"),ABS(E22-F22-C22*D22)&gt;持仓总览!$H$6),"买入金额与份额净值不符",IF(AND(B22="卖出",ABS(E22+F22-C22*D22)&gt;持仓总览!$H$6),"到账加费用与赎回市值不符","已计入"))))))))))))))))))))))))))</f>
        <v>已计入</v>
      </c>
      <c r="J22" s="11">
        <f t="shared" si="0"/>
        <v>44.04</v>
      </c>
      <c r="K22" s="11">
        <f t="shared" si="5"/>
        <v>17464.02</v>
      </c>
      <c r="L22" s="11">
        <f t="shared" si="6"/>
        <v>39498.06</v>
      </c>
      <c r="M22" s="11">
        <f t="shared" si="7"/>
        <v>0</v>
      </c>
      <c r="N22" s="11">
        <f>IF(I22="已计入",IF(AND(B22="卖出",持仓总览!$C$7="本金优先"),MAX(0,E22-Q21),IF(OR(B22="卖出",B22="现金分红"),MIN(E22,M22),0)),"")</f>
        <v>0</v>
      </c>
      <c r="O22" s="11">
        <f t="shared" si="8"/>
        <v>0</v>
      </c>
      <c r="P22" s="11">
        <f t="shared" si="9"/>
        <v>0</v>
      </c>
      <c r="Q22" s="11">
        <f t="shared" si="10"/>
        <v>34696.01</v>
      </c>
      <c r="R22" s="11">
        <f t="shared" si="1"/>
        <v>39597.92</v>
      </c>
      <c r="S22" s="11">
        <f t="shared" si="2"/>
        <v>4901.91</v>
      </c>
      <c r="T22" s="12">
        <f t="shared" si="3"/>
        <v>0.141281663222947</v>
      </c>
      <c r="U22" s="11">
        <f t="shared" si="11"/>
        <v>34696.01</v>
      </c>
      <c r="V22" s="11">
        <f t="shared" si="12"/>
        <v>0</v>
      </c>
      <c r="W22" s="11">
        <f t="shared" si="13"/>
        <v>0</v>
      </c>
      <c r="X22" s="11">
        <f t="shared" si="14"/>
        <v>0</v>
      </c>
      <c r="Y22" s="11">
        <f t="shared" si="4"/>
        <v>4901.91</v>
      </c>
      <c r="Z22" s="13">
        <f t="shared" si="15"/>
        <v>46058</v>
      </c>
      <c r="AA22" s="10" t="str">
        <f t="shared" si="16"/>
        <v>正常</v>
      </c>
      <c r="AB22" s="14">
        <f t="shared" si="17"/>
        <v>2.2674</v>
      </c>
    </row>
    <row r="23" ht="38" customHeight="1" spans="1:28">
      <c r="A23" s="5">
        <v>46059</v>
      </c>
      <c r="B23" s="6" t="s">
        <v>90</v>
      </c>
      <c r="C23" s="7">
        <v>2.3668</v>
      </c>
      <c r="D23" s="8">
        <v>42.19</v>
      </c>
      <c r="E23" s="8">
        <v>100</v>
      </c>
      <c r="F23" s="8">
        <v>0.15</v>
      </c>
      <c r="G23" s="6" t="s">
        <v>81</v>
      </c>
      <c r="H23" s="9" t="s">
        <v>100</v>
      </c>
      <c r="I23" s="10" t="str">
        <f>IF(COUNTA(A23:H23)=0,"",IF(OR(OR(OR(G23="撤单",G23="交易失败",G23="交易关闭"),G23="交易失败",G23="交易关闭"),G23="交易失败",G23="交易关闭"),"已排除",IF(G23="待确认","待确认",IF(NOT(OR(G23="已确认",G23="历史估算")),"请选择确认状态",IF(NOT(ISNUMBER(A23)),"缺少有效净值日期",IF(OR(A23&lt;=0,A23&lt;&gt;INT(A23)),"净值日期无效",IF(NOT(OR(OR(B23="买入",B23="定投",B23="转换转入"),B23="卖出",B23="现金分红",B23="红利再投")),"请选择交易类型",IF(NOT(ISNUMBER(C23)),"缺少成交净值",IF(C23&lt;=0,"成交净值须大于零",IF(NOT(ISNUMBER(D23)),"缺少确认份额（分红填0）",IF(NOT(ISNUMBER(E23)),"缺少确认金额（再投填0）",IF(NOT(ISNUMBER(F23)),"缺少手续费（无费用填0）",IF(OR(D23&lt;0,E23&lt;0,F23&lt;0),"份额金额费用不能为负",IF(AA22="错误","前行待修正",IF(A23&lt;Z22,"日期需按成交顺序递增",IF(AND(B23="现金分红",OR(D23&lt;&gt;0,E23&lt;=0,F23&lt;&gt;0)),"分红填份额0、费用0、正金额",IF(AND(B23="红利再投",OR(D23&lt;=0,E23&lt;&gt;0,F23&lt;&gt;0)),"再投填正份额、金额0、费用0",IF(AND(OR(B23="现金分红",B23="红利再投"),K22&lt;=0),"分红或再投前须有持仓",IF(AND(OR(OR(B23="买入",B23="定投",B23="转换转入"),B23="卖出"),OR(D23&lt;=0,E23&lt;=0)),"买卖须填正份额、正金额",IF(AND(B23="卖出",D23&gt;K22+0.000001),"卖出份额超过持仓",IF(AND(OR(B23="买入",B23="定投",B23="转换转入"),F23&gt;=E23)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23="买入",B23="定投",B23="转换转入"),ABS(E23-F23-C23*D23)&gt;持仓总览!$H$6),"买入金额与份额净值不符",IF(AND(B23="卖出",ABS(E23+F23-C23*D23)&gt;持仓总览!$H$6),"到账加费用与赎回市值不符","已计入"))))))))))))))))))))))))))</f>
        <v>已计入</v>
      </c>
      <c r="J23" s="11">
        <f t="shared" si="0"/>
        <v>42.19</v>
      </c>
      <c r="K23" s="11">
        <f t="shared" si="5"/>
        <v>17506.21</v>
      </c>
      <c r="L23" s="11">
        <f t="shared" si="6"/>
        <v>41333.84</v>
      </c>
      <c r="M23" s="11">
        <f t="shared" si="7"/>
        <v>0</v>
      </c>
      <c r="N23" s="11">
        <f>IF(I23="已计入",IF(AND(B23="卖出",持仓总览!$C$7="本金优先"),MAX(0,E23-Q22),IF(OR(B23="卖出",B23="现金分红"),MIN(E23,M23),0)),"")</f>
        <v>0</v>
      </c>
      <c r="O23" s="11">
        <f t="shared" si="8"/>
        <v>0</v>
      </c>
      <c r="P23" s="11">
        <f t="shared" si="9"/>
        <v>0</v>
      </c>
      <c r="Q23" s="11">
        <f t="shared" si="10"/>
        <v>34796.01</v>
      </c>
      <c r="R23" s="11">
        <f t="shared" si="1"/>
        <v>41433.7</v>
      </c>
      <c r="S23" s="11">
        <f t="shared" si="2"/>
        <v>6637.69</v>
      </c>
      <c r="T23" s="12">
        <f t="shared" si="3"/>
        <v>0.190760090021816</v>
      </c>
      <c r="U23" s="11">
        <f t="shared" si="11"/>
        <v>34796.01</v>
      </c>
      <c r="V23" s="11">
        <f t="shared" si="12"/>
        <v>0</v>
      </c>
      <c r="W23" s="11">
        <f t="shared" si="13"/>
        <v>0</v>
      </c>
      <c r="X23" s="11">
        <f t="shared" si="14"/>
        <v>0</v>
      </c>
      <c r="Y23" s="11">
        <f t="shared" si="4"/>
        <v>6637.69</v>
      </c>
      <c r="Z23" s="13">
        <f t="shared" si="15"/>
        <v>46059</v>
      </c>
      <c r="AA23" s="10" t="str">
        <f t="shared" si="16"/>
        <v>正常</v>
      </c>
      <c r="AB23" s="14">
        <f t="shared" si="17"/>
        <v>2.3668</v>
      </c>
    </row>
    <row r="24" ht="38" customHeight="1" spans="1:28">
      <c r="A24" s="5">
        <v>46062</v>
      </c>
      <c r="B24" s="6" t="s">
        <v>90</v>
      </c>
      <c r="C24" s="7">
        <v>2.4205</v>
      </c>
      <c r="D24" s="8">
        <v>41.25</v>
      </c>
      <c r="E24" s="8">
        <v>100</v>
      </c>
      <c r="F24" s="8">
        <v>0.15</v>
      </c>
      <c r="G24" s="6" t="s">
        <v>81</v>
      </c>
      <c r="H24" s="9" t="s">
        <v>101</v>
      </c>
      <c r="I24" s="10" t="str">
        <f>IF(COUNTA(A24:H24)=0,"",IF(OR(OR(OR(G24="撤单",G24="交易失败",G24="交易关闭"),G24="交易失败",G24="交易关闭"),G24="交易失败",G24="交易关闭"),"已排除",IF(G24="待确认","待确认",IF(NOT(OR(G24="已确认",G24="历史估算")),"请选择确认状态",IF(NOT(ISNUMBER(A24)),"缺少有效净值日期",IF(OR(A24&lt;=0,A24&lt;&gt;INT(A24)),"净值日期无效",IF(NOT(OR(OR(B24="买入",B24="定投",B24="转换转入"),B24="卖出",B24="现金分红",B24="红利再投")),"请选择交易类型",IF(NOT(ISNUMBER(C24)),"缺少成交净值",IF(C24&lt;=0,"成交净值须大于零",IF(NOT(ISNUMBER(D24)),"缺少确认份额（分红填0）",IF(NOT(ISNUMBER(E24)),"缺少确认金额（再投填0）",IF(NOT(ISNUMBER(F24)),"缺少手续费（无费用填0）",IF(OR(D24&lt;0,E24&lt;0,F24&lt;0),"份额金额费用不能为负",IF(AA23="错误","前行待修正",IF(A24&lt;Z23,"日期需按成交顺序递增",IF(AND(B24="现金分红",OR(D24&lt;&gt;0,E24&lt;=0,F24&lt;&gt;0)),"分红填份额0、费用0、正金额",IF(AND(B24="红利再投",OR(D24&lt;=0,E24&lt;&gt;0,F24&lt;&gt;0)),"再投填正份额、金额0、费用0",IF(AND(OR(B24="现金分红",B24="红利再投"),K23&lt;=0),"分红或再投前须有持仓",IF(AND(OR(OR(B24="买入",B24="定投",B24="转换转入"),B24="卖出"),OR(D24&lt;=0,E24&lt;=0)),"买卖须填正份额、正金额",IF(AND(B24="卖出",D24&gt;K23+0.000001),"卖出份额超过持仓",IF(AND(OR(B24="买入",B24="定投",B24="转换转入"),F24&gt;=E24)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24="买入",B24="定投",B24="转换转入"),ABS(E24-F24-C24*D24)&gt;持仓总览!$H$6),"买入金额与份额净值不符",IF(AND(B24="卖出",ABS(E24+F24-C24*D24)&gt;持仓总览!$H$6),"到账加费用与赎回市值不符","已计入"))))))))))))))))))))))))))</f>
        <v>已计入</v>
      </c>
      <c r="J24" s="11">
        <f t="shared" si="0"/>
        <v>41.25</v>
      </c>
      <c r="K24" s="11">
        <f t="shared" si="5"/>
        <v>17547.46</v>
      </c>
      <c r="L24" s="11">
        <f t="shared" si="6"/>
        <v>42373.78</v>
      </c>
      <c r="M24" s="11">
        <f t="shared" si="7"/>
        <v>0</v>
      </c>
      <c r="N24" s="11">
        <f>IF(I24="已计入",IF(AND(B24="卖出",持仓总览!$C$7="本金优先"),MAX(0,E24-Q23),IF(OR(B24="卖出",B24="现金分红"),MIN(E24,M24),0)),"")</f>
        <v>0</v>
      </c>
      <c r="O24" s="11">
        <f t="shared" si="8"/>
        <v>0</v>
      </c>
      <c r="P24" s="11">
        <f t="shared" si="9"/>
        <v>0</v>
      </c>
      <c r="Q24" s="11">
        <f t="shared" si="10"/>
        <v>34896.01</v>
      </c>
      <c r="R24" s="11">
        <f t="shared" si="1"/>
        <v>42473.63</v>
      </c>
      <c r="S24" s="11">
        <f t="shared" si="2"/>
        <v>7577.62</v>
      </c>
      <c r="T24" s="12">
        <f t="shared" si="3"/>
        <v>0.217148608107345</v>
      </c>
      <c r="U24" s="11">
        <f t="shared" si="11"/>
        <v>34896.01</v>
      </c>
      <c r="V24" s="11">
        <f t="shared" si="12"/>
        <v>0</v>
      </c>
      <c r="W24" s="11">
        <f t="shared" si="13"/>
        <v>0</v>
      </c>
      <c r="X24" s="11">
        <f t="shared" si="14"/>
        <v>0</v>
      </c>
      <c r="Y24" s="11">
        <f t="shared" si="4"/>
        <v>7577.62</v>
      </c>
      <c r="Z24" s="13">
        <f t="shared" si="15"/>
        <v>46062</v>
      </c>
      <c r="AA24" s="10" t="str">
        <f t="shared" si="16"/>
        <v>正常</v>
      </c>
      <c r="AB24" s="14">
        <f t="shared" si="17"/>
        <v>2.4205</v>
      </c>
    </row>
    <row r="25" ht="38" customHeight="1" spans="1:28">
      <c r="A25" s="5">
        <v>46063</v>
      </c>
      <c r="B25" s="6" t="s">
        <v>90</v>
      </c>
      <c r="C25" s="7">
        <v>2.3823</v>
      </c>
      <c r="D25" s="8">
        <v>41.91</v>
      </c>
      <c r="E25" s="8">
        <v>100</v>
      </c>
      <c r="F25" s="8">
        <v>0.15</v>
      </c>
      <c r="G25" s="6" t="s">
        <v>81</v>
      </c>
      <c r="H25" s="9" t="s">
        <v>102</v>
      </c>
      <c r="I25" s="10" t="str">
        <f>IF(COUNTA(A25:H25)=0,"",IF(OR(OR(OR(G25="撤单",G25="交易失败",G25="交易关闭"),G25="交易失败",G25="交易关闭"),G25="交易失败",G25="交易关闭"),"已排除",IF(G25="待确认","待确认",IF(NOT(OR(G25="已确认",G25="历史估算")),"请选择确认状态",IF(NOT(ISNUMBER(A25)),"缺少有效净值日期",IF(OR(A25&lt;=0,A25&lt;&gt;INT(A25)),"净值日期无效",IF(NOT(OR(OR(B25="买入",B25="定投",B25="转换转入"),B25="卖出",B25="现金分红",B25="红利再投")),"请选择交易类型",IF(NOT(ISNUMBER(C25)),"缺少成交净值",IF(C25&lt;=0,"成交净值须大于零",IF(NOT(ISNUMBER(D25)),"缺少确认份额（分红填0）",IF(NOT(ISNUMBER(E25)),"缺少确认金额（再投填0）",IF(NOT(ISNUMBER(F25)),"缺少手续费（无费用填0）",IF(OR(D25&lt;0,E25&lt;0,F25&lt;0),"份额金额费用不能为负",IF(AA24="错误","前行待修正",IF(A25&lt;Z24,"日期需按成交顺序递增",IF(AND(B25="现金分红",OR(D25&lt;&gt;0,E25&lt;=0,F25&lt;&gt;0)),"分红填份额0、费用0、正金额",IF(AND(B25="红利再投",OR(D25&lt;=0,E25&lt;&gt;0,F25&lt;&gt;0)),"再投填正份额、金额0、费用0",IF(AND(OR(B25="现金分红",B25="红利再投"),K24&lt;=0),"分红或再投前须有持仓",IF(AND(OR(OR(B25="买入",B25="定投",B25="转换转入"),B25="卖出"),OR(D25&lt;=0,E25&lt;=0)),"买卖须填正份额、正金额",IF(AND(B25="卖出",D25&gt;K24+0.000001),"卖出份额超过持仓",IF(AND(OR(B25="买入",B25="定投",B25="转换转入"),F25&gt;=E25)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25="买入",B25="定投",B25="转换转入"),ABS(E25-F25-C25*D25)&gt;持仓总览!$H$6),"买入金额与份额净值不符",IF(AND(B25="卖出",ABS(E25+F25-C25*D25)&gt;持仓总览!$H$6),"到账加费用与赎回市值不符","已计入"))))))))))))))))))))))))))</f>
        <v>已计入</v>
      </c>
      <c r="J25" s="11">
        <f t="shared" si="0"/>
        <v>41.91</v>
      </c>
      <c r="K25" s="11">
        <f t="shared" si="5"/>
        <v>17589.37</v>
      </c>
      <c r="L25" s="11">
        <f t="shared" si="6"/>
        <v>41803.31</v>
      </c>
      <c r="M25" s="11">
        <f t="shared" si="7"/>
        <v>0</v>
      </c>
      <c r="N25" s="11">
        <f>IF(I25="已计入",IF(AND(B25="卖出",持仓总览!$C$7="本金优先"),MAX(0,E25-Q24),IF(OR(B25="卖出",B25="现金分红"),MIN(E25,M25),0)),"")</f>
        <v>0</v>
      </c>
      <c r="O25" s="11">
        <f t="shared" si="8"/>
        <v>0</v>
      </c>
      <c r="P25" s="11">
        <f t="shared" si="9"/>
        <v>0</v>
      </c>
      <c r="Q25" s="11">
        <f t="shared" si="10"/>
        <v>34996.01</v>
      </c>
      <c r="R25" s="11">
        <f t="shared" si="1"/>
        <v>41903.16</v>
      </c>
      <c r="S25" s="11">
        <f t="shared" si="2"/>
        <v>6907.15</v>
      </c>
      <c r="T25" s="12">
        <f t="shared" si="3"/>
        <v>0.197369642996444</v>
      </c>
      <c r="U25" s="11">
        <f t="shared" si="11"/>
        <v>34996.01</v>
      </c>
      <c r="V25" s="11">
        <f t="shared" si="12"/>
        <v>0</v>
      </c>
      <c r="W25" s="11">
        <f t="shared" si="13"/>
        <v>0</v>
      </c>
      <c r="X25" s="11">
        <f t="shared" si="14"/>
        <v>0</v>
      </c>
      <c r="Y25" s="11">
        <f t="shared" si="4"/>
        <v>6907.15</v>
      </c>
      <c r="Z25" s="13">
        <f t="shared" si="15"/>
        <v>46063</v>
      </c>
      <c r="AA25" s="10" t="str">
        <f t="shared" si="16"/>
        <v>正常</v>
      </c>
      <c r="AB25" s="14">
        <f t="shared" si="17"/>
        <v>2.3823</v>
      </c>
    </row>
    <row r="26" ht="38" customHeight="1" spans="1:28">
      <c r="A26" s="5">
        <v>46064</v>
      </c>
      <c r="B26" s="6" t="s">
        <v>90</v>
      </c>
      <c r="C26" s="7">
        <v>2.4322</v>
      </c>
      <c r="D26" s="8">
        <v>41.05</v>
      </c>
      <c r="E26" s="8">
        <v>100</v>
      </c>
      <c r="F26" s="8">
        <v>0.15</v>
      </c>
      <c r="G26" s="6" t="s">
        <v>81</v>
      </c>
      <c r="H26" s="9" t="s">
        <v>103</v>
      </c>
      <c r="I26" s="10" t="str">
        <f>IF(COUNTA(A26:H26)=0,"",IF(OR(OR(OR(G26="撤单",G26="交易失败",G26="交易关闭"),G26="交易失败",G26="交易关闭"),G26="交易失败",G26="交易关闭"),"已排除",IF(G26="待确认","待确认",IF(NOT(OR(G26="已确认",G26="历史估算")),"请选择确认状态",IF(NOT(ISNUMBER(A26)),"缺少有效净值日期",IF(OR(A26&lt;=0,A26&lt;&gt;INT(A26)),"净值日期无效",IF(NOT(OR(OR(B26="买入",B26="定投",B26="转换转入"),B26="卖出",B26="现金分红",B26="红利再投")),"请选择交易类型",IF(NOT(ISNUMBER(C26)),"缺少成交净值",IF(C26&lt;=0,"成交净值须大于零",IF(NOT(ISNUMBER(D26)),"缺少确认份额（分红填0）",IF(NOT(ISNUMBER(E26)),"缺少确认金额（再投填0）",IF(NOT(ISNUMBER(F26)),"缺少手续费（无费用填0）",IF(OR(D26&lt;0,E26&lt;0,F26&lt;0),"份额金额费用不能为负",IF(AA25="错误","前行待修正",IF(A26&lt;Z25,"日期需按成交顺序递增",IF(AND(B26="现金分红",OR(D26&lt;&gt;0,E26&lt;=0,F26&lt;&gt;0)),"分红填份额0、费用0、正金额",IF(AND(B26="红利再投",OR(D26&lt;=0,E26&lt;&gt;0,F26&lt;&gt;0)),"再投填正份额、金额0、费用0",IF(AND(OR(B26="现金分红",B26="红利再投"),K25&lt;=0),"分红或再投前须有持仓",IF(AND(OR(OR(B26="买入",B26="定投",B26="转换转入"),B26="卖出"),OR(D26&lt;=0,E26&lt;=0)),"买卖须填正份额、正金额",IF(AND(B26="卖出",D26&gt;K25+0.000001),"卖出份额超过持仓",IF(AND(OR(B26="买入",B26="定投",B26="转换转入"),F26&gt;=E26)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26="买入",B26="定投",B26="转换转入"),ABS(E26-F26-C26*D26)&gt;持仓总览!$H$6),"买入金额与份额净值不符",IF(AND(B26="卖出",ABS(E26+F26-C26*D26)&gt;持仓总览!$H$6),"到账加费用与赎回市值不符","已计入"))))))))))))))))))))))))))</f>
        <v>已计入</v>
      </c>
      <c r="J26" s="11">
        <f t="shared" si="0"/>
        <v>41.05</v>
      </c>
      <c r="K26" s="11">
        <f t="shared" si="5"/>
        <v>17630.42</v>
      </c>
      <c r="L26" s="11">
        <f t="shared" si="6"/>
        <v>42780.87</v>
      </c>
      <c r="M26" s="11">
        <f t="shared" si="7"/>
        <v>0</v>
      </c>
      <c r="N26" s="11">
        <f>IF(I26="已计入",IF(AND(B26="卖出",持仓总览!$C$7="本金优先"),MAX(0,E26-Q25),IF(OR(B26="卖出",B26="现金分红"),MIN(E26,M26),0)),"")</f>
        <v>0</v>
      </c>
      <c r="O26" s="11">
        <f t="shared" si="8"/>
        <v>0</v>
      </c>
      <c r="P26" s="11">
        <f t="shared" si="9"/>
        <v>0</v>
      </c>
      <c r="Q26" s="11">
        <f t="shared" si="10"/>
        <v>35096.01</v>
      </c>
      <c r="R26" s="11">
        <f t="shared" si="1"/>
        <v>42880.71</v>
      </c>
      <c r="S26" s="11">
        <f t="shared" si="2"/>
        <v>7784.7</v>
      </c>
      <c r="T26" s="12">
        <f t="shared" si="3"/>
        <v>0.221811539260446</v>
      </c>
      <c r="U26" s="11">
        <f t="shared" si="11"/>
        <v>35096.01</v>
      </c>
      <c r="V26" s="11">
        <f t="shared" si="12"/>
        <v>0</v>
      </c>
      <c r="W26" s="11">
        <f t="shared" si="13"/>
        <v>0</v>
      </c>
      <c r="X26" s="11">
        <f t="shared" si="14"/>
        <v>0</v>
      </c>
      <c r="Y26" s="11">
        <f t="shared" si="4"/>
        <v>7784.7</v>
      </c>
      <c r="Z26" s="13">
        <f t="shared" si="15"/>
        <v>46064</v>
      </c>
      <c r="AA26" s="10" t="str">
        <f t="shared" si="16"/>
        <v>正常</v>
      </c>
      <c r="AB26" s="14">
        <f t="shared" si="17"/>
        <v>2.4322</v>
      </c>
    </row>
    <row r="27" ht="38" customHeight="1" spans="1:28">
      <c r="A27" s="5">
        <v>46065</v>
      </c>
      <c r="B27" s="6" t="s">
        <v>90</v>
      </c>
      <c r="C27" s="7">
        <v>2.4121</v>
      </c>
      <c r="D27" s="8">
        <v>41.4</v>
      </c>
      <c r="E27" s="8">
        <v>100</v>
      </c>
      <c r="F27" s="8">
        <v>0.15</v>
      </c>
      <c r="G27" s="6" t="s">
        <v>81</v>
      </c>
      <c r="H27" s="9" t="s">
        <v>104</v>
      </c>
      <c r="I27" s="10" t="str">
        <f>IF(COUNTA(A27:H27)=0,"",IF(OR(OR(OR(G27="撤单",G27="交易失败",G27="交易关闭"),G27="交易失败",G27="交易关闭"),G27="交易失败",G27="交易关闭"),"已排除",IF(G27="待确认","待确认",IF(NOT(OR(G27="已确认",G27="历史估算")),"请选择确认状态",IF(NOT(ISNUMBER(A27)),"缺少有效净值日期",IF(OR(A27&lt;=0,A27&lt;&gt;INT(A27)),"净值日期无效",IF(NOT(OR(OR(B27="买入",B27="定投",B27="转换转入"),B27="卖出",B27="现金分红",B27="红利再投")),"请选择交易类型",IF(NOT(ISNUMBER(C27)),"缺少成交净值",IF(C27&lt;=0,"成交净值须大于零",IF(NOT(ISNUMBER(D27)),"缺少确认份额（分红填0）",IF(NOT(ISNUMBER(E27)),"缺少确认金额（再投填0）",IF(NOT(ISNUMBER(F27)),"缺少手续费（无费用填0）",IF(OR(D27&lt;0,E27&lt;0,F27&lt;0),"份额金额费用不能为负",IF(AA26="错误","前行待修正",IF(A27&lt;Z26,"日期需按成交顺序递增",IF(AND(B27="现金分红",OR(D27&lt;&gt;0,E27&lt;=0,F27&lt;&gt;0)),"分红填份额0、费用0、正金额",IF(AND(B27="红利再投",OR(D27&lt;=0,E27&lt;&gt;0,F27&lt;&gt;0)),"再投填正份额、金额0、费用0",IF(AND(OR(B27="现金分红",B27="红利再投"),K26&lt;=0),"分红或再投前须有持仓",IF(AND(OR(OR(B27="买入",B27="定投",B27="转换转入"),B27="卖出"),OR(D27&lt;=0,E27&lt;=0)),"买卖须填正份额、正金额",IF(AND(B27="卖出",D27&gt;K26+0.000001),"卖出份额超过持仓",IF(AND(OR(B27="买入",B27="定投",B27="转换转入"),F27&gt;=E27)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27="买入",B27="定投",B27="转换转入"),ABS(E27-F27-C27*D27)&gt;持仓总览!$H$6),"买入金额与份额净值不符",IF(AND(B27="卖出",ABS(E27+F27-C27*D27)&gt;持仓总览!$H$6),"到账加费用与赎回市值不符","已计入"))))))))))))))))))))))))))</f>
        <v>已计入</v>
      </c>
      <c r="J27" s="11">
        <f t="shared" si="0"/>
        <v>41.4</v>
      </c>
      <c r="K27" s="11">
        <f t="shared" si="5"/>
        <v>17671.82</v>
      </c>
      <c r="L27" s="11">
        <f t="shared" si="6"/>
        <v>42526.34</v>
      </c>
      <c r="M27" s="11">
        <f t="shared" si="7"/>
        <v>0</v>
      </c>
      <c r="N27" s="11">
        <f>IF(I27="已计入",IF(AND(B27="卖出",持仓总览!$C$7="本金优先"),MAX(0,E27-Q26),IF(OR(B27="卖出",B27="现金分红"),MIN(E27,M27),0)),"")</f>
        <v>0</v>
      </c>
      <c r="O27" s="11">
        <f t="shared" si="8"/>
        <v>0</v>
      </c>
      <c r="P27" s="11">
        <f t="shared" si="9"/>
        <v>0</v>
      </c>
      <c r="Q27" s="11">
        <f t="shared" si="10"/>
        <v>35196.01</v>
      </c>
      <c r="R27" s="11">
        <f t="shared" si="1"/>
        <v>42626.2</v>
      </c>
      <c r="S27" s="11">
        <f t="shared" si="2"/>
        <v>7430.19</v>
      </c>
      <c r="T27" s="12">
        <f t="shared" si="3"/>
        <v>0.211108872852349</v>
      </c>
      <c r="U27" s="11">
        <f t="shared" si="11"/>
        <v>35196.01</v>
      </c>
      <c r="V27" s="11">
        <f t="shared" si="12"/>
        <v>0</v>
      </c>
      <c r="W27" s="11">
        <f t="shared" si="13"/>
        <v>0</v>
      </c>
      <c r="X27" s="11">
        <f t="shared" si="14"/>
        <v>0</v>
      </c>
      <c r="Y27" s="11">
        <f t="shared" si="4"/>
        <v>7430.19</v>
      </c>
      <c r="Z27" s="13">
        <f t="shared" si="15"/>
        <v>46065</v>
      </c>
      <c r="AA27" s="10" t="str">
        <f t="shared" si="16"/>
        <v>正常</v>
      </c>
      <c r="AB27" s="14">
        <f t="shared" si="17"/>
        <v>2.4121</v>
      </c>
    </row>
    <row r="28" ht="38" customHeight="1" spans="1:28">
      <c r="A28" s="5">
        <v>46066</v>
      </c>
      <c r="B28" s="6" t="s">
        <v>90</v>
      </c>
      <c r="C28" s="7">
        <v>2.3999</v>
      </c>
      <c r="D28" s="8">
        <v>41.61</v>
      </c>
      <c r="E28" s="8">
        <v>100</v>
      </c>
      <c r="F28" s="8">
        <v>0.15</v>
      </c>
      <c r="G28" s="6" t="s">
        <v>81</v>
      </c>
      <c r="H28" s="9" t="s">
        <v>105</v>
      </c>
      <c r="I28" s="10" t="str">
        <f>IF(COUNTA(A28:H28)=0,"",IF(OR(OR(OR(G28="撤单",G28="交易失败",G28="交易关闭"),G28="交易失败",G28="交易关闭"),G28="交易失败",G28="交易关闭"),"已排除",IF(G28="待确认","待确认",IF(NOT(OR(G28="已确认",G28="历史估算")),"请选择确认状态",IF(NOT(ISNUMBER(A28)),"缺少有效净值日期",IF(OR(A28&lt;=0,A28&lt;&gt;INT(A28)),"净值日期无效",IF(NOT(OR(OR(B28="买入",B28="定投",B28="转换转入"),B28="卖出",B28="现金分红",B28="红利再投")),"请选择交易类型",IF(NOT(ISNUMBER(C28)),"缺少成交净值",IF(C28&lt;=0,"成交净值须大于零",IF(NOT(ISNUMBER(D28)),"缺少确认份额（分红填0）",IF(NOT(ISNUMBER(E28)),"缺少确认金额（再投填0）",IF(NOT(ISNUMBER(F28)),"缺少手续费（无费用填0）",IF(OR(D28&lt;0,E28&lt;0,F28&lt;0),"份额金额费用不能为负",IF(AA27="错误","前行待修正",IF(A28&lt;Z27,"日期需按成交顺序递增",IF(AND(B28="现金分红",OR(D28&lt;&gt;0,E28&lt;=0,F28&lt;&gt;0)),"分红填份额0、费用0、正金额",IF(AND(B28="红利再投",OR(D28&lt;=0,E28&lt;&gt;0,F28&lt;&gt;0)),"再投填正份额、金额0、费用0",IF(AND(OR(B28="现金分红",B28="红利再投"),K27&lt;=0),"分红或再投前须有持仓",IF(AND(OR(OR(B28="买入",B28="定投",B28="转换转入"),B28="卖出"),OR(D28&lt;=0,E28&lt;=0)),"买卖须填正份额、正金额",IF(AND(B28="卖出",D28&gt;K27+0.000001),"卖出份额超过持仓",IF(AND(OR(B28="买入",B28="定投",B28="转换转入"),F28&gt;=E28)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28="买入",B28="定投",B28="转换转入"),ABS(E28-F28-C28*D28)&gt;持仓总览!$H$6),"买入金额与份额净值不符",IF(AND(B28="卖出",ABS(E28+F28-C28*D28)&gt;持仓总览!$H$6),"到账加费用与赎回市值不符","已计入"))))))))))))))))))))))))))</f>
        <v>已计入</v>
      </c>
      <c r="J28" s="11">
        <f t="shared" si="0"/>
        <v>41.61</v>
      </c>
      <c r="K28" s="11">
        <f t="shared" si="5"/>
        <v>17713.43</v>
      </c>
      <c r="L28" s="11">
        <f t="shared" si="6"/>
        <v>42410.6</v>
      </c>
      <c r="M28" s="11">
        <f t="shared" si="7"/>
        <v>0</v>
      </c>
      <c r="N28" s="11">
        <f>IF(I28="已计入",IF(AND(B28="卖出",持仓总览!$C$7="本金优先"),MAX(0,E28-Q27),IF(OR(B28="卖出",B28="现金分红"),MIN(E28,M28),0)),"")</f>
        <v>0</v>
      </c>
      <c r="O28" s="11">
        <f t="shared" si="8"/>
        <v>0</v>
      </c>
      <c r="P28" s="11">
        <f t="shared" si="9"/>
        <v>0</v>
      </c>
      <c r="Q28" s="11">
        <f t="shared" si="10"/>
        <v>35296.01</v>
      </c>
      <c r="R28" s="11">
        <f t="shared" si="1"/>
        <v>42510.46</v>
      </c>
      <c r="S28" s="11">
        <f t="shared" si="2"/>
        <v>7214.45</v>
      </c>
      <c r="T28" s="12">
        <f t="shared" si="3"/>
        <v>0.204398457502704</v>
      </c>
      <c r="U28" s="11">
        <f t="shared" si="11"/>
        <v>35296.01</v>
      </c>
      <c r="V28" s="11">
        <f t="shared" si="12"/>
        <v>0</v>
      </c>
      <c r="W28" s="11">
        <f t="shared" si="13"/>
        <v>0</v>
      </c>
      <c r="X28" s="11">
        <f t="shared" si="14"/>
        <v>0</v>
      </c>
      <c r="Y28" s="11">
        <f t="shared" si="4"/>
        <v>7214.45</v>
      </c>
      <c r="Z28" s="13">
        <f t="shared" si="15"/>
        <v>46066</v>
      </c>
      <c r="AA28" s="10" t="str">
        <f t="shared" si="16"/>
        <v>正常</v>
      </c>
      <c r="AB28" s="14">
        <f t="shared" si="17"/>
        <v>2.3999</v>
      </c>
    </row>
    <row r="29" ht="38" customHeight="1" spans="1:28">
      <c r="A29" s="5">
        <v>46077</v>
      </c>
      <c r="B29" s="6" t="s">
        <v>90</v>
      </c>
      <c r="C29" s="7">
        <v>2.5315</v>
      </c>
      <c r="D29" s="8">
        <v>39.44</v>
      </c>
      <c r="E29" s="8">
        <v>100</v>
      </c>
      <c r="F29" s="8">
        <v>0.15</v>
      </c>
      <c r="G29" s="6" t="s">
        <v>81</v>
      </c>
      <c r="H29" s="9" t="s">
        <v>106</v>
      </c>
      <c r="I29" s="10" t="str">
        <f>IF(COUNTA(A29:H29)=0,"",IF(OR(OR(OR(G29="撤单",G29="交易失败",G29="交易关闭"),G29="交易失败",G29="交易关闭"),G29="交易失败",G29="交易关闭"),"已排除",IF(G29="待确认","待确认",IF(NOT(OR(G29="已确认",G29="历史估算")),"请选择确认状态",IF(NOT(ISNUMBER(A29)),"缺少有效净值日期",IF(OR(A29&lt;=0,A29&lt;&gt;INT(A29)),"净值日期无效",IF(NOT(OR(OR(B29="买入",B29="定投",B29="转换转入"),B29="卖出",B29="现金分红",B29="红利再投")),"请选择交易类型",IF(NOT(ISNUMBER(C29)),"缺少成交净值",IF(C29&lt;=0,"成交净值须大于零",IF(NOT(ISNUMBER(D29)),"缺少确认份额（分红填0）",IF(NOT(ISNUMBER(E29)),"缺少确认金额（再投填0）",IF(NOT(ISNUMBER(F29)),"缺少手续费（无费用填0）",IF(OR(D29&lt;0,E29&lt;0,F29&lt;0),"份额金额费用不能为负",IF(AA28="错误","前行待修正",IF(A29&lt;Z28,"日期需按成交顺序递增",IF(AND(B29="现金分红",OR(D29&lt;&gt;0,E29&lt;=0,F29&lt;&gt;0)),"分红填份额0、费用0、正金额",IF(AND(B29="红利再投",OR(D29&lt;=0,E29&lt;&gt;0,F29&lt;&gt;0)),"再投填正份额、金额0、费用0",IF(AND(OR(B29="现金分红",B29="红利再投"),K28&lt;=0),"分红或再投前须有持仓",IF(AND(OR(OR(B29="买入",B29="定投",B29="转换转入"),B29="卖出"),OR(D29&lt;=0,E29&lt;=0)),"买卖须填正份额、正金额",IF(AND(B29="卖出",D29&gt;K28+0.000001),"卖出份额超过持仓",IF(AND(OR(B29="买入",B29="定投",B29="转换转入"),F29&gt;=E29)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29="买入",B29="定投",B29="转换转入"),ABS(E29-F29-C29*D29)&gt;持仓总览!$H$6),"买入金额与份额净值不符",IF(AND(B29="卖出",ABS(E29+F29-C29*D29)&gt;持仓总览!$H$6),"到账加费用与赎回市值不符","已计入"))))))))))))))))))))))))))</f>
        <v>已计入</v>
      </c>
      <c r="J29" s="11">
        <f t="shared" si="0"/>
        <v>39.44</v>
      </c>
      <c r="K29" s="11">
        <f t="shared" si="5"/>
        <v>17752.87</v>
      </c>
      <c r="L29" s="11">
        <f t="shared" si="6"/>
        <v>44841.55</v>
      </c>
      <c r="M29" s="11">
        <f t="shared" si="7"/>
        <v>0</v>
      </c>
      <c r="N29" s="11">
        <f>IF(I29="已计入",IF(AND(B29="卖出",持仓总览!$C$7="本金优先"),MAX(0,E29-Q28),IF(OR(B29="卖出",B29="现金分红"),MIN(E29,M29),0)),"")</f>
        <v>0</v>
      </c>
      <c r="O29" s="11">
        <f t="shared" si="8"/>
        <v>0</v>
      </c>
      <c r="P29" s="11">
        <f t="shared" si="9"/>
        <v>0</v>
      </c>
      <c r="Q29" s="11">
        <f t="shared" si="10"/>
        <v>35396.01</v>
      </c>
      <c r="R29" s="11">
        <f t="shared" si="1"/>
        <v>44941.39</v>
      </c>
      <c r="S29" s="11">
        <f t="shared" si="2"/>
        <v>9545.38</v>
      </c>
      <c r="T29" s="12">
        <f t="shared" si="3"/>
        <v>0.269673898272715</v>
      </c>
      <c r="U29" s="11">
        <f t="shared" si="11"/>
        <v>35396.01</v>
      </c>
      <c r="V29" s="11">
        <f t="shared" si="12"/>
        <v>0</v>
      </c>
      <c r="W29" s="11">
        <f t="shared" si="13"/>
        <v>0</v>
      </c>
      <c r="X29" s="11">
        <f t="shared" si="14"/>
        <v>0</v>
      </c>
      <c r="Y29" s="11">
        <f t="shared" si="4"/>
        <v>9545.38</v>
      </c>
      <c r="Z29" s="13">
        <f t="shared" si="15"/>
        <v>46077</v>
      </c>
      <c r="AA29" s="10" t="str">
        <f t="shared" si="16"/>
        <v>正常</v>
      </c>
      <c r="AB29" s="14">
        <f t="shared" si="17"/>
        <v>2.5315</v>
      </c>
    </row>
    <row r="30" ht="38" customHeight="1" spans="1:28">
      <c r="A30" s="5">
        <v>46078</v>
      </c>
      <c r="B30" s="6" t="s">
        <v>90</v>
      </c>
      <c r="C30" s="7">
        <v>2.593</v>
      </c>
      <c r="D30" s="8">
        <v>38.51</v>
      </c>
      <c r="E30" s="8">
        <v>100</v>
      </c>
      <c r="F30" s="8">
        <v>0.15</v>
      </c>
      <c r="G30" s="6" t="s">
        <v>81</v>
      </c>
      <c r="H30" s="9" t="s">
        <v>107</v>
      </c>
      <c r="I30" s="10" t="str">
        <f>IF(COUNTA(A30:H30)=0,"",IF(OR(OR(OR(G30="撤单",G30="交易失败",G30="交易关闭"),G30="交易失败",G30="交易关闭"),G30="交易失败",G30="交易关闭"),"已排除",IF(G30="待确认","待确认",IF(NOT(OR(G30="已确认",G30="历史估算")),"请选择确认状态",IF(NOT(ISNUMBER(A30)),"缺少有效净值日期",IF(OR(A30&lt;=0,A30&lt;&gt;INT(A30)),"净值日期无效",IF(NOT(OR(OR(B30="买入",B30="定投",B30="转换转入"),B30="卖出",B30="现金分红",B30="红利再投")),"请选择交易类型",IF(NOT(ISNUMBER(C30)),"缺少成交净值",IF(C30&lt;=0,"成交净值须大于零",IF(NOT(ISNUMBER(D30)),"缺少确认份额（分红填0）",IF(NOT(ISNUMBER(E30)),"缺少确认金额（再投填0）",IF(NOT(ISNUMBER(F30)),"缺少手续费（无费用填0）",IF(OR(D30&lt;0,E30&lt;0,F30&lt;0),"份额金额费用不能为负",IF(AA29="错误","前行待修正",IF(A30&lt;Z29,"日期需按成交顺序递增",IF(AND(B30="现金分红",OR(D30&lt;&gt;0,E30&lt;=0,F30&lt;&gt;0)),"分红填份额0、费用0、正金额",IF(AND(B30="红利再投",OR(D30&lt;=0,E30&lt;&gt;0,F30&lt;&gt;0)),"再投填正份额、金额0、费用0",IF(AND(OR(B30="现金分红",B30="红利再投"),K29&lt;=0),"分红或再投前须有持仓",IF(AND(OR(OR(B30="买入",B30="定投",B30="转换转入"),B30="卖出"),OR(D30&lt;=0,E30&lt;=0)),"买卖须填正份额、正金额",IF(AND(B30="卖出",D30&gt;K29+0.000001),"卖出份额超过持仓",IF(AND(OR(B30="买入",B30="定投",B30="转换转入"),F30&gt;=E30)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30="买入",B30="定投",B30="转换转入"),ABS(E30-F30-C30*D30)&gt;持仓总览!$H$6),"买入金额与份额净值不符",IF(AND(B30="卖出",ABS(E30+F30-C30*D30)&gt;持仓总览!$H$6),"到账加费用与赎回市值不符","已计入"))))))))))))))))))))))))))</f>
        <v>已计入</v>
      </c>
      <c r="J30" s="11">
        <f t="shared" si="0"/>
        <v>38.51</v>
      </c>
      <c r="K30" s="11">
        <f t="shared" si="5"/>
        <v>17791.38</v>
      </c>
      <c r="L30" s="11">
        <f t="shared" si="6"/>
        <v>46033.19</v>
      </c>
      <c r="M30" s="11">
        <f t="shared" si="7"/>
        <v>0</v>
      </c>
      <c r="N30" s="11">
        <f>IF(I30="已计入",IF(AND(B30="卖出",持仓总览!$C$7="本金优先"),MAX(0,E30-Q29),IF(OR(B30="卖出",B30="现金分红"),MIN(E30,M30),0)),"")</f>
        <v>0</v>
      </c>
      <c r="O30" s="11">
        <f t="shared" si="8"/>
        <v>0</v>
      </c>
      <c r="P30" s="11">
        <f t="shared" si="9"/>
        <v>0</v>
      </c>
      <c r="Q30" s="11">
        <f t="shared" si="10"/>
        <v>35496.01</v>
      </c>
      <c r="R30" s="11">
        <f t="shared" si="1"/>
        <v>46133.05</v>
      </c>
      <c r="S30" s="11">
        <f t="shared" si="2"/>
        <v>10637.04</v>
      </c>
      <c r="T30" s="12">
        <f t="shared" si="3"/>
        <v>0.299668610641027</v>
      </c>
      <c r="U30" s="11">
        <f t="shared" si="11"/>
        <v>35496.01</v>
      </c>
      <c r="V30" s="11">
        <f t="shared" si="12"/>
        <v>0</v>
      </c>
      <c r="W30" s="11">
        <f t="shared" si="13"/>
        <v>0</v>
      </c>
      <c r="X30" s="11">
        <f t="shared" si="14"/>
        <v>0</v>
      </c>
      <c r="Y30" s="11">
        <f t="shared" si="4"/>
        <v>10637.04</v>
      </c>
      <c r="Z30" s="13">
        <f t="shared" si="15"/>
        <v>46078</v>
      </c>
      <c r="AA30" s="10" t="str">
        <f t="shared" si="16"/>
        <v>正常</v>
      </c>
      <c r="AB30" s="14">
        <f t="shared" si="17"/>
        <v>2.593</v>
      </c>
    </row>
    <row r="31" ht="38" customHeight="1" spans="1:28">
      <c r="A31" s="5">
        <v>46079</v>
      </c>
      <c r="B31" s="6" t="s">
        <v>90</v>
      </c>
      <c r="C31" s="7">
        <v>2.5293</v>
      </c>
      <c r="D31" s="8">
        <v>39.48</v>
      </c>
      <c r="E31" s="8">
        <v>100</v>
      </c>
      <c r="F31" s="8">
        <v>0.15</v>
      </c>
      <c r="G31" s="6" t="s">
        <v>81</v>
      </c>
      <c r="H31" s="9" t="s">
        <v>108</v>
      </c>
      <c r="I31" s="10" t="str">
        <f>IF(COUNTA(A31:H31)=0,"",IF(OR(OR(OR(G31="撤单",G31="交易失败",G31="交易关闭"),G31="交易失败",G31="交易关闭"),G31="交易失败",G31="交易关闭"),"已排除",IF(G31="待确认","待确认",IF(NOT(OR(G31="已确认",G31="历史估算")),"请选择确认状态",IF(NOT(ISNUMBER(A31)),"缺少有效净值日期",IF(OR(A31&lt;=0,A31&lt;&gt;INT(A31)),"净值日期无效",IF(NOT(OR(OR(B31="买入",B31="定投",B31="转换转入"),B31="卖出",B31="现金分红",B31="红利再投")),"请选择交易类型",IF(NOT(ISNUMBER(C31)),"缺少成交净值",IF(C31&lt;=0,"成交净值须大于零",IF(NOT(ISNUMBER(D31)),"缺少确认份额（分红填0）",IF(NOT(ISNUMBER(E31)),"缺少确认金额（再投填0）",IF(NOT(ISNUMBER(F31)),"缺少手续费（无费用填0）",IF(OR(D31&lt;0,E31&lt;0,F31&lt;0),"份额金额费用不能为负",IF(AA30="错误","前行待修正",IF(A31&lt;Z30,"日期需按成交顺序递增",IF(AND(B31="现金分红",OR(D31&lt;&gt;0,E31&lt;=0,F31&lt;&gt;0)),"分红填份额0、费用0、正金额",IF(AND(B31="红利再投",OR(D31&lt;=0,E31&lt;&gt;0,F31&lt;&gt;0)),"再投填正份额、金额0、费用0",IF(AND(OR(B31="现金分红",B31="红利再投"),K30&lt;=0),"分红或再投前须有持仓",IF(AND(OR(OR(B31="买入",B31="定投",B31="转换转入"),B31="卖出"),OR(D31&lt;=0,E31&lt;=0)),"买卖须填正份额、正金额",IF(AND(B31="卖出",D31&gt;K30+0.000001),"卖出份额超过持仓",IF(AND(OR(B31="买入",B31="定投",B31="转换转入"),F31&gt;=E31)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31="买入",B31="定投",B31="转换转入"),ABS(E31-F31-C31*D31)&gt;持仓总览!$H$6),"买入金额与份额净值不符",IF(AND(B31="卖出",ABS(E31+F31-C31*D31)&gt;持仓总览!$H$6),"到账加费用与赎回市值不符","已计入"))))))))))))))))))))))))))</f>
        <v>已计入</v>
      </c>
      <c r="J31" s="11">
        <f t="shared" si="0"/>
        <v>39.48</v>
      </c>
      <c r="K31" s="11">
        <f t="shared" si="5"/>
        <v>17830.86</v>
      </c>
      <c r="L31" s="11">
        <f t="shared" si="6"/>
        <v>44999.74</v>
      </c>
      <c r="M31" s="11">
        <f t="shared" si="7"/>
        <v>0</v>
      </c>
      <c r="N31" s="11">
        <f>IF(I31="已计入",IF(AND(B31="卖出",持仓总览!$C$7="本金优先"),MAX(0,E31-Q30),IF(OR(B31="卖出",B31="现金分红"),MIN(E31,M31),0)),"")</f>
        <v>0</v>
      </c>
      <c r="O31" s="11">
        <f t="shared" si="8"/>
        <v>0</v>
      </c>
      <c r="P31" s="11">
        <f t="shared" si="9"/>
        <v>0</v>
      </c>
      <c r="Q31" s="11">
        <f t="shared" si="10"/>
        <v>35596.01</v>
      </c>
      <c r="R31" s="11">
        <f t="shared" si="1"/>
        <v>45099.59</v>
      </c>
      <c r="S31" s="11">
        <f t="shared" si="2"/>
        <v>9503.58</v>
      </c>
      <c r="T31" s="12">
        <f t="shared" si="3"/>
        <v>0.266984417635572</v>
      </c>
      <c r="U31" s="11">
        <f t="shared" si="11"/>
        <v>35596.01</v>
      </c>
      <c r="V31" s="11">
        <f t="shared" si="12"/>
        <v>0</v>
      </c>
      <c r="W31" s="11">
        <f t="shared" si="13"/>
        <v>0</v>
      </c>
      <c r="X31" s="11">
        <f t="shared" si="14"/>
        <v>0</v>
      </c>
      <c r="Y31" s="11">
        <f t="shared" si="4"/>
        <v>9503.58</v>
      </c>
      <c r="Z31" s="13">
        <f t="shared" si="15"/>
        <v>46079</v>
      </c>
      <c r="AA31" s="10" t="str">
        <f t="shared" si="16"/>
        <v>正常</v>
      </c>
      <c r="AB31" s="14">
        <f t="shared" si="17"/>
        <v>2.5293</v>
      </c>
    </row>
    <row r="32" ht="38" customHeight="1" spans="1:28">
      <c r="A32" s="5">
        <v>46080</v>
      </c>
      <c r="B32" s="6" t="s">
        <v>90</v>
      </c>
      <c r="C32" s="7">
        <v>2.5031</v>
      </c>
      <c r="D32" s="8">
        <v>19.94</v>
      </c>
      <c r="E32" s="8">
        <v>50</v>
      </c>
      <c r="F32" s="8">
        <v>0.08</v>
      </c>
      <c r="G32" s="6" t="s">
        <v>81</v>
      </c>
      <c r="H32" s="9" t="s">
        <v>109</v>
      </c>
      <c r="I32" s="10" t="str">
        <f>IF(COUNTA(A32:H32)=0,"",IF(OR(OR(OR(G32="撤单",G32="交易失败",G32="交易关闭"),G32="交易失败",G32="交易关闭"),G32="交易失败",G32="交易关闭"),"已排除",IF(G32="待确认","待确认",IF(NOT(OR(G32="已确认",G32="历史估算")),"请选择确认状态",IF(NOT(ISNUMBER(A32)),"缺少有效净值日期",IF(OR(A32&lt;=0,A32&lt;&gt;INT(A32)),"净值日期无效",IF(NOT(OR(OR(B32="买入",B32="定投",B32="转换转入"),B32="卖出",B32="现金分红",B32="红利再投")),"请选择交易类型",IF(NOT(ISNUMBER(C32)),"缺少成交净值",IF(C32&lt;=0,"成交净值须大于零",IF(NOT(ISNUMBER(D32)),"缺少确认份额（分红填0）",IF(NOT(ISNUMBER(E32)),"缺少确认金额（再投填0）",IF(NOT(ISNUMBER(F32)),"缺少手续费（无费用填0）",IF(OR(D32&lt;0,E32&lt;0,F32&lt;0),"份额金额费用不能为负",IF(AA31="错误","前行待修正",IF(A32&lt;Z31,"日期需按成交顺序递增",IF(AND(B32="现金分红",OR(D32&lt;&gt;0,E32&lt;=0,F32&lt;&gt;0)),"分红填份额0、费用0、正金额",IF(AND(B32="红利再投",OR(D32&lt;=0,E32&lt;&gt;0,F32&lt;&gt;0)),"再投填正份额、金额0、费用0",IF(AND(OR(B32="现金分红",B32="红利再投"),K31&lt;=0),"分红或再投前须有持仓",IF(AND(OR(OR(B32="买入",B32="定投",B32="转换转入"),B32="卖出"),OR(D32&lt;=0,E32&lt;=0)),"买卖须填正份额、正金额",IF(AND(B32="卖出",D32&gt;K31+0.000001),"卖出份额超过持仓",IF(AND(OR(B32="买入",B32="定投",B32="转换转入"),F32&gt;=E32)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32="买入",B32="定投",B32="转换转入"),ABS(E32-F32-C32*D32)&gt;持仓总览!$H$6),"买入金额与份额净值不符",IF(AND(B32="卖出",ABS(E32+F32-C32*D32)&gt;持仓总览!$H$6),"到账加费用与赎回市值不符","已计入"))))))))))))))))))))))))))</f>
        <v>已计入</v>
      </c>
      <c r="J32" s="11">
        <f t="shared" si="0"/>
        <v>19.94</v>
      </c>
      <c r="K32" s="11">
        <f t="shared" si="5"/>
        <v>17850.8</v>
      </c>
      <c r="L32" s="11">
        <f t="shared" si="6"/>
        <v>44632.43</v>
      </c>
      <c r="M32" s="11">
        <f t="shared" si="7"/>
        <v>0</v>
      </c>
      <c r="N32" s="11">
        <f>IF(I32="已计入",IF(AND(B32="卖出",持仓总览!$C$7="本金优先"),MAX(0,E32-Q31),IF(OR(B32="卖出",B32="现金分红"),MIN(E32,M32),0)),"")</f>
        <v>0</v>
      </c>
      <c r="O32" s="11">
        <f t="shared" si="8"/>
        <v>0</v>
      </c>
      <c r="P32" s="11">
        <f t="shared" si="9"/>
        <v>0</v>
      </c>
      <c r="Q32" s="11">
        <f t="shared" si="10"/>
        <v>35646.01</v>
      </c>
      <c r="R32" s="11">
        <f t="shared" si="1"/>
        <v>44682.34</v>
      </c>
      <c r="S32" s="11">
        <f t="shared" si="2"/>
        <v>9036.33</v>
      </c>
      <c r="T32" s="12">
        <f t="shared" si="3"/>
        <v>0.253501864584564</v>
      </c>
      <c r="U32" s="11">
        <f t="shared" si="11"/>
        <v>35646.01</v>
      </c>
      <c r="V32" s="11">
        <f t="shared" si="12"/>
        <v>0</v>
      </c>
      <c r="W32" s="11">
        <f t="shared" si="13"/>
        <v>0</v>
      </c>
      <c r="X32" s="11">
        <f t="shared" si="14"/>
        <v>0</v>
      </c>
      <c r="Y32" s="11">
        <f t="shared" si="4"/>
        <v>9036.33</v>
      </c>
      <c r="Z32" s="13">
        <f t="shared" si="15"/>
        <v>46080</v>
      </c>
      <c r="AA32" s="10" t="str">
        <f t="shared" si="16"/>
        <v>正常</v>
      </c>
      <c r="AB32" s="14">
        <f t="shared" si="17"/>
        <v>2.5031</v>
      </c>
    </row>
    <row r="33" ht="38" customHeight="1" spans="1:28">
      <c r="A33" s="5">
        <v>46083</v>
      </c>
      <c r="B33" s="6" t="s">
        <v>90</v>
      </c>
      <c r="C33" s="7">
        <v>2.5854</v>
      </c>
      <c r="D33" s="8">
        <v>19.31</v>
      </c>
      <c r="E33" s="8">
        <v>50</v>
      </c>
      <c r="F33" s="8">
        <v>0.08</v>
      </c>
      <c r="G33" s="6" t="s">
        <v>81</v>
      </c>
      <c r="H33" s="9" t="s">
        <v>110</v>
      </c>
      <c r="I33" s="10" t="str">
        <f>IF(COUNTA(A33:H33)=0,"",IF(OR(OR(OR(G33="撤单",G33="交易失败",G33="交易关闭"),G33="交易失败",G33="交易关闭"),G33="交易失败",G33="交易关闭"),"已排除",IF(G33="待确认","待确认",IF(NOT(OR(G33="已确认",G33="历史估算")),"请选择确认状态",IF(NOT(ISNUMBER(A33)),"缺少有效净值日期",IF(OR(A33&lt;=0,A33&lt;&gt;INT(A33)),"净值日期无效",IF(NOT(OR(OR(B33="买入",B33="定投",B33="转换转入"),B33="卖出",B33="现金分红",B33="红利再投")),"请选择交易类型",IF(NOT(ISNUMBER(C33)),"缺少成交净值",IF(C33&lt;=0,"成交净值须大于零",IF(NOT(ISNUMBER(D33)),"缺少确认份额（分红填0）",IF(NOT(ISNUMBER(E33)),"缺少确认金额（再投填0）",IF(NOT(ISNUMBER(F33)),"缺少手续费（无费用填0）",IF(OR(D33&lt;0,E33&lt;0,F33&lt;0),"份额金额费用不能为负",IF(AA32="错误","前行待修正",IF(A33&lt;Z32,"日期需按成交顺序递增",IF(AND(B33="现金分红",OR(D33&lt;&gt;0,E33&lt;=0,F33&lt;&gt;0)),"分红填份额0、费用0、正金额",IF(AND(B33="红利再投",OR(D33&lt;=0,E33&lt;&gt;0,F33&lt;&gt;0)),"再投填正份额、金额0、费用0",IF(AND(OR(B33="现金分红",B33="红利再投"),K32&lt;=0),"分红或再投前须有持仓",IF(AND(OR(OR(B33="买入",B33="定投",B33="转换转入"),B33="卖出"),OR(D33&lt;=0,E33&lt;=0)),"买卖须填正份额、正金额",IF(AND(B33="卖出",D33&gt;K32+0.000001),"卖出份额超过持仓",IF(AND(OR(B33="买入",B33="定投",B33="转换转入"),F33&gt;=E33)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33="买入",B33="定投",B33="转换转入"),ABS(E33-F33-C33*D33)&gt;持仓总览!$H$6),"买入金额与份额净值不符",IF(AND(B33="卖出",ABS(E33+F33-C33*D33)&gt;持仓总览!$H$6),"到账加费用与赎回市值不符","已计入"))))))))))))))))))))))))))</f>
        <v>已计入</v>
      </c>
      <c r="J33" s="11">
        <f t="shared" si="0"/>
        <v>19.31</v>
      </c>
      <c r="K33" s="11">
        <f t="shared" si="5"/>
        <v>17870.11</v>
      </c>
      <c r="L33" s="11">
        <f t="shared" si="6"/>
        <v>46151.46</v>
      </c>
      <c r="M33" s="11">
        <f t="shared" si="7"/>
        <v>0</v>
      </c>
      <c r="N33" s="11">
        <f>IF(I33="已计入",IF(AND(B33="卖出",持仓总览!$C$7="本金优先"),MAX(0,E33-Q32),IF(OR(B33="卖出",B33="现金分红"),MIN(E33,M33),0)),"")</f>
        <v>0</v>
      </c>
      <c r="O33" s="11">
        <f t="shared" si="8"/>
        <v>0</v>
      </c>
      <c r="P33" s="11">
        <f t="shared" si="9"/>
        <v>0</v>
      </c>
      <c r="Q33" s="11">
        <f t="shared" si="10"/>
        <v>35696.01</v>
      </c>
      <c r="R33" s="11">
        <f t="shared" si="1"/>
        <v>46201.38</v>
      </c>
      <c r="S33" s="11">
        <f t="shared" si="2"/>
        <v>10505.37</v>
      </c>
      <c r="T33" s="12">
        <f t="shared" si="3"/>
        <v>0.294300959687091</v>
      </c>
      <c r="U33" s="11">
        <f t="shared" si="11"/>
        <v>35696.01</v>
      </c>
      <c r="V33" s="11">
        <f t="shared" si="12"/>
        <v>0</v>
      </c>
      <c r="W33" s="11">
        <f t="shared" si="13"/>
        <v>0</v>
      </c>
      <c r="X33" s="11">
        <f t="shared" si="14"/>
        <v>0</v>
      </c>
      <c r="Y33" s="11">
        <f t="shared" si="4"/>
        <v>10505.37</v>
      </c>
      <c r="Z33" s="13">
        <f t="shared" si="15"/>
        <v>46083</v>
      </c>
      <c r="AA33" s="10" t="str">
        <f t="shared" si="16"/>
        <v>正常</v>
      </c>
      <c r="AB33" s="14">
        <f t="shared" si="17"/>
        <v>2.5854</v>
      </c>
    </row>
    <row r="34" ht="38" customHeight="1" spans="1:28">
      <c r="A34" s="5">
        <v>46093</v>
      </c>
      <c r="B34" s="6" t="s">
        <v>90</v>
      </c>
      <c r="C34" s="7">
        <v>2.3365</v>
      </c>
      <c r="D34" s="8">
        <v>21.37</v>
      </c>
      <c r="E34" s="8">
        <v>50</v>
      </c>
      <c r="F34" s="8">
        <v>0.08</v>
      </c>
      <c r="G34" s="6" t="s">
        <v>81</v>
      </c>
      <c r="H34" s="9" t="s">
        <v>111</v>
      </c>
      <c r="I34" s="10" t="str">
        <f>IF(COUNTA(A34:H34)=0,"",IF(OR(OR(OR(G34="撤单",G34="交易失败",G34="交易关闭"),G34="交易失败",G34="交易关闭"),G34="交易失败",G34="交易关闭"),"已排除",IF(G34="待确认","待确认",IF(NOT(OR(G34="已确认",G34="历史估算")),"请选择确认状态",IF(NOT(ISNUMBER(A34)),"缺少有效净值日期",IF(OR(A34&lt;=0,A34&lt;&gt;INT(A34)),"净值日期无效",IF(NOT(OR(OR(B34="买入",B34="定投",B34="转换转入"),B34="卖出",B34="现金分红",B34="红利再投")),"请选择交易类型",IF(NOT(ISNUMBER(C34)),"缺少成交净值",IF(C34&lt;=0,"成交净值须大于零",IF(NOT(ISNUMBER(D34)),"缺少确认份额（分红填0）",IF(NOT(ISNUMBER(E34)),"缺少确认金额（再投填0）",IF(NOT(ISNUMBER(F34)),"缺少手续费（无费用填0）",IF(OR(D34&lt;0,E34&lt;0,F34&lt;0),"份额金额费用不能为负",IF(AA33="错误","前行待修正",IF(A34&lt;Z33,"日期需按成交顺序递增",IF(AND(B34="现金分红",OR(D34&lt;&gt;0,E34&lt;=0,F34&lt;&gt;0)),"分红填份额0、费用0、正金额",IF(AND(B34="红利再投",OR(D34&lt;=0,E34&lt;&gt;0,F34&lt;&gt;0)),"再投填正份额、金额0、费用0",IF(AND(OR(B34="现金分红",B34="红利再投"),K33&lt;=0),"分红或再投前须有持仓",IF(AND(OR(OR(B34="买入",B34="定投",B34="转换转入"),B34="卖出"),OR(D34&lt;=0,E34&lt;=0)),"买卖须填正份额、正金额",IF(AND(B34="卖出",D34&gt;K33+0.000001),"卖出份额超过持仓",IF(AND(OR(B34="买入",B34="定投",B34="转换转入"),F34&gt;=E34)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34="买入",B34="定投",B34="转换转入"),ABS(E34-F34-C34*D34)&gt;持仓总览!$H$6),"买入金额与份额净值不符",IF(AND(B34="卖出",ABS(E34+F34-C34*D34)&gt;持仓总览!$H$6),"到账加费用与赎回市值不符","已计入"))))))))))))))))))))))))))</f>
        <v>已计入</v>
      </c>
      <c r="J34" s="11">
        <f t="shared" si="0"/>
        <v>21.37</v>
      </c>
      <c r="K34" s="11">
        <f t="shared" si="5"/>
        <v>17891.48</v>
      </c>
      <c r="L34" s="11">
        <f t="shared" si="6"/>
        <v>41753.51</v>
      </c>
      <c r="M34" s="11">
        <f t="shared" si="7"/>
        <v>0</v>
      </c>
      <c r="N34" s="11">
        <f>IF(I34="已计入",IF(AND(B34="卖出",持仓总览!$C$7="本金优先"),MAX(0,E34-Q33),IF(OR(B34="卖出",B34="现金分红"),MIN(E34,M34),0)),"")</f>
        <v>0</v>
      </c>
      <c r="O34" s="11">
        <f t="shared" si="8"/>
        <v>0</v>
      </c>
      <c r="P34" s="11">
        <f t="shared" si="9"/>
        <v>0</v>
      </c>
      <c r="Q34" s="11">
        <f t="shared" si="10"/>
        <v>35746.01</v>
      </c>
      <c r="R34" s="11">
        <f t="shared" si="1"/>
        <v>41803.44</v>
      </c>
      <c r="S34" s="11">
        <f t="shared" si="2"/>
        <v>6057.43</v>
      </c>
      <c r="T34" s="12">
        <f t="shared" si="3"/>
        <v>0.169457514279216</v>
      </c>
      <c r="U34" s="11">
        <f t="shared" si="11"/>
        <v>35746.01</v>
      </c>
      <c r="V34" s="11">
        <f t="shared" si="12"/>
        <v>0</v>
      </c>
      <c r="W34" s="11">
        <f t="shared" si="13"/>
        <v>0</v>
      </c>
      <c r="X34" s="11">
        <f t="shared" si="14"/>
        <v>0</v>
      </c>
      <c r="Y34" s="11">
        <f t="shared" si="4"/>
        <v>6057.43</v>
      </c>
      <c r="Z34" s="13">
        <f t="shared" si="15"/>
        <v>46093</v>
      </c>
      <c r="AA34" s="10" t="str">
        <f t="shared" si="16"/>
        <v>正常</v>
      </c>
      <c r="AB34" s="14">
        <f t="shared" si="17"/>
        <v>2.3365</v>
      </c>
    </row>
    <row r="35" ht="38" customHeight="1" spans="1:28">
      <c r="A35" s="5">
        <v>46094</v>
      </c>
      <c r="B35" s="6" t="s">
        <v>90</v>
      </c>
      <c r="C35" s="7">
        <v>2.3437</v>
      </c>
      <c r="D35" s="8">
        <v>21.3</v>
      </c>
      <c r="E35" s="8">
        <v>50</v>
      </c>
      <c r="F35" s="8">
        <v>0.08</v>
      </c>
      <c r="G35" s="6" t="s">
        <v>81</v>
      </c>
      <c r="H35" s="9" t="s">
        <v>112</v>
      </c>
      <c r="I35" s="10" t="str">
        <f>IF(COUNTA(A35:H35)=0,"",IF(OR(OR(OR(G35="撤单",G35="交易失败",G35="交易关闭"),G35="交易失败",G35="交易关闭"),G35="交易失败",G35="交易关闭"),"已排除",IF(G35="待确认","待确认",IF(NOT(OR(G35="已确认",G35="历史估算")),"请选择确认状态",IF(NOT(ISNUMBER(A35)),"缺少有效净值日期",IF(OR(A35&lt;=0,A35&lt;&gt;INT(A35)),"净值日期无效",IF(NOT(OR(OR(B35="买入",B35="定投",B35="转换转入"),B35="卖出",B35="现金分红",B35="红利再投")),"请选择交易类型",IF(NOT(ISNUMBER(C35)),"缺少成交净值",IF(C35&lt;=0,"成交净值须大于零",IF(NOT(ISNUMBER(D35)),"缺少确认份额（分红填0）",IF(NOT(ISNUMBER(E35)),"缺少确认金额（再投填0）",IF(NOT(ISNUMBER(F35)),"缺少手续费（无费用填0）",IF(OR(D35&lt;0,E35&lt;0,F35&lt;0),"份额金额费用不能为负",IF(AA34="错误","前行待修正",IF(A35&lt;Z34,"日期需按成交顺序递增",IF(AND(B35="现金分红",OR(D35&lt;&gt;0,E35&lt;=0,F35&lt;&gt;0)),"分红填份额0、费用0、正金额",IF(AND(B35="红利再投",OR(D35&lt;=0,E35&lt;&gt;0,F35&lt;&gt;0)),"再投填正份额、金额0、费用0",IF(AND(OR(B35="现金分红",B35="红利再投"),K34&lt;=0),"分红或再投前须有持仓",IF(AND(OR(OR(B35="买入",B35="定投",B35="转换转入"),B35="卖出"),OR(D35&lt;=0,E35&lt;=0)),"买卖须填正份额、正金额",IF(AND(B35="卖出",D35&gt;K34+0.000001),"卖出份额超过持仓",IF(AND(OR(B35="买入",B35="定投",B35="转换转入"),F35&gt;=E35)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35="买入",B35="定投",B35="转换转入"),ABS(E35-F35-C35*D35)&gt;持仓总览!$H$6),"买入金额与份额净值不符",IF(AND(B35="卖出",ABS(E35+F35-C35*D35)&gt;持仓总览!$H$6),"到账加费用与赎回市值不符","已计入"))))))))))))))))))))))))))</f>
        <v>已计入</v>
      </c>
      <c r="J35" s="11">
        <f t="shared" si="0"/>
        <v>21.3</v>
      </c>
      <c r="K35" s="11">
        <f t="shared" si="5"/>
        <v>17912.78</v>
      </c>
      <c r="L35" s="11">
        <f t="shared" si="6"/>
        <v>41932.26</v>
      </c>
      <c r="M35" s="11">
        <f t="shared" si="7"/>
        <v>0</v>
      </c>
      <c r="N35" s="11">
        <f>IF(I35="已计入",IF(AND(B35="卖出",持仓总览!$C$7="本金优先"),MAX(0,E35-Q34),IF(OR(B35="卖出",B35="现金分红"),MIN(E35,M35),0)),"")</f>
        <v>0</v>
      </c>
      <c r="O35" s="11">
        <f t="shared" si="8"/>
        <v>0</v>
      </c>
      <c r="P35" s="11">
        <f t="shared" si="9"/>
        <v>0</v>
      </c>
      <c r="Q35" s="11">
        <f t="shared" si="10"/>
        <v>35796.01</v>
      </c>
      <c r="R35" s="11">
        <f t="shared" si="1"/>
        <v>41982.18</v>
      </c>
      <c r="S35" s="11">
        <f t="shared" si="2"/>
        <v>6186.17</v>
      </c>
      <c r="T35" s="12">
        <f t="shared" si="3"/>
        <v>0.172817305615905</v>
      </c>
      <c r="U35" s="11">
        <f t="shared" si="11"/>
        <v>35796.01</v>
      </c>
      <c r="V35" s="11">
        <f t="shared" si="12"/>
        <v>0</v>
      </c>
      <c r="W35" s="11">
        <f t="shared" si="13"/>
        <v>0</v>
      </c>
      <c r="X35" s="11">
        <f t="shared" si="14"/>
        <v>0</v>
      </c>
      <c r="Y35" s="11">
        <f t="shared" si="4"/>
        <v>6186.17</v>
      </c>
      <c r="Z35" s="13">
        <f t="shared" si="15"/>
        <v>46094</v>
      </c>
      <c r="AA35" s="10" t="str">
        <f t="shared" si="16"/>
        <v>正常</v>
      </c>
      <c r="AB35" s="14">
        <f t="shared" si="17"/>
        <v>2.3437</v>
      </c>
    </row>
    <row r="36" ht="38" customHeight="1" spans="1:28">
      <c r="A36" s="5">
        <v>46097</v>
      </c>
      <c r="B36" s="6" t="s">
        <v>90</v>
      </c>
      <c r="C36" s="7">
        <v>2.3934</v>
      </c>
      <c r="D36" s="8">
        <v>20.86</v>
      </c>
      <c r="E36" s="8">
        <v>50</v>
      </c>
      <c r="F36" s="8">
        <v>0.08</v>
      </c>
      <c r="G36" s="6" t="s">
        <v>81</v>
      </c>
      <c r="H36" s="9" t="s">
        <v>113</v>
      </c>
      <c r="I36" s="10" t="str">
        <f>IF(COUNTA(A36:H36)=0,"",IF(OR(OR(OR(G36="撤单",G36="交易失败",G36="交易关闭"),G36="交易失败",G36="交易关闭"),G36="交易失败",G36="交易关闭"),"已排除",IF(G36="待确认","待确认",IF(NOT(OR(G36="已确认",G36="历史估算")),"请选择确认状态",IF(NOT(ISNUMBER(A36)),"缺少有效净值日期",IF(OR(A36&lt;=0,A36&lt;&gt;INT(A36)),"净值日期无效",IF(NOT(OR(OR(B36="买入",B36="定投",B36="转换转入"),B36="卖出",B36="现金分红",B36="红利再投")),"请选择交易类型",IF(NOT(ISNUMBER(C36)),"缺少成交净值",IF(C36&lt;=0,"成交净值须大于零",IF(NOT(ISNUMBER(D36)),"缺少确认份额（分红填0）",IF(NOT(ISNUMBER(E36)),"缺少确认金额（再投填0）",IF(NOT(ISNUMBER(F36)),"缺少手续费（无费用填0）",IF(OR(D36&lt;0,E36&lt;0,F36&lt;0),"份额金额费用不能为负",IF(AA35="错误","前行待修正",IF(A36&lt;Z35,"日期需按成交顺序递增",IF(AND(B36="现金分红",OR(D36&lt;&gt;0,E36&lt;=0,F36&lt;&gt;0)),"分红填份额0、费用0、正金额",IF(AND(B36="红利再投",OR(D36&lt;=0,E36&lt;&gt;0,F36&lt;&gt;0)),"再投填正份额、金额0、费用0",IF(AND(OR(B36="现金分红",B36="红利再投"),K35&lt;=0),"分红或再投前须有持仓",IF(AND(OR(OR(B36="买入",B36="定投",B36="转换转入"),B36="卖出"),OR(D36&lt;=0,E36&lt;=0)),"买卖须填正份额、正金额",IF(AND(B36="卖出",D36&gt;K35+0.000001),"卖出份额超过持仓",IF(AND(OR(B36="买入",B36="定投",B36="转换转入"),F36&gt;=E36)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36="买入",B36="定投",B36="转换转入"),ABS(E36-F36-C36*D36)&gt;持仓总览!$H$6),"买入金额与份额净值不符",IF(AND(B36="卖出",ABS(E36+F36-C36*D36)&gt;持仓总览!$H$6),"到账加费用与赎回市值不符","已计入"))))))))))))))))))))))))))</f>
        <v>已计入</v>
      </c>
      <c r="J36" s="11">
        <f t="shared" si="0"/>
        <v>20.86</v>
      </c>
      <c r="K36" s="11">
        <f t="shared" si="5"/>
        <v>17933.64</v>
      </c>
      <c r="L36" s="11">
        <f t="shared" si="6"/>
        <v>42872.45</v>
      </c>
      <c r="M36" s="11">
        <f t="shared" si="7"/>
        <v>0</v>
      </c>
      <c r="N36" s="11">
        <f>IF(I36="已计入",IF(AND(B36="卖出",持仓总览!$C$7="本金优先"),MAX(0,E36-Q35),IF(OR(B36="卖出",B36="现金分红"),MIN(E36,M36),0)),"")</f>
        <v>0</v>
      </c>
      <c r="O36" s="11">
        <f t="shared" si="8"/>
        <v>0</v>
      </c>
      <c r="P36" s="11">
        <f t="shared" si="9"/>
        <v>0</v>
      </c>
      <c r="Q36" s="11">
        <f t="shared" si="10"/>
        <v>35846.01</v>
      </c>
      <c r="R36" s="11">
        <f t="shared" si="1"/>
        <v>42922.37</v>
      </c>
      <c r="S36" s="11">
        <f t="shared" si="2"/>
        <v>7076.36</v>
      </c>
      <c r="T36" s="12">
        <f t="shared" si="3"/>
        <v>0.197409976731022</v>
      </c>
      <c r="U36" s="11">
        <f t="shared" si="11"/>
        <v>35846.01</v>
      </c>
      <c r="V36" s="11">
        <f t="shared" si="12"/>
        <v>0</v>
      </c>
      <c r="W36" s="11">
        <f t="shared" si="13"/>
        <v>0</v>
      </c>
      <c r="X36" s="11">
        <f t="shared" si="14"/>
        <v>0</v>
      </c>
      <c r="Y36" s="11">
        <f t="shared" si="4"/>
        <v>7076.36</v>
      </c>
      <c r="Z36" s="13">
        <f t="shared" si="15"/>
        <v>46097</v>
      </c>
      <c r="AA36" s="10" t="str">
        <f t="shared" si="16"/>
        <v>正常</v>
      </c>
      <c r="AB36" s="14">
        <f t="shared" si="17"/>
        <v>2.3934</v>
      </c>
    </row>
    <row r="37" ht="38" customHeight="1" spans="1:28">
      <c r="A37" s="5">
        <v>46098</v>
      </c>
      <c r="B37" s="6" t="s">
        <v>90</v>
      </c>
      <c r="C37" s="7">
        <v>2.3788</v>
      </c>
      <c r="D37" s="8">
        <v>20.99</v>
      </c>
      <c r="E37" s="8">
        <v>50</v>
      </c>
      <c r="F37" s="8">
        <v>0.08</v>
      </c>
      <c r="G37" s="6" t="s">
        <v>81</v>
      </c>
      <c r="H37" s="9" t="s">
        <v>114</v>
      </c>
      <c r="I37" s="10" t="str">
        <f>IF(COUNTA(A37:H37)=0,"",IF(OR(OR(OR(G37="撤单",G37="交易失败",G37="交易关闭"),G37="交易失败",G37="交易关闭"),G37="交易失败",G37="交易关闭"),"已排除",IF(G37="待确认","待确认",IF(NOT(OR(G37="已确认",G37="历史估算")),"请选择确认状态",IF(NOT(ISNUMBER(A37)),"缺少有效净值日期",IF(OR(A37&lt;=0,A37&lt;&gt;INT(A37)),"净值日期无效",IF(NOT(OR(OR(B37="买入",B37="定投",B37="转换转入"),B37="卖出",B37="现金分红",B37="红利再投")),"请选择交易类型",IF(NOT(ISNUMBER(C37)),"缺少成交净值",IF(C37&lt;=0,"成交净值须大于零",IF(NOT(ISNUMBER(D37)),"缺少确认份额（分红填0）",IF(NOT(ISNUMBER(E37)),"缺少确认金额（再投填0）",IF(NOT(ISNUMBER(F37)),"缺少手续费（无费用填0）",IF(OR(D37&lt;0,E37&lt;0,F37&lt;0),"份额金额费用不能为负",IF(AA36="错误","前行待修正",IF(A37&lt;Z36,"日期需按成交顺序递增",IF(AND(B37="现金分红",OR(D37&lt;&gt;0,E37&lt;=0,F37&lt;&gt;0)),"分红填份额0、费用0、正金额",IF(AND(B37="红利再投",OR(D37&lt;=0,E37&lt;&gt;0,F37&lt;&gt;0)),"再投填正份额、金额0、费用0",IF(AND(OR(B37="现金分红",B37="红利再投"),K36&lt;=0),"分红或再投前须有持仓",IF(AND(OR(OR(B37="买入",B37="定投",B37="转换转入"),B37="卖出"),OR(D37&lt;=0,E37&lt;=0)),"买卖须填正份额、正金额",IF(AND(B37="卖出",D37&gt;K36+0.000001),"卖出份额超过持仓",IF(AND(OR(B37="买入",B37="定投",B37="转换转入"),F37&gt;=E37)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37="买入",B37="定投",B37="转换转入"),ABS(E37-F37-C37*D37)&gt;持仓总览!$H$6),"买入金额与份额净值不符",IF(AND(B37="卖出",ABS(E37+F37-C37*D37)&gt;持仓总览!$H$6),"到账加费用与赎回市值不符","已计入"))))))))))))))))))))))))))</f>
        <v>已计入</v>
      </c>
      <c r="J37" s="11">
        <f t="shared" si="0"/>
        <v>20.99</v>
      </c>
      <c r="K37" s="11">
        <f t="shared" si="5"/>
        <v>17954.63</v>
      </c>
      <c r="L37" s="11">
        <f t="shared" si="6"/>
        <v>42660.54</v>
      </c>
      <c r="M37" s="11">
        <f t="shared" si="7"/>
        <v>0</v>
      </c>
      <c r="N37" s="11">
        <f>IF(I37="已计入",IF(AND(B37="卖出",持仓总览!$C$7="本金优先"),MAX(0,E37-Q36),IF(OR(B37="卖出",B37="现金分红"),MIN(E37,M37),0)),"")</f>
        <v>0</v>
      </c>
      <c r="O37" s="11">
        <f t="shared" si="8"/>
        <v>0</v>
      </c>
      <c r="P37" s="11">
        <f t="shared" si="9"/>
        <v>0</v>
      </c>
      <c r="Q37" s="11">
        <f t="shared" si="10"/>
        <v>35896.01</v>
      </c>
      <c r="R37" s="11">
        <f t="shared" si="1"/>
        <v>42710.47</v>
      </c>
      <c r="S37" s="11">
        <f t="shared" si="2"/>
        <v>6814.46</v>
      </c>
      <c r="T37" s="12">
        <f t="shared" si="3"/>
        <v>0.18983892638764</v>
      </c>
      <c r="U37" s="11">
        <f t="shared" si="11"/>
        <v>35896.01</v>
      </c>
      <c r="V37" s="11">
        <f t="shared" si="12"/>
        <v>0</v>
      </c>
      <c r="W37" s="11">
        <f t="shared" si="13"/>
        <v>0</v>
      </c>
      <c r="X37" s="11">
        <f t="shared" si="14"/>
        <v>0</v>
      </c>
      <c r="Y37" s="11">
        <f t="shared" si="4"/>
        <v>6814.46</v>
      </c>
      <c r="Z37" s="13">
        <f t="shared" si="15"/>
        <v>46098</v>
      </c>
      <c r="AA37" s="10" t="str">
        <f t="shared" si="16"/>
        <v>正常</v>
      </c>
      <c r="AB37" s="14">
        <f t="shared" si="17"/>
        <v>2.3788</v>
      </c>
    </row>
    <row r="38" ht="38" customHeight="1" spans="1:28">
      <c r="A38" s="5">
        <v>46099</v>
      </c>
      <c r="B38" s="6" t="s">
        <v>90</v>
      </c>
      <c r="C38" s="7">
        <v>2.4235</v>
      </c>
      <c r="D38" s="8">
        <v>20.6</v>
      </c>
      <c r="E38" s="8">
        <v>50</v>
      </c>
      <c r="F38" s="8">
        <v>0.08</v>
      </c>
      <c r="G38" s="6" t="s">
        <v>81</v>
      </c>
      <c r="H38" s="9" t="s">
        <v>115</v>
      </c>
      <c r="I38" s="10" t="str">
        <f>IF(COUNTA(A38:H38)=0,"",IF(OR(OR(OR(G38="撤单",G38="交易失败",G38="交易关闭"),G38="交易失败",G38="交易关闭"),G38="交易失败",G38="交易关闭"),"已排除",IF(G38="待确认","待确认",IF(NOT(OR(G38="已确认",G38="历史估算")),"请选择确认状态",IF(NOT(ISNUMBER(A38)),"缺少有效净值日期",IF(OR(A38&lt;=0,A38&lt;&gt;INT(A38)),"净值日期无效",IF(NOT(OR(OR(B38="买入",B38="定投",B38="转换转入"),B38="卖出",B38="现金分红",B38="红利再投")),"请选择交易类型",IF(NOT(ISNUMBER(C38)),"缺少成交净值",IF(C38&lt;=0,"成交净值须大于零",IF(NOT(ISNUMBER(D38)),"缺少确认份额（分红填0）",IF(NOT(ISNUMBER(E38)),"缺少确认金额（再投填0）",IF(NOT(ISNUMBER(F38)),"缺少手续费（无费用填0）",IF(OR(D38&lt;0,E38&lt;0,F38&lt;0),"份额金额费用不能为负",IF(AA37="错误","前行待修正",IF(A38&lt;Z37,"日期需按成交顺序递增",IF(AND(B38="现金分红",OR(D38&lt;&gt;0,E38&lt;=0,F38&lt;&gt;0)),"分红填份额0、费用0、正金额",IF(AND(B38="红利再投",OR(D38&lt;=0,E38&lt;&gt;0,F38&lt;&gt;0)),"再投填正份额、金额0、费用0",IF(AND(OR(B38="现金分红",B38="红利再投"),K37&lt;=0),"分红或再投前须有持仓",IF(AND(OR(OR(B38="买入",B38="定投",B38="转换转入"),B38="卖出"),OR(D38&lt;=0,E38&lt;=0)),"买卖须填正份额、正金额",IF(AND(B38="卖出",D38&gt;K37+0.000001),"卖出份额超过持仓",IF(AND(OR(B38="买入",B38="定投",B38="转换转入"),F38&gt;=E38)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38="买入",B38="定投",B38="转换转入"),ABS(E38-F38-C38*D38)&gt;持仓总览!$H$6),"买入金额与份额净值不符",IF(AND(B38="卖出",ABS(E38+F38-C38*D38)&gt;持仓总览!$H$6),"到账加费用与赎回市值不符","已计入"))))))))))))))))))))))))))</f>
        <v>已计入</v>
      </c>
      <c r="J38" s="11">
        <f t="shared" si="0"/>
        <v>20.6</v>
      </c>
      <c r="K38" s="11">
        <f t="shared" si="5"/>
        <v>17975.23</v>
      </c>
      <c r="L38" s="11">
        <f t="shared" si="6"/>
        <v>43513.05</v>
      </c>
      <c r="M38" s="11">
        <f t="shared" si="7"/>
        <v>0</v>
      </c>
      <c r="N38" s="11">
        <f>IF(I38="已计入",IF(AND(B38="卖出",持仓总览!$C$7="本金优先"),MAX(0,E38-Q37),IF(OR(B38="卖出",B38="现金分红"),MIN(E38,M38),0)),"")</f>
        <v>0</v>
      </c>
      <c r="O38" s="11">
        <f t="shared" si="8"/>
        <v>0</v>
      </c>
      <c r="P38" s="11">
        <f t="shared" si="9"/>
        <v>0</v>
      </c>
      <c r="Q38" s="11">
        <f t="shared" si="10"/>
        <v>35946.01</v>
      </c>
      <c r="R38" s="11">
        <f t="shared" si="1"/>
        <v>43562.97</v>
      </c>
      <c r="S38" s="11">
        <f t="shared" si="2"/>
        <v>7616.96</v>
      </c>
      <c r="T38" s="12">
        <f t="shared" si="3"/>
        <v>0.211900013381179</v>
      </c>
      <c r="U38" s="11">
        <f t="shared" si="11"/>
        <v>35946.01</v>
      </c>
      <c r="V38" s="11">
        <f t="shared" si="12"/>
        <v>0</v>
      </c>
      <c r="W38" s="11">
        <f t="shared" si="13"/>
        <v>0</v>
      </c>
      <c r="X38" s="11">
        <f t="shared" si="14"/>
        <v>0</v>
      </c>
      <c r="Y38" s="11">
        <f t="shared" si="4"/>
        <v>7616.96</v>
      </c>
      <c r="Z38" s="13">
        <f t="shared" si="15"/>
        <v>46099</v>
      </c>
      <c r="AA38" s="10" t="str">
        <f t="shared" si="16"/>
        <v>正常</v>
      </c>
      <c r="AB38" s="14">
        <f t="shared" si="17"/>
        <v>2.4235</v>
      </c>
    </row>
    <row r="39" ht="38" customHeight="1" spans="1:28">
      <c r="A39" s="5">
        <v>46100</v>
      </c>
      <c r="B39" s="6" t="s">
        <v>90</v>
      </c>
      <c r="C39" s="7">
        <v>2.4562</v>
      </c>
      <c r="D39" s="8">
        <v>20.32</v>
      </c>
      <c r="E39" s="8">
        <v>50</v>
      </c>
      <c r="F39" s="8">
        <v>0.08</v>
      </c>
      <c r="G39" s="6" t="s">
        <v>81</v>
      </c>
      <c r="H39" s="9" t="s">
        <v>116</v>
      </c>
      <c r="I39" s="10" t="str">
        <f>IF(COUNTA(A39:H39)=0,"",IF(OR(OR(OR(G39="撤单",G39="交易失败",G39="交易关闭"),G39="交易失败",G39="交易关闭"),G39="交易失败",G39="交易关闭"),"已排除",IF(G39="待确认","待确认",IF(NOT(OR(G39="已确认",G39="历史估算")),"请选择确认状态",IF(NOT(ISNUMBER(A39)),"缺少有效净值日期",IF(OR(A39&lt;=0,A39&lt;&gt;INT(A39)),"净值日期无效",IF(NOT(OR(OR(B39="买入",B39="定投",B39="转换转入"),B39="卖出",B39="现金分红",B39="红利再投")),"请选择交易类型",IF(NOT(ISNUMBER(C39)),"缺少成交净值",IF(C39&lt;=0,"成交净值须大于零",IF(NOT(ISNUMBER(D39)),"缺少确认份额（分红填0）",IF(NOT(ISNUMBER(E39)),"缺少确认金额（再投填0）",IF(NOT(ISNUMBER(F39)),"缺少手续费（无费用填0）",IF(OR(D39&lt;0,E39&lt;0,F39&lt;0),"份额金额费用不能为负",IF(AA38="错误","前行待修正",IF(A39&lt;Z38,"日期需按成交顺序递增",IF(AND(B39="现金分红",OR(D39&lt;&gt;0,E39&lt;=0,F39&lt;&gt;0)),"分红填份额0、费用0、正金额",IF(AND(B39="红利再投",OR(D39&lt;=0,E39&lt;&gt;0,F39&lt;&gt;0)),"再投填正份额、金额0、费用0",IF(AND(OR(B39="现金分红",B39="红利再投"),K38&lt;=0),"分红或再投前须有持仓",IF(AND(OR(OR(B39="买入",B39="定投",B39="转换转入"),B39="卖出"),OR(D39&lt;=0,E39&lt;=0)),"买卖须填正份额、正金额",IF(AND(B39="卖出",D39&gt;K38+0.000001),"卖出份额超过持仓",IF(AND(OR(B39="买入",B39="定投",B39="转换转入"),F39&gt;=E39)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39="买入",B39="定投",B39="转换转入"),ABS(E39-F39-C39*D39)&gt;持仓总览!$H$6),"买入金额与份额净值不符",IF(AND(B39="卖出",ABS(E39+F39-C39*D39)&gt;持仓总览!$H$6),"到账加费用与赎回市值不符","已计入"))))))))))))))))))))))))))</f>
        <v>已计入</v>
      </c>
      <c r="J39" s="11">
        <f t="shared" si="0"/>
        <v>20.32</v>
      </c>
      <c r="K39" s="11">
        <f t="shared" si="5"/>
        <v>17995.55</v>
      </c>
      <c r="L39" s="11">
        <f t="shared" si="6"/>
        <v>44150.76</v>
      </c>
      <c r="M39" s="11">
        <f t="shared" si="7"/>
        <v>0</v>
      </c>
      <c r="N39" s="11">
        <f>IF(I39="已计入",IF(AND(B39="卖出",持仓总览!$C$7="本金优先"),MAX(0,E39-Q38),IF(OR(B39="卖出",B39="现金分红"),MIN(E39,M39),0)),"")</f>
        <v>0</v>
      </c>
      <c r="O39" s="11">
        <f t="shared" si="8"/>
        <v>0</v>
      </c>
      <c r="P39" s="11">
        <f t="shared" si="9"/>
        <v>0</v>
      </c>
      <c r="Q39" s="11">
        <f t="shared" si="10"/>
        <v>35996.01</v>
      </c>
      <c r="R39" s="11">
        <f t="shared" si="1"/>
        <v>44200.67</v>
      </c>
      <c r="S39" s="11">
        <f t="shared" si="2"/>
        <v>8204.66</v>
      </c>
      <c r="T39" s="12">
        <f t="shared" si="3"/>
        <v>0.227932484739281</v>
      </c>
      <c r="U39" s="11">
        <f t="shared" si="11"/>
        <v>35996.01</v>
      </c>
      <c r="V39" s="11">
        <f t="shared" si="12"/>
        <v>0</v>
      </c>
      <c r="W39" s="11">
        <f t="shared" si="13"/>
        <v>0</v>
      </c>
      <c r="X39" s="11">
        <f t="shared" si="14"/>
        <v>0</v>
      </c>
      <c r="Y39" s="11">
        <f t="shared" si="4"/>
        <v>8204.66</v>
      </c>
      <c r="Z39" s="13">
        <f t="shared" si="15"/>
        <v>46100</v>
      </c>
      <c r="AA39" s="10" t="str">
        <f t="shared" si="16"/>
        <v>正常</v>
      </c>
      <c r="AB39" s="14">
        <f t="shared" si="17"/>
        <v>2.4562</v>
      </c>
    </row>
    <row r="40" ht="38" customHeight="1" spans="1:28">
      <c r="A40" s="5">
        <v>46101</v>
      </c>
      <c r="B40" s="6" t="s">
        <v>90</v>
      </c>
      <c r="C40" s="7">
        <v>2.3708</v>
      </c>
      <c r="D40" s="8">
        <v>21.06</v>
      </c>
      <c r="E40" s="8">
        <v>50</v>
      </c>
      <c r="F40" s="8">
        <v>0.08</v>
      </c>
      <c r="G40" s="6" t="s">
        <v>81</v>
      </c>
      <c r="H40" s="9" t="s">
        <v>117</v>
      </c>
      <c r="I40" s="10" t="str">
        <f>IF(COUNTA(A40:H40)=0,"",IF(OR(OR(OR(G40="撤单",G40="交易失败",G40="交易关闭"),G40="交易失败",G40="交易关闭"),G40="交易失败",G40="交易关闭"),"已排除",IF(G40="待确认","待确认",IF(NOT(OR(G40="已确认",G40="历史估算")),"请选择确认状态",IF(NOT(ISNUMBER(A40)),"缺少有效净值日期",IF(OR(A40&lt;=0,A40&lt;&gt;INT(A40)),"净值日期无效",IF(NOT(OR(OR(B40="买入",B40="定投",B40="转换转入"),B40="卖出",B40="现金分红",B40="红利再投")),"请选择交易类型",IF(NOT(ISNUMBER(C40)),"缺少成交净值",IF(C40&lt;=0,"成交净值须大于零",IF(NOT(ISNUMBER(D40)),"缺少确认份额（分红填0）",IF(NOT(ISNUMBER(E40)),"缺少确认金额（再投填0）",IF(NOT(ISNUMBER(F40)),"缺少手续费（无费用填0）",IF(OR(D40&lt;0,E40&lt;0,F40&lt;0),"份额金额费用不能为负",IF(AA39="错误","前行待修正",IF(A40&lt;Z39,"日期需按成交顺序递增",IF(AND(B40="现金分红",OR(D40&lt;&gt;0,E40&lt;=0,F40&lt;&gt;0)),"分红填份额0、费用0、正金额",IF(AND(B40="红利再投",OR(D40&lt;=0,E40&lt;&gt;0,F40&lt;&gt;0)),"再投填正份额、金额0、费用0",IF(AND(OR(B40="现金分红",B40="红利再投"),K39&lt;=0),"分红或再投前须有持仓",IF(AND(OR(OR(B40="买入",B40="定投",B40="转换转入"),B40="卖出"),OR(D40&lt;=0,E40&lt;=0)),"买卖须填正份额、正金额",IF(AND(B40="卖出",D40&gt;K39+0.000001),"卖出份额超过持仓",IF(AND(OR(B40="买入",B40="定投",B40="转换转入"),F40&gt;=E40)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40="买入",B40="定投",B40="转换转入"),ABS(E40-F40-C40*D40)&gt;持仓总览!$H$6),"买入金额与份额净值不符",IF(AND(B40="卖出",ABS(E40+F40-C40*D40)&gt;持仓总览!$H$6),"到账加费用与赎回市值不符","已计入"))))))))))))))))))))))))))</f>
        <v>已计入</v>
      </c>
      <c r="J40" s="11">
        <f t="shared" si="0"/>
        <v>21.06</v>
      </c>
      <c r="K40" s="11">
        <f t="shared" si="5"/>
        <v>18016.61</v>
      </c>
      <c r="L40" s="11">
        <f t="shared" si="6"/>
        <v>42663.85</v>
      </c>
      <c r="M40" s="11">
        <f t="shared" si="7"/>
        <v>0</v>
      </c>
      <c r="N40" s="11">
        <f>IF(I40="已计入",IF(AND(B40="卖出",持仓总览!$C$7="本金优先"),MAX(0,E40-Q39),IF(OR(B40="卖出",B40="现金分红"),MIN(E40,M40),0)),"")</f>
        <v>0</v>
      </c>
      <c r="O40" s="11">
        <f t="shared" si="8"/>
        <v>0</v>
      </c>
      <c r="P40" s="11">
        <f t="shared" si="9"/>
        <v>0</v>
      </c>
      <c r="Q40" s="11">
        <f t="shared" si="10"/>
        <v>36046.01</v>
      </c>
      <c r="R40" s="11">
        <f t="shared" si="1"/>
        <v>42713.78</v>
      </c>
      <c r="S40" s="11">
        <f t="shared" si="2"/>
        <v>6667.77</v>
      </c>
      <c r="T40" s="12">
        <f t="shared" si="3"/>
        <v>0.184979419358758</v>
      </c>
      <c r="U40" s="11">
        <f t="shared" si="11"/>
        <v>36046.01</v>
      </c>
      <c r="V40" s="11">
        <f t="shared" si="12"/>
        <v>0</v>
      </c>
      <c r="W40" s="11">
        <f t="shared" si="13"/>
        <v>0</v>
      </c>
      <c r="X40" s="11">
        <f t="shared" si="14"/>
        <v>0</v>
      </c>
      <c r="Y40" s="11">
        <f t="shared" si="4"/>
        <v>6667.77</v>
      </c>
      <c r="Z40" s="13">
        <f t="shared" si="15"/>
        <v>46101</v>
      </c>
      <c r="AA40" s="10" t="str">
        <f t="shared" si="16"/>
        <v>正常</v>
      </c>
      <c r="AB40" s="14">
        <f t="shared" si="17"/>
        <v>2.3708</v>
      </c>
    </row>
    <row r="41" ht="38" customHeight="1" spans="1:28">
      <c r="A41" s="5">
        <v>46104</v>
      </c>
      <c r="B41" s="6" t="s">
        <v>90</v>
      </c>
      <c r="C41" s="7">
        <v>2.3858</v>
      </c>
      <c r="D41" s="8">
        <v>20.92</v>
      </c>
      <c r="E41" s="8">
        <v>50</v>
      </c>
      <c r="F41" s="8">
        <v>0.08</v>
      </c>
      <c r="G41" s="6" t="s">
        <v>81</v>
      </c>
      <c r="H41" s="9" t="s">
        <v>118</v>
      </c>
      <c r="I41" s="10" t="str">
        <f>IF(COUNTA(A41:H41)=0,"",IF(OR(OR(OR(G41="撤单",G41="交易失败",G41="交易关闭"),G41="交易失败",G41="交易关闭"),G41="交易失败",G41="交易关闭"),"已排除",IF(G41="待确认","待确认",IF(NOT(OR(G41="已确认",G41="历史估算")),"请选择确认状态",IF(NOT(ISNUMBER(A41)),"缺少有效净值日期",IF(OR(A41&lt;=0,A41&lt;&gt;INT(A41)),"净值日期无效",IF(NOT(OR(OR(B41="买入",B41="定投",B41="转换转入"),B41="卖出",B41="现金分红",B41="红利再投")),"请选择交易类型",IF(NOT(ISNUMBER(C41)),"缺少成交净值",IF(C41&lt;=0,"成交净值须大于零",IF(NOT(ISNUMBER(D41)),"缺少确认份额（分红填0）",IF(NOT(ISNUMBER(E41)),"缺少确认金额（再投填0）",IF(NOT(ISNUMBER(F41)),"缺少手续费（无费用填0）",IF(OR(D41&lt;0,E41&lt;0,F41&lt;0),"份额金额费用不能为负",IF(AA40="错误","前行待修正",IF(A41&lt;Z40,"日期需按成交顺序递增",IF(AND(B41="现金分红",OR(D41&lt;&gt;0,E41&lt;=0,F41&lt;&gt;0)),"分红填份额0、费用0、正金额",IF(AND(B41="红利再投",OR(D41&lt;=0,E41&lt;&gt;0,F41&lt;&gt;0)),"再投填正份额、金额0、费用0",IF(AND(OR(B41="现金分红",B41="红利再投"),K40&lt;=0),"分红或再投前须有持仓",IF(AND(OR(OR(B41="买入",B41="定投",B41="转换转入"),B41="卖出"),OR(D41&lt;=0,E41&lt;=0)),"买卖须填正份额、正金额",IF(AND(B41="卖出",D41&gt;K40+0.000001),"卖出份额超过持仓",IF(AND(OR(B41="买入",B41="定投",B41="转换转入"),F41&gt;=E41)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41="买入",B41="定投",B41="转换转入"),ABS(E41-F41-C41*D41)&gt;持仓总览!$H$6),"买入金额与份额净值不符",IF(AND(B41="卖出",ABS(E41+F41-C41*D41)&gt;持仓总览!$H$6),"到账加费用与赎回市值不符","已计入"))))))))))))))))))))))))))</f>
        <v>已计入</v>
      </c>
      <c r="J41" s="11">
        <f t="shared" si="0"/>
        <v>20.92</v>
      </c>
      <c r="K41" s="11">
        <f t="shared" si="5"/>
        <v>18037.53</v>
      </c>
      <c r="L41" s="11">
        <f t="shared" si="6"/>
        <v>42984.03</v>
      </c>
      <c r="M41" s="11">
        <f t="shared" si="7"/>
        <v>0</v>
      </c>
      <c r="N41" s="11">
        <f>IF(I41="已计入",IF(AND(B41="卖出",持仓总览!$C$7="本金优先"),MAX(0,E41-Q40),IF(OR(B41="卖出",B41="现金分红"),MIN(E41,M41),0)),"")</f>
        <v>0</v>
      </c>
      <c r="O41" s="11">
        <f t="shared" si="8"/>
        <v>0</v>
      </c>
      <c r="P41" s="11">
        <f t="shared" si="9"/>
        <v>0</v>
      </c>
      <c r="Q41" s="11">
        <f t="shared" si="10"/>
        <v>36096.01</v>
      </c>
      <c r="R41" s="11">
        <f t="shared" si="1"/>
        <v>43033.94</v>
      </c>
      <c r="S41" s="11">
        <f t="shared" si="2"/>
        <v>6937.93</v>
      </c>
      <c r="T41" s="12">
        <f t="shared" si="3"/>
        <v>0.192207670598496</v>
      </c>
      <c r="U41" s="11">
        <f t="shared" si="11"/>
        <v>36096.01</v>
      </c>
      <c r="V41" s="11">
        <f t="shared" si="12"/>
        <v>0</v>
      </c>
      <c r="W41" s="11">
        <f t="shared" si="13"/>
        <v>0</v>
      </c>
      <c r="X41" s="11">
        <f t="shared" si="14"/>
        <v>0</v>
      </c>
      <c r="Y41" s="11">
        <f t="shared" si="4"/>
        <v>6937.93</v>
      </c>
      <c r="Z41" s="13">
        <f t="shared" si="15"/>
        <v>46104</v>
      </c>
      <c r="AA41" s="10" t="str">
        <f t="shared" si="16"/>
        <v>正常</v>
      </c>
      <c r="AB41" s="14">
        <f t="shared" si="17"/>
        <v>2.3858</v>
      </c>
    </row>
    <row r="42" ht="38" customHeight="1" spans="1:28">
      <c r="A42" s="5">
        <v>46105</v>
      </c>
      <c r="B42" s="6" t="s">
        <v>90</v>
      </c>
      <c r="C42" s="7">
        <v>2.4664</v>
      </c>
      <c r="D42" s="8">
        <v>20.24</v>
      </c>
      <c r="E42" s="8">
        <v>50</v>
      </c>
      <c r="F42" s="8">
        <v>0.08</v>
      </c>
      <c r="G42" s="6" t="s">
        <v>81</v>
      </c>
      <c r="H42" s="9" t="s">
        <v>119</v>
      </c>
      <c r="I42" s="10" t="str">
        <f>IF(COUNTA(A42:H42)=0,"",IF(OR(OR(OR(G42="撤单",G42="交易失败",G42="交易关闭"),G42="交易失败",G42="交易关闭"),G42="交易失败",G42="交易关闭"),"已排除",IF(G42="待确认","待确认",IF(NOT(OR(G42="已确认",G42="历史估算")),"请选择确认状态",IF(NOT(ISNUMBER(A42)),"缺少有效净值日期",IF(OR(A42&lt;=0,A42&lt;&gt;INT(A42)),"净值日期无效",IF(NOT(OR(OR(B42="买入",B42="定投",B42="转换转入"),B42="卖出",B42="现金分红",B42="红利再投")),"请选择交易类型",IF(NOT(ISNUMBER(C42)),"缺少成交净值",IF(C42&lt;=0,"成交净值须大于零",IF(NOT(ISNUMBER(D42)),"缺少确认份额（分红填0）",IF(NOT(ISNUMBER(E42)),"缺少确认金额（再投填0）",IF(NOT(ISNUMBER(F42)),"缺少手续费（无费用填0）",IF(OR(D42&lt;0,E42&lt;0,F42&lt;0),"份额金额费用不能为负",IF(AA41="错误","前行待修正",IF(A42&lt;Z41,"日期需按成交顺序递增",IF(AND(B42="现金分红",OR(D42&lt;&gt;0,E42&lt;=0,F42&lt;&gt;0)),"分红填份额0、费用0、正金额",IF(AND(B42="红利再投",OR(D42&lt;=0,E42&lt;&gt;0,F42&lt;&gt;0)),"再投填正份额、金额0、费用0",IF(AND(OR(B42="现金分红",B42="红利再投"),K41&lt;=0),"分红或再投前须有持仓",IF(AND(OR(OR(B42="买入",B42="定投",B42="转换转入"),B42="卖出"),OR(D42&lt;=0,E42&lt;=0)),"买卖须填正份额、正金额",IF(AND(B42="卖出",D42&gt;K41+0.000001),"卖出份额超过持仓",IF(AND(OR(B42="买入",B42="定投",B42="转换转入"),F42&gt;=E42)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42="买入",B42="定投",B42="转换转入"),ABS(E42-F42-C42*D42)&gt;持仓总览!$H$6),"买入金额与份额净值不符",IF(AND(B42="卖出",ABS(E42+F42-C42*D42)&gt;持仓总览!$H$6),"到账加费用与赎回市值不符","已计入"))))))))))))))))))))))))))</f>
        <v>已计入</v>
      </c>
      <c r="J42" s="11">
        <f t="shared" si="0"/>
        <v>20.24</v>
      </c>
      <c r="K42" s="11">
        <f t="shared" si="5"/>
        <v>18057.77</v>
      </c>
      <c r="L42" s="11">
        <f t="shared" si="6"/>
        <v>44487.76</v>
      </c>
      <c r="M42" s="11">
        <f t="shared" si="7"/>
        <v>0</v>
      </c>
      <c r="N42" s="11">
        <f>IF(I42="已计入",IF(AND(B42="卖出",持仓总览!$C$7="本金优先"),MAX(0,E42-Q41),IF(OR(B42="卖出",B42="现金分红"),MIN(E42,M42),0)),"")</f>
        <v>0</v>
      </c>
      <c r="O42" s="11">
        <f t="shared" si="8"/>
        <v>0</v>
      </c>
      <c r="P42" s="11">
        <f t="shared" si="9"/>
        <v>0</v>
      </c>
      <c r="Q42" s="11">
        <f t="shared" si="10"/>
        <v>36146.01</v>
      </c>
      <c r="R42" s="11">
        <f t="shared" si="1"/>
        <v>44537.68</v>
      </c>
      <c r="S42" s="11">
        <f t="shared" si="2"/>
        <v>8391.67</v>
      </c>
      <c r="T42" s="12">
        <f t="shared" si="3"/>
        <v>0.232160340795568</v>
      </c>
      <c r="U42" s="11">
        <f t="shared" si="11"/>
        <v>36146.01</v>
      </c>
      <c r="V42" s="11">
        <f t="shared" si="12"/>
        <v>0</v>
      </c>
      <c r="W42" s="11">
        <f t="shared" si="13"/>
        <v>0</v>
      </c>
      <c r="X42" s="11">
        <f t="shared" si="14"/>
        <v>0</v>
      </c>
      <c r="Y42" s="11">
        <f t="shared" si="4"/>
        <v>8391.67</v>
      </c>
      <c r="Z42" s="13">
        <f t="shared" si="15"/>
        <v>46105</v>
      </c>
      <c r="AA42" s="10" t="str">
        <f t="shared" si="16"/>
        <v>正常</v>
      </c>
      <c r="AB42" s="14">
        <f t="shared" si="17"/>
        <v>2.4664</v>
      </c>
    </row>
    <row r="43" ht="38" customHeight="1" spans="1:28">
      <c r="A43" s="5">
        <v>46106</v>
      </c>
      <c r="B43" s="6" t="s">
        <v>90</v>
      </c>
      <c r="C43" s="7">
        <v>2.4873</v>
      </c>
      <c r="D43" s="8">
        <v>20.07</v>
      </c>
      <c r="E43" s="8">
        <v>50</v>
      </c>
      <c r="F43" s="8">
        <v>0.08</v>
      </c>
      <c r="G43" s="6" t="s">
        <v>81</v>
      </c>
      <c r="H43" s="9" t="s">
        <v>120</v>
      </c>
      <c r="I43" s="10" t="str">
        <f>IF(COUNTA(A43:H43)=0,"",IF(OR(OR(OR(G43="撤单",G43="交易失败",G43="交易关闭"),G43="交易失败",G43="交易关闭"),G43="交易失败",G43="交易关闭"),"已排除",IF(G43="待确认","待确认",IF(NOT(OR(G43="已确认",G43="历史估算")),"请选择确认状态",IF(NOT(ISNUMBER(A43)),"缺少有效净值日期",IF(OR(A43&lt;=0,A43&lt;&gt;INT(A43)),"净值日期无效",IF(NOT(OR(OR(B43="买入",B43="定投",B43="转换转入"),B43="卖出",B43="现金分红",B43="红利再投")),"请选择交易类型",IF(NOT(ISNUMBER(C43)),"缺少成交净值",IF(C43&lt;=0,"成交净值须大于零",IF(NOT(ISNUMBER(D43)),"缺少确认份额（分红填0）",IF(NOT(ISNUMBER(E43)),"缺少确认金额（再投填0）",IF(NOT(ISNUMBER(F43)),"缺少手续费（无费用填0）",IF(OR(D43&lt;0,E43&lt;0,F43&lt;0),"份额金额费用不能为负",IF(AA42="错误","前行待修正",IF(A43&lt;Z42,"日期需按成交顺序递增",IF(AND(B43="现金分红",OR(D43&lt;&gt;0,E43&lt;=0,F43&lt;&gt;0)),"分红填份额0、费用0、正金额",IF(AND(B43="红利再投",OR(D43&lt;=0,E43&lt;&gt;0,F43&lt;&gt;0)),"再投填正份额、金额0、费用0",IF(AND(OR(B43="现金分红",B43="红利再投"),K42&lt;=0),"分红或再投前须有持仓",IF(AND(OR(OR(B43="买入",B43="定投",B43="转换转入"),B43="卖出"),OR(D43&lt;=0,E43&lt;=0)),"买卖须填正份额、正金额",IF(AND(B43="卖出",D43&gt;K42+0.000001),"卖出份额超过持仓",IF(AND(OR(B43="买入",B43="定投",B43="转换转入"),F43&gt;=E43)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43="买入",B43="定投",B43="转换转入"),ABS(E43-F43-C43*D43)&gt;持仓总览!$H$6),"买入金额与份额净值不符",IF(AND(B43="卖出",ABS(E43+F43-C43*D43)&gt;持仓总览!$H$6),"到账加费用与赎回市值不符","已计入"))))))))))))))))))))))))))</f>
        <v>已计入</v>
      </c>
      <c r="J43" s="11">
        <f t="shared" si="0"/>
        <v>20.07</v>
      </c>
      <c r="K43" s="11">
        <f t="shared" si="5"/>
        <v>18077.84</v>
      </c>
      <c r="L43" s="11">
        <f t="shared" si="6"/>
        <v>44915.09</v>
      </c>
      <c r="M43" s="11">
        <f t="shared" si="7"/>
        <v>0</v>
      </c>
      <c r="N43" s="11">
        <f>IF(I43="已计入",IF(AND(B43="卖出",持仓总览!$C$7="本金优先"),MAX(0,E43-Q42),IF(OR(B43="卖出",B43="现金分红"),MIN(E43,M43),0)),"")</f>
        <v>0</v>
      </c>
      <c r="O43" s="11">
        <f t="shared" si="8"/>
        <v>0</v>
      </c>
      <c r="P43" s="11">
        <f t="shared" si="9"/>
        <v>0</v>
      </c>
      <c r="Q43" s="11">
        <f t="shared" si="10"/>
        <v>36196.01</v>
      </c>
      <c r="R43" s="11">
        <f t="shared" si="1"/>
        <v>44965.01</v>
      </c>
      <c r="S43" s="11">
        <f t="shared" si="2"/>
        <v>8769</v>
      </c>
      <c r="T43" s="12">
        <f t="shared" si="3"/>
        <v>0.242264271669723</v>
      </c>
      <c r="U43" s="11">
        <f t="shared" si="11"/>
        <v>36196.01</v>
      </c>
      <c r="V43" s="11">
        <f t="shared" si="12"/>
        <v>0</v>
      </c>
      <c r="W43" s="11">
        <f t="shared" si="13"/>
        <v>0</v>
      </c>
      <c r="X43" s="11">
        <f t="shared" si="14"/>
        <v>0</v>
      </c>
      <c r="Y43" s="11">
        <f t="shared" si="4"/>
        <v>8769</v>
      </c>
      <c r="Z43" s="13">
        <f t="shared" si="15"/>
        <v>46106</v>
      </c>
      <c r="AA43" s="10" t="str">
        <f t="shared" si="16"/>
        <v>正常</v>
      </c>
      <c r="AB43" s="14">
        <f t="shared" si="17"/>
        <v>2.4873</v>
      </c>
    </row>
    <row r="44" ht="38" customHeight="1" spans="1:28">
      <c r="A44" s="5">
        <v>46107</v>
      </c>
      <c r="B44" s="6" t="s">
        <v>90</v>
      </c>
      <c r="C44" s="7">
        <v>2.336</v>
      </c>
      <c r="D44" s="8">
        <v>21.37</v>
      </c>
      <c r="E44" s="8">
        <v>50</v>
      </c>
      <c r="F44" s="8">
        <v>0.08</v>
      </c>
      <c r="G44" s="6" t="s">
        <v>81</v>
      </c>
      <c r="H44" s="9" t="s">
        <v>121</v>
      </c>
      <c r="I44" s="10" t="str">
        <f>IF(COUNTA(A44:H44)=0,"",IF(OR(OR(OR(G44="撤单",G44="交易失败",G44="交易关闭"),G44="交易失败",G44="交易关闭"),G44="交易失败",G44="交易关闭"),"已排除",IF(G44="待确认","待确认",IF(NOT(OR(G44="已确认",G44="历史估算")),"请选择确认状态",IF(NOT(ISNUMBER(A44)),"缺少有效净值日期",IF(OR(A44&lt;=0,A44&lt;&gt;INT(A44)),"净值日期无效",IF(NOT(OR(OR(B44="买入",B44="定投",B44="转换转入"),B44="卖出",B44="现金分红",B44="红利再投")),"请选择交易类型",IF(NOT(ISNUMBER(C44)),"缺少成交净值",IF(C44&lt;=0,"成交净值须大于零",IF(NOT(ISNUMBER(D44)),"缺少确认份额（分红填0）",IF(NOT(ISNUMBER(E44)),"缺少确认金额（再投填0）",IF(NOT(ISNUMBER(F44)),"缺少手续费（无费用填0）",IF(OR(D44&lt;0,E44&lt;0,F44&lt;0),"份额金额费用不能为负",IF(AA43="错误","前行待修正",IF(A44&lt;Z43,"日期需按成交顺序递增",IF(AND(B44="现金分红",OR(D44&lt;&gt;0,E44&lt;=0,F44&lt;&gt;0)),"分红填份额0、费用0、正金额",IF(AND(B44="红利再投",OR(D44&lt;=0,E44&lt;&gt;0,F44&lt;&gt;0)),"再投填正份额、金额0、费用0",IF(AND(OR(B44="现金分红",B44="红利再投"),K43&lt;=0),"分红或再投前须有持仓",IF(AND(OR(OR(B44="买入",B44="定投",B44="转换转入"),B44="卖出"),OR(D44&lt;=0,E44&lt;=0)),"买卖须填正份额、正金额",IF(AND(B44="卖出",D44&gt;K43+0.000001),"卖出份额超过持仓",IF(AND(OR(B44="买入",B44="定投",B44="转换转入"),F44&gt;=E44)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44="买入",B44="定投",B44="转换转入"),ABS(E44-F44-C44*D44)&gt;持仓总览!$H$6),"买入金额与份额净值不符",IF(AND(B44="卖出",ABS(E44+F44-C44*D44)&gt;持仓总览!$H$6),"到账加费用与赎回市值不符","已计入"))))))))))))))))))))))))))</f>
        <v>已计入</v>
      </c>
      <c r="J44" s="11">
        <f t="shared" si="0"/>
        <v>21.37</v>
      </c>
      <c r="K44" s="11">
        <f t="shared" si="5"/>
        <v>18099.21</v>
      </c>
      <c r="L44" s="11">
        <f t="shared" si="6"/>
        <v>42229.83</v>
      </c>
      <c r="M44" s="11">
        <f t="shared" si="7"/>
        <v>0</v>
      </c>
      <c r="N44" s="11">
        <f>IF(I44="已计入",IF(AND(B44="卖出",持仓总览!$C$7="本金优先"),MAX(0,E44-Q43),IF(OR(B44="卖出",B44="现金分红"),MIN(E44,M44),0)),"")</f>
        <v>0</v>
      </c>
      <c r="O44" s="11">
        <f t="shared" si="8"/>
        <v>0</v>
      </c>
      <c r="P44" s="11">
        <f t="shared" si="9"/>
        <v>0</v>
      </c>
      <c r="Q44" s="11">
        <f t="shared" si="10"/>
        <v>36246.01</v>
      </c>
      <c r="R44" s="11">
        <f t="shared" si="1"/>
        <v>42279.75</v>
      </c>
      <c r="S44" s="11">
        <f t="shared" si="2"/>
        <v>6033.74</v>
      </c>
      <c r="T44" s="12">
        <f t="shared" si="3"/>
        <v>0.166466322775941</v>
      </c>
      <c r="U44" s="11">
        <f t="shared" si="11"/>
        <v>36246.01</v>
      </c>
      <c r="V44" s="11">
        <f t="shared" si="12"/>
        <v>0</v>
      </c>
      <c r="W44" s="11">
        <f t="shared" si="13"/>
        <v>0</v>
      </c>
      <c r="X44" s="11">
        <f t="shared" si="14"/>
        <v>0</v>
      </c>
      <c r="Y44" s="11">
        <f t="shared" si="4"/>
        <v>6033.74</v>
      </c>
      <c r="Z44" s="13">
        <f t="shared" si="15"/>
        <v>46107</v>
      </c>
      <c r="AA44" s="10" t="str">
        <f t="shared" si="16"/>
        <v>正常</v>
      </c>
      <c r="AB44" s="14">
        <f t="shared" si="17"/>
        <v>2.336</v>
      </c>
    </row>
    <row r="45" ht="38" customHeight="1" spans="1:28">
      <c r="A45" s="5">
        <v>46108</v>
      </c>
      <c r="B45" s="6" t="s">
        <v>90</v>
      </c>
      <c r="C45" s="7">
        <v>2.3406</v>
      </c>
      <c r="D45" s="8">
        <v>21.33</v>
      </c>
      <c r="E45" s="8">
        <v>50</v>
      </c>
      <c r="F45" s="8">
        <v>0.08</v>
      </c>
      <c r="G45" s="6" t="s">
        <v>81</v>
      </c>
      <c r="H45" s="9" t="s">
        <v>122</v>
      </c>
      <c r="I45" s="10" t="str">
        <f>IF(COUNTA(A45:H45)=0,"",IF(OR(OR(OR(G45="撤单",G45="交易失败",G45="交易关闭"),G45="交易失败",G45="交易关闭"),G45="交易失败",G45="交易关闭"),"已排除",IF(G45="待确认","待确认",IF(NOT(OR(G45="已确认",G45="历史估算")),"请选择确认状态",IF(NOT(ISNUMBER(A45)),"缺少有效净值日期",IF(OR(A45&lt;=0,A45&lt;&gt;INT(A45)),"净值日期无效",IF(NOT(OR(OR(B45="买入",B45="定投",B45="转换转入"),B45="卖出",B45="现金分红",B45="红利再投")),"请选择交易类型",IF(NOT(ISNUMBER(C45)),"缺少成交净值",IF(C45&lt;=0,"成交净值须大于零",IF(NOT(ISNUMBER(D45)),"缺少确认份额（分红填0）",IF(NOT(ISNUMBER(E45)),"缺少确认金额（再投填0）",IF(NOT(ISNUMBER(F45)),"缺少手续费（无费用填0）",IF(OR(D45&lt;0,E45&lt;0,F45&lt;0),"份额金额费用不能为负",IF(AA44="错误","前行待修正",IF(A45&lt;Z44,"日期需按成交顺序递增",IF(AND(B45="现金分红",OR(D45&lt;&gt;0,E45&lt;=0,F45&lt;&gt;0)),"分红填份额0、费用0、正金额",IF(AND(B45="红利再投",OR(D45&lt;=0,E45&lt;&gt;0,F45&lt;&gt;0)),"再投填正份额、金额0、费用0",IF(AND(OR(B45="现金分红",B45="红利再投"),K44&lt;=0),"分红或再投前须有持仓",IF(AND(OR(OR(B45="买入",B45="定投",B45="转换转入"),B45="卖出"),OR(D45&lt;=0,E45&lt;=0)),"买卖须填正份额、正金额",IF(AND(B45="卖出",D45&gt;K44+0.000001),"卖出份额超过持仓",IF(AND(OR(B45="买入",B45="定投",B45="转换转入"),F45&gt;=E45)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45="买入",B45="定投",B45="转换转入"),ABS(E45-F45-C45*D45)&gt;持仓总览!$H$6),"买入金额与份额净值不符",IF(AND(B45="卖出",ABS(E45+F45-C45*D45)&gt;持仓总览!$H$6),"到账加费用与赎回市值不符","已计入"))))))))))))))))))))))))))</f>
        <v>已计入</v>
      </c>
      <c r="J45" s="11">
        <f t="shared" si="0"/>
        <v>21.33</v>
      </c>
      <c r="K45" s="11">
        <f t="shared" si="5"/>
        <v>18120.54</v>
      </c>
      <c r="L45" s="11">
        <f t="shared" si="6"/>
        <v>42363.01</v>
      </c>
      <c r="M45" s="11">
        <f t="shared" si="7"/>
        <v>0</v>
      </c>
      <c r="N45" s="11">
        <f>IF(I45="已计入",IF(AND(B45="卖出",持仓总览!$C$7="本金优先"),MAX(0,E45-Q44),IF(OR(B45="卖出",B45="现金分红"),MIN(E45,M45),0)),"")</f>
        <v>0</v>
      </c>
      <c r="O45" s="11">
        <f t="shared" si="8"/>
        <v>0</v>
      </c>
      <c r="P45" s="11">
        <f t="shared" si="9"/>
        <v>0</v>
      </c>
      <c r="Q45" s="11">
        <f t="shared" si="10"/>
        <v>36296.01</v>
      </c>
      <c r="R45" s="11">
        <f t="shared" si="1"/>
        <v>42412.94</v>
      </c>
      <c r="S45" s="11">
        <f t="shared" si="2"/>
        <v>6116.93</v>
      </c>
      <c r="T45" s="12">
        <f t="shared" si="3"/>
        <v>0.168528992580727</v>
      </c>
      <c r="U45" s="11">
        <f t="shared" si="11"/>
        <v>36296.01</v>
      </c>
      <c r="V45" s="11">
        <f t="shared" si="12"/>
        <v>0</v>
      </c>
      <c r="W45" s="11">
        <f t="shared" si="13"/>
        <v>0</v>
      </c>
      <c r="X45" s="11">
        <f t="shared" si="14"/>
        <v>0</v>
      </c>
      <c r="Y45" s="11">
        <f t="shared" si="4"/>
        <v>6116.93</v>
      </c>
      <c r="Z45" s="13">
        <f t="shared" si="15"/>
        <v>46108</v>
      </c>
      <c r="AA45" s="10" t="str">
        <f t="shared" si="16"/>
        <v>正常</v>
      </c>
      <c r="AB45" s="14">
        <f t="shared" si="17"/>
        <v>2.3406</v>
      </c>
    </row>
    <row r="46" ht="38" customHeight="1" spans="1:28">
      <c r="A46" s="5">
        <v>46111</v>
      </c>
      <c r="B46" s="6" t="s">
        <v>90</v>
      </c>
      <c r="C46" s="7">
        <v>2.2427</v>
      </c>
      <c r="D46" s="8">
        <v>22.26</v>
      </c>
      <c r="E46" s="8">
        <v>50</v>
      </c>
      <c r="F46" s="8">
        <v>0.08</v>
      </c>
      <c r="G46" s="6" t="s">
        <v>81</v>
      </c>
      <c r="H46" s="9" t="s">
        <v>123</v>
      </c>
      <c r="I46" s="10" t="str">
        <f>IF(COUNTA(A46:H46)=0,"",IF(OR(OR(OR(G46="撤单",G46="交易失败",G46="交易关闭"),G46="交易失败",G46="交易关闭"),G46="交易失败",G46="交易关闭"),"已排除",IF(G46="待确认","待确认",IF(NOT(OR(G46="已确认",G46="历史估算")),"请选择确认状态",IF(NOT(ISNUMBER(A46)),"缺少有效净值日期",IF(OR(A46&lt;=0,A46&lt;&gt;INT(A46)),"净值日期无效",IF(NOT(OR(OR(B46="买入",B46="定投",B46="转换转入"),B46="卖出",B46="现金分红",B46="红利再投")),"请选择交易类型",IF(NOT(ISNUMBER(C46)),"缺少成交净值",IF(C46&lt;=0,"成交净值须大于零",IF(NOT(ISNUMBER(D46)),"缺少确认份额（分红填0）",IF(NOT(ISNUMBER(E46)),"缺少确认金额（再投填0）",IF(NOT(ISNUMBER(F46)),"缺少手续费（无费用填0）",IF(OR(D46&lt;0,E46&lt;0,F46&lt;0),"份额金额费用不能为负",IF(AA45="错误","前行待修正",IF(A46&lt;Z45,"日期需按成交顺序递增",IF(AND(B46="现金分红",OR(D46&lt;&gt;0,E46&lt;=0,F46&lt;&gt;0)),"分红填份额0、费用0、正金额",IF(AND(B46="红利再投",OR(D46&lt;=0,E46&lt;&gt;0,F46&lt;&gt;0)),"再投填正份额、金额0、费用0",IF(AND(OR(B46="现金分红",B46="红利再投"),K45&lt;=0),"分红或再投前须有持仓",IF(AND(OR(OR(B46="买入",B46="定投",B46="转换转入"),B46="卖出"),OR(D46&lt;=0,E46&lt;=0)),"买卖须填正份额、正金额",IF(AND(B46="卖出",D46&gt;K45+0.000001),"卖出份额超过持仓",IF(AND(OR(B46="买入",B46="定投",B46="转换转入"),F46&gt;=E46)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46="买入",B46="定投",B46="转换转入"),ABS(E46-F46-C46*D46)&gt;持仓总览!$H$6),"买入金额与份额净值不符",IF(AND(B46="卖出",ABS(E46+F46-C46*D46)&gt;持仓总览!$H$6),"到账加费用与赎回市值不符","已计入"))))))))))))))))))))))))))</f>
        <v>已计入</v>
      </c>
      <c r="J46" s="11">
        <f t="shared" si="0"/>
        <v>22.26</v>
      </c>
      <c r="K46" s="11">
        <f t="shared" si="5"/>
        <v>18142.8</v>
      </c>
      <c r="L46" s="11">
        <f t="shared" si="6"/>
        <v>40638.94</v>
      </c>
      <c r="M46" s="11">
        <f t="shared" si="7"/>
        <v>0</v>
      </c>
      <c r="N46" s="11">
        <f>IF(I46="已计入",IF(AND(B46="卖出",持仓总览!$C$7="本金优先"),MAX(0,E46-Q45),IF(OR(B46="卖出",B46="现金分红"),MIN(E46,M46),0)),"")</f>
        <v>0</v>
      </c>
      <c r="O46" s="11">
        <f t="shared" si="8"/>
        <v>0</v>
      </c>
      <c r="P46" s="11">
        <f t="shared" si="9"/>
        <v>0</v>
      </c>
      <c r="Q46" s="11">
        <f t="shared" si="10"/>
        <v>36346.01</v>
      </c>
      <c r="R46" s="11">
        <f t="shared" si="1"/>
        <v>40688.86</v>
      </c>
      <c r="S46" s="11">
        <f t="shared" si="2"/>
        <v>4342.85</v>
      </c>
      <c r="T46" s="12">
        <f t="shared" si="3"/>
        <v>0.119486292993371</v>
      </c>
      <c r="U46" s="11">
        <f t="shared" si="11"/>
        <v>36346.01</v>
      </c>
      <c r="V46" s="11">
        <f t="shared" si="12"/>
        <v>0</v>
      </c>
      <c r="W46" s="11">
        <f t="shared" si="13"/>
        <v>0</v>
      </c>
      <c r="X46" s="11">
        <f t="shared" si="14"/>
        <v>0</v>
      </c>
      <c r="Y46" s="11">
        <f t="shared" si="4"/>
        <v>4342.85</v>
      </c>
      <c r="Z46" s="13">
        <f t="shared" si="15"/>
        <v>46111</v>
      </c>
      <c r="AA46" s="10" t="str">
        <f t="shared" si="16"/>
        <v>正常</v>
      </c>
      <c r="AB46" s="14">
        <f t="shared" si="17"/>
        <v>2.2427</v>
      </c>
    </row>
    <row r="47" ht="38" customHeight="1" spans="1:28">
      <c r="A47" s="5">
        <v>46112</v>
      </c>
      <c r="B47" s="6" t="s">
        <v>90</v>
      </c>
      <c r="C47" s="7">
        <v>2.3201</v>
      </c>
      <c r="D47" s="8">
        <v>21.52</v>
      </c>
      <c r="E47" s="8">
        <v>50</v>
      </c>
      <c r="F47" s="8">
        <v>0.08</v>
      </c>
      <c r="G47" s="6" t="s">
        <v>81</v>
      </c>
      <c r="H47" s="9" t="s">
        <v>124</v>
      </c>
      <c r="I47" s="10" t="str">
        <f>IF(COUNTA(A47:H47)=0,"",IF(OR(OR(OR(G47="撤单",G47="交易失败",G47="交易关闭"),G47="交易失败",G47="交易关闭"),G47="交易失败",G47="交易关闭"),"已排除",IF(G47="待确认","待确认",IF(NOT(OR(G47="已确认",G47="历史估算")),"请选择确认状态",IF(NOT(ISNUMBER(A47)),"缺少有效净值日期",IF(OR(A47&lt;=0,A47&lt;&gt;INT(A47)),"净值日期无效",IF(NOT(OR(OR(B47="买入",B47="定投",B47="转换转入"),B47="卖出",B47="现金分红",B47="红利再投")),"请选择交易类型",IF(NOT(ISNUMBER(C47)),"缺少成交净值",IF(C47&lt;=0,"成交净值须大于零",IF(NOT(ISNUMBER(D47)),"缺少确认份额（分红填0）",IF(NOT(ISNUMBER(E47)),"缺少确认金额（再投填0）",IF(NOT(ISNUMBER(F47)),"缺少手续费（无费用填0）",IF(OR(D47&lt;0,E47&lt;0,F47&lt;0),"份额金额费用不能为负",IF(AA46="错误","前行待修正",IF(A47&lt;Z46,"日期需按成交顺序递增",IF(AND(B47="现金分红",OR(D47&lt;&gt;0,E47&lt;=0,F47&lt;&gt;0)),"分红填份额0、费用0、正金额",IF(AND(B47="红利再投",OR(D47&lt;=0,E47&lt;&gt;0,F47&lt;&gt;0)),"再投填正份额、金额0、费用0",IF(AND(OR(B47="现金分红",B47="红利再投"),K46&lt;=0),"分红或再投前须有持仓",IF(AND(OR(OR(B47="买入",B47="定投",B47="转换转入"),B47="卖出"),OR(D47&lt;=0,E47&lt;=0)),"买卖须填正份额、正金额",IF(AND(B47="卖出",D47&gt;K46+0.000001),"卖出份额超过持仓",IF(AND(OR(B47="买入",B47="定投",B47="转换转入"),F47&gt;=E47)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47="买入",B47="定投",B47="转换转入"),ABS(E47-F47-C47*D47)&gt;持仓总览!$H$6),"买入金额与份额净值不符",IF(AND(B47="卖出",ABS(E47+F47-C47*D47)&gt;持仓总览!$H$6),"到账加费用与赎回市值不符","已计入"))))))))))))))))))))))))))</f>
        <v>已计入</v>
      </c>
      <c r="J47" s="11">
        <f t="shared" si="0"/>
        <v>21.52</v>
      </c>
      <c r="K47" s="11">
        <f t="shared" si="5"/>
        <v>18164.32</v>
      </c>
      <c r="L47" s="11">
        <f t="shared" si="6"/>
        <v>42093.11</v>
      </c>
      <c r="M47" s="11">
        <f t="shared" si="7"/>
        <v>0</v>
      </c>
      <c r="N47" s="11">
        <f>IF(I47="已计入",IF(AND(B47="卖出",持仓总览!$C$7="本金优先"),MAX(0,E47-Q46),IF(OR(B47="卖出",B47="现金分红"),MIN(E47,M47),0)),"")</f>
        <v>0</v>
      </c>
      <c r="O47" s="11">
        <f t="shared" si="8"/>
        <v>0</v>
      </c>
      <c r="P47" s="11">
        <f t="shared" si="9"/>
        <v>0</v>
      </c>
      <c r="Q47" s="11">
        <f t="shared" si="10"/>
        <v>36396.01</v>
      </c>
      <c r="R47" s="11">
        <f t="shared" si="1"/>
        <v>42143.04</v>
      </c>
      <c r="S47" s="11">
        <f t="shared" si="2"/>
        <v>5747.03</v>
      </c>
      <c r="T47" s="12">
        <f t="shared" si="3"/>
        <v>0.157902748130908</v>
      </c>
      <c r="U47" s="11">
        <f t="shared" si="11"/>
        <v>36396.01</v>
      </c>
      <c r="V47" s="11">
        <f t="shared" si="12"/>
        <v>0</v>
      </c>
      <c r="W47" s="11">
        <f t="shared" si="13"/>
        <v>0</v>
      </c>
      <c r="X47" s="11">
        <f t="shared" si="14"/>
        <v>0</v>
      </c>
      <c r="Y47" s="11">
        <f t="shared" si="4"/>
        <v>5747.03</v>
      </c>
      <c r="Z47" s="13">
        <f t="shared" si="15"/>
        <v>46112</v>
      </c>
      <c r="AA47" s="10" t="str">
        <f t="shared" si="16"/>
        <v>正常</v>
      </c>
      <c r="AB47" s="14">
        <f t="shared" si="17"/>
        <v>2.3201</v>
      </c>
    </row>
    <row r="48" ht="38" customHeight="1" spans="1:28">
      <c r="A48" s="5">
        <v>46113</v>
      </c>
      <c r="B48" s="6" t="s">
        <v>90</v>
      </c>
      <c r="C48" s="7">
        <v>2.4071</v>
      </c>
      <c r="D48" s="8">
        <v>20.74</v>
      </c>
      <c r="E48" s="8">
        <v>50</v>
      </c>
      <c r="F48" s="8">
        <v>0.08</v>
      </c>
      <c r="G48" s="6" t="s">
        <v>81</v>
      </c>
      <c r="H48" s="9" t="s">
        <v>125</v>
      </c>
      <c r="I48" s="10" t="str">
        <f>IF(COUNTA(A48:H48)=0,"",IF(OR(OR(OR(G48="撤单",G48="交易失败",G48="交易关闭"),G48="交易失败",G48="交易关闭"),G48="交易失败",G48="交易关闭"),"已排除",IF(G48="待确认","待确认",IF(NOT(OR(G48="已确认",G48="历史估算")),"请选择确认状态",IF(NOT(ISNUMBER(A48)),"缺少有效净值日期",IF(OR(A48&lt;=0,A48&lt;&gt;INT(A48)),"净值日期无效",IF(NOT(OR(OR(B48="买入",B48="定投",B48="转换转入"),B48="卖出",B48="现金分红",B48="红利再投")),"请选择交易类型",IF(NOT(ISNUMBER(C48)),"缺少成交净值",IF(C48&lt;=0,"成交净值须大于零",IF(NOT(ISNUMBER(D48)),"缺少确认份额（分红填0）",IF(NOT(ISNUMBER(E48)),"缺少确认金额（再投填0）",IF(NOT(ISNUMBER(F48)),"缺少手续费（无费用填0）",IF(OR(D48&lt;0,E48&lt;0,F48&lt;0),"份额金额费用不能为负",IF(AA47="错误","前行待修正",IF(A48&lt;Z47,"日期需按成交顺序递增",IF(AND(B48="现金分红",OR(D48&lt;&gt;0,E48&lt;=0,F48&lt;&gt;0)),"分红填份额0、费用0、正金额",IF(AND(B48="红利再投",OR(D48&lt;=0,E48&lt;&gt;0,F48&lt;&gt;0)),"再投填正份额、金额0、费用0",IF(AND(OR(B48="现金分红",B48="红利再投"),K47&lt;=0),"分红或再投前须有持仓",IF(AND(OR(OR(B48="买入",B48="定投",B48="转换转入"),B48="卖出"),OR(D48&lt;=0,E48&lt;=0)),"买卖须填正份额、正金额",IF(AND(B48="卖出",D48&gt;K47+0.000001),"卖出份额超过持仓",IF(AND(OR(B48="买入",B48="定投",B48="转换转入"),F48&gt;=E48)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48="买入",B48="定投",B48="转换转入"),ABS(E48-F48-C48*D48)&gt;持仓总览!$H$6),"买入金额与份额净值不符",IF(AND(B48="卖出",ABS(E48+F48-C48*D48)&gt;持仓总览!$H$6),"到账加费用与赎回市值不符","已计入"))))))))))))))))))))))))))</f>
        <v>已计入</v>
      </c>
      <c r="J48" s="11">
        <f t="shared" si="0"/>
        <v>20.74</v>
      </c>
      <c r="K48" s="11">
        <f t="shared" si="5"/>
        <v>18185.06</v>
      </c>
      <c r="L48" s="11">
        <f t="shared" si="6"/>
        <v>43723.33</v>
      </c>
      <c r="M48" s="11">
        <f t="shared" si="7"/>
        <v>0</v>
      </c>
      <c r="N48" s="11">
        <f>IF(I48="已计入",IF(AND(B48="卖出",持仓总览!$C$7="本金优先"),MAX(0,E48-Q47),IF(OR(B48="卖出",B48="现金分红"),MIN(E48,M48),0)),"")</f>
        <v>0</v>
      </c>
      <c r="O48" s="11">
        <f t="shared" si="8"/>
        <v>0</v>
      </c>
      <c r="P48" s="11">
        <f t="shared" si="9"/>
        <v>0</v>
      </c>
      <c r="Q48" s="11">
        <f t="shared" si="10"/>
        <v>36446.01</v>
      </c>
      <c r="R48" s="11">
        <f t="shared" si="1"/>
        <v>43773.26</v>
      </c>
      <c r="S48" s="11">
        <f t="shared" si="2"/>
        <v>7327.25</v>
      </c>
      <c r="T48" s="12">
        <f t="shared" si="3"/>
        <v>0.201043955154487</v>
      </c>
      <c r="U48" s="11">
        <f t="shared" si="11"/>
        <v>36446.01</v>
      </c>
      <c r="V48" s="11">
        <f t="shared" si="12"/>
        <v>0</v>
      </c>
      <c r="W48" s="11">
        <f t="shared" si="13"/>
        <v>0</v>
      </c>
      <c r="X48" s="11">
        <f t="shared" si="14"/>
        <v>0</v>
      </c>
      <c r="Y48" s="11">
        <f t="shared" si="4"/>
        <v>7327.25</v>
      </c>
      <c r="Z48" s="13">
        <f t="shared" si="15"/>
        <v>46113</v>
      </c>
      <c r="AA48" s="10" t="str">
        <f t="shared" si="16"/>
        <v>正常</v>
      </c>
      <c r="AB48" s="14">
        <f t="shared" si="17"/>
        <v>2.4071</v>
      </c>
    </row>
    <row r="49" ht="38" customHeight="1" spans="1:28">
      <c r="A49" s="5">
        <v>46114</v>
      </c>
      <c r="B49" s="6" t="s">
        <v>90</v>
      </c>
      <c r="C49" s="7">
        <v>2.4321</v>
      </c>
      <c r="D49" s="8">
        <v>20.53</v>
      </c>
      <c r="E49" s="8">
        <v>50</v>
      </c>
      <c r="F49" s="8">
        <v>0.08</v>
      </c>
      <c r="G49" s="6" t="s">
        <v>81</v>
      </c>
      <c r="H49" s="9" t="s">
        <v>126</v>
      </c>
      <c r="I49" s="10" t="str">
        <f>IF(COUNTA(A49:H49)=0,"",IF(OR(OR(OR(G49="撤单",G49="交易失败",G49="交易关闭"),G49="交易失败",G49="交易关闭"),G49="交易失败",G49="交易关闭"),"已排除",IF(G49="待确认","待确认",IF(NOT(OR(G49="已确认",G49="历史估算")),"请选择确认状态",IF(NOT(ISNUMBER(A49)),"缺少有效净值日期",IF(OR(A49&lt;=0,A49&lt;&gt;INT(A49)),"净值日期无效",IF(NOT(OR(OR(B49="买入",B49="定投",B49="转换转入"),B49="卖出",B49="现金分红",B49="红利再投")),"请选择交易类型",IF(NOT(ISNUMBER(C49)),"缺少成交净值",IF(C49&lt;=0,"成交净值须大于零",IF(NOT(ISNUMBER(D49)),"缺少确认份额（分红填0）",IF(NOT(ISNUMBER(E49)),"缺少确认金额（再投填0）",IF(NOT(ISNUMBER(F49)),"缺少手续费（无费用填0）",IF(OR(D49&lt;0,E49&lt;0,F49&lt;0),"份额金额费用不能为负",IF(AA48="错误","前行待修正",IF(A49&lt;Z48,"日期需按成交顺序递增",IF(AND(B49="现金分红",OR(D49&lt;&gt;0,E49&lt;=0,F49&lt;&gt;0)),"分红填份额0、费用0、正金额",IF(AND(B49="红利再投",OR(D49&lt;=0,E49&lt;&gt;0,F49&lt;&gt;0)),"再投填正份额、金额0、费用0",IF(AND(OR(B49="现金分红",B49="红利再投"),K48&lt;=0),"分红或再投前须有持仓",IF(AND(OR(OR(B49="买入",B49="定投",B49="转换转入"),B49="卖出"),OR(D49&lt;=0,E49&lt;=0)),"买卖须填正份额、正金额",IF(AND(B49="卖出",D49&gt;K48+0.000001),"卖出份额超过持仓",IF(AND(OR(B49="买入",B49="定投",B49="转换转入"),F49&gt;=E49)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49="买入",B49="定投",B49="转换转入"),ABS(E49-F49-C49*D49)&gt;持仓总览!$H$6),"买入金额与份额净值不符",IF(AND(B49="卖出",ABS(E49+F49-C49*D49)&gt;持仓总览!$H$6),"到账加费用与赎回市值不符","已计入"))))))))))))))))))))))))))</f>
        <v>已计入</v>
      </c>
      <c r="J49" s="11">
        <f t="shared" si="0"/>
        <v>20.53</v>
      </c>
      <c r="K49" s="11">
        <f t="shared" si="5"/>
        <v>18205.59</v>
      </c>
      <c r="L49" s="11">
        <f t="shared" si="6"/>
        <v>44227.88</v>
      </c>
      <c r="M49" s="11">
        <f t="shared" si="7"/>
        <v>0</v>
      </c>
      <c r="N49" s="11">
        <f>IF(I49="已计入",IF(AND(B49="卖出",持仓总览!$C$7="本金优先"),MAX(0,E49-Q48),IF(OR(B49="卖出",B49="现金分红"),MIN(E49,M49),0)),"")</f>
        <v>0</v>
      </c>
      <c r="O49" s="11">
        <f t="shared" si="8"/>
        <v>0</v>
      </c>
      <c r="P49" s="11">
        <f t="shared" si="9"/>
        <v>0</v>
      </c>
      <c r="Q49" s="11">
        <f t="shared" si="10"/>
        <v>36496.01</v>
      </c>
      <c r="R49" s="11">
        <f t="shared" si="1"/>
        <v>44277.82</v>
      </c>
      <c r="S49" s="11">
        <f t="shared" si="2"/>
        <v>7781.81</v>
      </c>
      <c r="T49" s="12">
        <f t="shared" si="3"/>
        <v>0.213223582523131</v>
      </c>
      <c r="U49" s="11">
        <f t="shared" si="11"/>
        <v>36496.01</v>
      </c>
      <c r="V49" s="11">
        <f t="shared" si="12"/>
        <v>0</v>
      </c>
      <c r="W49" s="11">
        <f t="shared" si="13"/>
        <v>0</v>
      </c>
      <c r="X49" s="11">
        <f t="shared" si="14"/>
        <v>0</v>
      </c>
      <c r="Y49" s="11">
        <f t="shared" si="4"/>
        <v>7781.81</v>
      </c>
      <c r="Z49" s="13">
        <f t="shared" si="15"/>
        <v>46114</v>
      </c>
      <c r="AA49" s="10" t="str">
        <f t="shared" si="16"/>
        <v>正常</v>
      </c>
      <c r="AB49" s="14">
        <f t="shared" si="17"/>
        <v>2.4321</v>
      </c>
    </row>
    <row r="50" ht="38" customHeight="1" spans="1:28">
      <c r="A50" s="5">
        <v>46120</v>
      </c>
      <c r="B50" s="6" t="s">
        <v>90</v>
      </c>
      <c r="C50" s="7">
        <v>2.6651</v>
      </c>
      <c r="D50" s="8">
        <v>18.73</v>
      </c>
      <c r="E50" s="8">
        <v>50</v>
      </c>
      <c r="F50" s="8">
        <v>0.08</v>
      </c>
      <c r="G50" s="6" t="s">
        <v>81</v>
      </c>
      <c r="H50" s="9" t="s">
        <v>127</v>
      </c>
      <c r="I50" s="10" t="str">
        <f>IF(COUNTA(A50:H50)=0,"",IF(OR(OR(OR(G50="撤单",G50="交易失败",G50="交易关闭"),G50="交易失败",G50="交易关闭"),G50="交易失败",G50="交易关闭"),"已排除",IF(G50="待确认","待确认",IF(NOT(OR(G50="已确认",G50="历史估算")),"请选择确认状态",IF(NOT(ISNUMBER(A50)),"缺少有效净值日期",IF(OR(A50&lt;=0,A50&lt;&gt;INT(A50)),"净值日期无效",IF(NOT(OR(OR(B50="买入",B50="定投",B50="转换转入"),B50="卖出",B50="现金分红",B50="红利再投")),"请选择交易类型",IF(NOT(ISNUMBER(C50)),"缺少成交净值",IF(C50&lt;=0,"成交净值须大于零",IF(NOT(ISNUMBER(D50)),"缺少确认份额（分红填0）",IF(NOT(ISNUMBER(E50)),"缺少确认金额（再投填0）",IF(NOT(ISNUMBER(F50)),"缺少手续费（无费用填0）",IF(OR(D50&lt;0,E50&lt;0,F50&lt;0),"份额金额费用不能为负",IF(AA49="错误","前行待修正",IF(A50&lt;Z49,"日期需按成交顺序递增",IF(AND(B50="现金分红",OR(D50&lt;&gt;0,E50&lt;=0,F50&lt;&gt;0)),"分红填份额0、费用0、正金额",IF(AND(B50="红利再投",OR(D50&lt;=0,E50&lt;&gt;0,F50&lt;&gt;0)),"再投填正份额、金额0、费用0",IF(AND(OR(B50="现金分红",B50="红利再投"),K49&lt;=0),"分红或再投前须有持仓",IF(AND(OR(OR(B50="买入",B50="定投",B50="转换转入"),B50="卖出"),OR(D50&lt;=0,E50&lt;=0)),"买卖须填正份额、正金额",IF(AND(B50="卖出",D50&gt;K49+0.000001),"卖出份额超过持仓",IF(AND(OR(B50="买入",B50="定投",B50="转换转入"),F50&gt;=E50)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50="买入",B50="定投",B50="转换转入"),ABS(E50-F50-C50*D50)&gt;持仓总览!$H$6),"买入金额与份额净值不符",IF(AND(B50="卖出",ABS(E50+F50-C50*D50)&gt;持仓总览!$H$6),"到账加费用与赎回市值不符","已计入"))))))))))))))))))))))))))</f>
        <v>已计入</v>
      </c>
      <c r="J50" s="11">
        <f t="shared" si="0"/>
        <v>18.73</v>
      </c>
      <c r="K50" s="11">
        <f t="shared" si="5"/>
        <v>18224.32</v>
      </c>
      <c r="L50" s="11">
        <f t="shared" si="6"/>
        <v>48519.72</v>
      </c>
      <c r="M50" s="11">
        <f t="shared" si="7"/>
        <v>0</v>
      </c>
      <c r="N50" s="11">
        <f>IF(I50="已计入",IF(AND(B50="卖出",持仓总览!$C$7="本金优先"),MAX(0,E50-Q49),IF(OR(B50="卖出",B50="现金分红"),MIN(E50,M50),0)),"")</f>
        <v>0</v>
      </c>
      <c r="O50" s="11">
        <f t="shared" si="8"/>
        <v>0</v>
      </c>
      <c r="P50" s="11">
        <f t="shared" si="9"/>
        <v>0</v>
      </c>
      <c r="Q50" s="11">
        <f t="shared" si="10"/>
        <v>36546.01</v>
      </c>
      <c r="R50" s="11">
        <f t="shared" si="1"/>
        <v>48569.64</v>
      </c>
      <c r="S50" s="11">
        <f t="shared" si="2"/>
        <v>12023.63</v>
      </c>
      <c r="T50" s="12">
        <f t="shared" si="3"/>
        <v>0.32899980052542</v>
      </c>
      <c r="U50" s="11">
        <f t="shared" si="11"/>
        <v>36546.01</v>
      </c>
      <c r="V50" s="11">
        <f t="shared" si="12"/>
        <v>0</v>
      </c>
      <c r="W50" s="11">
        <f t="shared" si="13"/>
        <v>0</v>
      </c>
      <c r="X50" s="11">
        <f t="shared" si="14"/>
        <v>0</v>
      </c>
      <c r="Y50" s="11">
        <f t="shared" si="4"/>
        <v>12023.63</v>
      </c>
      <c r="Z50" s="13">
        <f t="shared" si="15"/>
        <v>46120</v>
      </c>
      <c r="AA50" s="10" t="str">
        <f t="shared" si="16"/>
        <v>正常</v>
      </c>
      <c r="AB50" s="14">
        <f t="shared" si="17"/>
        <v>2.6651</v>
      </c>
    </row>
    <row r="51" ht="38" customHeight="1" spans="1:28">
      <c r="A51" s="5">
        <v>46121</v>
      </c>
      <c r="B51" s="6" t="s">
        <v>90</v>
      </c>
      <c r="C51" s="7">
        <v>2.7035</v>
      </c>
      <c r="D51" s="8">
        <v>18.46</v>
      </c>
      <c r="E51" s="8">
        <v>50</v>
      </c>
      <c r="F51" s="8">
        <v>0.08</v>
      </c>
      <c r="G51" s="6" t="s">
        <v>81</v>
      </c>
      <c r="H51" s="9" t="s">
        <v>128</v>
      </c>
      <c r="I51" s="10" t="str">
        <f>IF(COUNTA(A51:H51)=0,"",IF(OR(OR(OR(G51="撤单",G51="交易失败",G51="交易关闭"),G51="交易失败",G51="交易关闭"),G51="交易失败",G51="交易关闭"),"已排除",IF(G51="待确认","待确认",IF(NOT(OR(G51="已确认",G51="历史估算")),"请选择确认状态",IF(NOT(ISNUMBER(A51)),"缺少有效净值日期",IF(OR(A51&lt;=0,A51&lt;&gt;INT(A51)),"净值日期无效",IF(NOT(OR(OR(B51="买入",B51="定投",B51="转换转入"),B51="卖出",B51="现金分红",B51="红利再投")),"请选择交易类型",IF(NOT(ISNUMBER(C51)),"缺少成交净值",IF(C51&lt;=0,"成交净值须大于零",IF(NOT(ISNUMBER(D51)),"缺少确认份额（分红填0）",IF(NOT(ISNUMBER(E51)),"缺少确认金额（再投填0）",IF(NOT(ISNUMBER(F51)),"缺少手续费（无费用填0）",IF(OR(D51&lt;0,E51&lt;0,F51&lt;0),"份额金额费用不能为负",IF(AA50="错误","前行待修正",IF(A51&lt;Z50,"日期需按成交顺序递增",IF(AND(B51="现金分红",OR(D51&lt;&gt;0,E51&lt;=0,F51&lt;&gt;0)),"分红填份额0、费用0、正金额",IF(AND(B51="红利再投",OR(D51&lt;=0,E51&lt;&gt;0,F51&lt;&gt;0)),"再投填正份额、金额0、费用0",IF(AND(OR(B51="现金分红",B51="红利再投"),K50&lt;=0),"分红或再投前须有持仓",IF(AND(OR(OR(B51="买入",B51="定投",B51="转换转入"),B51="卖出"),OR(D51&lt;=0,E51&lt;=0)),"买卖须填正份额、正金额",IF(AND(B51="卖出",D51&gt;K50+0.000001),"卖出份额超过持仓",IF(AND(OR(B51="买入",B51="定投",B51="转换转入"),F51&gt;=E51)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51="买入",B51="定投",B51="转换转入"),ABS(E51-F51-C51*D51)&gt;持仓总览!$H$6),"买入金额与份额净值不符",IF(AND(B51="卖出",ABS(E51+F51-C51*D51)&gt;持仓总览!$H$6),"到账加费用与赎回市值不符","已计入"))))))))))))))))))))))))))</f>
        <v>已计入</v>
      </c>
      <c r="J51" s="11">
        <f t="shared" si="0"/>
        <v>18.46</v>
      </c>
      <c r="K51" s="11">
        <f t="shared" si="5"/>
        <v>18242.78</v>
      </c>
      <c r="L51" s="11">
        <f t="shared" si="6"/>
        <v>49269.45</v>
      </c>
      <c r="M51" s="11">
        <f t="shared" si="7"/>
        <v>0</v>
      </c>
      <c r="N51" s="11">
        <f>IF(I51="已计入",IF(AND(B51="卖出",持仓总览!$C$7="本金优先"),MAX(0,E51-Q50),IF(OR(B51="卖出",B51="现金分红"),MIN(E51,M51),0)),"")</f>
        <v>0</v>
      </c>
      <c r="O51" s="11">
        <f t="shared" si="8"/>
        <v>0</v>
      </c>
      <c r="P51" s="11">
        <f t="shared" si="9"/>
        <v>0</v>
      </c>
      <c r="Q51" s="11">
        <f t="shared" si="10"/>
        <v>36596.01</v>
      </c>
      <c r="R51" s="11">
        <f t="shared" si="1"/>
        <v>49319.36</v>
      </c>
      <c r="S51" s="11">
        <f t="shared" si="2"/>
        <v>12723.35</v>
      </c>
      <c r="T51" s="12">
        <f t="shared" si="3"/>
        <v>0.347670415436</v>
      </c>
      <c r="U51" s="11">
        <f t="shared" si="11"/>
        <v>36596.01</v>
      </c>
      <c r="V51" s="11">
        <f t="shared" si="12"/>
        <v>0</v>
      </c>
      <c r="W51" s="11">
        <f t="shared" si="13"/>
        <v>0</v>
      </c>
      <c r="X51" s="11">
        <f t="shared" si="14"/>
        <v>0</v>
      </c>
      <c r="Y51" s="11">
        <f t="shared" si="4"/>
        <v>12723.35</v>
      </c>
      <c r="Z51" s="13">
        <f t="shared" si="15"/>
        <v>46121</v>
      </c>
      <c r="AA51" s="10" t="str">
        <f t="shared" si="16"/>
        <v>正常</v>
      </c>
      <c r="AB51" s="14">
        <f t="shared" si="17"/>
        <v>2.7035</v>
      </c>
    </row>
    <row r="52" ht="38" customHeight="1" spans="1:28">
      <c r="A52" s="5">
        <v>46122</v>
      </c>
      <c r="B52" s="6" t="s">
        <v>90</v>
      </c>
      <c r="C52" s="7">
        <v>2.7522</v>
      </c>
      <c r="D52" s="8">
        <v>18.14</v>
      </c>
      <c r="E52" s="8">
        <v>50</v>
      </c>
      <c r="F52" s="8">
        <v>0.08</v>
      </c>
      <c r="G52" s="6" t="s">
        <v>81</v>
      </c>
      <c r="H52" s="9" t="s">
        <v>129</v>
      </c>
      <c r="I52" s="10" t="str">
        <f>IF(COUNTA(A52:H52)=0,"",IF(OR(OR(OR(G52="撤单",G52="交易失败",G52="交易关闭"),G52="交易失败",G52="交易关闭"),G52="交易失败",G52="交易关闭"),"已排除",IF(G52="待确认","待确认",IF(NOT(OR(G52="已确认",G52="历史估算")),"请选择确认状态",IF(NOT(ISNUMBER(A52)),"缺少有效净值日期",IF(OR(A52&lt;=0,A52&lt;&gt;INT(A52)),"净值日期无效",IF(NOT(OR(OR(B52="买入",B52="定投",B52="转换转入"),B52="卖出",B52="现金分红",B52="红利再投")),"请选择交易类型",IF(NOT(ISNUMBER(C52)),"缺少成交净值",IF(C52&lt;=0,"成交净值须大于零",IF(NOT(ISNUMBER(D52)),"缺少确认份额（分红填0）",IF(NOT(ISNUMBER(E52)),"缺少确认金额（再投填0）",IF(NOT(ISNUMBER(F52)),"缺少手续费（无费用填0）",IF(OR(D52&lt;0,E52&lt;0,F52&lt;0),"份额金额费用不能为负",IF(AA51="错误","前行待修正",IF(A52&lt;Z51,"日期需按成交顺序递增",IF(AND(B52="现金分红",OR(D52&lt;&gt;0,E52&lt;=0,F52&lt;&gt;0)),"分红填份额0、费用0、正金额",IF(AND(B52="红利再投",OR(D52&lt;=0,E52&lt;&gt;0,F52&lt;&gt;0)),"再投填正份额、金额0、费用0",IF(AND(OR(B52="现金分红",B52="红利再投"),K51&lt;=0),"分红或再投前须有持仓",IF(AND(OR(OR(B52="买入",B52="定投",B52="转换转入"),B52="卖出"),OR(D52&lt;=0,E52&lt;=0)),"买卖须填正份额、正金额",IF(AND(B52="卖出",D52&gt;K51+0.000001),"卖出份额超过持仓",IF(AND(OR(B52="买入",B52="定投",B52="转换转入"),F52&gt;=E52)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52="买入",B52="定投",B52="转换转入"),ABS(E52-F52-C52*D52)&gt;持仓总览!$H$6),"买入金额与份额净值不符",IF(AND(B52="卖出",ABS(E52+F52-C52*D52)&gt;持仓总览!$H$6),"到账加费用与赎回市值不符","已计入"))))))))))))))))))))))))))</f>
        <v>已计入</v>
      </c>
      <c r="J52" s="11">
        <f t="shared" si="0"/>
        <v>18.14</v>
      </c>
      <c r="K52" s="11">
        <f t="shared" si="5"/>
        <v>18260.92</v>
      </c>
      <c r="L52" s="11">
        <f t="shared" si="6"/>
        <v>50207.78</v>
      </c>
      <c r="M52" s="11">
        <f t="shared" si="7"/>
        <v>0</v>
      </c>
      <c r="N52" s="11">
        <f>IF(I52="已计入",IF(AND(B52="卖出",持仓总览!$C$7="本金优先"),MAX(0,E52-Q51),IF(OR(B52="卖出",B52="现金分红"),MIN(E52,M52),0)),"")</f>
        <v>0</v>
      </c>
      <c r="O52" s="11">
        <f t="shared" si="8"/>
        <v>0</v>
      </c>
      <c r="P52" s="11">
        <f t="shared" si="9"/>
        <v>0</v>
      </c>
      <c r="Q52" s="11">
        <f t="shared" si="10"/>
        <v>36646.01</v>
      </c>
      <c r="R52" s="11">
        <f t="shared" si="1"/>
        <v>50257.7</v>
      </c>
      <c r="S52" s="11">
        <f t="shared" si="2"/>
        <v>13611.69</v>
      </c>
      <c r="T52" s="12">
        <f t="shared" si="3"/>
        <v>0.371437163281896</v>
      </c>
      <c r="U52" s="11">
        <f t="shared" si="11"/>
        <v>36646.01</v>
      </c>
      <c r="V52" s="11">
        <f t="shared" si="12"/>
        <v>0</v>
      </c>
      <c r="W52" s="11">
        <f t="shared" si="13"/>
        <v>0</v>
      </c>
      <c r="X52" s="11">
        <f t="shared" si="14"/>
        <v>0</v>
      </c>
      <c r="Y52" s="11">
        <f t="shared" si="4"/>
        <v>13611.69</v>
      </c>
      <c r="Z52" s="13">
        <f t="shared" si="15"/>
        <v>46122</v>
      </c>
      <c r="AA52" s="10" t="str">
        <f t="shared" si="16"/>
        <v>正常</v>
      </c>
      <c r="AB52" s="14">
        <f t="shared" si="17"/>
        <v>2.7522</v>
      </c>
    </row>
    <row r="53" ht="38" customHeight="1" spans="1:28">
      <c r="A53" s="5">
        <v>46125</v>
      </c>
      <c r="B53" s="6" t="s">
        <v>90</v>
      </c>
      <c r="C53" s="7">
        <v>2.7823</v>
      </c>
      <c r="D53" s="8">
        <v>17.94</v>
      </c>
      <c r="E53" s="8">
        <v>50</v>
      </c>
      <c r="F53" s="8">
        <v>0.08</v>
      </c>
      <c r="G53" s="6" t="s">
        <v>81</v>
      </c>
      <c r="H53" s="9" t="s">
        <v>130</v>
      </c>
      <c r="I53" s="10" t="str">
        <f>IF(COUNTA(A53:H53)=0,"",IF(OR(OR(OR(G53="撤单",G53="交易失败",G53="交易关闭"),G53="交易失败",G53="交易关闭"),G53="交易失败",G53="交易关闭"),"已排除",IF(G53="待确认","待确认",IF(NOT(OR(G53="已确认",G53="历史估算")),"请选择确认状态",IF(NOT(ISNUMBER(A53)),"缺少有效净值日期",IF(OR(A53&lt;=0,A53&lt;&gt;INT(A53)),"净值日期无效",IF(NOT(OR(OR(B53="买入",B53="定投",B53="转换转入"),B53="卖出",B53="现金分红",B53="红利再投")),"请选择交易类型",IF(NOT(ISNUMBER(C53)),"缺少成交净值",IF(C53&lt;=0,"成交净值须大于零",IF(NOT(ISNUMBER(D53)),"缺少确认份额（分红填0）",IF(NOT(ISNUMBER(E53)),"缺少确认金额（再投填0）",IF(NOT(ISNUMBER(F53)),"缺少手续费（无费用填0）",IF(OR(D53&lt;0,E53&lt;0,F53&lt;0),"份额金额费用不能为负",IF(AA52="错误","前行待修正",IF(A53&lt;Z52,"日期需按成交顺序递增",IF(AND(B53="现金分红",OR(D53&lt;&gt;0,E53&lt;=0,F53&lt;&gt;0)),"分红填份额0、费用0、正金额",IF(AND(B53="红利再投",OR(D53&lt;=0,E53&lt;&gt;0,F53&lt;&gt;0)),"再投填正份额、金额0、费用0",IF(AND(OR(B53="现金分红",B53="红利再投"),K52&lt;=0),"分红或再投前须有持仓",IF(AND(OR(OR(B53="买入",B53="定投",B53="转换转入"),B53="卖出"),OR(D53&lt;=0,E53&lt;=0)),"买卖须填正份额、正金额",IF(AND(B53="卖出",D53&gt;K52+0.000001),"卖出份额超过持仓",IF(AND(OR(B53="买入",B53="定投",B53="转换转入"),F53&gt;=E53)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53="买入",B53="定投",B53="转换转入"),ABS(E53-F53-C53*D53)&gt;持仓总览!$H$6),"买入金额与份额净值不符",IF(AND(B53="卖出",ABS(E53+F53-C53*D53)&gt;持仓总览!$H$6),"到账加费用与赎回市值不符","已计入"))))))))))))))))))))))))))</f>
        <v>已计入</v>
      </c>
      <c r="J53" s="11">
        <f t="shared" si="0"/>
        <v>17.94</v>
      </c>
      <c r="K53" s="11">
        <f t="shared" si="5"/>
        <v>18278.86</v>
      </c>
      <c r="L53" s="11">
        <f t="shared" si="6"/>
        <v>50807.36</v>
      </c>
      <c r="M53" s="11">
        <f t="shared" si="7"/>
        <v>0</v>
      </c>
      <c r="N53" s="11">
        <f>IF(I53="已计入",IF(AND(B53="卖出",持仓总览!$C$7="本金优先"),MAX(0,E53-Q52),IF(OR(B53="卖出",B53="现金分红"),MIN(E53,M53),0)),"")</f>
        <v>0</v>
      </c>
      <c r="O53" s="11">
        <f t="shared" si="8"/>
        <v>0</v>
      </c>
      <c r="P53" s="11">
        <f t="shared" si="9"/>
        <v>0</v>
      </c>
      <c r="Q53" s="11">
        <f t="shared" si="10"/>
        <v>36696.01</v>
      </c>
      <c r="R53" s="11">
        <f t="shared" si="1"/>
        <v>50857.27</v>
      </c>
      <c r="S53" s="11">
        <f t="shared" si="2"/>
        <v>14161.26</v>
      </c>
      <c r="T53" s="12">
        <f t="shared" si="3"/>
        <v>0.38590735069017</v>
      </c>
      <c r="U53" s="11">
        <f t="shared" si="11"/>
        <v>36696.01</v>
      </c>
      <c r="V53" s="11">
        <f t="shared" si="12"/>
        <v>0</v>
      </c>
      <c r="W53" s="11">
        <f t="shared" si="13"/>
        <v>0</v>
      </c>
      <c r="X53" s="11">
        <f t="shared" si="14"/>
        <v>0</v>
      </c>
      <c r="Y53" s="11">
        <f t="shared" si="4"/>
        <v>14161.26</v>
      </c>
      <c r="Z53" s="13">
        <f t="shared" si="15"/>
        <v>46125</v>
      </c>
      <c r="AA53" s="10" t="str">
        <f t="shared" si="16"/>
        <v>正常</v>
      </c>
      <c r="AB53" s="14">
        <f t="shared" si="17"/>
        <v>2.7823</v>
      </c>
    </row>
    <row r="54" ht="38" customHeight="1" spans="1:28">
      <c r="A54" s="5">
        <v>46126</v>
      </c>
      <c r="B54" s="6" t="s">
        <v>90</v>
      </c>
      <c r="C54" s="7">
        <v>2.8248</v>
      </c>
      <c r="D54" s="8">
        <v>17.67</v>
      </c>
      <c r="E54" s="8">
        <v>50</v>
      </c>
      <c r="F54" s="8">
        <v>0.08</v>
      </c>
      <c r="G54" s="6" t="s">
        <v>81</v>
      </c>
      <c r="H54" s="9" t="s">
        <v>131</v>
      </c>
      <c r="I54" s="10" t="str">
        <f>IF(COUNTA(A54:H54)=0,"",IF(OR(OR(OR(G54="撤单",G54="交易失败",G54="交易关闭"),G54="交易失败",G54="交易关闭"),G54="交易失败",G54="交易关闭"),"已排除",IF(G54="待确认","待确认",IF(NOT(OR(G54="已确认",G54="历史估算")),"请选择确认状态",IF(NOT(ISNUMBER(A54)),"缺少有效净值日期",IF(OR(A54&lt;=0,A54&lt;&gt;INT(A54)),"净值日期无效",IF(NOT(OR(OR(B54="买入",B54="定投",B54="转换转入"),B54="卖出",B54="现金分红",B54="红利再投")),"请选择交易类型",IF(NOT(ISNUMBER(C54)),"缺少成交净值",IF(C54&lt;=0,"成交净值须大于零",IF(NOT(ISNUMBER(D54)),"缺少确认份额（分红填0）",IF(NOT(ISNUMBER(E54)),"缺少确认金额（再投填0）",IF(NOT(ISNUMBER(F54)),"缺少手续费（无费用填0）",IF(OR(D54&lt;0,E54&lt;0,F54&lt;0),"份额金额费用不能为负",IF(AA53="错误","前行待修正",IF(A54&lt;Z53,"日期需按成交顺序递增",IF(AND(B54="现金分红",OR(D54&lt;&gt;0,E54&lt;=0,F54&lt;&gt;0)),"分红填份额0、费用0、正金额",IF(AND(B54="红利再投",OR(D54&lt;=0,E54&lt;&gt;0,F54&lt;&gt;0)),"再投填正份额、金额0、费用0",IF(AND(OR(B54="现金分红",B54="红利再投"),K53&lt;=0),"分红或再投前须有持仓",IF(AND(OR(OR(B54="买入",B54="定投",B54="转换转入"),B54="卖出"),OR(D54&lt;=0,E54&lt;=0)),"买卖须填正份额、正金额",IF(AND(B54="卖出",D54&gt;K53+0.000001),"卖出份额超过持仓",IF(AND(OR(B54="买入",B54="定投",B54="转换转入"),F54&gt;=E54)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54="买入",B54="定投",B54="转换转入"),ABS(E54-F54-C54*D54)&gt;持仓总览!$H$6),"买入金额与份额净值不符",IF(AND(B54="卖出",ABS(E54+F54-C54*D54)&gt;持仓总览!$H$6),"到账加费用与赎回市值不符","已计入"))))))))))))))))))))))))))</f>
        <v>已计入</v>
      </c>
      <c r="J54" s="11">
        <f t="shared" si="0"/>
        <v>17.67</v>
      </c>
      <c r="K54" s="11">
        <f t="shared" si="5"/>
        <v>18296.53</v>
      </c>
      <c r="L54" s="11">
        <f t="shared" si="6"/>
        <v>51634.12</v>
      </c>
      <c r="M54" s="11">
        <f t="shared" si="7"/>
        <v>0</v>
      </c>
      <c r="N54" s="11">
        <f>IF(I54="已计入",IF(AND(B54="卖出",持仓总览!$C$7="本金优先"),MAX(0,E54-Q53),IF(OR(B54="卖出",B54="现金分红"),MIN(E54,M54),0)),"")</f>
        <v>0</v>
      </c>
      <c r="O54" s="11">
        <f t="shared" si="8"/>
        <v>0</v>
      </c>
      <c r="P54" s="11">
        <f t="shared" si="9"/>
        <v>0</v>
      </c>
      <c r="Q54" s="11">
        <f t="shared" si="10"/>
        <v>36746.01</v>
      </c>
      <c r="R54" s="11">
        <f t="shared" si="1"/>
        <v>51684.04</v>
      </c>
      <c r="S54" s="11">
        <f t="shared" si="2"/>
        <v>14938.03</v>
      </c>
      <c r="T54" s="12">
        <f t="shared" si="3"/>
        <v>0.406521143384003</v>
      </c>
      <c r="U54" s="11">
        <f t="shared" si="11"/>
        <v>36746.01</v>
      </c>
      <c r="V54" s="11">
        <f t="shared" si="12"/>
        <v>0</v>
      </c>
      <c r="W54" s="11">
        <f t="shared" si="13"/>
        <v>0</v>
      </c>
      <c r="X54" s="11">
        <f t="shared" si="14"/>
        <v>0</v>
      </c>
      <c r="Y54" s="11">
        <f t="shared" si="4"/>
        <v>14938.03</v>
      </c>
      <c r="Z54" s="13">
        <f t="shared" si="15"/>
        <v>46126</v>
      </c>
      <c r="AA54" s="10" t="str">
        <f t="shared" si="16"/>
        <v>正常</v>
      </c>
      <c r="AB54" s="14">
        <f t="shared" si="17"/>
        <v>2.8248</v>
      </c>
    </row>
    <row r="55" ht="38" customHeight="1" spans="1:28">
      <c r="A55" s="5">
        <v>46127</v>
      </c>
      <c r="B55" s="6" t="s">
        <v>90</v>
      </c>
      <c r="C55" s="7">
        <v>2.7851</v>
      </c>
      <c r="D55" s="8">
        <v>35.85</v>
      </c>
      <c r="E55" s="8">
        <v>100</v>
      </c>
      <c r="F55" s="8">
        <v>0.15</v>
      </c>
      <c r="G55" s="6" t="s">
        <v>81</v>
      </c>
      <c r="H55" s="9" t="s">
        <v>132</v>
      </c>
      <c r="I55" s="10" t="str">
        <f>IF(COUNTA(A55:H55)=0,"",IF(OR(OR(OR(G55="撤单",G55="交易失败",G55="交易关闭"),G55="交易失败",G55="交易关闭"),G55="交易失败",G55="交易关闭"),"已排除",IF(G55="待确认","待确认",IF(NOT(OR(G55="已确认",G55="历史估算")),"请选择确认状态",IF(NOT(ISNUMBER(A55)),"缺少有效净值日期",IF(OR(A55&lt;=0,A55&lt;&gt;INT(A55)),"净值日期无效",IF(NOT(OR(OR(B55="买入",B55="定投",B55="转换转入"),B55="卖出",B55="现金分红",B55="红利再投")),"请选择交易类型",IF(NOT(ISNUMBER(C55)),"缺少成交净值",IF(C55&lt;=0,"成交净值须大于零",IF(NOT(ISNUMBER(D55)),"缺少确认份额（分红填0）",IF(NOT(ISNUMBER(E55)),"缺少确认金额（再投填0）",IF(NOT(ISNUMBER(F55)),"缺少手续费（无费用填0）",IF(OR(D55&lt;0,E55&lt;0,F55&lt;0),"份额金额费用不能为负",IF(AA54="错误","前行待修正",IF(A55&lt;Z54,"日期需按成交顺序递增",IF(AND(B55="现金分红",OR(D55&lt;&gt;0,E55&lt;=0,F55&lt;&gt;0)),"分红填份额0、费用0、正金额",IF(AND(B55="红利再投",OR(D55&lt;=0,E55&lt;&gt;0,F55&lt;&gt;0)),"再投填正份额、金额0、费用0",IF(AND(OR(B55="现金分红",B55="红利再投"),K54&lt;=0),"分红或再投前须有持仓",IF(AND(OR(OR(B55="买入",B55="定投",B55="转换转入"),B55="卖出"),OR(D55&lt;=0,E55&lt;=0)),"买卖须填正份额、正金额",IF(AND(B55="卖出",D55&gt;K54+0.000001),"卖出份额超过持仓",IF(AND(OR(B55="买入",B55="定投",B55="转换转入"),F55&gt;=E55)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55="买入",B55="定投",B55="转换转入"),ABS(E55-F55-C55*D55)&gt;持仓总览!$H$6),"买入金额与份额净值不符",IF(AND(B55="卖出",ABS(E55+F55-C55*D55)&gt;持仓总览!$H$6),"到账加费用与赎回市值不符","已计入"))))))))))))))))))))))))))</f>
        <v>已计入</v>
      </c>
      <c r="J55" s="11">
        <f t="shared" si="0"/>
        <v>35.85</v>
      </c>
      <c r="K55" s="11">
        <f t="shared" si="5"/>
        <v>18332.38</v>
      </c>
      <c r="L55" s="11">
        <f t="shared" si="6"/>
        <v>50957.67</v>
      </c>
      <c r="M55" s="11">
        <f t="shared" si="7"/>
        <v>0</v>
      </c>
      <c r="N55" s="11">
        <f>IF(I55="已计入",IF(AND(B55="卖出",持仓总览!$C$7="本金优先"),MAX(0,E55-Q54),IF(OR(B55="卖出",B55="现金分红"),MIN(E55,M55),0)),"")</f>
        <v>0</v>
      </c>
      <c r="O55" s="11">
        <f t="shared" si="8"/>
        <v>0</v>
      </c>
      <c r="P55" s="11">
        <f t="shared" si="9"/>
        <v>0</v>
      </c>
      <c r="Q55" s="11">
        <f t="shared" si="10"/>
        <v>36846.01</v>
      </c>
      <c r="R55" s="11">
        <f t="shared" si="1"/>
        <v>51057.51</v>
      </c>
      <c r="S55" s="11">
        <f t="shared" si="2"/>
        <v>14211.5</v>
      </c>
      <c r="T55" s="12">
        <f t="shared" si="3"/>
        <v>0.385699835613137</v>
      </c>
      <c r="U55" s="11">
        <f t="shared" si="11"/>
        <v>36846.01</v>
      </c>
      <c r="V55" s="11">
        <f t="shared" si="12"/>
        <v>0</v>
      </c>
      <c r="W55" s="11">
        <f t="shared" si="13"/>
        <v>0</v>
      </c>
      <c r="X55" s="11">
        <f t="shared" si="14"/>
        <v>0</v>
      </c>
      <c r="Y55" s="11">
        <f t="shared" si="4"/>
        <v>14211.5</v>
      </c>
      <c r="Z55" s="13">
        <f t="shared" si="15"/>
        <v>46127</v>
      </c>
      <c r="AA55" s="10" t="str">
        <f t="shared" si="16"/>
        <v>正常</v>
      </c>
      <c r="AB55" s="14">
        <f t="shared" si="17"/>
        <v>2.7851</v>
      </c>
    </row>
    <row r="56" ht="38" customHeight="1" spans="1:28">
      <c r="A56" s="5">
        <v>46128</v>
      </c>
      <c r="B56" s="6" t="s">
        <v>90</v>
      </c>
      <c r="C56" s="7">
        <v>2.8388</v>
      </c>
      <c r="D56" s="8">
        <v>35.17</v>
      </c>
      <c r="E56" s="8">
        <v>100</v>
      </c>
      <c r="F56" s="8">
        <v>0.15</v>
      </c>
      <c r="G56" s="6" t="s">
        <v>81</v>
      </c>
      <c r="H56" s="9" t="s">
        <v>133</v>
      </c>
      <c r="I56" s="10" t="str">
        <f>IF(COUNTA(A56:H56)=0,"",IF(OR(OR(OR(G56="撤单",G56="交易失败",G56="交易关闭"),G56="交易失败",G56="交易关闭"),G56="交易失败",G56="交易关闭"),"已排除",IF(G56="待确认","待确认",IF(NOT(OR(G56="已确认",G56="历史估算")),"请选择确认状态",IF(NOT(ISNUMBER(A56)),"缺少有效净值日期",IF(OR(A56&lt;=0,A56&lt;&gt;INT(A56)),"净值日期无效",IF(NOT(OR(OR(B56="买入",B56="定投",B56="转换转入"),B56="卖出",B56="现金分红",B56="红利再投")),"请选择交易类型",IF(NOT(ISNUMBER(C56)),"缺少成交净值",IF(C56&lt;=0,"成交净值须大于零",IF(NOT(ISNUMBER(D56)),"缺少确认份额（分红填0）",IF(NOT(ISNUMBER(E56)),"缺少确认金额（再投填0）",IF(NOT(ISNUMBER(F56)),"缺少手续费（无费用填0）",IF(OR(D56&lt;0,E56&lt;0,F56&lt;0),"份额金额费用不能为负",IF(AA55="错误","前行待修正",IF(A56&lt;Z55,"日期需按成交顺序递增",IF(AND(B56="现金分红",OR(D56&lt;&gt;0,E56&lt;=0,F56&lt;&gt;0)),"分红填份额0、费用0、正金额",IF(AND(B56="红利再投",OR(D56&lt;=0,E56&lt;&gt;0,F56&lt;&gt;0)),"再投填正份额、金额0、费用0",IF(AND(OR(B56="现金分红",B56="红利再投"),K55&lt;=0),"分红或再投前须有持仓",IF(AND(OR(OR(B56="买入",B56="定投",B56="转换转入"),B56="卖出"),OR(D56&lt;=0,E56&lt;=0)),"买卖须填正份额、正金额",IF(AND(B56="卖出",D56&gt;K55+0.000001),"卖出份额超过持仓",IF(AND(OR(B56="买入",B56="定投",B56="转换转入"),F56&gt;=E56)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56="买入",B56="定投",B56="转换转入"),ABS(E56-F56-C56*D56)&gt;持仓总览!$H$6),"买入金额与份额净值不符",IF(AND(B56="卖出",ABS(E56+F56-C56*D56)&gt;持仓总览!$H$6),"到账加费用与赎回市值不符","已计入"))))))))))))))))))))))))))</f>
        <v>已计入</v>
      </c>
      <c r="J56" s="11">
        <f t="shared" si="0"/>
        <v>35.17</v>
      </c>
      <c r="K56" s="11">
        <f t="shared" si="5"/>
        <v>18367.55</v>
      </c>
      <c r="L56" s="11">
        <f t="shared" si="6"/>
        <v>52041.96</v>
      </c>
      <c r="M56" s="11">
        <f t="shared" si="7"/>
        <v>0</v>
      </c>
      <c r="N56" s="11">
        <f>IF(I56="已计入",IF(AND(B56="卖出",持仓总览!$C$7="本金优先"),MAX(0,E56-Q55),IF(OR(B56="卖出",B56="现金分红"),MIN(E56,M56),0)),"")</f>
        <v>0</v>
      </c>
      <c r="O56" s="11">
        <f t="shared" si="8"/>
        <v>0</v>
      </c>
      <c r="P56" s="11">
        <f t="shared" si="9"/>
        <v>0</v>
      </c>
      <c r="Q56" s="11">
        <f t="shared" si="10"/>
        <v>36946.01</v>
      </c>
      <c r="R56" s="11">
        <f t="shared" si="1"/>
        <v>52141.8</v>
      </c>
      <c r="S56" s="11">
        <f t="shared" si="2"/>
        <v>15195.79</v>
      </c>
      <c r="T56" s="12">
        <f t="shared" si="3"/>
        <v>0.411297187436478</v>
      </c>
      <c r="U56" s="11">
        <f t="shared" si="11"/>
        <v>36946.01</v>
      </c>
      <c r="V56" s="11">
        <f t="shared" si="12"/>
        <v>0</v>
      </c>
      <c r="W56" s="11">
        <f t="shared" si="13"/>
        <v>0</v>
      </c>
      <c r="X56" s="11">
        <f t="shared" si="14"/>
        <v>0</v>
      </c>
      <c r="Y56" s="11">
        <f t="shared" si="4"/>
        <v>15195.79</v>
      </c>
      <c r="Z56" s="13">
        <f t="shared" si="15"/>
        <v>46128</v>
      </c>
      <c r="AA56" s="10" t="str">
        <f t="shared" si="16"/>
        <v>正常</v>
      </c>
      <c r="AB56" s="14">
        <f t="shared" si="17"/>
        <v>2.8388</v>
      </c>
    </row>
    <row r="57" ht="38" customHeight="1" spans="1:28">
      <c r="A57" s="5">
        <v>46129</v>
      </c>
      <c r="B57" s="6" t="s">
        <v>90</v>
      </c>
      <c r="C57" s="7">
        <v>2.9198</v>
      </c>
      <c r="D57" s="8">
        <v>34.2</v>
      </c>
      <c r="E57" s="8">
        <v>100</v>
      </c>
      <c r="F57" s="8">
        <v>0.15</v>
      </c>
      <c r="G57" s="6" t="s">
        <v>81</v>
      </c>
      <c r="H57" s="9" t="s">
        <v>134</v>
      </c>
      <c r="I57" s="10" t="str">
        <f>IF(COUNTA(A57:H57)=0,"",IF(OR(OR(OR(G57="撤单",G57="交易失败",G57="交易关闭"),G57="交易失败",G57="交易关闭"),G57="交易失败",G57="交易关闭"),"已排除",IF(G57="待确认","待确认",IF(NOT(OR(G57="已确认",G57="历史估算")),"请选择确认状态",IF(NOT(ISNUMBER(A57)),"缺少有效净值日期",IF(OR(A57&lt;=0,A57&lt;&gt;INT(A57)),"净值日期无效",IF(NOT(OR(OR(B57="买入",B57="定投",B57="转换转入"),B57="卖出",B57="现金分红",B57="红利再投")),"请选择交易类型",IF(NOT(ISNUMBER(C57)),"缺少成交净值",IF(C57&lt;=0,"成交净值须大于零",IF(NOT(ISNUMBER(D57)),"缺少确认份额（分红填0）",IF(NOT(ISNUMBER(E57)),"缺少确认金额（再投填0）",IF(NOT(ISNUMBER(F57)),"缺少手续费（无费用填0）",IF(OR(D57&lt;0,E57&lt;0,F57&lt;0),"份额金额费用不能为负",IF(AA56="错误","前行待修正",IF(A57&lt;Z56,"日期需按成交顺序递增",IF(AND(B57="现金分红",OR(D57&lt;&gt;0,E57&lt;=0,F57&lt;&gt;0)),"分红填份额0、费用0、正金额",IF(AND(B57="红利再投",OR(D57&lt;=0,E57&lt;&gt;0,F57&lt;&gt;0)),"再投填正份额、金额0、费用0",IF(AND(OR(B57="现金分红",B57="红利再投"),K56&lt;=0),"分红或再投前须有持仓",IF(AND(OR(OR(B57="买入",B57="定投",B57="转换转入"),B57="卖出"),OR(D57&lt;=0,E57&lt;=0)),"买卖须填正份额、正金额",IF(AND(B57="卖出",D57&gt;K56+0.000001),"卖出份额超过持仓",IF(AND(OR(B57="买入",B57="定投",B57="转换转入"),F57&gt;=E57)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57="买入",B57="定投",B57="转换转入"),ABS(E57-F57-C57*D57)&gt;持仓总览!$H$6),"买入金额与份额净值不符",IF(AND(B57="卖出",ABS(E57+F57-C57*D57)&gt;持仓总览!$H$6),"到账加费用与赎回市值不符","已计入"))))))))))))))))))))))))))</f>
        <v>已计入</v>
      </c>
      <c r="J57" s="11">
        <f t="shared" si="0"/>
        <v>34.2</v>
      </c>
      <c r="K57" s="11">
        <f t="shared" si="5"/>
        <v>18401.75</v>
      </c>
      <c r="L57" s="11">
        <f t="shared" si="6"/>
        <v>53629.57</v>
      </c>
      <c r="M57" s="11">
        <f t="shared" si="7"/>
        <v>0</v>
      </c>
      <c r="N57" s="11">
        <f>IF(I57="已计入",IF(AND(B57="卖出",持仓总览!$C$7="本金优先"),MAX(0,E57-Q56),IF(OR(B57="卖出",B57="现金分红"),MIN(E57,M57),0)),"")</f>
        <v>0</v>
      </c>
      <c r="O57" s="11">
        <f t="shared" si="8"/>
        <v>0</v>
      </c>
      <c r="P57" s="11">
        <f t="shared" si="9"/>
        <v>0</v>
      </c>
      <c r="Q57" s="11">
        <f t="shared" si="10"/>
        <v>37046.01</v>
      </c>
      <c r="R57" s="11">
        <f t="shared" si="1"/>
        <v>53729.43</v>
      </c>
      <c r="S57" s="11">
        <f t="shared" si="2"/>
        <v>16683.42</v>
      </c>
      <c r="T57" s="12">
        <f t="shared" si="3"/>
        <v>0.450343235344373</v>
      </c>
      <c r="U57" s="11">
        <f t="shared" si="11"/>
        <v>37046.01</v>
      </c>
      <c r="V57" s="11">
        <f t="shared" si="12"/>
        <v>0</v>
      </c>
      <c r="W57" s="11">
        <f t="shared" si="13"/>
        <v>0</v>
      </c>
      <c r="X57" s="11">
        <f t="shared" si="14"/>
        <v>0</v>
      </c>
      <c r="Y57" s="11">
        <f t="shared" si="4"/>
        <v>16683.42</v>
      </c>
      <c r="Z57" s="13">
        <f t="shared" si="15"/>
        <v>46129</v>
      </c>
      <c r="AA57" s="10" t="str">
        <f t="shared" si="16"/>
        <v>正常</v>
      </c>
      <c r="AB57" s="14">
        <f t="shared" si="17"/>
        <v>2.9198</v>
      </c>
    </row>
    <row r="58" ht="38" customHeight="1" spans="1:28">
      <c r="A58" s="5">
        <v>46132</v>
      </c>
      <c r="B58" s="6" t="s">
        <v>90</v>
      </c>
      <c r="C58" s="7">
        <v>2.9213</v>
      </c>
      <c r="D58" s="8">
        <v>34.18</v>
      </c>
      <c r="E58" s="8">
        <v>100</v>
      </c>
      <c r="F58" s="8">
        <v>0.15</v>
      </c>
      <c r="G58" s="6" t="s">
        <v>81</v>
      </c>
      <c r="H58" s="9" t="s">
        <v>135</v>
      </c>
      <c r="I58" s="10" t="str">
        <f>IF(COUNTA(A58:H58)=0,"",IF(OR(OR(OR(G58="撤单",G58="交易失败",G58="交易关闭"),G58="交易失败",G58="交易关闭"),G58="交易失败",G58="交易关闭"),"已排除",IF(G58="待确认","待确认",IF(NOT(OR(G58="已确认",G58="历史估算")),"请选择确认状态",IF(NOT(ISNUMBER(A58)),"缺少有效净值日期",IF(OR(A58&lt;=0,A58&lt;&gt;INT(A58)),"净值日期无效",IF(NOT(OR(OR(B58="买入",B58="定投",B58="转换转入"),B58="卖出",B58="现金分红",B58="红利再投")),"请选择交易类型",IF(NOT(ISNUMBER(C58)),"缺少成交净值",IF(C58&lt;=0,"成交净值须大于零",IF(NOT(ISNUMBER(D58)),"缺少确认份额（分红填0）",IF(NOT(ISNUMBER(E58)),"缺少确认金额（再投填0）",IF(NOT(ISNUMBER(F58)),"缺少手续费（无费用填0）",IF(OR(D58&lt;0,E58&lt;0,F58&lt;0),"份额金额费用不能为负",IF(AA57="错误","前行待修正",IF(A58&lt;Z57,"日期需按成交顺序递增",IF(AND(B58="现金分红",OR(D58&lt;&gt;0,E58&lt;=0,F58&lt;&gt;0)),"分红填份额0、费用0、正金额",IF(AND(B58="红利再投",OR(D58&lt;=0,E58&lt;&gt;0,F58&lt;&gt;0)),"再投填正份额、金额0、费用0",IF(AND(OR(B58="现金分红",B58="红利再投"),K57&lt;=0),"分红或再投前须有持仓",IF(AND(OR(OR(B58="买入",B58="定投",B58="转换转入"),B58="卖出"),OR(D58&lt;=0,E58&lt;=0)),"买卖须填正份额、正金额",IF(AND(B58="卖出",D58&gt;K57+0.000001),"卖出份额超过持仓",IF(AND(OR(B58="买入",B58="定投",B58="转换转入"),F58&gt;=E58)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58="买入",B58="定投",B58="转换转入"),ABS(E58-F58-C58*D58)&gt;持仓总览!$H$6),"买入金额与份额净值不符",IF(AND(B58="卖出",ABS(E58+F58-C58*D58)&gt;持仓总览!$H$6),"到账加费用与赎回市值不符","已计入"))))))))))))))))))))))))))</f>
        <v>已计入</v>
      </c>
      <c r="J58" s="11">
        <f t="shared" si="0"/>
        <v>34.18</v>
      </c>
      <c r="K58" s="11">
        <f t="shared" si="5"/>
        <v>18435.93</v>
      </c>
      <c r="L58" s="11">
        <f t="shared" si="6"/>
        <v>53757.03</v>
      </c>
      <c r="M58" s="11">
        <f t="shared" si="7"/>
        <v>0</v>
      </c>
      <c r="N58" s="11">
        <f>IF(I58="已计入",IF(AND(B58="卖出",持仓总览!$C$7="本金优先"),MAX(0,E58-Q57),IF(OR(B58="卖出",B58="现金分红"),MIN(E58,M58),0)),"")</f>
        <v>0</v>
      </c>
      <c r="O58" s="11">
        <f t="shared" si="8"/>
        <v>0</v>
      </c>
      <c r="P58" s="11">
        <f t="shared" si="9"/>
        <v>0</v>
      </c>
      <c r="Q58" s="11">
        <f t="shared" si="10"/>
        <v>37146.01</v>
      </c>
      <c r="R58" s="11">
        <f t="shared" si="1"/>
        <v>53856.88</v>
      </c>
      <c r="S58" s="11">
        <f t="shared" si="2"/>
        <v>16710.87</v>
      </c>
      <c r="T58" s="12">
        <f t="shared" si="3"/>
        <v>0.449869851432226</v>
      </c>
      <c r="U58" s="11">
        <f t="shared" si="11"/>
        <v>37146.01</v>
      </c>
      <c r="V58" s="11">
        <f t="shared" si="12"/>
        <v>0</v>
      </c>
      <c r="W58" s="11">
        <f t="shared" si="13"/>
        <v>0</v>
      </c>
      <c r="X58" s="11">
        <f t="shared" si="14"/>
        <v>0</v>
      </c>
      <c r="Y58" s="11">
        <f t="shared" si="4"/>
        <v>16710.87</v>
      </c>
      <c r="Z58" s="13">
        <f t="shared" si="15"/>
        <v>46132</v>
      </c>
      <c r="AA58" s="10" t="str">
        <f t="shared" si="16"/>
        <v>正常</v>
      </c>
      <c r="AB58" s="14">
        <f t="shared" si="17"/>
        <v>2.9213</v>
      </c>
    </row>
    <row r="59" ht="38" customHeight="1" spans="1:28">
      <c r="A59" s="5">
        <v>46133</v>
      </c>
      <c r="B59" s="6" t="s">
        <v>90</v>
      </c>
      <c r="C59" s="7">
        <v>2.9182</v>
      </c>
      <c r="D59" s="8">
        <v>34.22</v>
      </c>
      <c r="E59" s="8">
        <v>100</v>
      </c>
      <c r="F59" s="8">
        <v>0.15</v>
      </c>
      <c r="G59" s="6" t="s">
        <v>81</v>
      </c>
      <c r="H59" s="9" t="s">
        <v>136</v>
      </c>
      <c r="I59" s="10" t="str">
        <f>IF(COUNTA(A59:H59)=0,"",IF(OR(OR(OR(G59="撤单",G59="交易失败",G59="交易关闭"),G59="交易失败",G59="交易关闭"),G59="交易失败",G59="交易关闭"),"已排除",IF(G59="待确认","待确认",IF(NOT(OR(G59="已确认",G59="历史估算")),"请选择确认状态",IF(NOT(ISNUMBER(A59)),"缺少有效净值日期",IF(OR(A59&lt;=0,A59&lt;&gt;INT(A59)),"净值日期无效",IF(NOT(OR(OR(B59="买入",B59="定投",B59="转换转入"),B59="卖出",B59="现金分红",B59="红利再投")),"请选择交易类型",IF(NOT(ISNUMBER(C59)),"缺少成交净值",IF(C59&lt;=0,"成交净值须大于零",IF(NOT(ISNUMBER(D59)),"缺少确认份额（分红填0）",IF(NOT(ISNUMBER(E59)),"缺少确认金额（再投填0）",IF(NOT(ISNUMBER(F59)),"缺少手续费（无费用填0）",IF(OR(D59&lt;0,E59&lt;0,F59&lt;0),"份额金额费用不能为负",IF(AA58="错误","前行待修正",IF(A59&lt;Z58,"日期需按成交顺序递增",IF(AND(B59="现金分红",OR(D59&lt;&gt;0,E59&lt;=0,F59&lt;&gt;0)),"分红填份额0、费用0、正金额",IF(AND(B59="红利再投",OR(D59&lt;=0,E59&lt;&gt;0,F59&lt;&gt;0)),"再投填正份额、金额0、费用0",IF(AND(OR(B59="现金分红",B59="红利再投"),K58&lt;=0),"分红或再投前须有持仓",IF(AND(OR(OR(B59="买入",B59="定投",B59="转换转入"),B59="卖出"),OR(D59&lt;=0,E59&lt;=0)),"买卖须填正份额、正金额",IF(AND(B59="卖出",D59&gt;K58+0.000001),"卖出份额超过持仓",IF(AND(OR(B59="买入",B59="定投",B59="转换转入"),F59&gt;=E59)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59="买入",B59="定投",B59="转换转入"),ABS(E59-F59-C59*D59)&gt;持仓总览!$H$6),"买入金额与份额净值不符",IF(AND(B59="卖出",ABS(E59+F59-C59*D59)&gt;持仓总览!$H$6),"到账加费用与赎回市值不符","已计入"))))))))))))))))))))))))))</f>
        <v>已计入</v>
      </c>
      <c r="J59" s="11">
        <f t="shared" si="0"/>
        <v>34.22</v>
      </c>
      <c r="K59" s="11">
        <f t="shared" si="5"/>
        <v>18470.15</v>
      </c>
      <c r="L59" s="11">
        <f t="shared" si="6"/>
        <v>53799.73</v>
      </c>
      <c r="M59" s="11">
        <f t="shared" si="7"/>
        <v>0</v>
      </c>
      <c r="N59" s="11">
        <f>IF(I59="已计入",IF(AND(B59="卖出",持仓总览!$C$7="本金优先"),MAX(0,E59-Q58),IF(OR(B59="卖出",B59="现金分红"),MIN(E59,M59),0)),"")</f>
        <v>0</v>
      </c>
      <c r="O59" s="11">
        <f t="shared" si="8"/>
        <v>0</v>
      </c>
      <c r="P59" s="11">
        <f t="shared" si="9"/>
        <v>0</v>
      </c>
      <c r="Q59" s="11">
        <f t="shared" si="10"/>
        <v>37246.01</v>
      </c>
      <c r="R59" s="11">
        <f t="shared" si="1"/>
        <v>53899.59</v>
      </c>
      <c r="S59" s="11">
        <f t="shared" si="2"/>
        <v>16653.58</v>
      </c>
      <c r="T59" s="12">
        <f t="shared" si="3"/>
        <v>0.447123866422202</v>
      </c>
      <c r="U59" s="11">
        <f t="shared" si="11"/>
        <v>37246.01</v>
      </c>
      <c r="V59" s="11">
        <f t="shared" si="12"/>
        <v>0</v>
      </c>
      <c r="W59" s="11">
        <f t="shared" si="13"/>
        <v>0</v>
      </c>
      <c r="X59" s="11">
        <f t="shared" si="14"/>
        <v>0</v>
      </c>
      <c r="Y59" s="11">
        <f t="shared" si="4"/>
        <v>16653.58</v>
      </c>
      <c r="Z59" s="13">
        <f t="shared" si="15"/>
        <v>46133</v>
      </c>
      <c r="AA59" s="10" t="str">
        <f t="shared" si="16"/>
        <v>正常</v>
      </c>
      <c r="AB59" s="14">
        <f t="shared" si="17"/>
        <v>2.9182</v>
      </c>
    </row>
    <row r="60" ht="38" customHeight="1" spans="1:28">
      <c r="A60" s="5">
        <v>46134</v>
      </c>
      <c r="B60" s="6" t="s">
        <v>90</v>
      </c>
      <c r="C60" s="7">
        <v>3.0173</v>
      </c>
      <c r="D60" s="8">
        <v>33.09</v>
      </c>
      <c r="E60" s="8">
        <v>100</v>
      </c>
      <c r="F60" s="8">
        <v>0.15</v>
      </c>
      <c r="G60" s="6" t="s">
        <v>81</v>
      </c>
      <c r="H60" s="9" t="s">
        <v>137</v>
      </c>
      <c r="I60" s="10" t="str">
        <f>IF(COUNTA(A60:H60)=0,"",IF(OR(OR(OR(G60="撤单",G60="交易失败",G60="交易关闭"),G60="交易失败",G60="交易关闭"),G60="交易失败",G60="交易关闭"),"已排除",IF(G60="待确认","待确认",IF(NOT(OR(G60="已确认",G60="历史估算")),"请选择确认状态",IF(NOT(ISNUMBER(A60)),"缺少有效净值日期",IF(OR(A60&lt;=0,A60&lt;&gt;INT(A60)),"净值日期无效",IF(NOT(OR(OR(B60="买入",B60="定投",B60="转换转入"),B60="卖出",B60="现金分红",B60="红利再投")),"请选择交易类型",IF(NOT(ISNUMBER(C60)),"缺少成交净值",IF(C60&lt;=0,"成交净值须大于零",IF(NOT(ISNUMBER(D60)),"缺少确认份额（分红填0）",IF(NOT(ISNUMBER(E60)),"缺少确认金额（再投填0）",IF(NOT(ISNUMBER(F60)),"缺少手续费（无费用填0）",IF(OR(D60&lt;0,E60&lt;0,F60&lt;0),"份额金额费用不能为负",IF(AA59="错误","前行待修正",IF(A60&lt;Z59,"日期需按成交顺序递增",IF(AND(B60="现金分红",OR(D60&lt;&gt;0,E60&lt;=0,F60&lt;&gt;0)),"分红填份额0、费用0、正金额",IF(AND(B60="红利再投",OR(D60&lt;=0,E60&lt;&gt;0,F60&lt;&gt;0)),"再投填正份额、金额0、费用0",IF(AND(OR(B60="现金分红",B60="红利再投"),K59&lt;=0),"分红或再投前须有持仓",IF(AND(OR(OR(B60="买入",B60="定投",B60="转换转入"),B60="卖出"),OR(D60&lt;=0,E60&lt;=0)),"买卖须填正份额、正金额",IF(AND(B60="卖出",D60&gt;K59+0.000001),"卖出份额超过持仓",IF(AND(OR(B60="买入",B60="定投",B60="转换转入"),F60&gt;=E60)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60="买入",B60="定投",B60="转换转入"),ABS(E60-F60-C60*D60)&gt;持仓总览!$H$6),"买入金额与份额净值不符",IF(AND(B60="卖出",ABS(E60+F60-C60*D60)&gt;持仓总览!$H$6),"到账加费用与赎回市值不符","已计入"))))))))))))))))))))))))))</f>
        <v>已计入</v>
      </c>
      <c r="J60" s="11">
        <f t="shared" si="0"/>
        <v>33.09</v>
      </c>
      <c r="K60" s="11">
        <f t="shared" si="5"/>
        <v>18503.24</v>
      </c>
      <c r="L60" s="11">
        <f t="shared" si="6"/>
        <v>55729.98</v>
      </c>
      <c r="M60" s="11">
        <f t="shared" si="7"/>
        <v>0</v>
      </c>
      <c r="N60" s="11">
        <f>IF(I60="已计入",IF(AND(B60="卖出",持仓总览!$C$7="本金优先"),MAX(0,E60-Q59),IF(OR(B60="卖出",B60="现金分红"),MIN(E60,M60),0)),"")</f>
        <v>0</v>
      </c>
      <c r="O60" s="11">
        <f t="shared" si="8"/>
        <v>0</v>
      </c>
      <c r="P60" s="11">
        <f t="shared" si="9"/>
        <v>0</v>
      </c>
      <c r="Q60" s="11">
        <f t="shared" si="10"/>
        <v>37346.01</v>
      </c>
      <c r="R60" s="11">
        <f t="shared" si="1"/>
        <v>55829.83</v>
      </c>
      <c r="S60" s="11">
        <f t="shared" si="2"/>
        <v>18483.82</v>
      </c>
      <c r="T60" s="12">
        <f t="shared" si="3"/>
        <v>0.494934264731359</v>
      </c>
      <c r="U60" s="11">
        <f t="shared" si="11"/>
        <v>37346.01</v>
      </c>
      <c r="V60" s="11">
        <f t="shared" si="12"/>
        <v>0</v>
      </c>
      <c r="W60" s="11">
        <f t="shared" si="13"/>
        <v>0</v>
      </c>
      <c r="X60" s="11">
        <f t="shared" si="14"/>
        <v>0</v>
      </c>
      <c r="Y60" s="11">
        <f t="shared" si="4"/>
        <v>18483.82</v>
      </c>
      <c r="Z60" s="13">
        <f t="shared" si="15"/>
        <v>46134</v>
      </c>
      <c r="AA60" s="10" t="str">
        <f t="shared" si="16"/>
        <v>正常</v>
      </c>
      <c r="AB60" s="14">
        <f t="shared" si="17"/>
        <v>3.0173</v>
      </c>
    </row>
    <row r="61" ht="38" customHeight="1" spans="1:28">
      <c r="A61" s="5">
        <v>46135</v>
      </c>
      <c r="B61" s="6" t="s">
        <v>90</v>
      </c>
      <c r="C61" s="7">
        <v>3.0007</v>
      </c>
      <c r="D61" s="8">
        <v>33.28</v>
      </c>
      <c r="E61" s="8">
        <v>100</v>
      </c>
      <c r="F61" s="8">
        <v>0.15</v>
      </c>
      <c r="G61" s="6" t="s">
        <v>81</v>
      </c>
      <c r="H61" s="9" t="s">
        <v>138</v>
      </c>
      <c r="I61" s="10" t="str">
        <f>IF(COUNTA(A61:H61)=0,"",IF(OR(OR(OR(G61="撤单",G61="交易失败",G61="交易关闭"),G61="交易失败",G61="交易关闭"),G61="交易失败",G61="交易关闭"),"已排除",IF(G61="待确认","待确认",IF(NOT(OR(G61="已确认",G61="历史估算")),"请选择确认状态",IF(NOT(ISNUMBER(A61)),"缺少有效净值日期",IF(OR(A61&lt;=0,A61&lt;&gt;INT(A61)),"净值日期无效",IF(NOT(OR(OR(B61="买入",B61="定投",B61="转换转入"),B61="卖出",B61="现金分红",B61="红利再投")),"请选择交易类型",IF(NOT(ISNUMBER(C61)),"缺少成交净值",IF(C61&lt;=0,"成交净值须大于零",IF(NOT(ISNUMBER(D61)),"缺少确认份额（分红填0）",IF(NOT(ISNUMBER(E61)),"缺少确认金额（再投填0）",IF(NOT(ISNUMBER(F61)),"缺少手续费（无费用填0）",IF(OR(D61&lt;0,E61&lt;0,F61&lt;0),"份额金额费用不能为负",IF(AA60="错误","前行待修正",IF(A61&lt;Z60,"日期需按成交顺序递增",IF(AND(B61="现金分红",OR(D61&lt;&gt;0,E61&lt;=0,F61&lt;&gt;0)),"分红填份额0、费用0、正金额",IF(AND(B61="红利再投",OR(D61&lt;=0,E61&lt;&gt;0,F61&lt;&gt;0)),"再投填正份额、金额0、费用0",IF(AND(OR(B61="现金分红",B61="红利再投"),K60&lt;=0),"分红或再投前须有持仓",IF(AND(OR(OR(B61="买入",B61="定投",B61="转换转入"),B61="卖出"),OR(D61&lt;=0,E61&lt;=0)),"买卖须填正份额、正金额",IF(AND(B61="卖出",D61&gt;K60+0.000001),"卖出份额超过持仓",IF(AND(OR(B61="买入",B61="定投",B61="转换转入"),F61&gt;=E61)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61="买入",B61="定投",B61="转换转入"),ABS(E61-F61-C61*D61)&gt;持仓总览!$H$6),"买入金额与份额净值不符",IF(AND(B61="卖出",ABS(E61+F61-C61*D61)&gt;持仓总览!$H$6),"到账加费用与赎回市值不符","已计入"))))))))))))))))))))))))))</f>
        <v>已计入</v>
      </c>
      <c r="J61" s="11">
        <f t="shared" si="0"/>
        <v>33.28</v>
      </c>
      <c r="K61" s="11">
        <f t="shared" si="5"/>
        <v>18536.52</v>
      </c>
      <c r="L61" s="11">
        <f t="shared" si="6"/>
        <v>55522.67</v>
      </c>
      <c r="M61" s="11">
        <f t="shared" si="7"/>
        <v>0</v>
      </c>
      <c r="N61" s="11">
        <f>IF(I61="已计入",IF(AND(B61="卖出",持仓总览!$C$7="本金优先"),MAX(0,E61-Q60),IF(OR(B61="卖出",B61="现金分红"),MIN(E61,M61),0)),"")</f>
        <v>0</v>
      </c>
      <c r="O61" s="11">
        <f t="shared" si="8"/>
        <v>0</v>
      </c>
      <c r="P61" s="11">
        <f t="shared" si="9"/>
        <v>0</v>
      </c>
      <c r="Q61" s="11">
        <f t="shared" si="10"/>
        <v>37446.01</v>
      </c>
      <c r="R61" s="11">
        <f t="shared" si="1"/>
        <v>55622.54</v>
      </c>
      <c r="S61" s="11">
        <f t="shared" si="2"/>
        <v>18176.53</v>
      </c>
      <c r="T61" s="12">
        <f t="shared" si="3"/>
        <v>0.485406322329135</v>
      </c>
      <c r="U61" s="11">
        <f t="shared" si="11"/>
        <v>37446.01</v>
      </c>
      <c r="V61" s="11">
        <f t="shared" si="12"/>
        <v>0</v>
      </c>
      <c r="W61" s="11">
        <f t="shared" si="13"/>
        <v>0</v>
      </c>
      <c r="X61" s="11">
        <f t="shared" si="14"/>
        <v>0</v>
      </c>
      <c r="Y61" s="11">
        <f t="shared" si="4"/>
        <v>18176.53</v>
      </c>
      <c r="Z61" s="13">
        <f t="shared" si="15"/>
        <v>46135</v>
      </c>
      <c r="AA61" s="10" t="str">
        <f t="shared" si="16"/>
        <v>正常</v>
      </c>
      <c r="AB61" s="14">
        <f t="shared" si="17"/>
        <v>3.0007</v>
      </c>
    </row>
    <row r="62" ht="38" customHeight="1" spans="1:28">
      <c r="A62" s="5">
        <v>46136</v>
      </c>
      <c r="B62" s="6" t="s">
        <v>90</v>
      </c>
      <c r="C62" s="7">
        <v>3.0441</v>
      </c>
      <c r="D62" s="8">
        <v>32.8</v>
      </c>
      <c r="E62" s="8">
        <v>100</v>
      </c>
      <c r="F62" s="8">
        <v>0.15</v>
      </c>
      <c r="G62" s="6" t="s">
        <v>81</v>
      </c>
      <c r="H62" s="9" t="s">
        <v>139</v>
      </c>
      <c r="I62" s="10" t="str">
        <f>IF(COUNTA(A62:H62)=0,"",IF(OR(OR(OR(G62="撤单",G62="交易失败",G62="交易关闭"),G62="交易失败",G62="交易关闭"),G62="交易失败",G62="交易关闭"),"已排除",IF(G62="待确认","待确认",IF(NOT(OR(G62="已确认",G62="历史估算")),"请选择确认状态",IF(NOT(ISNUMBER(A62)),"缺少有效净值日期",IF(OR(A62&lt;=0,A62&lt;&gt;INT(A62)),"净值日期无效",IF(NOT(OR(OR(B62="买入",B62="定投",B62="转换转入"),B62="卖出",B62="现金分红",B62="红利再投")),"请选择交易类型",IF(NOT(ISNUMBER(C62)),"缺少成交净值",IF(C62&lt;=0,"成交净值须大于零",IF(NOT(ISNUMBER(D62)),"缺少确认份额（分红填0）",IF(NOT(ISNUMBER(E62)),"缺少确认金额（再投填0）",IF(NOT(ISNUMBER(F62)),"缺少手续费（无费用填0）",IF(OR(D62&lt;0,E62&lt;0,F62&lt;0),"份额金额费用不能为负",IF(AA61="错误","前行待修正",IF(A62&lt;Z61,"日期需按成交顺序递增",IF(AND(B62="现金分红",OR(D62&lt;&gt;0,E62&lt;=0,F62&lt;&gt;0)),"分红填份额0、费用0、正金额",IF(AND(B62="红利再投",OR(D62&lt;=0,E62&lt;&gt;0,F62&lt;&gt;0)),"再投填正份额、金额0、费用0",IF(AND(OR(B62="现金分红",B62="红利再投"),K61&lt;=0),"分红或再投前须有持仓",IF(AND(OR(OR(B62="买入",B62="定投",B62="转换转入"),B62="卖出"),OR(D62&lt;=0,E62&lt;=0)),"买卖须填正份额、正金额",IF(AND(B62="卖出",D62&gt;K61+0.000001),"卖出份额超过持仓",IF(AND(OR(B62="买入",B62="定投",B62="转换转入"),F62&gt;=E62)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62="买入",B62="定投",B62="转换转入"),ABS(E62-F62-C62*D62)&gt;持仓总览!$H$6),"买入金额与份额净值不符",IF(AND(B62="卖出",ABS(E62+F62-C62*D62)&gt;持仓总览!$H$6),"到账加费用与赎回市值不符","已计入"))))))))))))))))))))))))))</f>
        <v>已计入</v>
      </c>
      <c r="J62" s="11">
        <f t="shared" si="0"/>
        <v>32.8</v>
      </c>
      <c r="K62" s="11">
        <f t="shared" si="5"/>
        <v>18569.32</v>
      </c>
      <c r="L62" s="11">
        <f t="shared" si="6"/>
        <v>56427.02</v>
      </c>
      <c r="M62" s="11">
        <f t="shared" si="7"/>
        <v>0</v>
      </c>
      <c r="N62" s="11">
        <f>IF(I62="已计入",IF(AND(B62="卖出",持仓总览!$C$7="本金优先"),MAX(0,E62-Q61),IF(OR(B62="卖出",B62="现金分红"),MIN(E62,M62),0)),"")</f>
        <v>0</v>
      </c>
      <c r="O62" s="11">
        <f t="shared" si="8"/>
        <v>0</v>
      </c>
      <c r="P62" s="11">
        <f t="shared" si="9"/>
        <v>0</v>
      </c>
      <c r="Q62" s="11">
        <f t="shared" si="10"/>
        <v>37546.01</v>
      </c>
      <c r="R62" s="11">
        <f t="shared" si="1"/>
        <v>56526.87</v>
      </c>
      <c r="S62" s="11">
        <f t="shared" si="2"/>
        <v>18980.86</v>
      </c>
      <c r="T62" s="12">
        <f t="shared" si="3"/>
        <v>0.505536007687634</v>
      </c>
      <c r="U62" s="11">
        <f t="shared" si="11"/>
        <v>37546.01</v>
      </c>
      <c r="V62" s="11">
        <f t="shared" si="12"/>
        <v>0</v>
      </c>
      <c r="W62" s="11">
        <f t="shared" si="13"/>
        <v>0</v>
      </c>
      <c r="X62" s="11">
        <f t="shared" si="14"/>
        <v>0</v>
      </c>
      <c r="Y62" s="11">
        <f t="shared" si="4"/>
        <v>18980.86</v>
      </c>
      <c r="Z62" s="13">
        <f t="shared" si="15"/>
        <v>46136</v>
      </c>
      <c r="AA62" s="10" t="str">
        <f t="shared" si="16"/>
        <v>正常</v>
      </c>
      <c r="AB62" s="14">
        <f t="shared" si="17"/>
        <v>3.0441</v>
      </c>
    </row>
    <row r="63" ht="38" customHeight="1" spans="1:28">
      <c r="A63" s="5">
        <v>46139</v>
      </c>
      <c r="B63" s="6" t="s">
        <v>90</v>
      </c>
      <c r="C63" s="7">
        <v>3.0093</v>
      </c>
      <c r="D63" s="8">
        <v>33.18</v>
      </c>
      <c r="E63" s="8">
        <v>100</v>
      </c>
      <c r="F63" s="8">
        <v>0.15</v>
      </c>
      <c r="G63" s="6" t="s">
        <v>81</v>
      </c>
      <c r="H63" s="9" t="s">
        <v>140</v>
      </c>
      <c r="I63" s="10" t="str">
        <f>IF(COUNTA(A63:H63)=0,"",IF(OR(OR(OR(G63="撤单",G63="交易失败",G63="交易关闭"),G63="交易失败",G63="交易关闭"),G63="交易失败",G63="交易关闭"),"已排除",IF(G63="待确认","待确认",IF(NOT(OR(G63="已确认",G63="历史估算")),"请选择确认状态",IF(NOT(ISNUMBER(A63)),"缺少有效净值日期",IF(OR(A63&lt;=0,A63&lt;&gt;INT(A63)),"净值日期无效",IF(NOT(OR(OR(B63="买入",B63="定投",B63="转换转入"),B63="卖出",B63="现金分红",B63="红利再投")),"请选择交易类型",IF(NOT(ISNUMBER(C63)),"缺少成交净值",IF(C63&lt;=0,"成交净值须大于零",IF(NOT(ISNUMBER(D63)),"缺少确认份额（分红填0）",IF(NOT(ISNUMBER(E63)),"缺少确认金额（再投填0）",IF(NOT(ISNUMBER(F63)),"缺少手续费（无费用填0）",IF(OR(D63&lt;0,E63&lt;0,F63&lt;0),"份额金额费用不能为负",IF(AA62="错误","前行待修正",IF(A63&lt;Z62,"日期需按成交顺序递增",IF(AND(B63="现金分红",OR(D63&lt;&gt;0,E63&lt;=0,F63&lt;&gt;0)),"分红填份额0、费用0、正金额",IF(AND(B63="红利再投",OR(D63&lt;=0,E63&lt;&gt;0,F63&lt;&gt;0)),"再投填正份额、金额0、费用0",IF(AND(OR(B63="现金分红",B63="红利再投"),K62&lt;=0),"分红或再投前须有持仓",IF(AND(OR(OR(B63="买入",B63="定投",B63="转换转入"),B63="卖出"),OR(D63&lt;=0,E63&lt;=0)),"买卖须填正份额、正金额",IF(AND(B63="卖出",D63&gt;K62+0.000001),"卖出份额超过持仓",IF(AND(OR(B63="买入",B63="定投",B63="转换转入"),F63&gt;=E63)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63="买入",B63="定投",B63="转换转入"),ABS(E63-F63-C63*D63)&gt;持仓总览!$H$6),"买入金额与份额净值不符",IF(AND(B63="卖出",ABS(E63+F63-C63*D63)&gt;持仓总览!$H$6),"到账加费用与赎回市值不符","已计入"))))))))))))))))))))))))))</f>
        <v>已计入</v>
      </c>
      <c r="J63" s="11">
        <f t="shared" si="0"/>
        <v>33.18</v>
      </c>
      <c r="K63" s="11">
        <f t="shared" si="5"/>
        <v>18602.5</v>
      </c>
      <c r="L63" s="11">
        <f t="shared" si="6"/>
        <v>55880.65</v>
      </c>
      <c r="M63" s="11">
        <f t="shared" si="7"/>
        <v>0</v>
      </c>
      <c r="N63" s="11">
        <f>IF(I63="已计入",IF(AND(B63="卖出",持仓总览!$C$7="本金优先"),MAX(0,E63-Q62),IF(OR(B63="卖出",B63="现金分红"),MIN(E63,M63),0)),"")</f>
        <v>0</v>
      </c>
      <c r="O63" s="11">
        <f t="shared" si="8"/>
        <v>0</v>
      </c>
      <c r="P63" s="11">
        <f t="shared" si="9"/>
        <v>0</v>
      </c>
      <c r="Q63" s="11">
        <f t="shared" si="10"/>
        <v>37646.01</v>
      </c>
      <c r="R63" s="11">
        <f t="shared" si="1"/>
        <v>55980.5</v>
      </c>
      <c r="S63" s="11">
        <f t="shared" si="2"/>
        <v>18334.49</v>
      </c>
      <c r="T63" s="12">
        <f t="shared" si="3"/>
        <v>0.487023458794172</v>
      </c>
      <c r="U63" s="11">
        <f t="shared" si="11"/>
        <v>37646.01</v>
      </c>
      <c r="V63" s="11">
        <f t="shared" si="12"/>
        <v>0</v>
      </c>
      <c r="W63" s="11">
        <f t="shared" si="13"/>
        <v>0</v>
      </c>
      <c r="X63" s="11">
        <f t="shared" si="14"/>
        <v>0</v>
      </c>
      <c r="Y63" s="11">
        <f t="shared" si="4"/>
        <v>18334.49</v>
      </c>
      <c r="Z63" s="13">
        <f t="shared" si="15"/>
        <v>46139</v>
      </c>
      <c r="AA63" s="10" t="str">
        <f t="shared" si="16"/>
        <v>正常</v>
      </c>
      <c r="AB63" s="14">
        <f t="shared" si="17"/>
        <v>3.0093</v>
      </c>
    </row>
    <row r="64" ht="38" customHeight="1" spans="1:28">
      <c r="A64" s="5">
        <v>46140</v>
      </c>
      <c r="B64" s="6" t="s">
        <v>90</v>
      </c>
      <c r="C64" s="7">
        <v>2.8963</v>
      </c>
      <c r="D64" s="8">
        <v>34.48</v>
      </c>
      <c r="E64" s="8">
        <v>100</v>
      </c>
      <c r="F64" s="8">
        <v>0.15</v>
      </c>
      <c r="G64" s="6" t="s">
        <v>81</v>
      </c>
      <c r="H64" s="9" t="s">
        <v>141</v>
      </c>
      <c r="I64" s="10" t="str">
        <f>IF(COUNTA(A64:H64)=0,"",IF(OR(OR(OR(G64="撤单",G64="交易失败",G64="交易关闭"),G64="交易失败",G64="交易关闭"),G64="交易失败",G64="交易关闭"),"已排除",IF(G64="待确认","待确认",IF(NOT(OR(G64="已确认",G64="历史估算")),"请选择确认状态",IF(NOT(ISNUMBER(A64)),"缺少有效净值日期",IF(OR(A64&lt;=0,A64&lt;&gt;INT(A64)),"净值日期无效",IF(NOT(OR(OR(B64="买入",B64="定投",B64="转换转入"),B64="卖出",B64="现金分红",B64="红利再投")),"请选择交易类型",IF(NOT(ISNUMBER(C64)),"缺少成交净值",IF(C64&lt;=0,"成交净值须大于零",IF(NOT(ISNUMBER(D64)),"缺少确认份额（分红填0）",IF(NOT(ISNUMBER(E64)),"缺少确认金额（再投填0）",IF(NOT(ISNUMBER(F64)),"缺少手续费（无费用填0）",IF(OR(D64&lt;0,E64&lt;0,F64&lt;0),"份额金额费用不能为负",IF(AA63="错误","前行待修正",IF(A64&lt;Z63,"日期需按成交顺序递增",IF(AND(B64="现金分红",OR(D64&lt;&gt;0,E64&lt;=0,F64&lt;&gt;0)),"分红填份额0、费用0、正金额",IF(AND(B64="红利再投",OR(D64&lt;=0,E64&lt;&gt;0,F64&lt;&gt;0)),"再投填正份额、金额0、费用0",IF(AND(OR(B64="现金分红",B64="红利再投"),K63&lt;=0),"分红或再投前须有持仓",IF(AND(OR(OR(B64="买入",B64="定投",B64="转换转入"),B64="卖出"),OR(D64&lt;=0,E64&lt;=0)),"买卖须填正份额、正金额",IF(AND(B64="卖出",D64&gt;K63+0.000001),"卖出份额超过持仓",IF(AND(OR(B64="买入",B64="定投",B64="转换转入"),F64&gt;=E64)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64="买入",B64="定投",B64="转换转入"),ABS(E64-F64-C64*D64)&gt;持仓总览!$H$6),"买入金额与份额净值不符",IF(AND(B64="卖出",ABS(E64+F64-C64*D64)&gt;持仓总览!$H$6),"到账加费用与赎回市值不符","已计入"))))))))))))))))))))))))))</f>
        <v>已计入</v>
      </c>
      <c r="J64" s="11">
        <f t="shared" si="0"/>
        <v>34.48</v>
      </c>
      <c r="K64" s="11">
        <f t="shared" si="5"/>
        <v>18636.98</v>
      </c>
      <c r="L64" s="11">
        <f t="shared" si="6"/>
        <v>53878.42</v>
      </c>
      <c r="M64" s="11">
        <f t="shared" si="7"/>
        <v>0</v>
      </c>
      <c r="N64" s="11">
        <f>IF(I64="已计入",IF(AND(B64="卖出",持仓总览!$C$7="本金优先"),MAX(0,E64-Q63),IF(OR(B64="卖出",B64="现金分红"),MIN(E64,M64),0)),"")</f>
        <v>0</v>
      </c>
      <c r="O64" s="11">
        <f t="shared" si="8"/>
        <v>0</v>
      </c>
      <c r="P64" s="11">
        <f t="shared" si="9"/>
        <v>0</v>
      </c>
      <c r="Q64" s="11">
        <f t="shared" si="10"/>
        <v>37746.01</v>
      </c>
      <c r="R64" s="11">
        <f t="shared" si="1"/>
        <v>53978.29</v>
      </c>
      <c r="S64" s="11">
        <f t="shared" si="2"/>
        <v>16232.28</v>
      </c>
      <c r="T64" s="12">
        <f t="shared" si="3"/>
        <v>0.430039625380272</v>
      </c>
      <c r="U64" s="11">
        <f t="shared" si="11"/>
        <v>37746.01</v>
      </c>
      <c r="V64" s="11">
        <f t="shared" si="12"/>
        <v>0</v>
      </c>
      <c r="W64" s="11">
        <f t="shared" si="13"/>
        <v>0</v>
      </c>
      <c r="X64" s="11">
        <f t="shared" si="14"/>
        <v>0</v>
      </c>
      <c r="Y64" s="11">
        <f t="shared" si="4"/>
        <v>16232.28</v>
      </c>
      <c r="Z64" s="13">
        <f t="shared" si="15"/>
        <v>46140</v>
      </c>
      <c r="AA64" s="10" t="str">
        <f t="shared" si="16"/>
        <v>正常</v>
      </c>
      <c r="AB64" s="14">
        <f t="shared" si="17"/>
        <v>2.8963</v>
      </c>
    </row>
    <row r="65" ht="38" customHeight="1" spans="1:28">
      <c r="A65" s="5">
        <v>46141</v>
      </c>
      <c r="B65" s="6" t="s">
        <v>90</v>
      </c>
      <c r="C65" s="7">
        <v>2.9503</v>
      </c>
      <c r="D65" s="8">
        <v>33.84</v>
      </c>
      <c r="E65" s="8">
        <v>100</v>
      </c>
      <c r="F65" s="8">
        <v>0.15</v>
      </c>
      <c r="G65" s="6" t="s">
        <v>81</v>
      </c>
      <c r="H65" s="9" t="s">
        <v>142</v>
      </c>
      <c r="I65" s="10" t="str">
        <f>IF(COUNTA(A65:H65)=0,"",IF(OR(OR(OR(G65="撤单",G65="交易失败",G65="交易关闭"),G65="交易失败",G65="交易关闭"),G65="交易失败",G65="交易关闭"),"已排除",IF(G65="待确认","待确认",IF(NOT(OR(G65="已确认",G65="历史估算")),"请选择确认状态",IF(NOT(ISNUMBER(A65)),"缺少有效净值日期",IF(OR(A65&lt;=0,A65&lt;&gt;INT(A65)),"净值日期无效",IF(NOT(OR(OR(B65="买入",B65="定投",B65="转换转入"),B65="卖出",B65="现金分红",B65="红利再投")),"请选择交易类型",IF(NOT(ISNUMBER(C65)),"缺少成交净值",IF(C65&lt;=0,"成交净值须大于零",IF(NOT(ISNUMBER(D65)),"缺少确认份额（分红填0）",IF(NOT(ISNUMBER(E65)),"缺少确认金额（再投填0）",IF(NOT(ISNUMBER(F65)),"缺少手续费（无费用填0）",IF(OR(D65&lt;0,E65&lt;0,F65&lt;0),"份额金额费用不能为负",IF(AA64="错误","前行待修正",IF(A65&lt;Z64,"日期需按成交顺序递增",IF(AND(B65="现金分红",OR(D65&lt;&gt;0,E65&lt;=0,F65&lt;&gt;0)),"分红填份额0、费用0、正金额",IF(AND(B65="红利再投",OR(D65&lt;=0,E65&lt;&gt;0,F65&lt;&gt;0)),"再投填正份额、金额0、费用0",IF(AND(OR(B65="现金分红",B65="红利再投"),K64&lt;=0),"分红或再投前须有持仓",IF(AND(OR(OR(B65="买入",B65="定投",B65="转换转入"),B65="卖出"),OR(D65&lt;=0,E65&lt;=0)),"买卖须填正份额、正金额",IF(AND(B65="卖出",D65&gt;K64+0.000001),"卖出份额超过持仓",IF(AND(OR(B65="买入",B65="定投",B65="转换转入"),F65&gt;=E65)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65="买入",B65="定投",B65="转换转入"),ABS(E65-F65-C65*D65)&gt;持仓总览!$H$6),"买入金额与份额净值不符",IF(AND(B65="卖出",ABS(E65+F65-C65*D65)&gt;持仓总览!$H$6),"到账加费用与赎回市值不符","已计入"))))))))))))))))))))))))))</f>
        <v>已计入</v>
      </c>
      <c r="J65" s="11">
        <f t="shared" si="0"/>
        <v>33.84</v>
      </c>
      <c r="K65" s="11">
        <f t="shared" si="5"/>
        <v>18670.82</v>
      </c>
      <c r="L65" s="11">
        <f t="shared" si="6"/>
        <v>54984.68</v>
      </c>
      <c r="M65" s="11">
        <f t="shared" si="7"/>
        <v>0</v>
      </c>
      <c r="N65" s="11">
        <f>IF(I65="已计入",IF(AND(B65="卖出",持仓总览!$C$7="本金优先"),MAX(0,E65-Q64),IF(OR(B65="卖出",B65="现金分红"),MIN(E65,M65),0)),"")</f>
        <v>0</v>
      </c>
      <c r="O65" s="11">
        <f t="shared" si="8"/>
        <v>0</v>
      </c>
      <c r="P65" s="11">
        <f t="shared" si="9"/>
        <v>0</v>
      </c>
      <c r="Q65" s="11">
        <f t="shared" si="10"/>
        <v>37846.01</v>
      </c>
      <c r="R65" s="11">
        <f t="shared" si="1"/>
        <v>55084.52</v>
      </c>
      <c r="S65" s="11">
        <f t="shared" si="2"/>
        <v>17238.51</v>
      </c>
      <c r="T65" s="12">
        <f t="shared" si="3"/>
        <v>0.455490816601274</v>
      </c>
      <c r="U65" s="11">
        <f t="shared" si="11"/>
        <v>37846.01</v>
      </c>
      <c r="V65" s="11">
        <f t="shared" si="12"/>
        <v>0</v>
      </c>
      <c r="W65" s="11">
        <f t="shared" si="13"/>
        <v>0</v>
      </c>
      <c r="X65" s="11">
        <f t="shared" si="14"/>
        <v>0</v>
      </c>
      <c r="Y65" s="11">
        <f t="shared" si="4"/>
        <v>17238.51</v>
      </c>
      <c r="Z65" s="13">
        <f t="shared" si="15"/>
        <v>46141</v>
      </c>
      <c r="AA65" s="10" t="str">
        <f t="shared" si="16"/>
        <v>正常</v>
      </c>
      <c r="AB65" s="14">
        <f t="shared" si="17"/>
        <v>2.9503</v>
      </c>
    </row>
    <row r="66" ht="38" customHeight="1" spans="1:28">
      <c r="A66" s="5">
        <v>46142</v>
      </c>
      <c r="B66" s="6" t="s">
        <v>90</v>
      </c>
      <c r="C66" s="7">
        <v>3.0193</v>
      </c>
      <c r="D66" s="8">
        <v>33.07</v>
      </c>
      <c r="E66" s="8">
        <v>100</v>
      </c>
      <c r="F66" s="8">
        <v>0.15</v>
      </c>
      <c r="G66" s="6" t="s">
        <v>81</v>
      </c>
      <c r="H66" s="9" t="s">
        <v>143</v>
      </c>
      <c r="I66" s="10" t="str">
        <f>IF(COUNTA(A66:H66)=0,"",IF(OR(OR(OR(G66="撤单",G66="交易失败",G66="交易关闭"),G66="交易失败",G66="交易关闭"),G66="交易失败",G66="交易关闭"),"已排除",IF(G66="待确认","待确认",IF(NOT(OR(G66="已确认",G66="历史估算")),"请选择确认状态",IF(NOT(ISNUMBER(A66)),"缺少有效净值日期",IF(OR(A66&lt;=0,A66&lt;&gt;INT(A66)),"净值日期无效",IF(NOT(OR(OR(B66="买入",B66="定投",B66="转换转入"),B66="卖出",B66="现金分红",B66="红利再投")),"请选择交易类型",IF(NOT(ISNUMBER(C66)),"缺少成交净值",IF(C66&lt;=0,"成交净值须大于零",IF(NOT(ISNUMBER(D66)),"缺少确认份额（分红填0）",IF(NOT(ISNUMBER(E66)),"缺少确认金额（再投填0）",IF(NOT(ISNUMBER(F66)),"缺少手续费（无费用填0）",IF(OR(D66&lt;0,E66&lt;0,F66&lt;0),"份额金额费用不能为负",IF(AA65="错误","前行待修正",IF(A66&lt;Z65,"日期需按成交顺序递增",IF(AND(B66="现金分红",OR(D66&lt;&gt;0,E66&lt;=0,F66&lt;&gt;0)),"分红填份额0、费用0、正金额",IF(AND(B66="红利再投",OR(D66&lt;=0,E66&lt;&gt;0,F66&lt;&gt;0)),"再投填正份额、金额0、费用0",IF(AND(OR(B66="现金分红",B66="红利再投"),K65&lt;=0),"分红或再投前须有持仓",IF(AND(OR(OR(B66="买入",B66="定投",B66="转换转入"),B66="卖出"),OR(D66&lt;=0,E66&lt;=0)),"买卖须填正份额、正金额",IF(AND(B66="卖出",D66&gt;K65+0.000001),"卖出份额超过持仓",IF(AND(OR(B66="买入",B66="定投",B66="转换转入"),F66&gt;=E66)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66="买入",B66="定投",B66="转换转入"),ABS(E66-F66-C66*D66)&gt;持仓总览!$H$6),"买入金额与份额净值不符",IF(AND(B66="卖出",ABS(E66+F66-C66*D66)&gt;持仓总览!$H$6),"到账加费用与赎回市值不符","已计入"))))))))))))))))))))))))))</f>
        <v>已计入</v>
      </c>
      <c r="J66" s="11">
        <f t="shared" si="0"/>
        <v>33.07</v>
      </c>
      <c r="K66" s="11">
        <f t="shared" si="5"/>
        <v>18703.89</v>
      </c>
      <c r="L66" s="11">
        <f t="shared" si="6"/>
        <v>56372.81</v>
      </c>
      <c r="M66" s="11">
        <f t="shared" si="7"/>
        <v>0</v>
      </c>
      <c r="N66" s="11">
        <f>IF(I66="已计入",IF(AND(B66="卖出",持仓总览!$C$7="本金优先"),MAX(0,E66-Q65),IF(OR(B66="卖出",B66="现金分红"),MIN(E66,M66),0)),"")</f>
        <v>0</v>
      </c>
      <c r="O66" s="11">
        <f t="shared" si="8"/>
        <v>0</v>
      </c>
      <c r="P66" s="11">
        <f t="shared" si="9"/>
        <v>0</v>
      </c>
      <c r="Q66" s="11">
        <f t="shared" si="10"/>
        <v>37946.01</v>
      </c>
      <c r="R66" s="11">
        <f t="shared" si="1"/>
        <v>56472.66</v>
      </c>
      <c r="S66" s="11">
        <f t="shared" si="2"/>
        <v>18526.65</v>
      </c>
      <c r="T66" s="12">
        <f t="shared" si="3"/>
        <v>0.488237103189505</v>
      </c>
      <c r="U66" s="11">
        <f t="shared" si="11"/>
        <v>37946.01</v>
      </c>
      <c r="V66" s="11">
        <f t="shared" si="12"/>
        <v>0</v>
      </c>
      <c r="W66" s="11">
        <f t="shared" si="13"/>
        <v>0</v>
      </c>
      <c r="X66" s="11">
        <f t="shared" si="14"/>
        <v>0</v>
      </c>
      <c r="Y66" s="11">
        <f t="shared" si="4"/>
        <v>18526.65</v>
      </c>
      <c r="Z66" s="13">
        <f t="shared" si="15"/>
        <v>46142</v>
      </c>
      <c r="AA66" s="10" t="str">
        <f t="shared" si="16"/>
        <v>正常</v>
      </c>
      <c r="AB66" s="14">
        <f t="shared" si="17"/>
        <v>3.0193</v>
      </c>
    </row>
    <row r="67" ht="38" customHeight="1" spans="1:28">
      <c r="A67" s="5">
        <v>46148</v>
      </c>
      <c r="B67" s="6" t="s">
        <v>90</v>
      </c>
      <c r="C67" s="7">
        <v>3.2266</v>
      </c>
      <c r="D67" s="8">
        <v>30.95</v>
      </c>
      <c r="E67" s="8">
        <v>100</v>
      </c>
      <c r="F67" s="8">
        <v>0.15</v>
      </c>
      <c r="G67" s="6" t="s">
        <v>81</v>
      </c>
      <c r="H67" s="9" t="s">
        <v>144</v>
      </c>
      <c r="I67" s="10" t="str">
        <f>IF(COUNTA(A67:H67)=0,"",IF(OR(OR(OR(G67="撤单",G67="交易失败",G67="交易关闭"),G67="交易失败",G67="交易关闭"),G67="交易失败",G67="交易关闭"),"已排除",IF(G67="待确认","待确认",IF(NOT(OR(G67="已确认",G67="历史估算")),"请选择确认状态",IF(NOT(ISNUMBER(A67)),"缺少有效净值日期",IF(OR(A67&lt;=0,A67&lt;&gt;INT(A67)),"净值日期无效",IF(NOT(OR(OR(B67="买入",B67="定投",B67="转换转入"),B67="卖出",B67="现金分红",B67="红利再投")),"请选择交易类型",IF(NOT(ISNUMBER(C67)),"缺少成交净值",IF(C67&lt;=0,"成交净值须大于零",IF(NOT(ISNUMBER(D67)),"缺少确认份额（分红填0）",IF(NOT(ISNUMBER(E67)),"缺少确认金额（再投填0）",IF(NOT(ISNUMBER(F67)),"缺少手续费（无费用填0）",IF(OR(D67&lt;0,E67&lt;0,F67&lt;0),"份额金额费用不能为负",IF(AA66="错误","前行待修正",IF(A67&lt;Z66,"日期需按成交顺序递增",IF(AND(B67="现金分红",OR(D67&lt;&gt;0,E67&lt;=0,F67&lt;&gt;0)),"分红填份额0、费用0、正金额",IF(AND(B67="红利再投",OR(D67&lt;=0,E67&lt;&gt;0,F67&lt;&gt;0)),"再投填正份额、金额0、费用0",IF(AND(OR(B67="现金分红",B67="红利再投"),K66&lt;=0),"分红或再投前须有持仓",IF(AND(OR(OR(B67="买入",B67="定投",B67="转换转入"),B67="卖出"),OR(D67&lt;=0,E67&lt;=0)),"买卖须填正份额、正金额",IF(AND(B67="卖出",D67&gt;K66+0.000001),"卖出份额超过持仓",IF(AND(OR(B67="买入",B67="定投",B67="转换转入"),F67&gt;=E67)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67="买入",B67="定投",B67="转换转入"),ABS(E67-F67-C67*D67)&gt;持仓总览!$H$6),"买入金额与份额净值不符",IF(AND(B67="卖出",ABS(E67+F67-C67*D67)&gt;持仓总览!$H$6),"到账加费用与赎回市值不符","已计入"))))))))))))))))))))))))))</f>
        <v>已计入</v>
      </c>
      <c r="J67" s="11">
        <f t="shared" si="0"/>
        <v>30.95</v>
      </c>
      <c r="K67" s="11">
        <f t="shared" si="5"/>
        <v>18734.84</v>
      </c>
      <c r="L67" s="11">
        <f t="shared" si="6"/>
        <v>60349.97</v>
      </c>
      <c r="M67" s="11">
        <f t="shared" si="7"/>
        <v>0</v>
      </c>
      <c r="N67" s="11">
        <f>IF(I67="已计入",IF(AND(B67="卖出",持仓总览!$C$7="本金优先"),MAX(0,E67-Q66),IF(OR(B67="卖出",B67="现金分红"),MIN(E67,M67),0)),"")</f>
        <v>0</v>
      </c>
      <c r="O67" s="11">
        <f t="shared" si="8"/>
        <v>0</v>
      </c>
      <c r="P67" s="11">
        <f t="shared" si="9"/>
        <v>0</v>
      </c>
      <c r="Q67" s="11">
        <f t="shared" si="10"/>
        <v>38046.01</v>
      </c>
      <c r="R67" s="11">
        <f t="shared" si="1"/>
        <v>60449.83</v>
      </c>
      <c r="S67" s="11">
        <f t="shared" si="2"/>
        <v>22403.82</v>
      </c>
      <c r="T67" s="12">
        <f t="shared" si="3"/>
        <v>0.588861223555374</v>
      </c>
      <c r="U67" s="11">
        <f t="shared" si="11"/>
        <v>38046.01</v>
      </c>
      <c r="V67" s="11">
        <f t="shared" si="12"/>
        <v>0</v>
      </c>
      <c r="W67" s="11">
        <f t="shared" si="13"/>
        <v>0</v>
      </c>
      <c r="X67" s="11">
        <f t="shared" si="14"/>
        <v>0</v>
      </c>
      <c r="Y67" s="11">
        <f t="shared" si="4"/>
        <v>22403.82</v>
      </c>
      <c r="Z67" s="13">
        <f t="shared" si="15"/>
        <v>46148</v>
      </c>
      <c r="AA67" s="10" t="str">
        <f t="shared" si="16"/>
        <v>正常</v>
      </c>
      <c r="AB67" s="14">
        <f t="shared" si="17"/>
        <v>3.2266</v>
      </c>
    </row>
    <row r="68" ht="38" customHeight="1" spans="1:28">
      <c r="A68" s="5">
        <v>46149</v>
      </c>
      <c r="B68" s="6" t="s">
        <v>90</v>
      </c>
      <c r="C68" s="7">
        <v>3.1936</v>
      </c>
      <c r="D68" s="8">
        <v>31.27</v>
      </c>
      <c r="E68" s="8">
        <v>100</v>
      </c>
      <c r="F68" s="8">
        <v>0.15</v>
      </c>
      <c r="G68" s="6" t="s">
        <v>81</v>
      </c>
      <c r="H68" s="9" t="s">
        <v>145</v>
      </c>
      <c r="I68" s="10" t="str">
        <f>IF(COUNTA(A68:H68)=0,"",IF(OR(OR(OR(G68="撤单",G68="交易失败",G68="交易关闭"),G68="交易失败",G68="交易关闭"),G68="交易失败",G68="交易关闭"),"已排除",IF(G68="待确认","待确认",IF(NOT(OR(G68="已确认",G68="历史估算")),"请选择确认状态",IF(NOT(ISNUMBER(A68)),"缺少有效净值日期",IF(OR(A68&lt;=0,A68&lt;&gt;INT(A68)),"净值日期无效",IF(NOT(OR(OR(B68="买入",B68="定投",B68="转换转入"),B68="卖出",B68="现金分红",B68="红利再投")),"请选择交易类型",IF(NOT(ISNUMBER(C68)),"缺少成交净值",IF(C68&lt;=0,"成交净值须大于零",IF(NOT(ISNUMBER(D68)),"缺少确认份额（分红填0）",IF(NOT(ISNUMBER(E68)),"缺少确认金额（再投填0）",IF(NOT(ISNUMBER(F68)),"缺少手续费（无费用填0）",IF(OR(D68&lt;0,E68&lt;0,F68&lt;0),"份额金额费用不能为负",IF(AA67="错误","前行待修正",IF(A68&lt;Z67,"日期需按成交顺序递增",IF(AND(B68="现金分红",OR(D68&lt;&gt;0,E68&lt;=0,F68&lt;&gt;0)),"分红填份额0、费用0、正金额",IF(AND(B68="红利再投",OR(D68&lt;=0,E68&lt;&gt;0,F68&lt;&gt;0)),"再投填正份额、金额0、费用0",IF(AND(OR(B68="现金分红",B68="红利再投"),K67&lt;=0),"分红或再投前须有持仓",IF(AND(OR(OR(B68="买入",B68="定投",B68="转换转入"),B68="卖出"),OR(D68&lt;=0,E68&lt;=0)),"买卖须填正份额、正金额",IF(AND(B68="卖出",D68&gt;K67+0.000001),"卖出份额超过持仓",IF(AND(OR(B68="买入",B68="定投",B68="转换转入"),F68&gt;=E68)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68="买入",B68="定投",B68="转换转入"),ABS(E68-F68-C68*D68)&gt;持仓总览!$H$6),"买入金额与份额净值不符",IF(AND(B68="卖出",ABS(E68+F68-C68*D68)&gt;持仓总览!$H$6),"到账加费用与赎回市值不符","已计入"))))))))))))))))))))))))))</f>
        <v>已计入</v>
      </c>
      <c r="J68" s="11">
        <f t="shared" si="0"/>
        <v>31.27</v>
      </c>
      <c r="K68" s="11">
        <f t="shared" si="5"/>
        <v>18766.11</v>
      </c>
      <c r="L68" s="11">
        <f t="shared" si="6"/>
        <v>59831.59</v>
      </c>
      <c r="M68" s="11">
        <f t="shared" si="7"/>
        <v>0</v>
      </c>
      <c r="N68" s="11">
        <f>IF(I68="已计入",IF(AND(B68="卖出",持仓总览!$C$7="本金优先"),MAX(0,E68-Q67),IF(OR(B68="卖出",B68="现金分红"),MIN(E68,M68),0)),"")</f>
        <v>0</v>
      </c>
      <c r="O68" s="11">
        <f t="shared" si="8"/>
        <v>0</v>
      </c>
      <c r="P68" s="11">
        <f t="shared" si="9"/>
        <v>0</v>
      </c>
      <c r="Q68" s="11">
        <f t="shared" si="10"/>
        <v>38146.01</v>
      </c>
      <c r="R68" s="11">
        <f t="shared" si="1"/>
        <v>59931.45</v>
      </c>
      <c r="S68" s="11">
        <f t="shared" si="2"/>
        <v>21785.44</v>
      </c>
      <c r="T68" s="12">
        <f t="shared" si="3"/>
        <v>0.571106650472749</v>
      </c>
      <c r="U68" s="11">
        <f t="shared" si="11"/>
        <v>38146.01</v>
      </c>
      <c r="V68" s="11">
        <f t="shared" si="12"/>
        <v>0</v>
      </c>
      <c r="W68" s="11">
        <f t="shared" si="13"/>
        <v>0</v>
      </c>
      <c r="X68" s="11">
        <f t="shared" si="14"/>
        <v>0</v>
      </c>
      <c r="Y68" s="11">
        <f t="shared" si="4"/>
        <v>21785.44</v>
      </c>
      <c r="Z68" s="13">
        <f t="shared" si="15"/>
        <v>46149</v>
      </c>
      <c r="AA68" s="10" t="str">
        <f t="shared" si="16"/>
        <v>正常</v>
      </c>
      <c r="AB68" s="14">
        <f t="shared" si="17"/>
        <v>3.1936</v>
      </c>
    </row>
    <row r="69" ht="38" customHeight="1" spans="1:28">
      <c r="A69" s="5">
        <v>46150</v>
      </c>
      <c r="B69" s="6" t="s">
        <v>90</v>
      </c>
      <c r="C69" s="7">
        <v>3.3002</v>
      </c>
      <c r="D69" s="8">
        <v>30.26</v>
      </c>
      <c r="E69" s="8">
        <v>100</v>
      </c>
      <c r="F69" s="8">
        <v>0.15</v>
      </c>
      <c r="G69" s="6" t="s">
        <v>81</v>
      </c>
      <c r="H69" s="9" t="s">
        <v>146</v>
      </c>
      <c r="I69" s="10" t="str">
        <f>IF(COUNTA(A69:H69)=0,"",IF(OR(OR(OR(G69="撤单",G69="交易失败",G69="交易关闭"),G69="交易失败",G69="交易关闭"),G69="交易失败",G69="交易关闭"),"已排除",IF(G69="待确认","待确认",IF(NOT(OR(G69="已确认",G69="历史估算")),"请选择确认状态",IF(NOT(ISNUMBER(A69)),"缺少有效净值日期",IF(OR(A69&lt;=0,A69&lt;&gt;INT(A69)),"净值日期无效",IF(NOT(OR(OR(B69="买入",B69="定投",B69="转换转入"),B69="卖出",B69="现金分红",B69="红利再投")),"请选择交易类型",IF(NOT(ISNUMBER(C69)),"缺少成交净值",IF(C69&lt;=0,"成交净值须大于零",IF(NOT(ISNUMBER(D69)),"缺少确认份额（分红填0）",IF(NOT(ISNUMBER(E69)),"缺少确认金额（再投填0）",IF(NOT(ISNUMBER(F69)),"缺少手续费（无费用填0）",IF(OR(D69&lt;0,E69&lt;0,F69&lt;0),"份额金额费用不能为负",IF(AA68="错误","前行待修正",IF(A69&lt;Z68,"日期需按成交顺序递增",IF(AND(B69="现金分红",OR(D69&lt;&gt;0,E69&lt;=0,F69&lt;&gt;0)),"分红填份额0、费用0、正金额",IF(AND(B69="红利再投",OR(D69&lt;=0,E69&lt;&gt;0,F69&lt;&gt;0)),"再投填正份额、金额0、费用0",IF(AND(OR(B69="现金分红",B69="红利再投"),K68&lt;=0),"分红或再投前须有持仓",IF(AND(OR(OR(B69="买入",B69="定投",B69="转换转入"),B69="卖出"),OR(D69&lt;=0,E69&lt;=0)),"买卖须填正份额、正金额",IF(AND(B69="卖出",D69&gt;K68+0.000001),"卖出份额超过持仓",IF(AND(OR(B69="买入",B69="定投",B69="转换转入"),F69&gt;=E69)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69="买入",B69="定投",B69="转换转入"),ABS(E69-F69-C69*D69)&gt;持仓总览!$H$6),"买入金额与份额净值不符",IF(AND(B69="卖出",ABS(E69+F69-C69*D69)&gt;持仓总览!$H$6),"到账加费用与赎回市值不符","已计入"))))))))))))))))))))))))))</f>
        <v>已计入</v>
      </c>
      <c r="J69" s="11">
        <f t="shared" si="0"/>
        <v>30.26</v>
      </c>
      <c r="K69" s="11">
        <f t="shared" si="5"/>
        <v>18796.37</v>
      </c>
      <c r="L69" s="11">
        <f t="shared" si="6"/>
        <v>61931.92</v>
      </c>
      <c r="M69" s="11">
        <f t="shared" si="7"/>
        <v>0</v>
      </c>
      <c r="N69" s="11">
        <f>IF(I69="已计入",IF(AND(B69="卖出",持仓总览!$C$7="本金优先"),MAX(0,E69-Q68),IF(OR(B69="卖出",B69="现金分红"),MIN(E69,M69),0)),"")</f>
        <v>0</v>
      </c>
      <c r="O69" s="11">
        <f t="shared" si="8"/>
        <v>0</v>
      </c>
      <c r="P69" s="11">
        <f t="shared" si="9"/>
        <v>0</v>
      </c>
      <c r="Q69" s="11">
        <f t="shared" si="10"/>
        <v>38246.01</v>
      </c>
      <c r="R69" s="11">
        <f t="shared" si="1"/>
        <v>62031.78</v>
      </c>
      <c r="S69" s="11">
        <f t="shared" si="2"/>
        <v>23785.77</v>
      </c>
      <c r="T69" s="12">
        <f t="shared" si="3"/>
        <v>0.621915070356359</v>
      </c>
      <c r="U69" s="11">
        <f t="shared" si="11"/>
        <v>38246.01</v>
      </c>
      <c r="V69" s="11">
        <f t="shared" si="12"/>
        <v>0</v>
      </c>
      <c r="W69" s="11">
        <f t="shared" si="13"/>
        <v>0</v>
      </c>
      <c r="X69" s="11">
        <f t="shared" si="14"/>
        <v>0</v>
      </c>
      <c r="Y69" s="11">
        <f t="shared" si="4"/>
        <v>23785.77</v>
      </c>
      <c r="Z69" s="13">
        <f t="shared" si="15"/>
        <v>46150</v>
      </c>
      <c r="AA69" s="10" t="str">
        <f t="shared" si="16"/>
        <v>正常</v>
      </c>
      <c r="AB69" s="14">
        <f t="shared" si="17"/>
        <v>3.3002</v>
      </c>
    </row>
    <row r="70" ht="38" customHeight="1" spans="1:28">
      <c r="A70" s="5">
        <v>46153</v>
      </c>
      <c r="B70" s="6" t="s">
        <v>90</v>
      </c>
      <c r="C70" s="7">
        <v>3.428</v>
      </c>
      <c r="D70" s="8">
        <v>29.13</v>
      </c>
      <c r="E70" s="8">
        <v>100</v>
      </c>
      <c r="F70" s="8">
        <v>0.15</v>
      </c>
      <c r="G70" s="6" t="s">
        <v>81</v>
      </c>
      <c r="H70" s="9" t="s">
        <v>147</v>
      </c>
      <c r="I70" s="10" t="str">
        <f>IF(COUNTA(A70:H70)=0,"",IF(OR(OR(OR(G70="撤单",G70="交易失败",G70="交易关闭"),G70="交易失败",G70="交易关闭"),G70="交易失败",G70="交易关闭"),"已排除",IF(G70="待确认","待确认",IF(NOT(OR(G70="已确认",G70="历史估算")),"请选择确认状态",IF(NOT(ISNUMBER(A70)),"缺少有效净值日期",IF(OR(A70&lt;=0,A70&lt;&gt;INT(A70)),"净值日期无效",IF(NOT(OR(OR(B70="买入",B70="定投",B70="转换转入"),B70="卖出",B70="现金分红",B70="红利再投")),"请选择交易类型",IF(NOT(ISNUMBER(C70)),"缺少成交净值",IF(C70&lt;=0,"成交净值须大于零",IF(NOT(ISNUMBER(D70)),"缺少确认份额（分红填0）",IF(NOT(ISNUMBER(E70)),"缺少确认金额（再投填0）",IF(NOT(ISNUMBER(F70)),"缺少手续费（无费用填0）",IF(OR(D70&lt;0,E70&lt;0,F70&lt;0),"份额金额费用不能为负",IF(AA69="错误","前行待修正",IF(A70&lt;Z69,"日期需按成交顺序递增",IF(AND(B70="现金分红",OR(D70&lt;&gt;0,E70&lt;=0,F70&lt;&gt;0)),"分红填份额0、费用0、正金额",IF(AND(B70="红利再投",OR(D70&lt;=0,E70&lt;&gt;0,F70&lt;&gt;0)),"再投填正份额、金额0、费用0",IF(AND(OR(B70="现金分红",B70="红利再投"),K69&lt;=0),"分红或再投前须有持仓",IF(AND(OR(OR(B70="买入",B70="定投",B70="转换转入"),B70="卖出"),OR(D70&lt;=0,E70&lt;=0)),"买卖须填正份额、正金额",IF(AND(B70="卖出",D70&gt;K69+0.000001),"卖出份额超过持仓",IF(AND(OR(B70="买入",B70="定投",B70="转换转入"),F70&gt;=E70)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70="买入",B70="定投",B70="转换转入"),ABS(E70-F70-C70*D70)&gt;持仓总览!$H$6),"买入金额与份额净值不符",IF(AND(B70="卖出",ABS(E70+F70-C70*D70)&gt;持仓总览!$H$6),"到账加费用与赎回市值不符","已计入"))))))))))))))))))))))))))</f>
        <v>已计入</v>
      </c>
      <c r="J70" s="11">
        <f t="shared" si="0"/>
        <v>29.13</v>
      </c>
      <c r="K70" s="11">
        <f t="shared" si="5"/>
        <v>18825.5</v>
      </c>
      <c r="L70" s="11">
        <f t="shared" si="6"/>
        <v>64433.96</v>
      </c>
      <c r="M70" s="11">
        <f t="shared" si="7"/>
        <v>0</v>
      </c>
      <c r="N70" s="11">
        <f>IF(I70="已计入",IF(AND(B70="卖出",持仓总览!$C$7="本金优先"),MAX(0,E70-Q69),IF(OR(B70="卖出",B70="现金分红"),MIN(E70,M70),0)),"")</f>
        <v>0</v>
      </c>
      <c r="O70" s="11">
        <f t="shared" si="8"/>
        <v>0</v>
      </c>
      <c r="P70" s="11">
        <f t="shared" si="9"/>
        <v>0</v>
      </c>
      <c r="Q70" s="11">
        <f t="shared" si="10"/>
        <v>38346.01</v>
      </c>
      <c r="R70" s="11">
        <f t="shared" si="1"/>
        <v>64533.81</v>
      </c>
      <c r="S70" s="11">
        <f t="shared" si="2"/>
        <v>26187.8</v>
      </c>
      <c r="T70" s="12">
        <f t="shared" si="3"/>
        <v>0.682934156643677</v>
      </c>
      <c r="U70" s="11">
        <f t="shared" si="11"/>
        <v>38346.01</v>
      </c>
      <c r="V70" s="11">
        <f t="shared" si="12"/>
        <v>0</v>
      </c>
      <c r="W70" s="11">
        <f t="shared" si="13"/>
        <v>0</v>
      </c>
      <c r="X70" s="11">
        <f t="shared" si="14"/>
        <v>0</v>
      </c>
      <c r="Y70" s="11">
        <f t="shared" si="4"/>
        <v>26187.8</v>
      </c>
      <c r="Z70" s="13">
        <f t="shared" si="15"/>
        <v>46153</v>
      </c>
      <c r="AA70" s="10" t="str">
        <f t="shared" si="16"/>
        <v>正常</v>
      </c>
      <c r="AB70" s="14">
        <f t="shared" si="17"/>
        <v>3.428</v>
      </c>
    </row>
    <row r="71" ht="38" customHeight="1" spans="1:28">
      <c r="A71" s="5">
        <v>46154</v>
      </c>
      <c r="B71" s="6" t="s">
        <v>90</v>
      </c>
      <c r="C71" s="7">
        <v>3.3708</v>
      </c>
      <c r="D71" s="8">
        <v>29.62</v>
      </c>
      <c r="E71" s="8">
        <v>100</v>
      </c>
      <c r="F71" s="8">
        <v>0.15</v>
      </c>
      <c r="G71" s="6" t="s">
        <v>81</v>
      </c>
      <c r="H71" s="9" t="s">
        <v>148</v>
      </c>
      <c r="I71" s="10" t="str">
        <f>IF(COUNTA(A71:H71)=0,"",IF(OR(OR(OR(G71="撤单",G71="交易失败",G71="交易关闭"),G71="交易失败",G71="交易关闭"),G71="交易失败",G71="交易关闭"),"已排除",IF(G71="待确认","待确认",IF(NOT(OR(G71="已确认",G71="历史估算")),"请选择确认状态",IF(NOT(ISNUMBER(A71)),"缺少有效净值日期",IF(OR(A71&lt;=0,A71&lt;&gt;INT(A71)),"净值日期无效",IF(NOT(OR(OR(B71="买入",B71="定投",B71="转换转入"),B71="卖出",B71="现金分红",B71="红利再投")),"请选择交易类型",IF(NOT(ISNUMBER(C71)),"缺少成交净值",IF(C71&lt;=0,"成交净值须大于零",IF(NOT(ISNUMBER(D71)),"缺少确认份额（分红填0）",IF(NOT(ISNUMBER(E71)),"缺少确认金额（再投填0）",IF(NOT(ISNUMBER(F71)),"缺少手续费（无费用填0）",IF(OR(D71&lt;0,E71&lt;0,F71&lt;0),"份额金额费用不能为负",IF(AA70="错误","前行待修正",IF(A71&lt;Z70,"日期需按成交顺序递增",IF(AND(B71="现金分红",OR(D71&lt;&gt;0,E71&lt;=0,F71&lt;&gt;0)),"分红填份额0、费用0、正金额",IF(AND(B71="红利再投",OR(D71&lt;=0,E71&lt;&gt;0,F71&lt;&gt;0)),"再投填正份额、金额0、费用0",IF(AND(OR(B71="现金分红",B71="红利再投"),K70&lt;=0),"分红或再投前须有持仓",IF(AND(OR(OR(B71="买入",B71="定投",B71="转换转入"),B71="卖出"),OR(D71&lt;=0,E71&lt;=0)),"买卖须填正份额、正金额",IF(AND(B71="卖出",D71&gt;K70+0.000001),"卖出份额超过持仓",IF(AND(OR(B71="买入",B71="定投",B71="转换转入"),F71&gt;=E71)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71="买入",B71="定投",B71="转换转入"),ABS(E71-F71-C71*D71)&gt;持仓总览!$H$6),"买入金额与份额净值不符",IF(AND(B71="卖出",ABS(E71+F71-C71*D71)&gt;持仓总览!$H$6),"到账加费用与赎回市值不符","已计入"))))))))))))))))))))))))))</f>
        <v>已计入</v>
      </c>
      <c r="J71" s="11">
        <f t="shared" ref="J71:J134" si="18">IF(AA71="正常",IF(I71="已计入",IF(OR(OR(B71="买入",B71="定投",B71="转换转入"),B71="红利再投"),D71,IF(B71="卖出",-D71,0)),0),"")</f>
        <v>29.62</v>
      </c>
      <c r="K71" s="11">
        <f t="shared" si="5"/>
        <v>18855.12</v>
      </c>
      <c r="L71" s="11">
        <f t="shared" si="6"/>
        <v>63457</v>
      </c>
      <c r="M71" s="11">
        <f t="shared" si="7"/>
        <v>0</v>
      </c>
      <c r="N71" s="11">
        <f>IF(I71="已计入",IF(AND(B71="卖出",持仓总览!$C$7="本金优先"),MAX(0,E71-Q70),IF(OR(B71="卖出",B71="现金分红"),MIN(E71,M71),0)),"")</f>
        <v>0</v>
      </c>
      <c r="O71" s="11">
        <f t="shared" si="8"/>
        <v>0</v>
      </c>
      <c r="P71" s="11">
        <f t="shared" si="9"/>
        <v>0</v>
      </c>
      <c r="Q71" s="11">
        <f t="shared" si="10"/>
        <v>38446.01</v>
      </c>
      <c r="R71" s="11">
        <f t="shared" ref="R71:R134" si="19">IF(I71="已计入",ROUND(K71*C71,2),"")</f>
        <v>63556.84</v>
      </c>
      <c r="S71" s="11">
        <f t="shared" ref="S71:S134" si="20">IF(I71="已计入",ROUND(R71-Q71,2),"")</f>
        <v>25110.83</v>
      </c>
      <c r="T71" s="12">
        <f t="shared" ref="T71:T134" si="21">IF(I71="已计入",IF(Q71=0,"",S71/Q71),"")</f>
        <v>0.653145280875701</v>
      </c>
      <c r="U71" s="11">
        <f t="shared" si="11"/>
        <v>38446.01</v>
      </c>
      <c r="V71" s="11">
        <f t="shared" si="12"/>
        <v>0</v>
      </c>
      <c r="W71" s="11">
        <f t="shared" si="13"/>
        <v>0</v>
      </c>
      <c r="X71" s="11">
        <f t="shared" si="14"/>
        <v>0</v>
      </c>
      <c r="Y71" s="11">
        <f t="shared" ref="Y71:Y134" si="22">IF(I71="已计入",ROUND(R71+V71-U71,2),"")</f>
        <v>25110.83</v>
      </c>
      <c r="Z71" s="13">
        <f t="shared" si="15"/>
        <v>46154</v>
      </c>
      <c r="AA71" s="10" t="str">
        <f t="shared" si="16"/>
        <v>正常</v>
      </c>
      <c r="AB71" s="14">
        <f t="shared" si="17"/>
        <v>3.3708</v>
      </c>
    </row>
    <row r="72" ht="38" customHeight="1" spans="1:28">
      <c r="A72" s="5">
        <v>46155</v>
      </c>
      <c r="B72" s="6" t="s">
        <v>90</v>
      </c>
      <c r="C72" s="7">
        <v>3.4695</v>
      </c>
      <c r="D72" s="8">
        <v>28.78</v>
      </c>
      <c r="E72" s="8">
        <v>100</v>
      </c>
      <c r="F72" s="8">
        <v>0.15</v>
      </c>
      <c r="G72" s="6" t="s">
        <v>81</v>
      </c>
      <c r="H72" s="9" t="s">
        <v>149</v>
      </c>
      <c r="I72" s="10" t="str">
        <f>IF(COUNTA(A72:H72)=0,"",IF(OR(OR(OR(G72="撤单",G72="交易失败",G72="交易关闭"),G72="交易失败",G72="交易关闭"),G72="交易失败",G72="交易关闭"),"已排除",IF(G72="待确认","待确认",IF(NOT(OR(G72="已确认",G72="历史估算")),"请选择确认状态",IF(NOT(ISNUMBER(A72)),"缺少有效净值日期",IF(OR(A72&lt;=0,A72&lt;&gt;INT(A72)),"净值日期无效",IF(NOT(OR(OR(B72="买入",B72="定投",B72="转换转入"),B72="卖出",B72="现金分红",B72="红利再投")),"请选择交易类型",IF(NOT(ISNUMBER(C72)),"缺少成交净值",IF(C72&lt;=0,"成交净值须大于零",IF(NOT(ISNUMBER(D72)),"缺少确认份额（分红填0）",IF(NOT(ISNUMBER(E72)),"缺少确认金额（再投填0）",IF(NOT(ISNUMBER(F72)),"缺少手续费（无费用填0）",IF(OR(D72&lt;0,E72&lt;0,F72&lt;0),"份额金额费用不能为负",IF(AA71="错误","前行待修正",IF(A72&lt;Z71,"日期需按成交顺序递增",IF(AND(B72="现金分红",OR(D72&lt;&gt;0,E72&lt;=0,F72&lt;&gt;0)),"分红填份额0、费用0、正金额",IF(AND(B72="红利再投",OR(D72&lt;=0,E72&lt;&gt;0,F72&lt;&gt;0)),"再投填正份额、金额0、费用0",IF(AND(OR(B72="现金分红",B72="红利再投"),K71&lt;=0),"分红或再投前须有持仓",IF(AND(OR(OR(B72="买入",B72="定投",B72="转换转入"),B72="卖出"),OR(D72&lt;=0,E72&lt;=0)),"买卖须填正份额、正金额",IF(AND(B72="卖出",D72&gt;K71+0.000001),"卖出份额超过持仓",IF(AND(OR(B72="买入",B72="定投",B72="转换转入"),F72&gt;=E72)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72="买入",B72="定投",B72="转换转入"),ABS(E72-F72-C72*D72)&gt;持仓总览!$H$6),"买入金额与份额净值不符",IF(AND(B72="卖出",ABS(E72+F72-C72*D72)&gt;持仓总览!$H$6),"到账加费用与赎回市值不符","已计入"))))))))))))))))))))))))))</f>
        <v>已计入</v>
      </c>
      <c r="J72" s="11">
        <f t="shared" si="18"/>
        <v>28.78</v>
      </c>
      <c r="K72" s="11">
        <f t="shared" ref="K72:K135" si="23">IF(AA72="正常",ROUND(K71+J72,6),"")</f>
        <v>18883.9</v>
      </c>
      <c r="L72" s="11">
        <f t="shared" ref="L72:L135" si="24">IF(I72="已计入",ROUND(K71*C72,2),"")</f>
        <v>65417.84</v>
      </c>
      <c r="M72" s="11">
        <f t="shared" ref="M72:M135" si="25">IF(I72="已计入",IF(B72="卖出",MAX(0,L72-Q71-F72),IF(B72="现金分红",MAX(0,L72+E72-Q71),0)),"")</f>
        <v>0</v>
      </c>
      <c r="N72" s="11">
        <f>IF(I72="已计入",IF(AND(B72="卖出",持仓总览!$C$7="本金优先"),MAX(0,E72-Q71),IF(OR(B72="卖出",B72="现金分红"),MIN(E72,M72),0)),"")</f>
        <v>0</v>
      </c>
      <c r="O72" s="11">
        <f t="shared" ref="O72:O135" si="26">IF(I72="已计入",IF(OR(B72="卖出",B72="现金分红"),MIN(Q71,MAX(0,E72-N72)),0),"")</f>
        <v>0</v>
      </c>
      <c r="P72" s="11">
        <f t="shared" ref="P72:P135" si="27">IF(I72="已计入",IF(AND(B72="卖出",K72=0),MAX(0,Q71-O72),0),"")</f>
        <v>0</v>
      </c>
      <c r="Q72" s="11">
        <f t="shared" ref="Q72:Q135" si="28">IF(AA72="正常",IF(I72="已计入",ROUND(Q71+IF(OR(B72="买入",B72="定投",B72="转换转入"),E72,0)-O72-P72,2),Q71),"")</f>
        <v>38546.01</v>
      </c>
      <c r="R72" s="11">
        <f t="shared" si="19"/>
        <v>65517.69</v>
      </c>
      <c r="S72" s="11">
        <f t="shared" si="20"/>
        <v>26971.68</v>
      </c>
      <c r="T72" s="12">
        <f t="shared" si="21"/>
        <v>0.69972689780343</v>
      </c>
      <c r="U72" s="11">
        <f t="shared" ref="U72:U135" si="29">IF(AA72="正常",U71+IF(AND(I72="已计入",OR(B72="买入",B72="定投",B72="转换转入")),E72,0),"")</f>
        <v>38546.01</v>
      </c>
      <c r="V72" s="11">
        <f t="shared" ref="V72:V135" si="30">IF(AA72="正常",V71+IF(AND(I72="已计入",OR(B72="卖出",B72="现金分红")),E72,0),"")</f>
        <v>0</v>
      </c>
      <c r="W72" s="11">
        <f t="shared" ref="W72:W135" si="31">IF(AA72="正常",W71+IF(I72="已计入",N72,0),"")</f>
        <v>0</v>
      </c>
      <c r="X72" s="11">
        <f t="shared" ref="X72:X135" si="32">IF(AA72="正常",X71+IF(I72="已计入",P72,0),"")</f>
        <v>0</v>
      </c>
      <c r="Y72" s="11">
        <f t="shared" si="22"/>
        <v>26971.68</v>
      </c>
      <c r="Z72" s="13">
        <f t="shared" ref="Z72:Z135" si="33">IF(AA72="正常",IF(I72="已计入",A72,Z71),"")</f>
        <v>46155</v>
      </c>
      <c r="AA72" s="10" t="str">
        <f t="shared" ref="AA72:AA135" si="34">IF(OR(AA71="错误",AND(I72&lt;&gt;"",I72&lt;&gt;"已排除",I72&lt;&gt;"待确认",I72&lt;&gt;"已计入")),"错误","正常")</f>
        <v>正常</v>
      </c>
      <c r="AB72" s="14">
        <f t="shared" ref="AB72:AB135" si="35">IF(AA72="正常",IF(I72="已计入",C72,AB71),"")</f>
        <v>3.4695</v>
      </c>
    </row>
    <row r="73" ht="38" customHeight="1" spans="1:28">
      <c r="A73" s="5">
        <v>46156</v>
      </c>
      <c r="B73" s="6" t="s">
        <v>90</v>
      </c>
      <c r="C73" s="7">
        <v>3.46</v>
      </c>
      <c r="D73" s="8">
        <v>28.86</v>
      </c>
      <c r="E73" s="8">
        <v>100</v>
      </c>
      <c r="F73" s="8">
        <v>0.15</v>
      </c>
      <c r="G73" s="6" t="s">
        <v>81</v>
      </c>
      <c r="H73" s="9" t="s">
        <v>150</v>
      </c>
      <c r="I73" s="10" t="str">
        <f>IF(COUNTA(A73:H73)=0,"",IF(OR(OR(OR(G73="撤单",G73="交易失败",G73="交易关闭"),G73="交易失败",G73="交易关闭"),G73="交易失败",G73="交易关闭"),"已排除",IF(G73="待确认","待确认",IF(NOT(OR(G73="已确认",G73="历史估算")),"请选择确认状态",IF(NOT(ISNUMBER(A73)),"缺少有效净值日期",IF(OR(A73&lt;=0,A73&lt;&gt;INT(A73)),"净值日期无效",IF(NOT(OR(OR(B73="买入",B73="定投",B73="转换转入"),B73="卖出",B73="现金分红",B73="红利再投")),"请选择交易类型",IF(NOT(ISNUMBER(C73)),"缺少成交净值",IF(C73&lt;=0,"成交净值须大于零",IF(NOT(ISNUMBER(D73)),"缺少确认份额（分红填0）",IF(NOT(ISNUMBER(E73)),"缺少确认金额（再投填0）",IF(NOT(ISNUMBER(F73)),"缺少手续费（无费用填0）",IF(OR(D73&lt;0,E73&lt;0,F73&lt;0),"份额金额费用不能为负",IF(AA72="错误","前行待修正",IF(A73&lt;Z72,"日期需按成交顺序递增",IF(AND(B73="现金分红",OR(D73&lt;&gt;0,E73&lt;=0,F73&lt;&gt;0)),"分红填份额0、费用0、正金额",IF(AND(B73="红利再投",OR(D73&lt;=0,E73&lt;&gt;0,F73&lt;&gt;0)),"再投填正份额、金额0、费用0",IF(AND(OR(B73="现金分红",B73="红利再投"),K72&lt;=0),"分红或再投前须有持仓",IF(AND(OR(OR(B73="买入",B73="定投",B73="转换转入"),B73="卖出"),OR(D73&lt;=0,E73&lt;=0)),"买卖须填正份额、正金额",IF(AND(B73="卖出",D73&gt;K72+0.000001),"卖出份额超过持仓",IF(AND(OR(B73="买入",B73="定投",B73="转换转入"),F73&gt;=E73)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73="买入",B73="定投",B73="转换转入"),ABS(E73-F73-C73*D73)&gt;持仓总览!$H$6),"买入金额与份额净值不符",IF(AND(B73="卖出",ABS(E73+F73-C73*D73)&gt;持仓总览!$H$6),"到账加费用与赎回市值不符","已计入"))))))))))))))))))))))))))</f>
        <v>已计入</v>
      </c>
      <c r="J73" s="11">
        <f t="shared" si="18"/>
        <v>28.86</v>
      </c>
      <c r="K73" s="11">
        <f t="shared" si="23"/>
        <v>18912.76</v>
      </c>
      <c r="L73" s="11">
        <f t="shared" si="24"/>
        <v>65338.29</v>
      </c>
      <c r="M73" s="11">
        <f t="shared" si="25"/>
        <v>0</v>
      </c>
      <c r="N73" s="11">
        <f>IF(I73="已计入",IF(AND(B73="卖出",持仓总览!$C$7="本金优先"),MAX(0,E73-Q72),IF(OR(B73="卖出",B73="现金分红"),MIN(E73,M73),0)),"")</f>
        <v>0</v>
      </c>
      <c r="O73" s="11">
        <f t="shared" si="26"/>
        <v>0</v>
      </c>
      <c r="P73" s="11">
        <f t="shared" si="27"/>
        <v>0</v>
      </c>
      <c r="Q73" s="11">
        <f t="shared" si="28"/>
        <v>38646.01</v>
      </c>
      <c r="R73" s="11">
        <f t="shared" si="19"/>
        <v>65438.15</v>
      </c>
      <c r="S73" s="11">
        <f t="shared" si="20"/>
        <v>26792.14</v>
      </c>
      <c r="T73" s="12">
        <f t="shared" si="21"/>
        <v>0.693270534267315</v>
      </c>
      <c r="U73" s="11">
        <f t="shared" si="29"/>
        <v>38646.01</v>
      </c>
      <c r="V73" s="11">
        <f t="shared" si="30"/>
        <v>0</v>
      </c>
      <c r="W73" s="11">
        <f t="shared" si="31"/>
        <v>0</v>
      </c>
      <c r="X73" s="11">
        <f t="shared" si="32"/>
        <v>0</v>
      </c>
      <c r="Y73" s="11">
        <f t="shared" si="22"/>
        <v>26792.14</v>
      </c>
      <c r="Z73" s="13">
        <f t="shared" si="33"/>
        <v>46156</v>
      </c>
      <c r="AA73" s="10" t="str">
        <f t="shared" si="34"/>
        <v>正常</v>
      </c>
      <c r="AB73" s="14">
        <f t="shared" si="35"/>
        <v>3.46</v>
      </c>
    </row>
    <row r="74" ht="38" customHeight="1" spans="1:28">
      <c r="A74" s="5">
        <v>46157</v>
      </c>
      <c r="B74" s="6" t="s">
        <v>90</v>
      </c>
      <c r="C74" s="7">
        <v>3.3486</v>
      </c>
      <c r="D74" s="8">
        <v>29.82</v>
      </c>
      <c r="E74" s="8">
        <v>100</v>
      </c>
      <c r="F74" s="8">
        <v>0.15</v>
      </c>
      <c r="G74" s="6" t="s">
        <v>81</v>
      </c>
      <c r="H74" s="9" t="s">
        <v>151</v>
      </c>
      <c r="I74" s="10" t="str">
        <f>IF(COUNTA(A74:H74)=0,"",IF(OR(OR(OR(G74="撤单",G74="交易失败",G74="交易关闭"),G74="交易失败",G74="交易关闭"),G74="交易失败",G74="交易关闭"),"已排除",IF(G74="待确认","待确认",IF(NOT(OR(G74="已确认",G74="历史估算")),"请选择确认状态",IF(NOT(ISNUMBER(A74)),"缺少有效净值日期",IF(OR(A74&lt;=0,A74&lt;&gt;INT(A74)),"净值日期无效",IF(NOT(OR(OR(B74="买入",B74="定投",B74="转换转入"),B74="卖出",B74="现金分红",B74="红利再投")),"请选择交易类型",IF(NOT(ISNUMBER(C74)),"缺少成交净值",IF(C74&lt;=0,"成交净值须大于零",IF(NOT(ISNUMBER(D74)),"缺少确认份额（分红填0）",IF(NOT(ISNUMBER(E74)),"缺少确认金额（再投填0）",IF(NOT(ISNUMBER(F74)),"缺少手续费（无费用填0）",IF(OR(D74&lt;0,E74&lt;0,F74&lt;0),"份额金额费用不能为负",IF(AA73="错误","前行待修正",IF(A74&lt;Z73,"日期需按成交顺序递增",IF(AND(B74="现金分红",OR(D74&lt;&gt;0,E74&lt;=0,F74&lt;&gt;0)),"分红填份额0、费用0、正金额",IF(AND(B74="红利再投",OR(D74&lt;=0,E74&lt;&gt;0,F74&lt;&gt;0)),"再投填正份额、金额0、费用0",IF(AND(OR(B74="现金分红",B74="红利再投"),K73&lt;=0),"分红或再投前须有持仓",IF(AND(OR(OR(B74="买入",B74="定投",B74="转换转入"),B74="卖出"),OR(D74&lt;=0,E74&lt;=0)),"买卖须填正份额、正金额",IF(AND(B74="卖出",D74&gt;K73+0.000001),"卖出份额超过持仓",IF(AND(OR(B74="买入",B74="定投",B74="转换转入"),F74&gt;=E74)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74="买入",B74="定投",B74="转换转入"),ABS(E74-F74-C74*D74)&gt;持仓总览!$H$6),"买入金额与份额净值不符",IF(AND(B74="卖出",ABS(E74+F74-C74*D74)&gt;持仓总览!$H$6),"到账加费用与赎回市值不符","已计入"))))))))))))))))))))))))))</f>
        <v>已计入</v>
      </c>
      <c r="J74" s="11">
        <f t="shared" si="18"/>
        <v>29.82</v>
      </c>
      <c r="K74" s="11">
        <f t="shared" si="23"/>
        <v>18942.58</v>
      </c>
      <c r="L74" s="11">
        <f t="shared" si="24"/>
        <v>63331.27</v>
      </c>
      <c r="M74" s="11">
        <f t="shared" si="25"/>
        <v>0</v>
      </c>
      <c r="N74" s="11">
        <f>IF(I74="已计入",IF(AND(B74="卖出",持仓总览!$C$7="本金优先"),MAX(0,E74-Q73),IF(OR(B74="卖出",B74="现金分红"),MIN(E74,M74),0)),"")</f>
        <v>0</v>
      </c>
      <c r="O74" s="11">
        <f t="shared" si="26"/>
        <v>0</v>
      </c>
      <c r="P74" s="11">
        <f t="shared" si="27"/>
        <v>0</v>
      </c>
      <c r="Q74" s="11">
        <f t="shared" si="28"/>
        <v>38746.01</v>
      </c>
      <c r="R74" s="11">
        <f t="shared" si="19"/>
        <v>63431.12</v>
      </c>
      <c r="S74" s="11">
        <f t="shared" si="20"/>
        <v>24685.11</v>
      </c>
      <c r="T74" s="12">
        <f t="shared" si="21"/>
        <v>0.63710069759441</v>
      </c>
      <c r="U74" s="11">
        <f t="shared" si="29"/>
        <v>38746.01</v>
      </c>
      <c r="V74" s="11">
        <f t="shared" si="30"/>
        <v>0</v>
      </c>
      <c r="W74" s="11">
        <f t="shared" si="31"/>
        <v>0</v>
      </c>
      <c r="X74" s="11">
        <f t="shared" si="32"/>
        <v>0</v>
      </c>
      <c r="Y74" s="11">
        <f t="shared" si="22"/>
        <v>24685.11</v>
      </c>
      <c r="Z74" s="13">
        <f t="shared" si="33"/>
        <v>46157</v>
      </c>
      <c r="AA74" s="10" t="str">
        <f t="shared" si="34"/>
        <v>正常</v>
      </c>
      <c r="AB74" s="14">
        <f t="shared" si="35"/>
        <v>3.3486</v>
      </c>
    </row>
    <row r="75" ht="38" customHeight="1" spans="1:28">
      <c r="A75" s="5">
        <v>46160</v>
      </c>
      <c r="B75" s="6" t="s">
        <v>90</v>
      </c>
      <c r="C75" s="7">
        <v>3.289</v>
      </c>
      <c r="D75" s="8">
        <v>30.36</v>
      </c>
      <c r="E75" s="8">
        <v>100</v>
      </c>
      <c r="F75" s="8">
        <v>0.15</v>
      </c>
      <c r="G75" s="6" t="s">
        <v>81</v>
      </c>
      <c r="H75" s="9" t="s">
        <v>152</v>
      </c>
      <c r="I75" s="10" t="str">
        <f>IF(COUNTA(A75:H75)=0,"",IF(OR(OR(OR(G75="撤单",G75="交易失败",G75="交易关闭"),G75="���易失败",G75="交易关闭"),G75="交易失败",G75="交易关闭"),"已排除",IF(G75="待确认","待确认",IF(NOT(OR(G75="已确认",G75="历史估算")),"请选择确认状态",IF(NOT(ISNUMBER(A75)),"缺少有效净值日期",IF(OR(A75&lt;=0,A75&lt;&gt;INT(A75)),"净值日期无效",IF(NOT(OR(OR(B75="买入",B75="定投",B75="转换转入"),B75="卖出",B75="现金分红",B75="红利再投")),"请选择交易类型",IF(NOT(ISNUMBER(C75)),"缺少成交净值",IF(C75&lt;=0,"成交净值须大于零",IF(NOT(ISNUMBER(D75)),"缺少确认份额（分红填0）",IF(NOT(ISNUMBER(E75)),"缺少确认金额（再投填0）",IF(NOT(ISNUMBER(F75)),"缺少手续费（无费用填0）",IF(OR(D75&lt;0,E75&lt;0,F75&lt;0),"份额金额费用不能为负",IF(AA74="错误","前行待修正",IF(A75&lt;Z74,"日期需按成交顺序递增",IF(AND(B75="现金分红",OR(D75&lt;&gt;0,E75&lt;=0,F75&lt;&gt;0)),"分红填份额0、费用0、正金额",IF(AND(B75="红利再投",OR(D75&lt;=0,E75&lt;&gt;0,F75&lt;&gt;0)),"再投填正份额、金额0、费用0",IF(AND(OR(B75="现金分红",B75="红利再投"),K74&lt;=0),"分红或再投前须有持仓",IF(AND(OR(OR(B75="买入",B75="定投",B75="转换转入"),B75="卖出"),OR(D75&lt;=0,E75&lt;=0)),"买卖须填正份额、正金额",IF(AND(B75="卖出",D75&gt;K74+0.000001),"卖出份额超过持仓",IF(AND(OR(B75="买入",B75="定投",B75="转换转入"),F75&gt;=E75)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75="买入",B75="定投",B75="转换转入"),ABS(E75-F75-C75*D75)&gt;持仓总览!$H$6),"买入金额与份额净值不符",IF(AND(B75="卖出",ABS(E75+F75-C75*D75)&gt;持仓总览!$H$6),"到账加费用与赎回市值不符","已计入"))))))))))))))))))))))))))</f>
        <v>已计入</v>
      </c>
      <c r="J75" s="11">
        <f t="shared" si="18"/>
        <v>30.36</v>
      </c>
      <c r="K75" s="11">
        <f t="shared" si="23"/>
        <v>18972.94</v>
      </c>
      <c r="L75" s="11">
        <f t="shared" si="24"/>
        <v>62302.15</v>
      </c>
      <c r="M75" s="11">
        <f t="shared" si="25"/>
        <v>0</v>
      </c>
      <c r="N75" s="11">
        <f>IF(I75="已计入",IF(AND(B75="卖出",持仓总览!$C$7="本金优先"),MAX(0,E75-Q74),IF(OR(B75="卖出",B75="现金分红"),MIN(E75,M75),0)),"")</f>
        <v>0</v>
      </c>
      <c r="O75" s="11">
        <f t="shared" si="26"/>
        <v>0</v>
      </c>
      <c r="P75" s="11">
        <f t="shared" si="27"/>
        <v>0</v>
      </c>
      <c r="Q75" s="11">
        <f t="shared" si="28"/>
        <v>38846.01</v>
      </c>
      <c r="R75" s="11">
        <f t="shared" si="19"/>
        <v>62402</v>
      </c>
      <c r="S75" s="11">
        <f t="shared" si="20"/>
        <v>23555.99</v>
      </c>
      <c r="T75" s="12">
        <f t="shared" si="21"/>
        <v>0.606394067241398</v>
      </c>
      <c r="U75" s="11">
        <f t="shared" si="29"/>
        <v>38846.01</v>
      </c>
      <c r="V75" s="11">
        <f t="shared" si="30"/>
        <v>0</v>
      </c>
      <c r="W75" s="11">
        <f t="shared" si="31"/>
        <v>0</v>
      </c>
      <c r="X75" s="11">
        <f t="shared" si="32"/>
        <v>0</v>
      </c>
      <c r="Y75" s="11">
        <f t="shared" si="22"/>
        <v>23555.99</v>
      </c>
      <c r="Z75" s="13">
        <f t="shared" si="33"/>
        <v>46160</v>
      </c>
      <c r="AA75" s="10" t="str">
        <f t="shared" si="34"/>
        <v>正常</v>
      </c>
      <c r="AB75" s="14">
        <f t="shared" si="35"/>
        <v>3.289</v>
      </c>
    </row>
    <row r="76" ht="38" customHeight="1" spans="1:28">
      <c r="A76" s="5">
        <v>46161</v>
      </c>
      <c r="B76" s="6" t="s">
        <v>90</v>
      </c>
      <c r="C76" s="7">
        <v>3.2976</v>
      </c>
      <c r="D76" s="8">
        <v>30.28</v>
      </c>
      <c r="E76" s="8">
        <v>100</v>
      </c>
      <c r="F76" s="8">
        <v>0.15</v>
      </c>
      <c r="G76" s="6" t="s">
        <v>81</v>
      </c>
      <c r="H76" s="9" t="s">
        <v>153</v>
      </c>
      <c r="I76" s="10" t="str">
        <f>IF(COUNTA(A76:H76)=0,"",IF(OR(OR(OR(G76="撤单",G76="交易失败",G76="交易关闭"),G76="交易失败",G76="交易关闭"),G76="交易失败",G76="交易关闭"),"已排除",IF(G76="待确认","待确认",IF(NOT(OR(G76="已确认",G76="历史估算")),"请选择确认状态",IF(NOT(ISNUMBER(A76)),"缺少有效净值日期",IF(OR(A76&lt;=0,A76&lt;&gt;INT(A76)),"净值日期无效",IF(NOT(OR(OR(B76="买入",B76="定投",B76="转换转入"),B76="卖出",B76="现金分红",B76="红利再投")),"请选择交易类型",IF(NOT(ISNUMBER(C76)),"缺少成交净值",IF(C76&lt;=0,"成交净值须大于零",IF(NOT(ISNUMBER(D76)),"缺少确认份额（分红填0）",IF(NOT(ISNUMBER(E76)),"缺少确认金额（再投填0）",IF(NOT(ISNUMBER(F76)),"缺少手续费（无费用填0）",IF(OR(D76&lt;0,E76&lt;0,F76&lt;0),"份额金额费用不能为负",IF(AA75="错误","前行待修正",IF(A76&lt;Z75,"日期需按成交顺序递增",IF(AND(B76="现金分红",OR(D76&lt;&gt;0,E76&lt;=0,F76&lt;&gt;0)),"分红填份额0、费用0、正金额",IF(AND(B76="红利再投",OR(D76&lt;=0,E76&lt;&gt;0,F76&lt;&gt;0)),"再投填正份额、金额0、费用0",IF(AND(OR(B76="现金分红",B76="红利再投"),K75&lt;=0),"分红或再投前须有持仓",IF(AND(OR(OR(B76="买入",B76="定投",B76="转换转入"),B76="卖出"),OR(D76&lt;=0,E76&lt;=0)),"买卖须填正份额、正金额",IF(AND(B76="卖出",D76&gt;K75+0.000001),"卖出份额超过持仓",IF(AND(OR(B76="买入",B76="定投",B76="转换转入"),F76&gt;=E76)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76="买入",B76="定投",B76="转换转入"),ABS(E76-F76-C76*D76)&gt;持仓总览!$H$6),"买入金额与份额净值不符",IF(AND(B76="卖出",ABS(E76+F76-C76*D76)&gt;持仓总览!$H$6),"到账加费用与赎回市值不符","已计入"))))))))))))))))))))))))))</f>
        <v>已计入</v>
      </c>
      <c r="J76" s="11">
        <f t="shared" si="18"/>
        <v>30.28</v>
      </c>
      <c r="K76" s="11">
        <f t="shared" si="23"/>
        <v>19003.22</v>
      </c>
      <c r="L76" s="11">
        <f t="shared" si="24"/>
        <v>62565.17</v>
      </c>
      <c r="M76" s="11">
        <f t="shared" si="25"/>
        <v>0</v>
      </c>
      <c r="N76" s="11">
        <f>IF(I76="已计入",IF(AND(B76="卖出",持仓总览!$C$7="本金优先"),MAX(0,E76-Q75),IF(OR(B76="卖出",B76="现金分红"),MIN(E76,M76),0)),"")</f>
        <v>0</v>
      </c>
      <c r="O76" s="11">
        <f t="shared" si="26"/>
        <v>0</v>
      </c>
      <c r="P76" s="11">
        <f t="shared" si="27"/>
        <v>0</v>
      </c>
      <c r="Q76" s="11">
        <f t="shared" si="28"/>
        <v>38946.01</v>
      </c>
      <c r="R76" s="11">
        <f t="shared" si="19"/>
        <v>62665.02</v>
      </c>
      <c r="S76" s="11">
        <f t="shared" si="20"/>
        <v>23719.01</v>
      </c>
      <c r="T76" s="12">
        <f t="shared" si="21"/>
        <v>0.609022849837506</v>
      </c>
      <c r="U76" s="11">
        <f t="shared" si="29"/>
        <v>38946.01</v>
      </c>
      <c r="V76" s="11">
        <f t="shared" si="30"/>
        <v>0</v>
      </c>
      <c r="W76" s="11">
        <f t="shared" si="31"/>
        <v>0</v>
      </c>
      <c r="X76" s="11">
        <f t="shared" si="32"/>
        <v>0</v>
      </c>
      <c r="Y76" s="11">
        <f t="shared" si="22"/>
        <v>23719.01</v>
      </c>
      <c r="Z76" s="13">
        <f t="shared" si="33"/>
        <v>46161</v>
      </c>
      <c r="AA76" s="10" t="str">
        <f t="shared" si="34"/>
        <v>正常</v>
      </c>
      <c r="AB76" s="14">
        <f t="shared" si="35"/>
        <v>3.2976</v>
      </c>
    </row>
    <row r="77" ht="38" customHeight="1" spans="1:28">
      <c r="A77" s="5">
        <v>46162</v>
      </c>
      <c r="B77" s="6" t="s">
        <v>90</v>
      </c>
      <c r="C77" s="7">
        <v>3.3782</v>
      </c>
      <c r="D77" s="8">
        <v>29.56</v>
      </c>
      <c r="E77" s="8">
        <v>100</v>
      </c>
      <c r="F77" s="8">
        <v>0.15</v>
      </c>
      <c r="G77" s="6" t="s">
        <v>81</v>
      </c>
      <c r="H77" s="9" t="s">
        <v>154</v>
      </c>
      <c r="I77" s="10" t="str">
        <f>IF(COUNTA(A77:H77)=0,"",IF(OR(OR(OR(G77="撤单",G77="交易失败",G77="交易关闭"),G77="交易失败",G77="交易关闭"),G77="交易失败",G77="交易关闭"),"已排除",IF(G77="待确认","待确认",IF(NOT(OR(G77="已确认",G77="历史估算")),"请选择确认状态",IF(NOT(ISNUMBER(A77)),"缺少有效净值日期",IF(OR(A77&lt;=0,A77&lt;&gt;INT(A77)),"净值日期无效",IF(NOT(OR(OR(B77="买入",B77="定投",B77="转换转入"),B77="卖出",B77="现金分红",B77="红利再投")),"请选择交易类型",IF(NOT(ISNUMBER(C77)),"缺少成交净值",IF(C77&lt;=0,"成交净值须大于零",IF(NOT(ISNUMBER(D77)),"缺少确认份额（分红填0）",IF(NOT(ISNUMBER(E77)),"缺少确认金额（再投填0）",IF(NOT(ISNUMBER(F77)),"缺少手续费（无费用填0）",IF(OR(D77&lt;0,E77&lt;0,F77&lt;0),"份额金额费用不能为负",IF(AA76="错误","前行待修正",IF(A77&lt;Z76,"日期需按成交顺序递增",IF(AND(B77="现金分红",OR(D77&lt;&gt;0,E77&lt;=0,F77&lt;&gt;0)),"分红填份额0、费用0、正金额",IF(AND(B77="红利再投",OR(D77&lt;=0,E77&lt;&gt;0,F77&lt;&gt;0)),"再投填正份额、金额0、费用0",IF(AND(OR(B77="现金分红",B77="红利再投"),K76&lt;=0),"分红或再投前须有持仓",IF(AND(OR(OR(B77="买入",B77="定投",B77="转换转入"),B77="卖出"),OR(D77&lt;=0,E77&lt;=0)),"买卖须填正份额、正金额",IF(AND(B77="卖出",D77&gt;K76+0.000001),"卖出份额超过持仓",IF(AND(OR(B77="买入",B77="定投",B77="转换转入"),F77&gt;=E77)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77="买入",B77="定投",B77="转换转入"),ABS(E77-F77-C77*D77)&gt;持仓总览!$H$6),"买入金额与份额净值不符",IF(AND(B77="卖出",ABS(E77+F77-C77*D77)&gt;持仓总览!$H$6),"到账加费用与赎回市值不符","已计入"))))))))))))))))))))))))))</f>
        <v>已计入</v>
      </c>
      <c r="J77" s="11">
        <f t="shared" si="18"/>
        <v>29.56</v>
      </c>
      <c r="K77" s="11">
        <f t="shared" si="23"/>
        <v>19032.78</v>
      </c>
      <c r="L77" s="11">
        <f t="shared" si="24"/>
        <v>64196.68</v>
      </c>
      <c r="M77" s="11">
        <f t="shared" si="25"/>
        <v>0</v>
      </c>
      <c r="N77" s="11">
        <f>IF(I77="已计入",IF(AND(B77="卖出",持仓总览!$C$7="本金优先"),MAX(0,E77-Q76),IF(OR(B77="卖出",B77="现金分红"),MIN(E77,M77),0)),"")</f>
        <v>0</v>
      </c>
      <c r="O77" s="11">
        <f t="shared" si="26"/>
        <v>0</v>
      </c>
      <c r="P77" s="11">
        <f t="shared" si="27"/>
        <v>0</v>
      </c>
      <c r="Q77" s="11">
        <f t="shared" si="28"/>
        <v>39046.01</v>
      </c>
      <c r="R77" s="11">
        <f t="shared" si="19"/>
        <v>64296.54</v>
      </c>
      <c r="S77" s="11">
        <f t="shared" si="20"/>
        <v>25250.53</v>
      </c>
      <c r="T77" s="12">
        <f t="shared" si="21"/>
        <v>0.646686562852389</v>
      </c>
      <c r="U77" s="11">
        <f t="shared" si="29"/>
        <v>39046.01</v>
      </c>
      <c r="V77" s="11">
        <f t="shared" si="30"/>
        <v>0</v>
      </c>
      <c r="W77" s="11">
        <f t="shared" si="31"/>
        <v>0</v>
      </c>
      <c r="X77" s="11">
        <f t="shared" si="32"/>
        <v>0</v>
      </c>
      <c r="Y77" s="11">
        <f t="shared" si="22"/>
        <v>25250.53</v>
      </c>
      <c r="Z77" s="13">
        <f t="shared" si="33"/>
        <v>46162</v>
      </c>
      <c r="AA77" s="10" t="str">
        <f t="shared" si="34"/>
        <v>正常</v>
      </c>
      <c r="AB77" s="14">
        <f t="shared" si="35"/>
        <v>3.3782</v>
      </c>
    </row>
    <row r="78" ht="38" customHeight="1" spans="1:28">
      <c r="A78" s="5">
        <v>46163</v>
      </c>
      <c r="B78" s="6" t="s">
        <v>90</v>
      </c>
      <c r="C78" s="7">
        <v>3.359</v>
      </c>
      <c r="D78" s="8">
        <v>2.97</v>
      </c>
      <c r="E78" s="8">
        <v>10</v>
      </c>
      <c r="F78" s="8">
        <v>0.02</v>
      </c>
      <c r="G78" s="6" t="s">
        <v>81</v>
      </c>
      <c r="H78" s="9" t="s">
        <v>155</v>
      </c>
      <c r="I78" s="10" t="str">
        <f>IF(COUNTA(A78:H78)=0,"",IF(OR(OR(OR(G78="撤单",G78="交易失败",G78="交易关闭"),G78="交易失败",G78="交易关闭"),G78="交易失败",G78="交易关闭"),"已排除",IF(G78="待确认","待确认",IF(NOT(OR(G78="已确认",G78="历史估算")),"请选择确认状态",IF(NOT(ISNUMBER(A78)),"缺少有效净值日期",IF(OR(A78&lt;=0,A78&lt;&gt;INT(A78)),"净值日期无效",IF(NOT(OR(OR(B78="买入",B78="定投",B78="转换转入"),B78="卖出",B78="现金分红",B78="红利再投")),"请选择交易类型",IF(NOT(ISNUMBER(C78)),"缺少成交净值",IF(C78&lt;=0,"成交净值须大于零",IF(NOT(ISNUMBER(D78)),"缺少确认份额（分红填0）",IF(NOT(ISNUMBER(E78)),"缺少确认金额（再投填0）",IF(NOT(ISNUMBER(F78)),"缺少手续费（无费用填0）",IF(OR(D78&lt;0,E78&lt;0,F78&lt;0),"份额金额费用不能为负",IF(AA77="错误","前行待修正",IF(A78&lt;Z77,"日期需按成交顺序递增",IF(AND(B78="现金分红",OR(D78&lt;&gt;0,E78&lt;=0,F78&lt;&gt;0)),"分红填份额0、费用0、正金额",IF(AND(B78="红利再投",OR(D78&lt;=0,E78&lt;&gt;0,F78&lt;&gt;0)),"再投填正份额、金额0、费用0",IF(AND(OR(B78="现金分红",B78="红利再投"),K77&lt;=0),"分红或再投前须有持仓",IF(AND(OR(OR(B78="买入",B78="定投",B78="转换转入"),B78="卖出"),OR(D78&lt;=0,E78&lt;=0)),"买卖须填正份额、正金额",IF(AND(B78="卖出",D78&gt;K77+0.000001),"卖出份额超过持仓",IF(AND(OR(B78="买入",B78="定投",B78="转换转入"),F78&gt;=E78)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78="买入",B78="定投",B78="转换转入"),ABS(E78-F78-C78*D78)&gt;持仓总览!$H$6),"买入金额与份额净值不符",IF(AND(B78="卖出",ABS(E78+F78-C78*D78)&gt;持仓总览!$H$6),"到账加费用与赎回市值不符","已计入"))))))))))))))))))))))))))</f>
        <v>已计入</v>
      </c>
      <c r="J78" s="11">
        <f t="shared" si="18"/>
        <v>2.97</v>
      </c>
      <c r="K78" s="11">
        <f t="shared" si="23"/>
        <v>19035.75</v>
      </c>
      <c r="L78" s="11">
        <f t="shared" si="24"/>
        <v>63931.11</v>
      </c>
      <c r="M78" s="11">
        <f t="shared" si="25"/>
        <v>0</v>
      </c>
      <c r="N78" s="11">
        <f>IF(I78="已计入",IF(AND(B78="卖出",持仓总览!$C$7="本金优先"),MAX(0,E78-Q77),IF(OR(B78="卖出",B78="现金分红"),MIN(E78,M78),0)),"")</f>
        <v>0</v>
      </c>
      <c r="O78" s="11">
        <f t="shared" si="26"/>
        <v>0</v>
      </c>
      <c r="P78" s="11">
        <f t="shared" si="27"/>
        <v>0</v>
      </c>
      <c r="Q78" s="11">
        <f t="shared" si="28"/>
        <v>39056.01</v>
      </c>
      <c r="R78" s="11">
        <f t="shared" si="19"/>
        <v>63941.08</v>
      </c>
      <c r="S78" s="11">
        <f t="shared" si="20"/>
        <v>24885.07</v>
      </c>
      <c r="T78" s="12">
        <f t="shared" si="21"/>
        <v>0.63716365291795</v>
      </c>
      <c r="U78" s="11">
        <f t="shared" si="29"/>
        <v>39056.01</v>
      </c>
      <c r="V78" s="11">
        <f t="shared" si="30"/>
        <v>0</v>
      </c>
      <c r="W78" s="11">
        <f t="shared" si="31"/>
        <v>0</v>
      </c>
      <c r="X78" s="11">
        <f t="shared" si="32"/>
        <v>0</v>
      </c>
      <c r="Y78" s="11">
        <f t="shared" si="22"/>
        <v>24885.07</v>
      </c>
      <c r="Z78" s="13">
        <f t="shared" si="33"/>
        <v>46163</v>
      </c>
      <c r="AA78" s="10" t="str">
        <f t="shared" si="34"/>
        <v>正常</v>
      </c>
      <c r="AB78" s="14">
        <f t="shared" si="35"/>
        <v>3.359</v>
      </c>
    </row>
    <row r="79" ht="38" customHeight="1" spans="1:28">
      <c r="A79" s="5">
        <v>46164</v>
      </c>
      <c r="B79" s="6" t="s">
        <v>90</v>
      </c>
      <c r="C79" s="7">
        <v>3.4943</v>
      </c>
      <c r="D79" s="8">
        <v>14.29</v>
      </c>
      <c r="E79" s="8">
        <v>50</v>
      </c>
      <c r="F79" s="8">
        <v>0.08</v>
      </c>
      <c r="G79" s="6" t="s">
        <v>81</v>
      </c>
      <c r="H79" s="9" t="s">
        <v>156</v>
      </c>
      <c r="I79" s="10" t="str">
        <f>IF(COUNTA(A79:H79)=0,"",IF(OR(OR(OR(G79="撤单",G79="交易失败",G79="交易关闭"),G79="交易失败",G79="交易关闭"),G79="交易失败",G79="交易关闭"),"已排除",IF(G79="待确认","待确认",IF(NOT(OR(G79="已确认",G79="历史估算")),"请选择确认状态",IF(NOT(ISNUMBER(A79)),"缺少有效净值日期",IF(OR(A79&lt;=0,A79&lt;&gt;INT(A79)),"净值日期无效",IF(NOT(OR(OR(B79="买入",B79="定投",B79="转换转入"),B79="卖出",B79="现金分红",B79="红利再投")),"请选择交易类型",IF(NOT(ISNUMBER(C79)),"缺少成交净值",IF(C79&lt;=0,"成交净值须大于零",IF(NOT(ISNUMBER(D79)),"缺少确认份额（分红填0）",IF(NOT(ISNUMBER(E79)),"缺少确认金额（再投填0）",IF(NOT(ISNUMBER(F79)),"缺少手续费（无费用填0）",IF(OR(D79&lt;0,E79&lt;0,F79&lt;0),"份额金额费用不能为负",IF(AA78="错误","前行待修正",IF(A79&lt;Z78,"日期需按成交顺序递增",IF(AND(B79="现金分红",OR(D79&lt;&gt;0,E79&lt;=0,F79&lt;&gt;0)),"分红填份额0、费用0、正金额",IF(AND(B79="红利再投",OR(D79&lt;=0,E79&lt;&gt;0,F79&lt;&gt;0)),"再投填正份额、金额0、费用0",IF(AND(OR(B79="现金分红",B79="红利再投"),K78&lt;=0),"分红或再投前须有持仓",IF(AND(OR(OR(B79="买入",B79="定投",B79="转换转入"),B79="卖出"),OR(D79&lt;=0,E79&lt;=0)),"买卖须填正份额、正金额",IF(AND(B79="卖出",D79&gt;K78+0.000001),"卖出份额超过持仓",IF(AND(OR(B79="买入",B79="定投",B79="转换转入"),F79&gt;=E79)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79="买入",B79="定投",B79="转换转入"),ABS(E79-F79-C79*D79)&gt;持仓总览!$H$6),"买入金额与份额净值不符",IF(AND(B79="卖出",ABS(E79+F79-C79*D79)&gt;持仓总览!$H$6),"到账加费用与赎回市值不符","已计入"))))))))))))))))))))))))))</f>
        <v>已计入</v>
      </c>
      <c r="J79" s="11">
        <f t="shared" si="18"/>
        <v>14.29</v>
      </c>
      <c r="K79" s="11">
        <f t="shared" si="23"/>
        <v>19050.04</v>
      </c>
      <c r="L79" s="11">
        <f t="shared" si="24"/>
        <v>66516.62</v>
      </c>
      <c r="M79" s="11">
        <f t="shared" si="25"/>
        <v>0</v>
      </c>
      <c r="N79" s="11">
        <f>IF(I79="已计入",IF(AND(B79="卖出",持仓总览!$C$7="本金优先"),MAX(0,E79-Q78),IF(OR(B79="卖出",B79="现金分红"),MIN(E79,M79),0)),"")</f>
        <v>0</v>
      </c>
      <c r="O79" s="11">
        <f t="shared" si="26"/>
        <v>0</v>
      </c>
      <c r="P79" s="11">
        <f t="shared" si="27"/>
        <v>0</v>
      </c>
      <c r="Q79" s="11">
        <f t="shared" si="28"/>
        <v>39106.01</v>
      </c>
      <c r="R79" s="11">
        <f t="shared" si="19"/>
        <v>66566.55</v>
      </c>
      <c r="S79" s="11">
        <f t="shared" si="20"/>
        <v>27460.54</v>
      </c>
      <c r="T79" s="12">
        <f t="shared" si="21"/>
        <v>0.702207665778227</v>
      </c>
      <c r="U79" s="11">
        <f t="shared" si="29"/>
        <v>39106.01</v>
      </c>
      <c r="V79" s="11">
        <f t="shared" si="30"/>
        <v>0</v>
      </c>
      <c r="W79" s="11">
        <f t="shared" si="31"/>
        <v>0</v>
      </c>
      <c r="X79" s="11">
        <f t="shared" si="32"/>
        <v>0</v>
      </c>
      <c r="Y79" s="11">
        <f t="shared" si="22"/>
        <v>27460.54</v>
      </c>
      <c r="Z79" s="13">
        <f t="shared" si="33"/>
        <v>46164</v>
      </c>
      <c r="AA79" s="10" t="str">
        <f t="shared" si="34"/>
        <v>正常</v>
      </c>
      <c r="AB79" s="14">
        <f t="shared" si="35"/>
        <v>3.4943</v>
      </c>
    </row>
    <row r="80" ht="38" customHeight="1" spans="1:28">
      <c r="A80" s="5">
        <v>46168</v>
      </c>
      <c r="B80" s="6" t="s">
        <v>90</v>
      </c>
      <c r="C80" s="7">
        <v>3.6122</v>
      </c>
      <c r="D80" s="8">
        <v>13.82</v>
      </c>
      <c r="E80" s="8">
        <v>50</v>
      </c>
      <c r="F80" s="8">
        <v>0.08</v>
      </c>
      <c r="G80" s="6" t="s">
        <v>81</v>
      </c>
      <c r="H80" s="9" t="s">
        <v>157</v>
      </c>
      <c r="I80" s="10" t="str">
        <f>IF(COUNTA(A80:H80)=0,"",IF(OR(OR(OR(G80="撤单",G80="交易失败",G80="交易关闭"),G80="交易失败",G80="交易关闭"),G80="交易失败",G80="交易关闭"),"已排除",IF(G80="待确认","待确认",IF(NOT(OR(G80="已确认",G80="历史估算")),"请选择确认状态",IF(NOT(ISNUMBER(A80)),"缺少有效净值日期",IF(OR(A80&lt;=0,A80&lt;&gt;INT(A80)),"净值日期无效",IF(NOT(OR(OR(B80="买入",B80="定投",B80="转换转入"),B80="卖出",B80="现金分红",B80="红利再投")),"请选择交易类型",IF(NOT(ISNUMBER(C80)),"缺少成交净值",IF(C80&lt;=0,"成交净值须大于零",IF(NOT(ISNUMBER(D80)),"缺少确认份额（分红填0）",IF(NOT(ISNUMBER(E80)),"缺少确认金额（再投填0）",IF(NOT(ISNUMBER(F80)),"缺少手续费（无费用填0）",IF(OR(D80&lt;0,E80&lt;0,F80&lt;0),"份额金额费用不能为负",IF(AA79="错误","前行待修正",IF(A80&lt;Z79,"日期需按成交顺序递增",IF(AND(B80="现金分红",OR(D80&lt;&gt;0,E80&lt;=0,F80&lt;&gt;0)),"分红填份额0、费用0、正金额",IF(AND(B80="红利再投",OR(D80&lt;=0,E80&lt;&gt;0,F80&lt;&gt;0)),"再投填正份额、金额0、费用0",IF(AND(OR(B80="现金分红",B80="红利再投"),K79&lt;=0),"分红或再投前须有持仓",IF(AND(OR(OR(B80="买入",B80="定投",B80="转换转入"),B80="卖出"),OR(D80&lt;=0,E80&lt;=0)),"买卖须填正份额、正金额",IF(AND(B80="卖出",D80&gt;K79+0.000001),"卖出份额超过持仓",IF(AND(OR(B80="买入",B80="定投",B80="转换转入"),F80&gt;=E80)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80="买入",B80="定投",B80="转换转入"),ABS(E80-F80-C80*D80)&gt;持仓总览!$H$6),"买入金额与份额净值不符",IF(AND(B80="卖出",ABS(E80+F80-C80*D80)&gt;持仓总览!$H$6),"到账加费用与赎回市值不符","已计入"))))))))))))))))))))))))))</f>
        <v>已计入</v>
      </c>
      <c r="J80" s="11">
        <f t="shared" si="18"/>
        <v>13.82</v>
      </c>
      <c r="K80" s="11">
        <f t="shared" si="23"/>
        <v>19063.86</v>
      </c>
      <c r="L80" s="11">
        <f t="shared" si="24"/>
        <v>68812.55</v>
      </c>
      <c r="M80" s="11">
        <f t="shared" si="25"/>
        <v>0</v>
      </c>
      <c r="N80" s="11">
        <f>IF(I80="已计入",IF(AND(B80="卖出",持仓总览!$C$7="本金优先"),MAX(0,E80-Q79),IF(OR(B80="卖出",B80="现金分红"),MIN(E80,M80),0)),"")</f>
        <v>0</v>
      </c>
      <c r="O80" s="11">
        <f t="shared" si="26"/>
        <v>0</v>
      </c>
      <c r="P80" s="11">
        <f t="shared" si="27"/>
        <v>0</v>
      </c>
      <c r="Q80" s="11">
        <f t="shared" si="28"/>
        <v>39156.01</v>
      </c>
      <c r="R80" s="11">
        <f t="shared" si="19"/>
        <v>68862.48</v>
      </c>
      <c r="S80" s="11">
        <f t="shared" si="20"/>
        <v>29706.47</v>
      </c>
      <c r="T80" s="12">
        <f t="shared" si="21"/>
        <v>0.75866948649773</v>
      </c>
      <c r="U80" s="11">
        <f t="shared" si="29"/>
        <v>39156.01</v>
      </c>
      <c r="V80" s="11">
        <f t="shared" si="30"/>
        <v>0</v>
      </c>
      <c r="W80" s="11">
        <f t="shared" si="31"/>
        <v>0</v>
      </c>
      <c r="X80" s="11">
        <f t="shared" si="32"/>
        <v>0</v>
      </c>
      <c r="Y80" s="11">
        <f t="shared" si="22"/>
        <v>29706.47</v>
      </c>
      <c r="Z80" s="13">
        <f t="shared" si="33"/>
        <v>46168</v>
      </c>
      <c r="AA80" s="10" t="str">
        <f t="shared" si="34"/>
        <v>正常</v>
      </c>
      <c r="AB80" s="14">
        <f t="shared" si="35"/>
        <v>3.6122</v>
      </c>
    </row>
    <row r="81" ht="38" customHeight="1" spans="1:28">
      <c r="A81" s="5">
        <v>46169</v>
      </c>
      <c r="B81" s="6" t="s">
        <v>90</v>
      </c>
      <c r="C81" s="7">
        <v>3.5766</v>
      </c>
      <c r="D81" s="8">
        <v>13.96</v>
      </c>
      <c r="E81" s="8">
        <v>50</v>
      </c>
      <c r="F81" s="8">
        <v>0.08</v>
      </c>
      <c r="G81" s="6" t="s">
        <v>81</v>
      </c>
      <c r="H81" s="9" t="s">
        <v>158</v>
      </c>
      <c r="I81" s="10" t="str">
        <f>IF(COUNTA(A81:H81)=0,"",IF(OR(OR(OR(G81="撤单",G81="交易失败",G81="交易关闭"),G81="交易失败",G81="交易关闭"),G81="交易失败",G81="交易关闭"),"已排除",IF(G81="待确认","待确认",IF(NOT(OR(G81="已确认",G81="历史估算")),"请选择确认状态",IF(NOT(ISNUMBER(A81)),"缺少有效净值日期",IF(OR(A81&lt;=0,A81&lt;&gt;INT(A81)),"净值日期无效",IF(NOT(OR(OR(B81="买入",B81="定投",B81="转换转入"),B81="卖出",B81="现金分红",B81="红利再投")),"请选择交易类型",IF(NOT(ISNUMBER(C81)),"缺少成交净值",IF(C81&lt;=0,"成交净值须大于零",IF(NOT(ISNUMBER(D81)),"缺少确认份额（分红填0）",IF(NOT(ISNUMBER(E81)),"缺少确认金额（再投填0）",IF(NOT(ISNUMBER(F81)),"缺少手续费（无费用填0）",IF(OR(D81&lt;0,E81&lt;0,F81&lt;0),"份额金额费用不能为负",IF(AA80="错误","前行待修正",IF(A81&lt;Z80,"日期需按成交顺序递增",IF(AND(B81="现金分红",OR(D81&lt;&gt;0,E81&lt;=0,F81&lt;&gt;0)),"分红填份额0、费用0、正金额",IF(AND(B81="红利再投",OR(D81&lt;=0,E81&lt;&gt;0,F81&lt;&gt;0)),"再投填正份额、金额0、费用0",IF(AND(OR(B81="现金分红",B81="红利再投"),K80&lt;=0),"分红或再投前须有持仓",IF(AND(OR(OR(B81="买入",B81="定投",B81="转换转入"),B81="卖出"),OR(D81&lt;=0,E81&lt;=0)),"买卖须填正份额、正金额",IF(AND(B81="卖出",D81&gt;K80+0.000001),"卖出份额超过持仓",IF(AND(OR(B81="买入",B81="定投",B81="转换转入"),F81&gt;=E81)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81="买入",B81="定投",B81="转换转入"),ABS(E81-F81-C81*D81)&gt;持仓总览!$H$6),"买入金额与份额净值不符",IF(AND(B81="卖出",ABS(E81+F81-C81*D81)&gt;持仓总览!$H$6),"到账加费用与赎回市值不符","已计入"))))))))))))))))))))))))))</f>
        <v>已计入</v>
      </c>
      <c r="J81" s="11">
        <f t="shared" si="18"/>
        <v>13.96</v>
      </c>
      <c r="K81" s="11">
        <f t="shared" si="23"/>
        <v>19077.82</v>
      </c>
      <c r="L81" s="11">
        <f t="shared" si="24"/>
        <v>68183.8</v>
      </c>
      <c r="M81" s="11">
        <f t="shared" si="25"/>
        <v>0</v>
      </c>
      <c r="N81" s="11">
        <f>IF(I81="已计入",IF(AND(B81="卖出",持仓总览!$C$7="本金优先"),MAX(0,E81-Q80),IF(OR(B81="卖出",B81="现金分红"),MIN(E81,M81),0)),"")</f>
        <v>0</v>
      </c>
      <c r="O81" s="11">
        <f t="shared" si="26"/>
        <v>0</v>
      </c>
      <c r="P81" s="11">
        <f t="shared" si="27"/>
        <v>0</v>
      </c>
      <c r="Q81" s="11">
        <f t="shared" si="28"/>
        <v>39206.01</v>
      </c>
      <c r="R81" s="11">
        <f t="shared" si="19"/>
        <v>68233.73</v>
      </c>
      <c r="S81" s="11">
        <f t="shared" si="20"/>
        <v>29027.72</v>
      </c>
      <c r="T81" s="12">
        <f t="shared" si="21"/>
        <v>0.740389547418878</v>
      </c>
      <c r="U81" s="11">
        <f t="shared" si="29"/>
        <v>39206.01</v>
      </c>
      <c r="V81" s="11">
        <f t="shared" si="30"/>
        <v>0</v>
      </c>
      <c r="W81" s="11">
        <f t="shared" si="31"/>
        <v>0</v>
      </c>
      <c r="X81" s="11">
        <f t="shared" si="32"/>
        <v>0</v>
      </c>
      <c r="Y81" s="11">
        <f t="shared" si="22"/>
        <v>29027.72</v>
      </c>
      <c r="Z81" s="13">
        <f t="shared" si="33"/>
        <v>46169</v>
      </c>
      <c r="AA81" s="10" t="str">
        <f t="shared" si="34"/>
        <v>正常</v>
      </c>
      <c r="AB81" s="14">
        <f t="shared" si="35"/>
        <v>3.5766</v>
      </c>
    </row>
    <row r="82" ht="38" customHeight="1" spans="1:28">
      <c r="A82" s="5">
        <v>46176</v>
      </c>
      <c r="B82" s="6" t="s">
        <v>80</v>
      </c>
      <c r="C82" s="7">
        <v>3.7821</v>
      </c>
      <c r="D82" s="8">
        <v>264.01</v>
      </c>
      <c r="E82" s="8">
        <v>1000</v>
      </c>
      <c r="F82" s="8">
        <v>1.5</v>
      </c>
      <c r="G82" s="6" t="s">
        <v>81</v>
      </c>
      <c r="H82" s="9" t="s">
        <v>159</v>
      </c>
      <c r="I82" s="10" t="str">
        <f>IF(COUNTA(A82:H82)=0,"",IF(OR(OR(OR(G82="撤单",G82="交易失败",G82="交易关闭"),G82="交易失败",G82="交易关闭"),G82="交易失败",G82="交易关闭"),"已排除",IF(G82="待确认","待确认",IF(NOT(OR(G82="已确认",G82="历史估算")),"请选择确认状态",IF(NOT(ISNUMBER(A82)),"缺少有效净值日期",IF(OR(A82&lt;=0,A82&lt;&gt;INT(A82)),"净值日期无效",IF(NOT(OR(OR(B82="买入",B82="定投",B82="转换转入"),B82="卖出",B82="现金分红",B82="红利再投")),"请选择交易类型",IF(NOT(ISNUMBER(C82)),"缺少成交净值",IF(C82&lt;=0,"成交净值须大于零",IF(NOT(ISNUMBER(D82)),"缺少确认份额（分红填0）",IF(NOT(ISNUMBER(E82)),"缺少确认金额（再投填0）",IF(NOT(ISNUMBER(F82)),"缺少手续费（无费用填0）",IF(OR(D82&lt;0,E82&lt;0,F82&lt;0),"份额金额费用不能为负",IF(AA81="错误","前行待修正",IF(A82&lt;Z81,"日期需按成交顺序递增",IF(AND(B82="现金分红",OR(D82&lt;&gt;0,E82&lt;=0,F82&lt;&gt;0)),"分红填份额0、费用0、正金额",IF(AND(B82="红利再投",OR(D82&lt;=0,E82&lt;&gt;0,F82&lt;&gt;0)),"再投填正份额、金额0、费用0",IF(AND(OR(B82="现金分红",B82="红利再投"),K81&lt;=0),"分红或再投前须有持仓",IF(AND(OR(OR(B82="买入",B82="定投",B82="转换转入"),B82="卖出"),OR(D82&lt;=0,E82&lt;=0)),"买卖须填正份额、正金额",IF(AND(B82="卖出",D82&gt;K81+0.000001),"卖出份额超过持仓",IF(AND(OR(B82="买入",B82="定投",B82="转换转入"),F82&gt;=E82)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82="买入",B82="定投",B82="转换转入"),ABS(E82-F82-C82*D82)&gt;持仓总览!$H$6),"买入金额与份额净值不符",IF(AND(B82="卖出",ABS(E82+F82-C82*D82)&gt;持仓总览!$H$6),"到账加费用与赎回市值不符","已计入"))))))))))))))))))))))))))</f>
        <v>已计入</v>
      </c>
      <c r="J82" s="11">
        <f t="shared" si="18"/>
        <v>264.01</v>
      </c>
      <c r="K82" s="11">
        <f t="shared" si="23"/>
        <v>19341.83</v>
      </c>
      <c r="L82" s="11">
        <f t="shared" si="24"/>
        <v>72154.22</v>
      </c>
      <c r="M82" s="11">
        <f t="shared" si="25"/>
        <v>0</v>
      </c>
      <c r="N82" s="11">
        <f>IF(I82="已计入",IF(AND(B82="卖出",持仓总览!$C$7="本金优先"),MAX(0,E82-Q81),IF(OR(B82="卖出",B82="现金分红"),MIN(E82,M82),0)),"")</f>
        <v>0</v>
      </c>
      <c r="O82" s="11">
        <f t="shared" si="26"/>
        <v>0</v>
      </c>
      <c r="P82" s="11">
        <f t="shared" si="27"/>
        <v>0</v>
      </c>
      <c r="Q82" s="11">
        <f t="shared" si="28"/>
        <v>40206.01</v>
      </c>
      <c r="R82" s="11">
        <f t="shared" si="19"/>
        <v>73152.74</v>
      </c>
      <c r="S82" s="11">
        <f t="shared" si="20"/>
        <v>32946.73</v>
      </c>
      <c r="T82" s="12">
        <f t="shared" si="21"/>
        <v>0.81944788851219</v>
      </c>
      <c r="U82" s="11">
        <f t="shared" si="29"/>
        <v>40206.01</v>
      </c>
      <c r="V82" s="11">
        <f t="shared" si="30"/>
        <v>0</v>
      </c>
      <c r="W82" s="11">
        <f t="shared" si="31"/>
        <v>0</v>
      </c>
      <c r="X82" s="11">
        <f t="shared" si="32"/>
        <v>0</v>
      </c>
      <c r="Y82" s="11">
        <f t="shared" si="22"/>
        <v>32946.73</v>
      </c>
      <c r="Z82" s="13">
        <f t="shared" si="33"/>
        <v>46176</v>
      </c>
      <c r="AA82" s="10" t="str">
        <f t="shared" si="34"/>
        <v>正常</v>
      </c>
      <c r="AB82" s="14">
        <f t="shared" si="35"/>
        <v>3.7821</v>
      </c>
    </row>
    <row r="83" ht="38" customHeight="1" spans="1:28">
      <c r="A83" s="5">
        <v>46181</v>
      </c>
      <c r="B83" s="6" t="s">
        <v>90</v>
      </c>
      <c r="C83" s="7">
        <v>3.4906</v>
      </c>
      <c r="D83" s="8">
        <v>14.3</v>
      </c>
      <c r="E83" s="8">
        <v>50</v>
      </c>
      <c r="F83" s="8">
        <v>0.08</v>
      </c>
      <c r="G83" s="6" t="s">
        <v>81</v>
      </c>
      <c r="H83" s="9" t="s">
        <v>160</v>
      </c>
      <c r="I83" s="10" t="str">
        <f>IF(COUNTA(A83:H83)=0,"",IF(OR(OR(OR(G83="撤单",G83="交易失败",G83="交易关闭"),G83="交易失败",G83="交易关闭"),G83="交易失败",G83="交易关闭"),"已排除",IF(G83="待确认","待确认",IF(NOT(OR(G83="已确认",G83="历史估算")),"请选择确认状态",IF(NOT(ISNUMBER(A83)),"缺少有效净值日期",IF(OR(A83&lt;=0,A83&lt;&gt;INT(A83)),"净值日期无效",IF(NOT(OR(OR(B83="买入",B83="定投",B83="转换转入"),B83="卖出",B83="现金分红",B83="红利再投")),"请选择交易类型",IF(NOT(ISNUMBER(C83)),"缺少成交净值",IF(C83&lt;=0,"成交净值须大于零",IF(NOT(ISNUMBER(D83)),"缺少确认份额（分红填0）",IF(NOT(ISNUMBER(E83)),"缺少确认金额（再投填0）",IF(NOT(ISNUMBER(F83)),"缺少手续费（无费用填0）",IF(OR(D83&lt;0,E83&lt;0,F83&lt;0),"份额金额费用不能为负",IF(AA82="错误","前行待修正",IF(A83&lt;Z82,"日期需按成交顺序递增",IF(AND(B83="现金分红",OR(D83&lt;&gt;0,E83&lt;=0,F83&lt;&gt;0)),"分红填份额0、费用0、正金额",IF(AND(B83="红利再投",OR(D83&lt;=0,E83&lt;&gt;0,F83&lt;&gt;0)),"再投填正份额、金额0、费用0",IF(AND(OR(B83="现金分红",B83="红利再投"),K82&lt;=0),"分红或再投前须有持仓",IF(AND(OR(OR(B83="买入",B83="定投",B83="转换转入"),B83="卖出"),OR(D83&lt;=0,E83&lt;=0)),"买卖须填正份额、正金额",IF(AND(B83="卖出",D83&gt;K82+0.000001),"卖出份额超过持仓",IF(AND(OR(B83="买入",B83="定投",B83="转换转入"),F83&gt;=E83)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83="买入",B83="定投",B83="转换转入"),ABS(E83-F83-C83*D83)&gt;持仓总览!$H$6),"买入金额与份额净值不符",IF(AND(B83="卖出",ABS(E83+F83-C83*D83)&gt;持仓总览!$H$6),"到账加费用与赎回市值不符","已计入"))))))))))))))))))))))))))</f>
        <v>已计入</v>
      </c>
      <c r="J83" s="11">
        <f t="shared" si="18"/>
        <v>14.3</v>
      </c>
      <c r="K83" s="11">
        <f t="shared" si="23"/>
        <v>19356.13</v>
      </c>
      <c r="L83" s="11">
        <f t="shared" si="24"/>
        <v>67514.59</v>
      </c>
      <c r="M83" s="11">
        <f t="shared" si="25"/>
        <v>0</v>
      </c>
      <c r="N83" s="11">
        <f>IF(I83="已计入",IF(AND(B83="卖出",持仓总览!$C$7="本金优先"),MAX(0,E83-Q82),IF(OR(B83="卖出",B83="现金分红"),MIN(E83,M83),0)),"")</f>
        <v>0</v>
      </c>
      <c r="O83" s="11">
        <f t="shared" si="26"/>
        <v>0</v>
      </c>
      <c r="P83" s="11">
        <f t="shared" si="27"/>
        <v>0</v>
      </c>
      <c r="Q83" s="11">
        <f t="shared" si="28"/>
        <v>40256.01</v>
      </c>
      <c r="R83" s="11">
        <f t="shared" si="19"/>
        <v>67564.51</v>
      </c>
      <c r="S83" s="11">
        <f t="shared" si="20"/>
        <v>27308.5</v>
      </c>
      <c r="T83" s="12">
        <f t="shared" si="21"/>
        <v>0.678370757558933</v>
      </c>
      <c r="U83" s="11">
        <f t="shared" si="29"/>
        <v>40256.01</v>
      </c>
      <c r="V83" s="11">
        <f t="shared" si="30"/>
        <v>0</v>
      </c>
      <c r="W83" s="11">
        <f t="shared" si="31"/>
        <v>0</v>
      </c>
      <c r="X83" s="11">
        <f t="shared" si="32"/>
        <v>0</v>
      </c>
      <c r="Y83" s="11">
        <f t="shared" si="22"/>
        <v>27308.5</v>
      </c>
      <c r="Z83" s="13">
        <f t="shared" si="33"/>
        <v>46181</v>
      </c>
      <c r="AA83" s="10" t="str">
        <f t="shared" si="34"/>
        <v>正常</v>
      </c>
      <c r="AB83" s="14">
        <f t="shared" si="35"/>
        <v>3.4906</v>
      </c>
    </row>
    <row r="84" ht="38" customHeight="1" spans="1:28">
      <c r="A84" s="5">
        <v>46182</v>
      </c>
      <c r="B84" s="6" t="s">
        <v>90</v>
      </c>
      <c r="C84" s="7">
        <v>3.5462</v>
      </c>
      <c r="D84" s="8">
        <v>14.08</v>
      </c>
      <c r="E84" s="8">
        <v>50</v>
      </c>
      <c r="F84" s="8">
        <v>0.08</v>
      </c>
      <c r="G84" s="6" t="s">
        <v>81</v>
      </c>
      <c r="H84" s="9" t="s">
        <v>161</v>
      </c>
      <c r="I84" s="10" t="str">
        <f>IF(COUNTA(A84:H84)=0,"",IF(OR(OR(OR(G84="撤单",G84="交易失败",G84="交易关闭"),G84="交易失败",G84="交易关闭"),G84="交易失败",G84="交易关闭"),"已排除",IF(G84="待确认","待确认",IF(NOT(OR(G84="已确认",G84="历史估算")),"请选择确认状态",IF(NOT(ISNUMBER(A84)),"缺少有效净值日期",IF(OR(A84&lt;=0,A84&lt;&gt;INT(A84)),"净值日期无效",IF(NOT(OR(OR(B84="买入",B84="定投",B84="转换转入"),B84="卖出",B84="现金分红",B84="红利再投")),"请选择交易类型",IF(NOT(ISNUMBER(C84)),"缺少成交净值",IF(C84&lt;=0,"成交净值须大于零",IF(NOT(ISNUMBER(D84)),"缺少确认份额（分红填0）",IF(NOT(ISNUMBER(E84)),"缺少确认金额（再投填0）",IF(NOT(ISNUMBER(F84)),"缺少手续费（无费用填0）",IF(OR(D84&lt;0,E84&lt;0,F84&lt;0),"份额金额费用不能为负",IF(AA83="错误","前行待修正",IF(A84&lt;Z83,"日期需按成交顺序递增",IF(AND(B84="现金分红",OR(D84&lt;&gt;0,E84&lt;=0,F84&lt;&gt;0)),"分红填份额0、费用0、正金额",IF(AND(B84="红利再投",OR(D84&lt;=0,E84&lt;&gt;0,F84&lt;&gt;0)),"再投填正份额、金额0、费用0",IF(AND(OR(B84="现金分红",B84="红利再投"),K83&lt;=0),"分红或再投前须有持仓",IF(AND(OR(OR(B84="买入",B84="定投",B84="转换转入"),B84="卖出"),OR(D84&lt;=0,E84&lt;=0)),"买卖须填正份额、正金额",IF(AND(B84="卖出",D84&gt;K83+0.000001),"卖出份额超过持仓",IF(AND(OR(B84="买入",B84="定投",B84="转换转入"),F84&gt;=E84)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84="买入",B84="定投",B84="转换转入"),ABS(E84-F84-C84*D84)&gt;持仓总览!$H$6),"买入金额与份额净值不符",IF(AND(B84="卖出",ABS(E84+F84-C84*D84)&gt;持仓总览!$H$6),"到账加费用与赎回市值不符","已计入"))))))))))))))))))))))))))</f>
        <v>已计入</v>
      </c>
      <c r="J84" s="11">
        <f t="shared" si="18"/>
        <v>14.08</v>
      </c>
      <c r="K84" s="11">
        <f t="shared" si="23"/>
        <v>19370.21</v>
      </c>
      <c r="L84" s="11">
        <f t="shared" si="24"/>
        <v>68640.71</v>
      </c>
      <c r="M84" s="11">
        <f t="shared" si="25"/>
        <v>0</v>
      </c>
      <c r="N84" s="11">
        <f>IF(I84="已计入",IF(AND(B84="卖出",持仓总览!$C$7="本金优先"),MAX(0,E84-Q83),IF(OR(B84="卖出",B84="现金分红"),MIN(E84,M84),0)),"")</f>
        <v>0</v>
      </c>
      <c r="O84" s="11">
        <f t="shared" si="26"/>
        <v>0</v>
      </c>
      <c r="P84" s="11">
        <f t="shared" si="27"/>
        <v>0</v>
      </c>
      <c r="Q84" s="11">
        <f t="shared" si="28"/>
        <v>40306.01</v>
      </c>
      <c r="R84" s="11">
        <f t="shared" si="19"/>
        <v>68690.64</v>
      </c>
      <c r="S84" s="11">
        <f t="shared" si="20"/>
        <v>28384.63</v>
      </c>
      <c r="T84" s="12">
        <f t="shared" si="21"/>
        <v>0.704228227998753</v>
      </c>
      <c r="U84" s="11">
        <f t="shared" si="29"/>
        <v>40306.01</v>
      </c>
      <c r="V84" s="11">
        <f t="shared" si="30"/>
        <v>0</v>
      </c>
      <c r="W84" s="11">
        <f t="shared" si="31"/>
        <v>0</v>
      </c>
      <c r="X84" s="11">
        <f t="shared" si="32"/>
        <v>0</v>
      </c>
      <c r="Y84" s="11">
        <f t="shared" si="22"/>
        <v>28384.63</v>
      </c>
      <c r="Z84" s="13">
        <f t="shared" si="33"/>
        <v>46182</v>
      </c>
      <c r="AA84" s="10" t="str">
        <f t="shared" si="34"/>
        <v>正常</v>
      </c>
      <c r="AB84" s="14">
        <f t="shared" si="35"/>
        <v>3.5462</v>
      </c>
    </row>
    <row r="85" ht="38" customHeight="1" spans="1:28">
      <c r="A85" s="5">
        <v>46183</v>
      </c>
      <c r="B85" s="6" t="s">
        <v>90</v>
      </c>
      <c r="C85" s="7">
        <v>3.4274</v>
      </c>
      <c r="D85" s="8">
        <v>14.56</v>
      </c>
      <c r="E85" s="8">
        <v>50</v>
      </c>
      <c r="F85" s="8">
        <v>0.08</v>
      </c>
      <c r="G85" s="6" t="s">
        <v>81</v>
      </c>
      <c r="H85" s="9" t="s">
        <v>162</v>
      </c>
      <c r="I85" s="10" t="str">
        <f>IF(COUNTA(A85:H85)=0,"",IF(OR(OR(OR(G85="撤单",G85="交易失败",G85="交易关闭"),G85="交易失败",G85="交易关闭"),G85="交易失败",G85="交易关闭"),"已排除",IF(G85="待确认","待确认",IF(NOT(OR(G85="已确认",G85="历史估算")),"请选择确认状态",IF(NOT(ISNUMBER(A85)),"缺少有效净值日期",IF(OR(A85&lt;=0,A85&lt;&gt;INT(A85)),"净值日期无效",IF(NOT(OR(OR(B85="买入",B85="定投",B85="转换转入"),B85="卖出",B85="现金分红",B85="红利再投")),"请选择交易类型",IF(NOT(ISNUMBER(C85)),"缺少成交净值",IF(C85&lt;=0,"成交净值须大于零",IF(NOT(ISNUMBER(D85)),"缺少确认份额（分红填0）",IF(NOT(ISNUMBER(E85)),"缺少确认金额（再投填0）",IF(NOT(ISNUMBER(F85)),"缺少手续费（无费用填0）",IF(OR(D85&lt;0,E85&lt;0,F85&lt;0),"份额金额费用不能为负",IF(AA84="错误","前行待修正",IF(A85&lt;Z84,"日期需按成交顺序递增",IF(AND(B85="现金分红",OR(D85&lt;&gt;0,E85&lt;=0,F85&lt;&gt;0)),"分红填份额0、费用0、正金额",IF(AND(B85="红利再投",OR(D85&lt;=0,E85&lt;&gt;0,F85&lt;&gt;0)),"再投填正份额、金额0、费用0",IF(AND(OR(B85="现金分红",B85="红利再投"),K84&lt;=0),"分红或再投前须有持仓",IF(AND(OR(OR(B85="买入",B85="定投",B85="转换转入"),B85="卖出"),OR(D85&lt;=0,E85&lt;=0)),"买卖须填正份额、正金额",IF(AND(B85="卖出",D85&gt;K84+0.000001),"卖出份额超过持仓",IF(AND(OR(B85="买入",B85="定投",B85="转换转入"),F85&gt;=E85)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85="买入",B85="定投",B85="转换转入"),ABS(E85-F85-C85*D85)&gt;持仓总览!$H$6),"买入金额与份额净值不符",IF(AND(B85="卖出",ABS(E85+F85-C85*D85)&gt;持仓总览!$H$6),"到账加费用与赎回市值不符","已计入"))))))))))))))))))))))))))</f>
        <v>已计入</v>
      </c>
      <c r="J85" s="11">
        <f t="shared" si="18"/>
        <v>14.56</v>
      </c>
      <c r="K85" s="11">
        <f t="shared" si="23"/>
        <v>19384.77</v>
      </c>
      <c r="L85" s="11">
        <f t="shared" si="24"/>
        <v>66389.46</v>
      </c>
      <c r="M85" s="11">
        <f t="shared" si="25"/>
        <v>0</v>
      </c>
      <c r="N85" s="11">
        <f>IF(I85="已计入",IF(AND(B85="卖出",持仓总览!$C$7="本金优先"),MAX(0,E85-Q84),IF(OR(B85="卖出",B85="现金分红"),MIN(E85,M85),0)),"")</f>
        <v>0</v>
      </c>
      <c r="O85" s="11">
        <f t="shared" si="26"/>
        <v>0</v>
      </c>
      <c r="P85" s="11">
        <f t="shared" si="27"/>
        <v>0</v>
      </c>
      <c r="Q85" s="11">
        <f t="shared" si="28"/>
        <v>40356.01</v>
      </c>
      <c r="R85" s="11">
        <f t="shared" si="19"/>
        <v>66439.36</v>
      </c>
      <c r="S85" s="11">
        <f t="shared" si="20"/>
        <v>26083.35</v>
      </c>
      <c r="T85" s="12">
        <f t="shared" si="21"/>
        <v>0.646331240377827</v>
      </c>
      <c r="U85" s="11">
        <f t="shared" si="29"/>
        <v>40356.01</v>
      </c>
      <c r="V85" s="11">
        <f t="shared" si="30"/>
        <v>0</v>
      </c>
      <c r="W85" s="11">
        <f t="shared" si="31"/>
        <v>0</v>
      </c>
      <c r="X85" s="11">
        <f t="shared" si="32"/>
        <v>0</v>
      </c>
      <c r="Y85" s="11">
        <f t="shared" si="22"/>
        <v>26083.35</v>
      </c>
      <c r="Z85" s="13">
        <f t="shared" si="33"/>
        <v>46183</v>
      </c>
      <c r="AA85" s="10" t="str">
        <f t="shared" si="34"/>
        <v>正常</v>
      </c>
      <c r="AB85" s="14">
        <f t="shared" si="35"/>
        <v>3.4274</v>
      </c>
    </row>
    <row r="86" ht="38" customHeight="1" spans="1:28">
      <c r="A86" s="5">
        <v>46184</v>
      </c>
      <c r="B86" s="6" t="s">
        <v>90</v>
      </c>
      <c r="C86" s="7">
        <v>3.5625</v>
      </c>
      <c r="D86" s="8">
        <v>28.03</v>
      </c>
      <c r="E86" s="8">
        <v>100</v>
      </c>
      <c r="F86" s="8">
        <v>0.15</v>
      </c>
      <c r="G86" s="6" t="s">
        <v>81</v>
      </c>
      <c r="H86" s="9" t="s">
        <v>163</v>
      </c>
      <c r="I86" s="10" t="str">
        <f>IF(COUNTA(A86:H86)=0,"",IF(OR(OR(OR(G86="撤单",G86="交易失败",G86="交易关闭"),G86="交易失败",G86="交易关闭"),G86="交易失败",G86="交易关闭"),"已排除",IF(G86="待确认","待确认",IF(NOT(OR(G86="已确认",G86="历史估算")),"请选择确认状态",IF(NOT(ISNUMBER(A86)),"缺少有效净值日期",IF(OR(A86&lt;=0,A86&lt;&gt;INT(A86)),"净值日期无效",IF(NOT(OR(OR(B86="买入",B86="定投",B86="转换转入"),B86="卖出",B86="现金分红",B86="红利再投")),"请选择交易类型",IF(NOT(ISNUMBER(C86)),"缺少成交净值",IF(C86&lt;=0,"成交净值须大于零",IF(NOT(ISNUMBER(D86)),"缺少确认份额（分红填0）",IF(NOT(ISNUMBER(E86)),"缺少确认金额（再投填0）",IF(NOT(ISNUMBER(F86)),"缺少手续费（无费用填0）",IF(OR(D86&lt;0,E86&lt;0,F86&lt;0),"份额金额费用不能为负",IF(AA85="错误","前行待修正",IF(A86&lt;Z85,"日期需按成交顺序递增",IF(AND(B86="现金分红",OR(D86&lt;&gt;0,E86&lt;=0,F86&lt;&gt;0)),"分红填份额0、费用0、正金额",IF(AND(B86="红利再投",OR(D86&lt;=0,E86&lt;&gt;0,F86&lt;&gt;0)),"再投填正份额、金额0、费用0",IF(AND(OR(B86="现金分红",B86="红利再投"),K85&lt;=0),"分红或再投前须有持仓",IF(AND(OR(OR(B86="买入",B86="定投",B86="转换转入"),B86="卖出"),OR(D86&lt;=0,E86&lt;=0)),"买卖须填正份额、正金额",IF(AND(B86="卖出",D86&gt;K85+0.000001),"卖出份额超过持仓",IF(AND(OR(B86="买入",B86="定投",B86="转换转入"),F86&gt;=E86)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86="买入",B86="定投",B86="转换转入"),ABS(E86-F86-C86*D86)&gt;持仓总览!$H$6),"买入金额与份额净值不符",IF(AND(B86="卖出",ABS(E86+F86-C86*D86)&gt;持仓总览!$H$6),"到账加费用与赎回市值不符","已计入"))))))))))))))))))))))))))</f>
        <v>已计入</v>
      </c>
      <c r="J86" s="11">
        <f t="shared" si="18"/>
        <v>28.03</v>
      </c>
      <c r="K86" s="11">
        <f t="shared" si="23"/>
        <v>19412.8</v>
      </c>
      <c r="L86" s="11">
        <f t="shared" si="24"/>
        <v>69058.24</v>
      </c>
      <c r="M86" s="11">
        <f t="shared" si="25"/>
        <v>0</v>
      </c>
      <c r="N86" s="11">
        <f>IF(I86="已计入",IF(AND(B86="卖出",持仓总览!$C$7="本金优先"),MAX(0,E86-Q85),IF(OR(B86="卖出",B86="现金分红"),MIN(E86,M86),0)),"")</f>
        <v>0</v>
      </c>
      <c r="O86" s="11">
        <f t="shared" si="26"/>
        <v>0</v>
      </c>
      <c r="P86" s="11">
        <f t="shared" si="27"/>
        <v>0</v>
      </c>
      <c r="Q86" s="11">
        <f t="shared" si="28"/>
        <v>40456.01</v>
      </c>
      <c r="R86" s="11">
        <f t="shared" si="19"/>
        <v>69158.1</v>
      </c>
      <c r="S86" s="11">
        <f t="shared" si="20"/>
        <v>28702.09</v>
      </c>
      <c r="T86" s="12">
        <f t="shared" si="21"/>
        <v>0.709464180970887</v>
      </c>
      <c r="U86" s="11">
        <f t="shared" si="29"/>
        <v>40456.01</v>
      </c>
      <c r="V86" s="11">
        <f t="shared" si="30"/>
        <v>0</v>
      </c>
      <c r="W86" s="11">
        <f t="shared" si="31"/>
        <v>0</v>
      </c>
      <c r="X86" s="11">
        <f t="shared" si="32"/>
        <v>0</v>
      </c>
      <c r="Y86" s="11">
        <f t="shared" si="22"/>
        <v>28702.09</v>
      </c>
      <c r="Z86" s="13">
        <f t="shared" si="33"/>
        <v>46184</v>
      </c>
      <c r="AA86" s="10" t="str">
        <f t="shared" si="34"/>
        <v>正常</v>
      </c>
      <c r="AB86" s="14">
        <f t="shared" si="35"/>
        <v>3.5625</v>
      </c>
    </row>
    <row r="87" ht="38" customHeight="1" spans="1:28">
      <c r="A87" s="5">
        <v>46185</v>
      </c>
      <c r="B87" s="6" t="s">
        <v>90</v>
      </c>
      <c r="C87" s="7">
        <v>3.5728</v>
      </c>
      <c r="D87" s="8">
        <v>27.95</v>
      </c>
      <c r="E87" s="8">
        <v>100</v>
      </c>
      <c r="F87" s="8">
        <v>0.15</v>
      </c>
      <c r="G87" s="6" t="s">
        <v>81</v>
      </c>
      <c r="H87" s="9" t="s">
        <v>164</v>
      </c>
      <c r="I87" s="10" t="str">
        <f>IF(COUNTA(A87:H87)=0,"",IF(OR(OR(OR(G87="撤单",G87="交易失败",G87="交易关闭"),G87="交易失败",G87="交易关闭"),G87="交易失败",G87="交易关闭"),"已排除",IF(G87="待确认","待确认",IF(NOT(OR(G87="已确认",G87="历史估算")),"请选择确认状态",IF(NOT(ISNUMBER(A87)),"缺少有效净值日期",IF(OR(A87&lt;=0,A87&lt;&gt;INT(A87)),"净值日期无效",IF(NOT(OR(OR(B87="买入",B87="定投",B87="转换转入"),B87="卖出",B87="现金分红",B87="红利再投")),"请选择交易类型",IF(NOT(ISNUMBER(C87)),"缺少成交净值",IF(C87&lt;=0,"成交净值须大于零",IF(NOT(ISNUMBER(D87)),"缺少确认份额（分红填0）",IF(NOT(ISNUMBER(E87)),"缺少确认金额（再投填0）",IF(NOT(ISNUMBER(F87)),"缺少手续费（无费用填0）",IF(OR(D87&lt;0,E87&lt;0,F87&lt;0),"份额金额费用不能为负",IF(AA86="错误","前行待修正",IF(A87&lt;Z86,"日期需按成交顺序递增",IF(AND(B87="现金分红",OR(D87&lt;&gt;0,E87&lt;=0,F87&lt;&gt;0)),"分红填份额0、费用0、正金额",IF(AND(B87="红利再投",OR(D87&lt;=0,E87&lt;&gt;0,F87&lt;&gt;0)),"再投填正份额、金额0、费用0",IF(AND(OR(B87="现金分红",B87="红利再投"),K86&lt;=0),"分红或再投前须有持仓",IF(AND(OR(OR(B87="买入",B87="定投",B87="转换转入"),B87="卖出"),OR(D87&lt;=0,E87&lt;=0)),"买卖须填正份额、正金额",IF(AND(B87="卖出",D87&gt;K86+0.000001),"卖出份额超过持仓",IF(AND(OR(B87="买入",B87="定投",B87="转换转入"),F87&gt;=E87)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87="买入",B87="定投",B87="转换转入"),ABS(E87-F87-C87*D87)&gt;持仓总览!$H$6),"买入金额与份额净值不符",IF(AND(B87="卖出",ABS(E87+F87-C87*D87)&gt;持仓总览!$H$6),"到账加费用与赎回市值不符","已计入"))))))))))))))))))))))))))</f>
        <v>已计入</v>
      </c>
      <c r="J87" s="11">
        <f t="shared" si="18"/>
        <v>27.95</v>
      </c>
      <c r="K87" s="11">
        <f t="shared" si="23"/>
        <v>19440.75</v>
      </c>
      <c r="L87" s="11">
        <f t="shared" si="24"/>
        <v>69358.05</v>
      </c>
      <c r="M87" s="11">
        <f t="shared" si="25"/>
        <v>0</v>
      </c>
      <c r="N87" s="11">
        <f>IF(I87="已计入",IF(AND(B87="卖出",持仓总览!$C$7="本金优先"),MAX(0,E87-Q86),IF(OR(B87="卖出",B87="现金分红"),MIN(E87,M87),0)),"")</f>
        <v>0</v>
      </c>
      <c r="O87" s="11">
        <f t="shared" si="26"/>
        <v>0</v>
      </c>
      <c r="P87" s="11">
        <f t="shared" si="27"/>
        <v>0</v>
      </c>
      <c r="Q87" s="11">
        <f t="shared" si="28"/>
        <v>40556.01</v>
      </c>
      <c r="R87" s="11">
        <f t="shared" si="19"/>
        <v>69457.91</v>
      </c>
      <c r="S87" s="11">
        <f t="shared" si="20"/>
        <v>28901.9</v>
      </c>
      <c r="T87" s="12">
        <f t="shared" si="21"/>
        <v>0.712641603550251</v>
      </c>
      <c r="U87" s="11">
        <f t="shared" si="29"/>
        <v>40556.01</v>
      </c>
      <c r="V87" s="11">
        <f t="shared" si="30"/>
        <v>0</v>
      </c>
      <c r="W87" s="11">
        <f t="shared" si="31"/>
        <v>0</v>
      </c>
      <c r="X87" s="11">
        <f t="shared" si="32"/>
        <v>0</v>
      </c>
      <c r="Y87" s="11">
        <f t="shared" si="22"/>
        <v>28901.9</v>
      </c>
      <c r="Z87" s="13">
        <f t="shared" si="33"/>
        <v>46185</v>
      </c>
      <c r="AA87" s="10" t="str">
        <f t="shared" si="34"/>
        <v>正常</v>
      </c>
      <c r="AB87" s="14">
        <f t="shared" si="35"/>
        <v>3.5728</v>
      </c>
    </row>
    <row r="88" ht="38" customHeight="1" spans="1:28">
      <c r="A88" s="5">
        <v>46209</v>
      </c>
      <c r="B88" s="6" t="s">
        <v>80</v>
      </c>
      <c r="C88" s="7">
        <v>3.4867</v>
      </c>
      <c r="D88" s="8">
        <v>286.37</v>
      </c>
      <c r="E88" s="8">
        <v>1000</v>
      </c>
      <c r="F88" s="8">
        <v>1.5</v>
      </c>
      <c r="G88" s="6" t="s">
        <v>81</v>
      </c>
      <c r="H88" s="9" t="s">
        <v>165</v>
      </c>
      <c r="I88" s="10" t="str">
        <f>IF(COUNTA(A88:H88)=0,"",IF(OR(OR(OR(G88="撤单",G88="交易失败",G88="交易关闭"),G88="交易失败",G88="交易关闭"),G88="交易失败",G88="交易关闭"),"已排除",IF(G88="待确认","待确认",IF(NOT(OR(G88="已确认",G88="历史估算")),"请选择确认状态",IF(NOT(ISNUMBER(A88)),"缺少有效净值日期",IF(OR(A88&lt;=0,A88&lt;&gt;INT(A88)),"净值日期无效",IF(NOT(OR(OR(B88="买入",B88="定投",B88="转换转入"),B88="卖出",B88="现金分红",B88="红利再投")),"请选择交易类型",IF(NOT(ISNUMBER(C88)),"缺少成交净值",IF(C88&lt;=0,"成交净值须大于零",IF(NOT(ISNUMBER(D88)),"缺少确认份额（分红填0）",IF(NOT(ISNUMBER(E88)),"缺少确认金额（再投填0）",IF(NOT(ISNUMBER(F88)),"缺少手续费（无费用填0）",IF(OR(D88&lt;0,E88&lt;0,F88&lt;0),"份额金额费用不能为负",IF(AA87="错误","前行待修正",IF(A88&lt;Z87,"日期需按成交顺序递增",IF(AND(B88="现金分红",OR(D88&lt;&gt;0,E88&lt;=0,F88&lt;&gt;0)),"分红填份额0、费用0、正金额",IF(AND(B88="红利再投",OR(D88&lt;=0,E88&lt;&gt;0,F88&lt;&gt;0)),"再投填正份额、金额0、费用0",IF(AND(OR(B88="现金分红",B88="红利再投"),K87&lt;=0),"分红或再投前须有持仓",IF(AND(OR(OR(B88="买入",B88="定投",B88="转换转入"),B88="卖出"),OR(D88&lt;=0,E88&lt;=0)),"买卖须填正份额、正金额",IF(AND(B88="卖出",D88&gt;K87+0.000001),"卖出份额超过持仓",IF(AND(OR(B88="买入",B88="定投",B88="转换转入"),F88&gt;=E88)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88="买入",B88="定投",B88="转换转入"),ABS(E88-F88-C88*D88)&gt;持仓总览!$H$6),"买入金额与份额净值不符",IF(AND(B88="卖出",ABS(E88+F88-C88*D88)&gt;持仓总览!$H$6),"到账加费用与赎回市值不符","已计入"))))))))))))))))))))))))))</f>
        <v>已计入</v>
      </c>
      <c r="J88" s="11">
        <f t="shared" si="18"/>
        <v>286.37</v>
      </c>
      <c r="K88" s="11">
        <f t="shared" si="23"/>
        <v>19727.12</v>
      </c>
      <c r="L88" s="11">
        <f t="shared" si="24"/>
        <v>67784.06</v>
      </c>
      <c r="M88" s="11">
        <f t="shared" si="25"/>
        <v>0</v>
      </c>
      <c r="N88" s="11">
        <f>IF(I88="已计入",IF(AND(B88="卖出",持仓总览!$C$7="本金优先"),MAX(0,E88-Q87),IF(OR(B88="卖出",B88="现金分红"),MIN(E88,M88),0)),"")</f>
        <v>0</v>
      </c>
      <c r="O88" s="11">
        <f t="shared" si="26"/>
        <v>0</v>
      </c>
      <c r="P88" s="11">
        <f t="shared" si="27"/>
        <v>0</v>
      </c>
      <c r="Q88" s="11">
        <f t="shared" si="28"/>
        <v>41556.01</v>
      </c>
      <c r="R88" s="11">
        <f t="shared" si="19"/>
        <v>68782.55</v>
      </c>
      <c r="S88" s="11">
        <f t="shared" si="20"/>
        <v>27226.54</v>
      </c>
      <c r="T88" s="12">
        <f t="shared" si="21"/>
        <v>0.655176952744019</v>
      </c>
      <c r="U88" s="11">
        <f t="shared" si="29"/>
        <v>41556.01</v>
      </c>
      <c r="V88" s="11">
        <f t="shared" si="30"/>
        <v>0</v>
      </c>
      <c r="W88" s="11">
        <f t="shared" si="31"/>
        <v>0</v>
      </c>
      <c r="X88" s="11">
        <f t="shared" si="32"/>
        <v>0</v>
      </c>
      <c r="Y88" s="11">
        <f t="shared" si="22"/>
        <v>27226.54</v>
      </c>
      <c r="Z88" s="13">
        <f t="shared" si="33"/>
        <v>46209</v>
      </c>
      <c r="AA88" s="10" t="str">
        <f t="shared" si="34"/>
        <v>正常</v>
      </c>
      <c r="AB88" s="14">
        <f t="shared" si="35"/>
        <v>3.4867</v>
      </c>
    </row>
    <row r="89" ht="38" customHeight="1" spans="1:28">
      <c r="A89" s="5">
        <v>46210</v>
      </c>
      <c r="B89" s="6" t="s">
        <v>90</v>
      </c>
      <c r="C89" s="7">
        <v>3.3646</v>
      </c>
      <c r="D89" s="8">
        <v>296.77</v>
      </c>
      <c r="E89" s="8">
        <v>1000</v>
      </c>
      <c r="F89" s="8">
        <v>1.5</v>
      </c>
      <c r="G89" s="6" t="s">
        <v>81</v>
      </c>
      <c r="H89" s="9" t="s">
        <v>166</v>
      </c>
      <c r="I89" s="10" t="str">
        <f>IF(COUNTA(A89:H89)=0,"",IF(OR(OR(OR(G89="撤单",G89="交易失败",G89="交易关闭"),G89="交易失败",G89="交易关闭"),G89="交易失败",G89="交易关闭"),"已排除",IF(G89="待确认","待确认",IF(NOT(OR(G89="已确认",G89="历史估算")),"请选择确认状态",IF(NOT(ISNUMBER(A89)),"缺少有效净值日期",IF(OR(A89&lt;=0,A89&lt;&gt;INT(A89)),"净值日期无效",IF(NOT(OR(OR(B89="买入",B89="定投",B89="转换转入"),B89="卖出",B89="现金分红",B89="红利再投")),"请选择交易类型",IF(NOT(ISNUMBER(C89)),"缺少成交净值",IF(C89&lt;=0,"成交净值须大于零",IF(NOT(ISNUMBER(D89)),"缺少确认份额（分红填0）",IF(NOT(ISNUMBER(E89)),"缺少确认金额（再投填0）",IF(NOT(ISNUMBER(F89)),"缺少手续费（无费用填0）",IF(OR(D89&lt;0,E89&lt;0,F89&lt;0),"份额金额费用不能为负",IF(AA88="错误","前行待修正",IF(A89&lt;Z88,"日期需按成交顺序递增",IF(AND(B89="现金分红",OR(D89&lt;&gt;0,E89&lt;=0,F89&lt;&gt;0)),"分红填份额0、费用0、正金额",IF(AND(B89="红利再投",OR(D89&lt;=0,E89&lt;&gt;0,F89&lt;&gt;0)),"再投填正份额、金额0、费用0",IF(AND(OR(B89="现金分红",B89="红利再投"),K88&lt;=0),"分红或再投前须有持仓",IF(AND(OR(OR(B89="买入",B89="定投",B89="转换转入"),B89="卖出"),OR(D89&lt;=0,E89&lt;=0)),"买卖须填正份额、正金额",IF(AND(B89="卖出",D89&gt;K88+0.000001),"卖出份额超过持仓",IF(AND(OR(B89="买入",B89="定投",B89="转换转入"),F89&gt;=E89)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89="买入",B89="定投",B89="转换转入"),ABS(E89-F89-C89*D89)&gt;持仓总览!$H$6),"买入金额与份额净值不符",IF(AND(B89="卖出",ABS(E89+F89-C89*D89)&gt;持仓总览!$H$6),"到账加费用与赎回市值不符","已计入"))))))))))))))))))))))))))</f>
        <v>已计入</v>
      </c>
      <c r="J89" s="11">
        <f t="shared" si="18"/>
        <v>296.77</v>
      </c>
      <c r="K89" s="11">
        <f t="shared" si="23"/>
        <v>20023.89</v>
      </c>
      <c r="L89" s="11">
        <f t="shared" si="24"/>
        <v>66373.87</v>
      </c>
      <c r="M89" s="11">
        <f t="shared" si="25"/>
        <v>0</v>
      </c>
      <c r="N89" s="11">
        <f>IF(I89="已计入",IF(AND(B89="卖出",持仓总览!$C$7="本金优先"),MAX(0,E89-Q88),IF(OR(B89="卖出",B89="现金分红"),MIN(E89,M89),0)),"")</f>
        <v>0</v>
      </c>
      <c r="O89" s="11">
        <f t="shared" si="26"/>
        <v>0</v>
      </c>
      <c r="P89" s="11">
        <f t="shared" si="27"/>
        <v>0</v>
      </c>
      <c r="Q89" s="11">
        <f t="shared" si="28"/>
        <v>42556.01</v>
      </c>
      <c r="R89" s="11">
        <f t="shared" si="19"/>
        <v>67372.38</v>
      </c>
      <c r="S89" s="11">
        <f t="shared" si="20"/>
        <v>24816.37</v>
      </c>
      <c r="T89" s="12">
        <f t="shared" si="21"/>
        <v>0.583146070320032</v>
      </c>
      <c r="U89" s="11">
        <f t="shared" si="29"/>
        <v>42556.01</v>
      </c>
      <c r="V89" s="11">
        <f t="shared" si="30"/>
        <v>0</v>
      </c>
      <c r="W89" s="11">
        <f t="shared" si="31"/>
        <v>0</v>
      </c>
      <c r="X89" s="11">
        <f t="shared" si="32"/>
        <v>0</v>
      </c>
      <c r="Y89" s="11">
        <f t="shared" si="22"/>
        <v>24816.37</v>
      </c>
      <c r="Z89" s="13">
        <f t="shared" si="33"/>
        <v>46210</v>
      </c>
      <c r="AA89" s="10" t="str">
        <f t="shared" si="34"/>
        <v>正常</v>
      </c>
      <c r="AB89" s="14">
        <f t="shared" si="35"/>
        <v>3.3646</v>
      </c>
    </row>
    <row r="90" ht="38" customHeight="1" spans="1:28">
      <c r="A90" s="5">
        <v>46211</v>
      </c>
      <c r="B90" s="6" t="s">
        <v>90</v>
      </c>
      <c r="C90" s="7">
        <v>3.3565</v>
      </c>
      <c r="D90" s="8">
        <v>297.48</v>
      </c>
      <c r="E90" s="8">
        <v>1000</v>
      </c>
      <c r="F90" s="8">
        <v>1.5</v>
      </c>
      <c r="G90" s="6" t="s">
        <v>81</v>
      </c>
      <c r="H90" s="9" t="s">
        <v>167</v>
      </c>
      <c r="I90" s="10" t="str">
        <f>IF(COUNTA(A90:H90)=0,"",IF(OR(OR(OR(G90="撤单",G90="交易失败",G90="交易关闭"),G90="交易失败",G90="交易关闭"),G90="交易失败",G90="交易关闭"),"已排除",IF(G90="待确认","待确认",IF(NOT(OR(G90="已确认",G90="历史估算")),"请选择确认状态",IF(NOT(ISNUMBER(A90)),"缺少有效净值日期",IF(OR(A90&lt;=0,A90&lt;&gt;INT(A90)),"净值日期无效",IF(NOT(OR(OR(B90="买入",B90="定投",B90="转换转入"),B90="卖出",B90="现金分红",B90="红利再投")),"请选择交易类型",IF(NOT(ISNUMBER(C90)),"缺少成交净值",IF(C90&lt;=0,"成交净值须大于零",IF(NOT(ISNUMBER(D90)),"缺少确认份额（分红填0）",IF(NOT(ISNUMBER(E90)),"缺少确认金额（再投填0）",IF(NOT(ISNUMBER(F90)),"缺少手续费（无费用填0）",IF(OR(D90&lt;0,E90&lt;0,F90&lt;0),"份额金额费用不能为负",IF(AA89="错误","前行待修正",IF(A90&lt;Z89,"日期需按成交顺序递增",IF(AND(B90="现金分红",OR(D90&lt;&gt;0,E90&lt;=0,F90&lt;&gt;0)),"分红填份额0、费用0、正金额",IF(AND(B90="红利再投",OR(D90&lt;=0,E90&lt;&gt;0,F90&lt;&gt;0)),"再投填正份额、金额0、费用0",IF(AND(OR(B90="现金分红",B90="红利再投"),K89&lt;=0),"分红或再投前须有持仓",IF(AND(OR(OR(B90="买入",B90="定投",B90="转换转入"),B90="卖出"),OR(D90&lt;=0,E90&lt;=0)),"买卖须填正份额、正金额",IF(AND(B90="卖出",D90&gt;K89+0.000001),"卖出份额超过持仓",IF(AND(OR(B90="买入",B90="定投",B90="转换转入"),F90&gt;=E90)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90="买入",B90="定投",B90="转换转入"),ABS(E90-F90-C90*D90)&gt;持仓总览!$H$6),"买入金额与份额净值不符",IF(AND(B90="卖出",ABS(E90+F90-C90*D90)&gt;持仓总览!$H$6),"到账加费用与赎回市值不符","已计入"))))))))))))))))))))))))))</f>
        <v>已计入</v>
      </c>
      <c r="J90" s="11">
        <f t="shared" si="18"/>
        <v>297.48</v>
      </c>
      <c r="K90" s="11">
        <f t="shared" si="23"/>
        <v>20321.37</v>
      </c>
      <c r="L90" s="11">
        <f t="shared" si="24"/>
        <v>67210.19</v>
      </c>
      <c r="M90" s="11">
        <f t="shared" si="25"/>
        <v>0</v>
      </c>
      <c r="N90" s="11">
        <f>IF(I90="已计入",IF(AND(B90="卖出",持仓总览!$C$7="本金优先"),MAX(0,E90-Q89),IF(OR(B90="卖出",B90="现金分红"),MIN(E90,M90),0)),"")</f>
        <v>0</v>
      </c>
      <c r="O90" s="11">
        <f t="shared" si="26"/>
        <v>0</v>
      </c>
      <c r="P90" s="11">
        <f t="shared" si="27"/>
        <v>0</v>
      </c>
      <c r="Q90" s="11">
        <f t="shared" si="28"/>
        <v>43556.01</v>
      </c>
      <c r="R90" s="11">
        <f t="shared" si="19"/>
        <v>68208.68</v>
      </c>
      <c r="S90" s="11">
        <f t="shared" si="20"/>
        <v>24652.67</v>
      </c>
      <c r="T90" s="12">
        <f t="shared" si="21"/>
        <v>0.565999273119829</v>
      </c>
      <c r="U90" s="11">
        <f t="shared" si="29"/>
        <v>43556.01</v>
      </c>
      <c r="V90" s="11">
        <f t="shared" si="30"/>
        <v>0</v>
      </c>
      <c r="W90" s="11">
        <f t="shared" si="31"/>
        <v>0</v>
      </c>
      <c r="X90" s="11">
        <f t="shared" si="32"/>
        <v>0</v>
      </c>
      <c r="Y90" s="11">
        <f t="shared" si="22"/>
        <v>24652.67</v>
      </c>
      <c r="Z90" s="13">
        <f t="shared" si="33"/>
        <v>46211</v>
      </c>
      <c r="AA90" s="10" t="str">
        <f t="shared" si="34"/>
        <v>正常</v>
      </c>
      <c r="AB90" s="14">
        <f t="shared" si="35"/>
        <v>3.3565</v>
      </c>
    </row>
    <row r="91" ht="38" customHeight="1" spans="1:28">
      <c r="A91" s="5">
        <v>46212</v>
      </c>
      <c r="B91" s="6" t="s">
        <v>90</v>
      </c>
      <c r="C91" s="7">
        <v>3.5558</v>
      </c>
      <c r="D91" s="8">
        <v>280.81</v>
      </c>
      <c r="E91" s="8">
        <v>1000</v>
      </c>
      <c r="F91" s="8">
        <v>1.5</v>
      </c>
      <c r="G91" s="6" t="s">
        <v>81</v>
      </c>
      <c r="H91" s="9" t="s">
        <v>168</v>
      </c>
      <c r="I91" s="10" t="str">
        <f>IF(COUNTA(A91:H91)=0,"",IF(OR(OR(OR(G91="撤单",G91="交易失败",G91="交易关闭"),G91="交易失败",G91="交易关闭"),G91="交易失败",G91="交易关闭"),"已排除",IF(G91="待确认","待确认",IF(NOT(OR(G91="已确认",G91="历史估算")),"请选择确认状态",IF(NOT(ISNUMBER(A91)),"缺少有效净值日期",IF(OR(A91&lt;=0,A91&lt;&gt;INT(A91)),"净值日期无效",IF(NOT(OR(OR(B91="买入",B91="定投",B91="转换转入"),B91="卖出",B91="现金分红",B91="红利再投")),"请选择交易类型",IF(NOT(ISNUMBER(C91)),"缺少成交净值",IF(C91&lt;=0,"成交净值须大于零",IF(NOT(ISNUMBER(D91)),"缺少确认份额（分红填0）",IF(NOT(ISNUMBER(E91)),"缺少确认金额（再投填0）",IF(NOT(ISNUMBER(F91)),"缺少手续费（无费用填0）",IF(OR(D91&lt;0,E91&lt;0,F91&lt;0),"份额金额费用不能为负",IF(AA90="错误","前行待修正",IF(A91&lt;Z90,"日期需按成交顺序递增",IF(AND(B91="现金分红",OR(D91&lt;&gt;0,E91&lt;=0,F91&lt;&gt;0)),"分红填份额0、费用0、正金额",IF(AND(B91="红利再投",OR(D91&lt;=0,E91&lt;&gt;0,F91&lt;&gt;0)),"再投填正份额、金额0、费用0",IF(AND(OR(B91="现金分红",B91="红利再投"),K90&lt;=0),"分红或再投前须有持仓",IF(AND(OR(OR(B91="买入",B91="定投",B91="转换转入"),B91="卖出"),OR(D91&lt;=0,E91&lt;=0)),"买卖须填正份额、正金额",IF(AND(B91="卖出",D91&gt;K90+0.000001),"卖出份额超过持仓",IF(AND(OR(B91="买入",B91="定投",B91="转换转入"),F91&gt;=E91)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91="买入",B91="定投",B91="转换转入"),ABS(E91-F91-C91*D91)&gt;持仓总览!$H$6),"买入金额与份额净值不符",IF(AND(B91="卖出",ABS(E91+F91-C91*D91)&gt;持仓总览!$H$6),"到账加费用与赎回市值不符","已计入"))))))))))))))))))))))))))</f>
        <v>已计入</v>
      </c>
      <c r="J91" s="11">
        <f t="shared" si="18"/>
        <v>280.81</v>
      </c>
      <c r="K91" s="11">
        <f t="shared" si="23"/>
        <v>20602.18</v>
      </c>
      <c r="L91" s="11">
        <f t="shared" si="24"/>
        <v>72258.73</v>
      </c>
      <c r="M91" s="11">
        <f t="shared" si="25"/>
        <v>0</v>
      </c>
      <c r="N91" s="11">
        <f>IF(I91="已计入",IF(AND(B91="卖出",持仓总览!$C$7="本金优先"),MAX(0,E91-Q90),IF(OR(B91="卖出",B91="现金分红"),MIN(E91,M91),0)),"")</f>
        <v>0</v>
      </c>
      <c r="O91" s="11">
        <f t="shared" si="26"/>
        <v>0</v>
      </c>
      <c r="P91" s="11">
        <f t="shared" si="27"/>
        <v>0</v>
      </c>
      <c r="Q91" s="11">
        <f t="shared" si="28"/>
        <v>44556.01</v>
      </c>
      <c r="R91" s="11">
        <f t="shared" si="19"/>
        <v>73257.23</v>
      </c>
      <c r="S91" s="11">
        <f t="shared" si="20"/>
        <v>28701.22</v>
      </c>
      <c r="T91" s="12">
        <f t="shared" si="21"/>
        <v>0.644160462303514</v>
      </c>
      <c r="U91" s="11">
        <f t="shared" si="29"/>
        <v>44556.01</v>
      </c>
      <c r="V91" s="11">
        <f t="shared" si="30"/>
        <v>0</v>
      </c>
      <c r="W91" s="11">
        <f t="shared" si="31"/>
        <v>0</v>
      </c>
      <c r="X91" s="11">
        <f t="shared" si="32"/>
        <v>0</v>
      </c>
      <c r="Y91" s="11">
        <f t="shared" si="22"/>
        <v>28701.22</v>
      </c>
      <c r="Z91" s="13">
        <f t="shared" si="33"/>
        <v>46212</v>
      </c>
      <c r="AA91" s="10" t="str">
        <f t="shared" si="34"/>
        <v>正常</v>
      </c>
      <c r="AB91" s="14">
        <f t="shared" si="35"/>
        <v>3.5558</v>
      </c>
    </row>
    <row r="92" ht="38" customHeight="1" spans="1:28">
      <c r="A92" s="5">
        <v>46213</v>
      </c>
      <c r="B92" s="6" t="s">
        <v>80</v>
      </c>
      <c r="C92" s="7">
        <v>3.3943</v>
      </c>
      <c r="D92" s="8">
        <v>294.17</v>
      </c>
      <c r="E92" s="8">
        <v>1000</v>
      </c>
      <c r="F92" s="8">
        <v>1.5</v>
      </c>
      <c r="G92" s="6" t="s">
        <v>81</v>
      </c>
      <c r="H92" s="9" t="s">
        <v>169</v>
      </c>
      <c r="I92" s="10" t="str">
        <f>IF(COUNTA(A92:H92)=0,"",IF(OR(OR(OR(G92="撤单",G92="交易失败",G92="交易关闭"),G92="交易失败",G92="交易关闭"),G92="交易失败",G92="交易关闭"),"已排除",IF(G92="待确认","待确认",IF(NOT(OR(G92="已确认",G92="历史估算")),"请选择确认状态",IF(NOT(ISNUMBER(A92)),"缺少有效净值日期",IF(OR(A92&lt;=0,A92&lt;&gt;INT(A92)),"净值日期无效",IF(NOT(OR(OR(B92="买入",B92="定投",B92="转换转入"),B92="卖出",B92="现金分红",B92="红利再投")),"请选择���易类型",IF(NOT(ISNUMBER(C92)),"缺少成交净值",IF(C92&lt;=0,"成交净值须大于零",IF(NOT(ISNUMBER(D92)),"缺少确认份额（分红填0）",IF(NOT(ISNUMBER(E92)),"缺少确认金额（再投填0）",IF(NOT(ISNUMBER(F92)),"缺少手续费（无费用填0）",IF(OR(D92&lt;0,E92&lt;0,F92&lt;0),"份额金额费用不能为负",IF(AA91="错误","前行待修正",IF(A92&lt;Z91,"日期需按成交顺序递增",IF(AND(B92="现金分红",OR(D92&lt;&gt;0,E92&lt;=0,F92&lt;&gt;0)),"分红填份额0、费用0、正金额",IF(AND(B92="红利再投",OR(D92&lt;=0,E92&lt;&gt;0,F92&lt;&gt;0)),"再投填正份额、金额0、费用0",IF(AND(OR(B92="现金分红",B92="红利再投"),K91&lt;=0),"分红或再投前须有持仓",IF(AND(OR(OR(B92="买入",B92="定投",B92="转换转入"),B92="卖出"),OR(D92&lt;=0,E92&lt;=0)),"买卖须填正份额、正金额",IF(AND(B92="卖出",D92&gt;K91+0.000001),"卖出份额超过持仓",IF(AND(OR(B92="买入",B92="定投",B92="转换转入"),F92&gt;=E92)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92="买入",B92="定投",B92="转换转入"),ABS(E92-F92-C92*D92)&gt;持仓总览!$H$6),"买入金额与份额净值不符",IF(AND(B92="卖出",ABS(E92+F92-C92*D92)&gt;持仓总览!$H$6),"到账加费用与赎回市值不符","已计入"))))))))))))))))))))))))))</f>
        <v>已计入</v>
      </c>
      <c r="J92" s="11">
        <f t="shared" si="18"/>
        <v>294.17</v>
      </c>
      <c r="K92" s="11">
        <f t="shared" si="23"/>
        <v>20896.35</v>
      </c>
      <c r="L92" s="11">
        <f t="shared" si="24"/>
        <v>69929.98</v>
      </c>
      <c r="M92" s="11">
        <f t="shared" si="25"/>
        <v>0</v>
      </c>
      <c r="N92" s="11">
        <f>IF(I92="已计入",IF(AND(B92="卖出",持仓总览!$C$7="本金优先"),MAX(0,E92-Q91),IF(OR(B92="卖出",B92="现金分红"),MIN(E92,M92),0)),"")</f>
        <v>0</v>
      </c>
      <c r="O92" s="11">
        <f t="shared" si="26"/>
        <v>0</v>
      </c>
      <c r="P92" s="11">
        <f t="shared" si="27"/>
        <v>0</v>
      </c>
      <c r="Q92" s="11">
        <f t="shared" si="28"/>
        <v>45556.01</v>
      </c>
      <c r="R92" s="11">
        <f t="shared" si="19"/>
        <v>70928.48</v>
      </c>
      <c r="S92" s="11">
        <f t="shared" si="20"/>
        <v>25372.47</v>
      </c>
      <c r="T92" s="12">
        <f t="shared" si="21"/>
        <v>0.556951102609732</v>
      </c>
      <c r="U92" s="11">
        <f t="shared" si="29"/>
        <v>45556.01</v>
      </c>
      <c r="V92" s="11">
        <f t="shared" si="30"/>
        <v>0</v>
      </c>
      <c r="W92" s="11">
        <f t="shared" si="31"/>
        <v>0</v>
      </c>
      <c r="X92" s="11">
        <f t="shared" si="32"/>
        <v>0</v>
      </c>
      <c r="Y92" s="11">
        <f t="shared" si="22"/>
        <v>25372.47</v>
      </c>
      <c r="Z92" s="13">
        <f t="shared" si="33"/>
        <v>46213</v>
      </c>
      <c r="AA92" s="10" t="str">
        <f t="shared" si="34"/>
        <v>正常</v>
      </c>
      <c r="AB92" s="14">
        <f t="shared" si="35"/>
        <v>3.3943</v>
      </c>
    </row>
    <row r="93" ht="38" customHeight="1" spans="1:28">
      <c r="A93" s="5">
        <v>46216</v>
      </c>
      <c r="B93" s="6" t="s">
        <v>90</v>
      </c>
      <c r="C93" s="7">
        <v>3.1753</v>
      </c>
      <c r="D93" s="8">
        <v>314.46</v>
      </c>
      <c r="E93" s="8">
        <v>1000</v>
      </c>
      <c r="F93" s="8">
        <v>1.5</v>
      </c>
      <c r="G93" s="6" t="s">
        <v>81</v>
      </c>
      <c r="H93" s="9" t="s">
        <v>170</v>
      </c>
      <c r="I93" s="10" t="str">
        <f>IF(COUNTA(A93:H93)=0,"",IF(OR(OR(OR(G93="撤单",G93="交易失败",G93="交易关闭"),G93="交易失败",G93="交易关闭"),G93="交易失败",G93="交易关闭"),"已排除",IF(G93="待确认","待确认",IF(NOT(OR(G93="已确认",G93="历史估算")),"请选择确认状态",IF(NOT(ISNUMBER(A93)),"缺少有效净值日期",IF(OR(A93&lt;=0,A93&lt;&gt;INT(A93)),"净值日期无效",IF(NOT(OR(OR(B93="买入",B93="定投",B93="转换转入"),B93="卖出",B93="现金分红",B93="红利再投")),"请选择交易类型",IF(NOT(ISNUMBER(C93)),"缺少成交净值",IF(C93&lt;=0,"成交净值须大于零",IF(NOT(ISNUMBER(D93)),"缺少确认份额（分红填0）",IF(NOT(ISNUMBER(E93)),"缺少确认金额（再投填0）",IF(NOT(ISNUMBER(F93)),"缺少手续费（无费用填0）",IF(OR(D93&lt;0,E93&lt;0,F93&lt;0),"份额金额费用不能为负",IF(AA92="错误","前行待修正",IF(A93&lt;Z92,"日期需按成交顺序递增",IF(AND(B93="现金分红",OR(D93&lt;&gt;0,E93&lt;=0,F93&lt;&gt;0)),"分红填份额0、费用0、正金额",IF(AND(B93="红利再投",OR(D93&lt;=0,E93&lt;&gt;0,F93&lt;&gt;0)),"再投填正份额、金额0、费用0",IF(AND(OR(B93="现金分红",B93="红利再投"),K92&lt;=0),"分红或再投前须有持仓",IF(AND(OR(OR(B93="买入",B93="定投",B93="转换转入"),B93="卖出"),OR(D93&lt;=0,E93&lt;=0)),"买卖须填正份额、正金额",IF(AND(B93="卖出",D93&gt;K92+0.000001),"卖出份额超过持仓",IF(AND(OR(B93="买入",B93="定投",B93="转换转入"),F93&gt;=E93)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93="买入",B93="定投",B93="转换转入"),ABS(E93-F93-C93*D93)&gt;持仓总览!$H$6),"买入金额与份额净值不符",IF(AND(B93="卖出",ABS(E93+F93-C93*D93)&gt;持仓总览!$H$6),"到账加费用与赎回市值不符","已计入"))))))))))))))))))))))))))</f>
        <v>已计入</v>
      </c>
      <c r="J93" s="11">
        <f t="shared" si="18"/>
        <v>314.46</v>
      </c>
      <c r="K93" s="11">
        <f t="shared" si="23"/>
        <v>21210.81</v>
      </c>
      <c r="L93" s="11">
        <f t="shared" si="24"/>
        <v>66352.18</v>
      </c>
      <c r="M93" s="11">
        <f t="shared" si="25"/>
        <v>0</v>
      </c>
      <c r="N93" s="11">
        <f>IF(I93="已计入",IF(AND(B93="卖出",持仓总览!$C$7="本金优先"),MAX(0,E93-Q92),IF(OR(B93="卖出",B93="现金分红"),MIN(E93,M93),0)),"")</f>
        <v>0</v>
      </c>
      <c r="O93" s="11">
        <f t="shared" si="26"/>
        <v>0</v>
      </c>
      <c r="P93" s="11">
        <f t="shared" si="27"/>
        <v>0</v>
      </c>
      <c r="Q93" s="11">
        <f t="shared" si="28"/>
        <v>46556.01</v>
      </c>
      <c r="R93" s="11">
        <f t="shared" si="19"/>
        <v>67350.68</v>
      </c>
      <c r="S93" s="11">
        <f t="shared" si="20"/>
        <v>20794.67</v>
      </c>
      <c r="T93" s="12">
        <f t="shared" si="21"/>
        <v>0.446659196095198</v>
      </c>
      <c r="U93" s="11">
        <f t="shared" si="29"/>
        <v>46556.01</v>
      </c>
      <c r="V93" s="11">
        <f t="shared" si="30"/>
        <v>0</v>
      </c>
      <c r="W93" s="11">
        <f t="shared" si="31"/>
        <v>0</v>
      </c>
      <c r="X93" s="11">
        <f t="shared" si="32"/>
        <v>0</v>
      </c>
      <c r="Y93" s="11">
        <f t="shared" si="22"/>
        <v>20794.67</v>
      </c>
      <c r="Z93" s="13">
        <f t="shared" si="33"/>
        <v>46216</v>
      </c>
      <c r="AA93" s="10" t="str">
        <f t="shared" si="34"/>
        <v>正常</v>
      </c>
      <c r="AB93" s="14">
        <f t="shared" si="35"/>
        <v>3.1753</v>
      </c>
    </row>
    <row r="94" ht="38" customHeight="1" spans="1:28">
      <c r="A94" s="5">
        <v>46217</v>
      </c>
      <c r="B94" s="6" t="s">
        <v>90</v>
      </c>
      <c r="C94" s="7">
        <v>3.2807</v>
      </c>
      <c r="D94" s="8">
        <v>304.36</v>
      </c>
      <c r="E94" s="8">
        <v>1000</v>
      </c>
      <c r="F94" s="8">
        <v>1.5</v>
      </c>
      <c r="G94" s="6" t="s">
        <v>81</v>
      </c>
      <c r="H94" s="9" t="s">
        <v>171</v>
      </c>
      <c r="I94" s="10" t="str">
        <f>IF(COUNTA(A94:H94)=0,"",IF(OR(OR(OR(G94="撤单",G94="交易失败",G94="交易关闭"),G94="交易失败",G94="交易关闭"),G94="交易失败",G94="交易关闭"),"已排除",IF(G94="待确认","待确认",IF(NOT(OR(G94="已确认",G94="历史估算")),"请选择确认状态",IF(NOT(ISNUMBER(A94)),"缺少有效净值日期",IF(OR(A94&lt;=0,A94&lt;&gt;INT(A94)),"净值日期无效",IF(NOT(OR(OR(B94="买入",B94="定投",B94="转换转入"),B94="卖出",B94="现金分红",B94="红利再投")),"请选择交易类型",IF(NOT(ISNUMBER(C94)),"缺少成交净值",IF(C94&lt;=0,"成交净值须大于零",IF(NOT(ISNUMBER(D94)),"缺少确认份额（分红填0）",IF(NOT(ISNUMBER(E94)),"缺少确认金额（再投填0）",IF(NOT(ISNUMBER(F94)),"缺少手续费（无费用填0）",IF(OR(D94&lt;0,E94&lt;0,F94&lt;0),"份额金额费用不能为负",IF(AA93="错误","前行待修正",IF(A94&lt;Z93,"日期需按成交顺序递增",IF(AND(B94="现金分红",OR(D94&lt;&gt;0,E94&lt;=0,F94&lt;&gt;0)),"分红填份额0、费用0、正金额",IF(AND(B94="红利再投",OR(D94&lt;=0,E94&lt;&gt;0,F94&lt;&gt;0)),"再投填正份额、金额0、费用0",IF(AND(OR(B94="现金分红",B94="红利再投"),K93&lt;=0),"分红或再投前须有持仓",IF(AND(OR(OR(B94="买入",B94="定投",B94="转换转入"),B94="卖出"),OR(D94&lt;=0,E94&lt;=0)),"买卖须填正份额、正金额",IF(AND(B94="卖出",D94&gt;K93+0.000001),"卖出份额超过持仓",IF(AND(OR(B94="买入",B94="定投",B94="转换转入"),F94&gt;=E94)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94="买入",B94="定投",B94="转换转入"),ABS(E94-F94-C94*D94)&gt;持仓总览!$H$6),"买入金额与份额净值不符",IF(AND(B94="卖出",ABS(E94+F94-C94*D94)&gt;持仓总览!$H$6),"到账加费用与赎回市值不符","已计入"))))))))))))))))))))))))))</f>
        <v>已计入</v>
      </c>
      <c r="J94" s="11">
        <f t="shared" si="18"/>
        <v>304.36</v>
      </c>
      <c r="K94" s="11">
        <f t="shared" si="23"/>
        <v>21515.17</v>
      </c>
      <c r="L94" s="11">
        <f t="shared" si="24"/>
        <v>69586.3</v>
      </c>
      <c r="M94" s="11">
        <f t="shared" si="25"/>
        <v>0</v>
      </c>
      <c r="N94" s="11">
        <f>IF(I94="已计入",IF(AND(B94="卖出",持仓总览!$C$7="本金优先"),MAX(0,E94-Q93),IF(OR(B94="卖出",B94="现金分红"),MIN(E94,M94),0)),"")</f>
        <v>0</v>
      </c>
      <c r="O94" s="11">
        <f t="shared" si="26"/>
        <v>0</v>
      </c>
      <c r="P94" s="11">
        <f t="shared" si="27"/>
        <v>0</v>
      </c>
      <c r="Q94" s="11">
        <f t="shared" si="28"/>
        <v>47556.01</v>
      </c>
      <c r="R94" s="11">
        <f t="shared" si="19"/>
        <v>70584.82</v>
      </c>
      <c r="S94" s="11">
        <f t="shared" si="20"/>
        <v>23028.81</v>
      </c>
      <c r="T94" s="12">
        <f t="shared" si="21"/>
        <v>0.484246050078634</v>
      </c>
      <c r="U94" s="11">
        <f t="shared" si="29"/>
        <v>47556.01</v>
      </c>
      <c r="V94" s="11">
        <f t="shared" si="30"/>
        <v>0</v>
      </c>
      <c r="W94" s="11">
        <f t="shared" si="31"/>
        <v>0</v>
      </c>
      <c r="X94" s="11">
        <f t="shared" si="32"/>
        <v>0</v>
      </c>
      <c r="Y94" s="11">
        <f t="shared" si="22"/>
        <v>23028.81</v>
      </c>
      <c r="Z94" s="13">
        <f t="shared" si="33"/>
        <v>46217</v>
      </c>
      <c r="AA94" s="10" t="str">
        <f t="shared" si="34"/>
        <v>正常</v>
      </c>
      <c r="AB94" s="14">
        <f t="shared" si="35"/>
        <v>3.2807</v>
      </c>
    </row>
    <row r="95" ht="38" customHeight="1" spans="1:28">
      <c r="A95" s="5">
        <v>46218</v>
      </c>
      <c r="B95" s="6" t="s">
        <v>90</v>
      </c>
      <c r="C95" s="7">
        <v>3.1877</v>
      </c>
      <c r="D95" s="8">
        <v>313.24</v>
      </c>
      <c r="E95" s="8">
        <v>1000</v>
      </c>
      <c r="F95" s="8">
        <v>1.5</v>
      </c>
      <c r="G95" s="6" t="s">
        <v>81</v>
      </c>
      <c r="H95" s="9" t="s">
        <v>172</v>
      </c>
      <c r="I95" s="10" t="str">
        <f>IF(COUNTA(A95:H95)=0,"",IF(OR(OR(OR(G95="撤单",G95="交易失败",G95="交易关闭"),G95="交易失败",G95="交易关闭"),G95="交易失败",G95="交易关闭"),"已排除",IF(G95="待确认","待确认",IF(NOT(OR(G95="已确认",G95="历史估算")),"请选择确认状态",IF(NOT(ISNUMBER(A95)),"缺少有效净值日期",IF(OR(A95&lt;=0,A95&lt;&gt;INT(A95)),"净值日期无效",IF(NOT(OR(OR(B95="买入",B95="定投",B95="转换转入"),B95="卖出",B95="现金分红",B95="红利再投")),"请选择交易类型",IF(NOT(ISNUMBER(C95)),"缺少成交净值",IF(C95&lt;=0,"成交净值须大于零",IF(NOT(ISNUMBER(D95)),"缺少确认份额（分红填0）",IF(NOT(ISNUMBER(E95)),"缺少确认金额（再投填0）",IF(NOT(ISNUMBER(F95)),"缺少手续费（无费用填0）",IF(OR(D95&lt;0,E95&lt;0,F95&lt;0),"份额金额费用不能为负",IF(AA94="错误","前行待修正",IF(A95&lt;Z94,"日期需按成交顺序递增",IF(AND(B95="现金分红",OR(D95&lt;&gt;0,E95&lt;=0,F95&lt;&gt;0)),"分红填份额0、费用0、正金额",IF(AND(B95="红利再投",OR(D95&lt;=0,E95&lt;&gt;0,F95&lt;&gt;0)),"再投填正份额、金额0、费用0",IF(AND(OR(B95="现金分红",B95="红利再投"),K94&lt;=0),"分红或再投前须有持仓",IF(AND(OR(OR(B95="买入",B95="定投",B95="转换转入"),B95="卖出"),OR(D95&lt;=0,E95&lt;=0)),"买卖须填正份额、正金额",IF(AND(B95="卖出",D95&gt;K94+0.000001),"卖出份额超过持仓",IF(AND(OR(B95="买入",B95="定投",B95="转换转入"),F95&gt;=E95)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95="买入",B95="定投",B95="转换转入"),ABS(E95-F95-C95*D95)&gt;持仓总览!$H$6),"买入金额与份额净值不符",IF(AND(B95="卖出",ABS(E95+F95-C95*D95)&gt;持仓总览!$H$6),"到账加费用与赎回市值不符","已计入"))))))))))))))))))))))))))</f>
        <v>已计入</v>
      </c>
      <c r="J95" s="11">
        <f t="shared" si="18"/>
        <v>313.24</v>
      </c>
      <c r="K95" s="11">
        <f t="shared" si="23"/>
        <v>21828.41</v>
      </c>
      <c r="L95" s="11">
        <f t="shared" si="24"/>
        <v>68583.91</v>
      </c>
      <c r="M95" s="11">
        <f t="shared" si="25"/>
        <v>0</v>
      </c>
      <c r="N95" s="11">
        <f>IF(I95="已计入",IF(AND(B95="卖出",持仓总览!$C$7="本金优先"),MAX(0,E95-Q94),IF(OR(B95="卖出",B95="现金分红"),MIN(E95,M95),0)),"")</f>
        <v>0</v>
      </c>
      <c r="O95" s="11">
        <f t="shared" si="26"/>
        <v>0</v>
      </c>
      <c r="P95" s="11">
        <f t="shared" si="27"/>
        <v>0</v>
      </c>
      <c r="Q95" s="11">
        <f t="shared" si="28"/>
        <v>48556.01</v>
      </c>
      <c r="R95" s="11">
        <f t="shared" si="19"/>
        <v>69582.42</v>
      </c>
      <c r="S95" s="11">
        <f t="shared" si="20"/>
        <v>21026.41</v>
      </c>
      <c r="T95" s="12">
        <f t="shared" si="21"/>
        <v>0.433034139337231</v>
      </c>
      <c r="U95" s="11">
        <f t="shared" si="29"/>
        <v>48556.01</v>
      </c>
      <c r="V95" s="11">
        <f t="shared" si="30"/>
        <v>0</v>
      </c>
      <c r="W95" s="11">
        <f t="shared" si="31"/>
        <v>0</v>
      </c>
      <c r="X95" s="11">
        <f t="shared" si="32"/>
        <v>0</v>
      </c>
      <c r="Y95" s="11">
        <f t="shared" si="22"/>
        <v>21026.41</v>
      </c>
      <c r="Z95" s="13">
        <f t="shared" si="33"/>
        <v>46218</v>
      </c>
      <c r="AA95" s="10" t="str">
        <f t="shared" si="34"/>
        <v>正常</v>
      </c>
      <c r="AB95" s="14">
        <f t="shared" si="35"/>
        <v>3.1877</v>
      </c>
    </row>
    <row r="96" ht="38" customHeight="1" spans="1:28">
      <c r="A96" s="5">
        <v>46219</v>
      </c>
      <c r="B96" s="6" t="s">
        <v>90</v>
      </c>
      <c r="C96" s="7">
        <v>3.02</v>
      </c>
      <c r="D96" s="8">
        <v>330.63</v>
      </c>
      <c r="E96" s="8">
        <v>1000</v>
      </c>
      <c r="F96" s="8">
        <v>1.5</v>
      </c>
      <c r="G96" s="6" t="s">
        <v>81</v>
      </c>
      <c r="H96" s="9" t="s">
        <v>173</v>
      </c>
      <c r="I96" s="10" t="str">
        <f>IF(COUNTA(A96:H96)=0,"",IF(OR(OR(OR(G96="撤单",G96="交易失败",G96="交易关闭"),G96="交易失败",G96="交易关闭"),G96="交易失败",G96="交易关闭"),"已排除",IF(G96="待确认","待确认",IF(NOT(OR(G96="已确认",G96="历史估算")),"请选择确认状态",IF(NOT(ISNUMBER(A96)),"缺少有效净值日期",IF(OR(A96&lt;=0,A96&lt;&gt;INT(A96)),"净值日期无效",IF(NOT(OR(OR(B96="买入",B96="定投",B96="转换转入"),B96="卖出",B96="现金分红",B96="红利再投")),"请选择交易类型",IF(NOT(ISNUMBER(C96)),"缺少成交净值",IF(C96&lt;=0,"成交净值须大于零",IF(NOT(ISNUMBER(D96)),"缺少确认份额（分红填0）",IF(NOT(ISNUMBER(E96)),"缺少确认金额（再投填0）",IF(NOT(ISNUMBER(F96)),"缺少手续费（无费用填0）",IF(OR(D96&lt;0,E96&lt;0,F96&lt;0),"份额金额费用不能为负",IF(AA95="错误","前行待修正",IF(A96&lt;Z95,"日期需按成交顺序递增",IF(AND(B96="现金分红",OR(D96&lt;&gt;0,E96&lt;=0,F96&lt;&gt;0)),"分红填份额0、费用0、正金额",IF(AND(B96="红利再投",OR(D96&lt;=0,E96&lt;&gt;0,F96&lt;&gt;0)),"再投填正份额、金额0、费用0",IF(AND(OR(B96="现金分红",B96="红利再投"),K95&lt;=0),"分红或再投前须有持仓",IF(AND(OR(OR(B96="买入",B96="定投",B96="转换转入"),B96="卖出"),OR(D96&lt;=0,E96&lt;=0)),"买卖须填正份额、正金额",IF(AND(B96="卖出",D96&gt;K95+0.000001),"卖出份额超过持仓",IF(AND(OR(B96="买入",B96="定投",B96="转换转入"),F96&gt;=E96)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96="买入",B96="定投",B96="转换转入"),ABS(E96-F96-C96*D96)&gt;持仓总览!$H$6),"买入金额与份额净值不符",IF(AND(B96="卖出",ABS(E96+F96-C96*D96)&gt;持仓总览!$H$6),"到账加费用与赎回市值不符","已计入"))))))))))))))))))))))))))</f>
        <v>已计入</v>
      </c>
      <c r="J96" s="11">
        <f t="shared" si="18"/>
        <v>330.63</v>
      </c>
      <c r="K96" s="11">
        <f t="shared" si="23"/>
        <v>22159.04</v>
      </c>
      <c r="L96" s="11">
        <f t="shared" si="24"/>
        <v>65921.8</v>
      </c>
      <c r="M96" s="11">
        <f t="shared" si="25"/>
        <v>0</v>
      </c>
      <c r="N96" s="11">
        <f>IF(I96="已计入",IF(AND(B96="卖出",持仓总览!$C$7="本金优先"),MAX(0,E96-Q95),IF(OR(B96="卖出",B96="现金分红"),MIN(E96,M96),0)),"")</f>
        <v>0</v>
      </c>
      <c r="O96" s="11">
        <f t="shared" si="26"/>
        <v>0</v>
      </c>
      <c r="P96" s="11">
        <f t="shared" si="27"/>
        <v>0</v>
      </c>
      <c r="Q96" s="11">
        <f t="shared" si="28"/>
        <v>49556.01</v>
      </c>
      <c r="R96" s="11">
        <f t="shared" si="19"/>
        <v>66920.3</v>
      </c>
      <c r="S96" s="11">
        <f t="shared" si="20"/>
        <v>17364.29</v>
      </c>
      <c r="T96" s="12">
        <f t="shared" si="21"/>
        <v>0.35039725756775</v>
      </c>
      <c r="U96" s="11">
        <f t="shared" si="29"/>
        <v>49556.01</v>
      </c>
      <c r="V96" s="11">
        <f t="shared" si="30"/>
        <v>0</v>
      </c>
      <c r="W96" s="11">
        <f t="shared" si="31"/>
        <v>0</v>
      </c>
      <c r="X96" s="11">
        <f t="shared" si="32"/>
        <v>0</v>
      </c>
      <c r="Y96" s="11">
        <f t="shared" si="22"/>
        <v>17364.29</v>
      </c>
      <c r="Z96" s="13">
        <f t="shared" si="33"/>
        <v>46219</v>
      </c>
      <c r="AA96" s="10" t="str">
        <f t="shared" si="34"/>
        <v>正常</v>
      </c>
      <c r="AB96" s="14">
        <f t="shared" si="35"/>
        <v>3.02</v>
      </c>
    </row>
    <row r="97" ht="38" customHeight="1" spans="1:28">
      <c r="A97" s="5">
        <v>46220</v>
      </c>
      <c r="B97" s="6" t="s">
        <v>90</v>
      </c>
      <c r="C97" s="7">
        <v>2.8423</v>
      </c>
      <c r="D97" s="8">
        <v>351.3</v>
      </c>
      <c r="E97" s="8">
        <v>1000</v>
      </c>
      <c r="F97" s="8">
        <v>1.5</v>
      </c>
      <c r="G97" s="6" t="s">
        <v>81</v>
      </c>
      <c r="H97" s="9" t="s">
        <v>174</v>
      </c>
      <c r="I97" s="10" t="str">
        <f>IF(COUNTA(A97:H97)=0,"",IF(OR(OR(OR(G97="撤单",G97="交易失败",G97="交易关闭"),G97="交易失败",G97="交易关闭"),G97="交易失败",G97="交易关闭"),"已排除",IF(G97="待确认","待确认",IF(NOT(OR(G97="已确认",G97="历史估算")),"请选择确认状态",IF(NOT(ISNUMBER(A97)),"缺少有效净值日期",IF(OR(A97&lt;=0,A97&lt;&gt;INT(A97)),"净值日期无效",IF(NOT(OR(OR(B97="买入",B97="定投",B97="转换转入"),B97="卖出",B97="现金分红",B97="红利再投")),"请选择交易类型",IF(NOT(ISNUMBER(C97)),"缺少成交净值",IF(C97&lt;=0,"成交净值须大于零",IF(NOT(ISNUMBER(D97)),"缺少确认份额（分红填0）",IF(NOT(ISNUMBER(E97)),"缺少确认金额（再投填0）",IF(NOT(ISNUMBER(F97)),"缺少手续费（无费用填0）",IF(OR(D97&lt;0,E97&lt;0,F97&lt;0),"份额金额费用不能为负",IF(AA96="错误","前行待修正",IF(A97&lt;Z96,"日期需按成交顺序递增",IF(AND(B97="现金分红",OR(D97&lt;&gt;0,E97&lt;=0,F97&lt;&gt;0)),"分红填份额0、费用0、正金额",IF(AND(B97="红利再投",OR(D97&lt;=0,E97&lt;&gt;0,F97&lt;&gt;0)),"再投填正份额、金额0、费用0",IF(AND(OR(B97="现金分红",B97="红利再投"),K96&lt;=0),"分红或再投前须有持仓",IF(AND(OR(OR(B97="买入",B97="定投",B97="转换转入"),B97="卖出"),OR(D97&lt;=0,E97&lt;=0)),"买卖须填正份额、正金额",IF(AND(B97="卖出",D97&gt;K96+0.000001),"卖出份额超过持仓",IF(AND(OR(B97="买入",B97="定投",B97="转换转入"),F97&gt;=E97)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97="买入",B97="定投",B97="转换转入"),ABS(E97-F97-C97*D97)&gt;持仓总览!$H$6),"买入金额与份额净值不符",IF(AND(B97="卖出",ABS(E97+F97-C97*D97)&gt;持仓总览!$H$6),"到账加费用与赎回市值不符","已计入"))))))))))))))))))))))))))</f>
        <v>已计入</v>
      </c>
      <c r="J97" s="11">
        <f t="shared" si="18"/>
        <v>351.3</v>
      </c>
      <c r="K97" s="11">
        <f t="shared" si="23"/>
        <v>22510.34</v>
      </c>
      <c r="L97" s="11">
        <f t="shared" si="24"/>
        <v>62982.64</v>
      </c>
      <c r="M97" s="11">
        <f t="shared" si="25"/>
        <v>0</v>
      </c>
      <c r="N97" s="11">
        <f>IF(I97="已计入",IF(AND(B97="卖出",持仓总览!$C$7="本金优先"),MAX(0,E97-Q96),IF(OR(B97="卖出",B97="现金分红"),MIN(E97,M97),0)),"")</f>
        <v>0</v>
      </c>
      <c r="O97" s="11">
        <f t="shared" si="26"/>
        <v>0</v>
      </c>
      <c r="P97" s="11">
        <f t="shared" si="27"/>
        <v>0</v>
      </c>
      <c r="Q97" s="11">
        <f t="shared" si="28"/>
        <v>50556.01</v>
      </c>
      <c r="R97" s="11">
        <f t="shared" si="19"/>
        <v>63981.14</v>
      </c>
      <c r="S97" s="11">
        <f t="shared" si="20"/>
        <v>13425.13</v>
      </c>
      <c r="T97" s="12">
        <f t="shared" si="21"/>
        <v>0.265549634949435</v>
      </c>
      <c r="U97" s="11">
        <f t="shared" si="29"/>
        <v>50556.01</v>
      </c>
      <c r="V97" s="11">
        <f t="shared" si="30"/>
        <v>0</v>
      </c>
      <c r="W97" s="11">
        <f t="shared" si="31"/>
        <v>0</v>
      </c>
      <c r="X97" s="11">
        <f t="shared" si="32"/>
        <v>0</v>
      </c>
      <c r="Y97" s="11">
        <f t="shared" si="22"/>
        <v>13425.13</v>
      </c>
      <c r="Z97" s="13">
        <f t="shared" si="33"/>
        <v>46220</v>
      </c>
      <c r="AA97" s="10" t="str">
        <f t="shared" si="34"/>
        <v>正常</v>
      </c>
      <c r="AB97" s="14">
        <f t="shared" si="35"/>
        <v>2.8423</v>
      </c>
    </row>
    <row r="98" ht="38" customHeight="1" spans="1:28">
      <c r="A98" s="5">
        <v>46223</v>
      </c>
      <c r="B98" s="6" t="s">
        <v>90</v>
      </c>
      <c r="C98" s="7">
        <v>2.8312</v>
      </c>
      <c r="D98" s="8">
        <v>70.54</v>
      </c>
      <c r="E98" s="8">
        <v>200</v>
      </c>
      <c r="F98" s="8">
        <v>0.3</v>
      </c>
      <c r="G98" s="6" t="s">
        <v>81</v>
      </c>
      <c r="H98" s="9" t="s">
        <v>175</v>
      </c>
      <c r="I98" s="10" t="str">
        <f>IF(COUNTA(A98:H98)=0,"",IF(OR(OR(OR(G98="撤单",G98="交易失败",G98="交易关闭"),G98="交易失败",G98="交易关闭"),G98="交易失败",G98="交易关闭"),"已排除",IF(G98="待确认","待确认",IF(NOT(OR(G98="已确认",G98="历史估算")),"请选择确认状态",IF(NOT(ISNUMBER(A98)),"缺少有效净值日期",IF(OR(A98&lt;=0,A98&lt;&gt;INT(A98)),"净值日期无效",IF(NOT(OR(OR(B98="买入",B98="定投",B98="转换转入"),B98="卖出",B98="现金分红",B98="红利再投")),"请选择交易类型",IF(NOT(ISNUMBER(C98)),"缺少成交净值",IF(C98&lt;=0,"成交净值须大于零",IF(NOT(ISNUMBER(D98)),"缺少确认份额（分红填0）",IF(NOT(ISNUMBER(E98)),"缺少确认金额（再投填0）",IF(NOT(ISNUMBER(F98)),"缺少手续费（无费用填0）",IF(OR(D98&lt;0,E98&lt;0,F98&lt;0),"份额金额费用不能为负",IF(AA97="错误","前行待修正",IF(A98&lt;Z97,"日期需按成交顺序递增",IF(AND(B98="现金分红",OR(D98&lt;&gt;0,E98&lt;=0,F98&lt;&gt;0)),"分红填份额0、费用0、正金额",IF(AND(B98="红利再投",OR(D98&lt;=0,E98&lt;&gt;0,F98&lt;&gt;0)),"再投填正份额、金额0、费用0",IF(AND(OR(B98="现金分红",B98="红利再投"),K97&lt;=0),"分红或再投前须有持仓",IF(AND(OR(OR(B98="买入",B98="定投",B98="转换转入"),B98="卖出"),OR(D98&lt;=0,E98&lt;=0)),"买卖须填正份额、正金额",IF(AND(B98="卖出",D98&gt;K97+0.000001),"卖出份额超过持仓",IF(AND(OR(B98="买入",B98="定投",B98="转换转入"),F98&gt;=E98)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98="买入",B98="定投",B98="转换转入"),ABS(E98-F98-C98*D98)&gt;持仓总览!$H$6),"买入金额与份额净值不符",IF(AND(B98="卖出",ABS(E98+F98-C98*D98)&gt;持仓总览!$H$6),"到账加费用与赎回市值不符","已计入"))))))))))))))))))))))))))</f>
        <v>已计入</v>
      </c>
      <c r="J98" s="11">
        <f t="shared" si="18"/>
        <v>70.54</v>
      </c>
      <c r="K98" s="11">
        <f t="shared" si="23"/>
        <v>22580.88</v>
      </c>
      <c r="L98" s="11">
        <f t="shared" si="24"/>
        <v>63731.27</v>
      </c>
      <c r="M98" s="11">
        <f t="shared" si="25"/>
        <v>0</v>
      </c>
      <c r="N98" s="11">
        <f>IF(I98="已计入",IF(AND(B98="卖出",持仓总览!$C$7="本金优先"),MAX(0,E98-Q97),IF(OR(B98="卖出",B98="现金分红"),MIN(E98,M98),0)),"")</f>
        <v>0</v>
      </c>
      <c r="O98" s="11">
        <f t="shared" si="26"/>
        <v>0</v>
      </c>
      <c r="P98" s="11">
        <f t="shared" si="27"/>
        <v>0</v>
      </c>
      <c r="Q98" s="11">
        <f t="shared" si="28"/>
        <v>50756.01</v>
      </c>
      <c r="R98" s="11">
        <f t="shared" si="19"/>
        <v>63930.99</v>
      </c>
      <c r="S98" s="11">
        <f t="shared" si="20"/>
        <v>13174.98</v>
      </c>
      <c r="T98" s="12">
        <f t="shared" si="21"/>
        <v>0.25957477745</v>
      </c>
      <c r="U98" s="11">
        <f t="shared" si="29"/>
        <v>50756.01</v>
      </c>
      <c r="V98" s="11">
        <f t="shared" si="30"/>
        <v>0</v>
      </c>
      <c r="W98" s="11">
        <f t="shared" si="31"/>
        <v>0</v>
      </c>
      <c r="X98" s="11">
        <f t="shared" si="32"/>
        <v>0</v>
      </c>
      <c r="Y98" s="11">
        <f t="shared" si="22"/>
        <v>13174.98</v>
      </c>
      <c r="Z98" s="13">
        <f t="shared" si="33"/>
        <v>46223</v>
      </c>
      <c r="AA98" s="10" t="str">
        <f t="shared" si="34"/>
        <v>正常</v>
      </c>
      <c r="AB98" s="14">
        <f t="shared" si="35"/>
        <v>2.8312</v>
      </c>
    </row>
    <row r="99" ht="38" customHeight="1" spans="1:28">
      <c r="A99" s="5">
        <v>46224</v>
      </c>
      <c r="B99" s="6" t="s">
        <v>90</v>
      </c>
      <c r="C99" s="7">
        <v>2.9654</v>
      </c>
      <c r="D99" s="8">
        <v>16.83</v>
      </c>
      <c r="E99" s="8">
        <v>50</v>
      </c>
      <c r="F99" s="8">
        <v>0.08</v>
      </c>
      <c r="G99" s="6" t="s">
        <v>81</v>
      </c>
      <c r="H99" s="9" t="s">
        <v>176</v>
      </c>
      <c r="I99" s="10" t="str">
        <f>IF(COUNTA(A99:H99)=0,"",IF(OR(OR(OR(G99="撤单",G99="交易失败",G99="交易关闭"),G99="交易失败",G99="交易关闭"),G99="交易失败",G99="交易关闭"),"已排除",IF(G99="待确认","待确认",IF(NOT(OR(G99="已确认",G99="历史估算")),"请选择确认状态",IF(NOT(ISNUMBER(A99)),"缺少有效净值日期",IF(OR(A99&lt;=0,A99&lt;&gt;INT(A99)),"净值日期无效",IF(NOT(OR(OR(B99="买入",B99="定投",B99="转换转入"),B99="卖出",B99="现金分红",B99="红利再投")),"请选择交易类型",IF(NOT(ISNUMBER(C99)),"缺少成交净值",IF(C99&lt;=0,"成交净值须大于零",IF(NOT(ISNUMBER(D99)),"缺少确认份额（分红填0）",IF(NOT(ISNUMBER(E99)),"缺少确认金额（再投填0）",IF(NOT(ISNUMBER(F99)),"缺少手续费（无费用填0）",IF(OR(D99&lt;0,E99&lt;0,F99&lt;0),"份额金额费用不能为负",IF(AA98="错误","前行待修正",IF(A99&lt;Z98,"日期需按成交顺序递增",IF(AND(B99="现金分红",OR(D99&lt;&gt;0,E99&lt;=0,F99&lt;&gt;0)),"分红填份额0、费用0、正金额",IF(AND(B99="红利再投",OR(D99&lt;=0,E99&lt;&gt;0,F99&lt;&gt;0)),"再投填正份额、金额0、费用0",IF(AND(OR(B99="现金分红",B99="红利再投"),K98&lt;=0),"分红或再投前须有持仓",IF(AND(OR(OR(B99="买入",B99="定投",B99="转换转入"),B99="卖出"),OR(D99&lt;=0,E99&lt;=0)),"买卖须填正份额、正金额",IF(AND(B99="卖出",D99&gt;K98+0.000001),"卖出份额超过持仓",IF(AND(OR(B99="买入",B99="定投",B99="转换转入"),F99&gt;=E99)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99="买入",B99="定投",B99="转换转入"),ABS(E99-F99-C99*D99)&gt;持仓总览!$H$6),"买入金额与份额净值不符",IF(AND(B99="卖出",ABS(E99+F99-C99*D99)&gt;持仓总览!$H$6),"到账加费用与赎回市值不符","已计入"))))))))))))))))))))))))))</f>
        <v>已计入</v>
      </c>
      <c r="J99" s="11">
        <f t="shared" si="18"/>
        <v>16.83</v>
      </c>
      <c r="K99" s="11">
        <f t="shared" si="23"/>
        <v>22597.71</v>
      </c>
      <c r="L99" s="11">
        <f t="shared" si="24"/>
        <v>66961.34</v>
      </c>
      <c r="M99" s="11">
        <f t="shared" si="25"/>
        <v>0</v>
      </c>
      <c r="N99" s="11">
        <f>IF(I99="已计入",IF(AND(B99="卖出",持仓总览!$C$7="本金优先"),MAX(0,E99-Q98),IF(OR(B99="卖出",B99="现金分红"),MIN(E99,M99),0)),"")</f>
        <v>0</v>
      </c>
      <c r="O99" s="11">
        <f t="shared" si="26"/>
        <v>0</v>
      </c>
      <c r="P99" s="11">
        <f t="shared" si="27"/>
        <v>0</v>
      </c>
      <c r="Q99" s="11">
        <f t="shared" si="28"/>
        <v>50806.01</v>
      </c>
      <c r="R99" s="11">
        <f t="shared" si="19"/>
        <v>67011.25</v>
      </c>
      <c r="S99" s="11">
        <f t="shared" si="20"/>
        <v>16205.24</v>
      </c>
      <c r="T99" s="12">
        <f t="shared" si="21"/>
        <v>0.318963051812177</v>
      </c>
      <c r="U99" s="11">
        <f t="shared" si="29"/>
        <v>50806.01</v>
      </c>
      <c r="V99" s="11">
        <f t="shared" si="30"/>
        <v>0</v>
      </c>
      <c r="W99" s="11">
        <f t="shared" si="31"/>
        <v>0</v>
      </c>
      <c r="X99" s="11">
        <f t="shared" si="32"/>
        <v>0</v>
      </c>
      <c r="Y99" s="11">
        <f t="shared" si="22"/>
        <v>16205.24</v>
      </c>
      <c r="Z99" s="13">
        <f t="shared" si="33"/>
        <v>46224</v>
      </c>
      <c r="AA99" s="10" t="str">
        <f t="shared" si="34"/>
        <v>正常</v>
      </c>
      <c r="AB99" s="14">
        <f t="shared" si="35"/>
        <v>2.9654</v>
      </c>
    </row>
    <row r="100" ht="38" customHeight="1" spans="1:28">
      <c r="A100" s="5">
        <v>46225</v>
      </c>
      <c r="B100" s="6" t="s">
        <v>90</v>
      </c>
      <c r="C100" s="7">
        <v>2.9094</v>
      </c>
      <c r="D100" s="8">
        <v>68.64</v>
      </c>
      <c r="E100" s="8">
        <v>200</v>
      </c>
      <c r="F100" s="8">
        <v>0.3</v>
      </c>
      <c r="G100" s="6" t="s">
        <v>81</v>
      </c>
      <c r="H100" s="9" t="s">
        <v>177</v>
      </c>
      <c r="I100" s="10" t="str">
        <f>IF(COUNTA(A100:H100)=0,"",IF(OR(OR(OR(G100="撤单",G100="交易失败",G100="交易关闭"),G100="交易失败",G100="交易关闭"),G100="交易失败",G100="交易关闭"),"已排除",IF(G100="待确认","待确认",IF(NOT(OR(G100="已确认",G100="历史估算")),"请选择确认状态",IF(NOT(ISNUMBER(A100)),"缺少有效净值日期",IF(OR(A100&lt;=0,A100&lt;&gt;INT(A100)),"净值日期无效",IF(NOT(OR(OR(B100="买入",B100="定投",B100="转换转入"),B100="卖出",B100="现金分红",B100="红利再投")),"请选择交易类型",IF(NOT(ISNUMBER(C100)),"缺少成交净值",IF(C100&lt;=0,"成交净值须大于零",IF(NOT(ISNUMBER(D100)),"缺少确认份额（分红填0）",IF(NOT(ISNUMBER(E100)),"缺少确认金额（再投填0）",IF(NOT(ISNUMBER(F100)),"缺少手续费（无费用填0）",IF(OR(D100&lt;0,E100&lt;0,F100&lt;0),"份额金额费用不能为负",IF(AA99="错误","前行待修正",IF(A100&lt;Z99,"日期需按成交顺序递增",IF(AND(B100="现金分红",OR(D100&lt;&gt;0,E100&lt;=0,F100&lt;&gt;0)),"分红填份额0、费用0、正金额",IF(AND(B100="红利再投",OR(D100&lt;=0,E100&lt;&gt;0,F100&lt;&gt;0)),"再投填正份额、金额0、费用0",IF(AND(OR(B100="现金分红",B100="红利再投"),K99&lt;=0),"分红或再投前须有持仓",IF(AND(OR(OR(B100="买入",B100="定投",B100="转换转入"),B100="卖出"),OR(D100&lt;=0,E100&lt;=0)),"买卖须填正份额、正金额",IF(AND(B100="卖出",D100&gt;K99+0.000001),"卖出份额超过持仓",IF(AND(OR(B100="买入",B100="定投",B100="转换转入"),F100&gt;=E100)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100="买入",B100="定投",B100="转换转入"),ABS(E100-F100-C100*D100)&gt;持仓总览!$H$6),"买入金额与份额净值不符",IF(AND(B100="卖出",ABS(E100+F100-C100*D100)&gt;持仓总览!$H$6),"到账加费用与赎回市值不符","已计入"))))))))))))))))))))))))))</f>
        <v>已计入</v>
      </c>
      <c r="J100" s="11">
        <f t="shared" si="18"/>
        <v>68.64</v>
      </c>
      <c r="K100" s="11">
        <f t="shared" si="23"/>
        <v>22666.35</v>
      </c>
      <c r="L100" s="11">
        <f t="shared" si="24"/>
        <v>65745.78</v>
      </c>
      <c r="M100" s="11">
        <f t="shared" si="25"/>
        <v>0</v>
      </c>
      <c r="N100" s="11">
        <f>IF(I100="已计入",IF(AND(B100="卖出",持仓总览!$C$7="本金优先"),MAX(0,E100-Q99),IF(OR(B100="卖出",B100="现金分红"),MIN(E100,M100),0)),"")</f>
        <v>0</v>
      </c>
      <c r="O100" s="11">
        <f t="shared" si="26"/>
        <v>0</v>
      </c>
      <c r="P100" s="11">
        <f t="shared" si="27"/>
        <v>0</v>
      </c>
      <c r="Q100" s="11">
        <f t="shared" si="28"/>
        <v>51006.01</v>
      </c>
      <c r="R100" s="11">
        <f t="shared" si="19"/>
        <v>65945.48</v>
      </c>
      <c r="S100" s="11">
        <f t="shared" si="20"/>
        <v>14939.47</v>
      </c>
      <c r="T100" s="12">
        <f t="shared" si="21"/>
        <v>0.292896268498555</v>
      </c>
      <c r="U100" s="11">
        <f t="shared" si="29"/>
        <v>51006.01</v>
      </c>
      <c r="V100" s="11">
        <f t="shared" si="30"/>
        <v>0</v>
      </c>
      <c r="W100" s="11">
        <f t="shared" si="31"/>
        <v>0</v>
      </c>
      <c r="X100" s="11">
        <f t="shared" si="32"/>
        <v>0</v>
      </c>
      <c r="Y100" s="11">
        <f t="shared" si="22"/>
        <v>14939.47</v>
      </c>
      <c r="Z100" s="13">
        <f t="shared" si="33"/>
        <v>46225</v>
      </c>
      <c r="AA100" s="10" t="str">
        <f t="shared" si="34"/>
        <v>正常</v>
      </c>
      <c r="AB100" s="14">
        <f t="shared" si="35"/>
        <v>2.9094</v>
      </c>
    </row>
    <row r="101" ht="38" customHeight="1" spans="1:28">
      <c r="A101" s="5">
        <v>46226</v>
      </c>
      <c r="B101" s="6" t="s">
        <v>90</v>
      </c>
      <c r="C101" s="7">
        <v>2.8739</v>
      </c>
      <c r="D101" s="8">
        <v>69.49</v>
      </c>
      <c r="E101" s="8">
        <v>200</v>
      </c>
      <c r="F101" s="8">
        <v>0.3</v>
      </c>
      <c r="G101" s="6" t="s">
        <v>81</v>
      </c>
      <c r="H101" s="9" t="s">
        <v>178</v>
      </c>
      <c r="I101" s="10" t="str">
        <f>IF(COUNTA(A101:H101)=0,"",IF(OR(OR(OR(G101="撤单",G101="交易失败",G101="交易关闭"),G101="交易失败",G101="交易关闭"),G101="交易失败",G101="交易关闭"),"已排除",IF(G101="待确认","待确认",IF(NOT(OR(G101="已确认",G101="历史估算")),"请选择确认状态",IF(NOT(ISNUMBER(A101)),"缺少有效净值日期",IF(OR(A101&lt;=0,A101&lt;&gt;INT(A101)),"净值日期无效",IF(NOT(OR(OR(B101="买入",B101="定投",B101="转换转入"),B101="卖出",B101="现金分红",B101="红利再投")),"请选择交易类型",IF(NOT(ISNUMBER(C101)),"缺少成交净值",IF(C101&lt;=0,"成交净值须大于零",IF(NOT(ISNUMBER(D101)),"缺少确认份额（分红填0）",IF(NOT(ISNUMBER(E101)),"缺少确认金额（再投填0）",IF(NOT(ISNUMBER(F101)),"缺少手续费（无费用填0）",IF(OR(D101&lt;0,E101&lt;0,F101&lt;0),"份额金额费用不能为负",IF(AA100="错误","前行待修正",IF(A101&lt;Z100,"日期需按成交顺序递增",IF(AND(B101="现金分红",OR(D101&lt;&gt;0,E101&lt;=0,F101&lt;&gt;0)),"分红填份额0、费用0、正金额",IF(AND(B101="红利再投",OR(D101&lt;=0,E101&lt;&gt;0,F101&lt;&gt;0)),"再投填正份额、金额0、费用0",IF(AND(OR(B101="现金分红",B101="红利再投"),K100&lt;=0),"分红或再投前须有持仓",IF(AND(OR(OR(B101="买入",B101="定投",B101="转换转入"),B101="卖出"),OR(D101&lt;=0,E101&lt;=0)),"买卖须填正份额、正金额",IF(AND(B101="卖出",D101&gt;K100+0.000001),"卖出份额超过持仓",IF(AND(OR(B101="买入",B101="定投",B101="转换转入"),F101&gt;=E101)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101="买入",B101="定投",B101="转换转入"),ABS(E101-F101-C101*D101)&gt;持仓总览!$H$6),"买入金额与份额净值不符",IF(AND(B101="卖出",ABS(E101+F101-C101*D101)&gt;持仓总览!$H$6),"到账加费用与赎回市值不符","已计入"))))))))))))))))))))))))))</f>
        <v>已计入</v>
      </c>
      <c r="J101" s="11">
        <f t="shared" si="18"/>
        <v>69.49</v>
      </c>
      <c r="K101" s="11">
        <f t="shared" si="23"/>
        <v>22735.84</v>
      </c>
      <c r="L101" s="11">
        <f t="shared" si="24"/>
        <v>65140.82</v>
      </c>
      <c r="M101" s="11">
        <f t="shared" si="25"/>
        <v>0</v>
      </c>
      <c r="N101" s="11">
        <f>IF(I101="已计入",IF(AND(B101="卖出",持仓总览!$C$7="本金优先"),MAX(0,E101-Q100),IF(OR(B101="卖出",B101="现金分红"),MIN(E101,M101),0)),"")</f>
        <v>0</v>
      </c>
      <c r="O101" s="11">
        <f t="shared" si="26"/>
        <v>0</v>
      </c>
      <c r="P101" s="11">
        <f t="shared" si="27"/>
        <v>0</v>
      </c>
      <c r="Q101" s="11">
        <f t="shared" si="28"/>
        <v>51206.01</v>
      </c>
      <c r="R101" s="11">
        <f t="shared" si="19"/>
        <v>65340.53</v>
      </c>
      <c r="S101" s="11">
        <f t="shared" si="20"/>
        <v>14134.52</v>
      </c>
      <c r="T101" s="12">
        <f t="shared" si="21"/>
        <v>0.276032442285583</v>
      </c>
      <c r="U101" s="11">
        <f t="shared" si="29"/>
        <v>51206.01</v>
      </c>
      <c r="V101" s="11">
        <f t="shared" si="30"/>
        <v>0</v>
      </c>
      <c r="W101" s="11">
        <f t="shared" si="31"/>
        <v>0</v>
      </c>
      <c r="X101" s="11">
        <f t="shared" si="32"/>
        <v>0</v>
      </c>
      <c r="Y101" s="11">
        <f t="shared" si="22"/>
        <v>14134.52</v>
      </c>
      <c r="Z101" s="13">
        <f t="shared" si="33"/>
        <v>46226</v>
      </c>
      <c r="AA101" s="10" t="str">
        <f t="shared" si="34"/>
        <v>正常</v>
      </c>
      <c r="AB101" s="14">
        <f t="shared" si="35"/>
        <v>2.8739</v>
      </c>
    </row>
    <row r="102" ht="38" customHeight="1" spans="1:28">
      <c r="A102" s="5">
        <v>46227</v>
      </c>
      <c r="B102" s="6" t="s">
        <v>90</v>
      </c>
      <c r="C102" s="7">
        <v>2.7838</v>
      </c>
      <c r="D102" s="8">
        <v>71.74</v>
      </c>
      <c r="E102" s="8">
        <v>200</v>
      </c>
      <c r="F102" s="8">
        <v>0.3</v>
      </c>
      <c r="G102" s="6" t="s">
        <v>81</v>
      </c>
      <c r="H102" s="9" t="s">
        <v>179</v>
      </c>
      <c r="I102" s="10" t="str">
        <f>IF(COUNTA(A102:H102)=0,"",IF(OR(OR(OR(G102="撤单",G102="交易失败",G102="交易关闭"),G102="交易失败",G102="交易关闭"),G102="交易失败",G102="交易关闭"),"已排除",IF(G102="待确认","待确认",IF(NOT(OR(G102="已确认",G102="历史估算")),"请选择确认状态",IF(NOT(ISNUMBER(A102)),"缺少有效净值日期",IF(OR(A102&lt;=0,A102&lt;&gt;INT(A102)),"净值日期无效",IF(NOT(OR(OR(B102="买入",B102="定投",B102="转换转入"),B102="卖出",B102="现金分红",B102="红利再投")),"请选择交易类型",IF(NOT(ISNUMBER(C102)),"缺少成交净值",IF(C102&lt;=0,"成交净值须大于零",IF(NOT(ISNUMBER(D102)),"缺少确认份额（分红填0）",IF(NOT(ISNUMBER(E102)),"缺少确认金额（再投填0）",IF(NOT(ISNUMBER(F102)),"缺少手续费（无费用填0）",IF(OR(D102&lt;0,E102&lt;0,F102&lt;0),"份额金额费用不能为负",IF(AA101="错误","前行待修正",IF(A102&lt;Z101,"日期需按成交顺序递增",IF(AND(B102="现金分红",OR(D102&lt;&gt;0,E102&lt;=0,F102&lt;&gt;0)),"分红填份额0、费用0、正金额",IF(AND(B102="红利再投",OR(D102&lt;=0,E102&lt;&gt;0,F102&lt;&gt;0)),"再投填正份额、金额0、费用0",IF(AND(OR(B102="现金分红",B102="红利再投"),K101&lt;=0),"分红或再投前须有持仓",IF(AND(OR(OR(B102="买入",B102="定投",B102="转换转入"),B102="卖出"),OR(D102&lt;=0,E102&lt;=0)),"买卖须填正份额、正金额",IF(AND(B102="卖出",D102&gt;K101+0.000001),"卖出份额超过持仓",IF(AND(OR(B102="买入",B102="定投",B102="转换转入"),F102&gt;=E102)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102="买入",B102="定投",B102="转换转入"),ABS(E102-F102-C102*D102)&gt;持仓总览!$H$6),"买入金额与份额净值不符",IF(AND(B102="卖出",ABS(E102+F102-C102*D102)&gt;持仓总览!$H$6),"到账加费用与赎回市值不符","已计入"))))))))))))))))))))))))))</f>
        <v>已计入</v>
      </c>
      <c r="J102" s="11">
        <f t="shared" si="18"/>
        <v>71.74</v>
      </c>
      <c r="K102" s="11">
        <f t="shared" si="23"/>
        <v>22807.58</v>
      </c>
      <c r="L102" s="11">
        <f t="shared" si="24"/>
        <v>63292.03</v>
      </c>
      <c r="M102" s="11">
        <f t="shared" si="25"/>
        <v>0</v>
      </c>
      <c r="N102" s="11">
        <f>IF(I102="已计入",IF(AND(B102="卖出",持仓总览!$C$7="本金优先"),MAX(0,E102-Q101),IF(OR(B102="卖出",B102="现金分红"),MIN(E102,M102),0)),"")</f>
        <v>0</v>
      </c>
      <c r="O102" s="11">
        <f t="shared" si="26"/>
        <v>0</v>
      </c>
      <c r="P102" s="11">
        <f t="shared" si="27"/>
        <v>0</v>
      </c>
      <c r="Q102" s="11">
        <f t="shared" si="28"/>
        <v>51406.01</v>
      </c>
      <c r="R102" s="11">
        <f t="shared" si="19"/>
        <v>63491.74</v>
      </c>
      <c r="S102" s="11">
        <f t="shared" si="20"/>
        <v>12085.73</v>
      </c>
      <c r="T102" s="12">
        <f t="shared" si="21"/>
        <v>0.235103444130365</v>
      </c>
      <c r="U102" s="11">
        <f t="shared" si="29"/>
        <v>51406.01</v>
      </c>
      <c r="V102" s="11">
        <f t="shared" si="30"/>
        <v>0</v>
      </c>
      <c r="W102" s="11">
        <f t="shared" si="31"/>
        <v>0</v>
      </c>
      <c r="X102" s="11">
        <f t="shared" si="32"/>
        <v>0</v>
      </c>
      <c r="Y102" s="11">
        <f t="shared" si="22"/>
        <v>12085.73</v>
      </c>
      <c r="Z102" s="13">
        <f t="shared" si="33"/>
        <v>46227</v>
      </c>
      <c r="AA102" s="10" t="str">
        <f t="shared" si="34"/>
        <v>正常</v>
      </c>
      <c r="AB102" s="14">
        <f t="shared" si="35"/>
        <v>2.7838</v>
      </c>
    </row>
    <row r="103" ht="38" customHeight="1" spans="1:28">
      <c r="A103" s="5">
        <v>46230</v>
      </c>
      <c r="B103" s="6" t="s">
        <v>90</v>
      </c>
      <c r="C103" s="7">
        <v>2.7755</v>
      </c>
      <c r="D103" s="8">
        <v>71.95</v>
      </c>
      <c r="E103" s="8">
        <v>200</v>
      </c>
      <c r="F103" s="8">
        <v>0.3</v>
      </c>
      <c r="G103" s="6" t="s">
        <v>81</v>
      </c>
      <c r="H103" s="9" t="s">
        <v>180</v>
      </c>
      <c r="I103" s="10" t="str">
        <f>IF(COUNTA(A103:H103)=0,"",IF(OR(OR(OR(G103="撤单",G103="交易失败",G103="交易关闭"),G103="交易失败",G103="交易关闭"),G103="交易失败",G103="交易关闭"),"已排除",IF(G103="待确认","待确认",IF(NOT(OR(G103="已确认",G103="历史估算")),"请选择确认状态",IF(NOT(ISNUMBER(A103)),"缺少有效净值日期",IF(OR(A103&lt;=0,A103&lt;&gt;INT(A103)),"净值日期无效",IF(NOT(OR(OR(B103="买入",B103="定投",B103="转换转入"),B103="卖出",B103="现金分红",B103="红利再投")),"请选择交易类型",IF(NOT(ISNUMBER(C103)),"缺少成交净值",IF(C103&lt;=0,"成交净值须大于零",IF(NOT(ISNUMBER(D103)),"缺少确认份额（分红填0）",IF(NOT(ISNUMBER(E103)),"缺少确认金额（再投填0）",IF(NOT(ISNUMBER(F103)),"缺少手续费（无费用填0）",IF(OR(D103&lt;0,E103&lt;0,F103&lt;0),"份额金额费用不能为负",IF(AA102="错误","前行待修正",IF(A103&lt;Z102,"日期需按成交顺序递增",IF(AND(B103="现金分红",OR(D103&lt;&gt;0,E103&lt;=0,F103&lt;&gt;0)),"分红填份额0、费用0、正金额",IF(AND(B103="红利再投",OR(D103&lt;=0,E103&lt;&gt;0,F103&lt;&gt;0)),"再投填正份额、金额0、费用0",IF(AND(OR(B103="现金分红",B103="红利再投"),K102&lt;=0),"分红或再投前须有持仓",IF(AND(OR(OR(B103="买入",B103="定投",B103="转换转入"),B103="卖出"),OR(D103&lt;=0,E103&lt;=0)),"买卖须填正份额、正金额",IF(AND(B103="卖出",D103&gt;K102+0.000001),"卖出份额超过持仓",IF(AND(OR(B103="买入",B103="定投",B103="转换转入"),F103&gt;=E103)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103="买入",B103="定投",B103="转换转入"),ABS(E103-F103-C103*D103)&gt;持仓总览!$H$6),"买入金额与份额净值不符",IF(AND(B103="卖出",ABS(E103+F103-C103*D103)&gt;持仓总览!$H$6),"到账加费用与赎回市值不符","已计入"))))))))))))))))))))))))))</f>
        <v>已计入</v>
      </c>
      <c r="J103" s="11">
        <f t="shared" si="18"/>
        <v>71.95</v>
      </c>
      <c r="K103" s="11">
        <f t="shared" si="23"/>
        <v>22879.53</v>
      </c>
      <c r="L103" s="11">
        <f t="shared" si="24"/>
        <v>63302.44</v>
      </c>
      <c r="M103" s="11">
        <f t="shared" si="25"/>
        <v>0</v>
      </c>
      <c r="N103" s="11">
        <f>IF(I103="已计入",IF(AND(B103="卖出",持仓总览!$C$7="本金优先"),MAX(0,E103-Q102),IF(OR(B103="卖出",B103="现金分红"),MIN(E103,M103),0)),"")</f>
        <v>0</v>
      </c>
      <c r="O103" s="11">
        <f t="shared" si="26"/>
        <v>0</v>
      </c>
      <c r="P103" s="11">
        <f t="shared" si="27"/>
        <v>0</v>
      </c>
      <c r="Q103" s="11">
        <f t="shared" si="28"/>
        <v>51606.01</v>
      </c>
      <c r="R103" s="11">
        <f t="shared" si="19"/>
        <v>63502.14</v>
      </c>
      <c r="S103" s="11">
        <f t="shared" si="20"/>
        <v>11896.13</v>
      </c>
      <c r="T103" s="12">
        <f t="shared" si="21"/>
        <v>0.230518305910494</v>
      </c>
      <c r="U103" s="11">
        <f t="shared" si="29"/>
        <v>51606.01</v>
      </c>
      <c r="V103" s="11">
        <f t="shared" si="30"/>
        <v>0</v>
      </c>
      <c r="W103" s="11">
        <f t="shared" si="31"/>
        <v>0</v>
      </c>
      <c r="X103" s="11">
        <f t="shared" si="32"/>
        <v>0</v>
      </c>
      <c r="Y103" s="11">
        <f t="shared" si="22"/>
        <v>11896.13</v>
      </c>
      <c r="Z103" s="13">
        <f t="shared" si="33"/>
        <v>46230</v>
      </c>
      <c r="AA103" s="10" t="str">
        <f t="shared" si="34"/>
        <v>正常</v>
      </c>
      <c r="AB103" s="14">
        <f t="shared" si="35"/>
        <v>2.7755</v>
      </c>
    </row>
    <row r="104" ht="38" customHeight="1" spans="1:28">
      <c r="A104" s="5">
        <v>46231</v>
      </c>
      <c r="B104" s="6" t="s">
        <v>90</v>
      </c>
      <c r="C104" s="7">
        <v>2.5659</v>
      </c>
      <c r="D104" s="8">
        <v>77.83</v>
      </c>
      <c r="E104" s="8">
        <v>200</v>
      </c>
      <c r="F104" s="8">
        <v>0.3</v>
      </c>
      <c r="G104" s="6" t="s">
        <v>81</v>
      </c>
      <c r="H104" s="9" t="s">
        <v>181</v>
      </c>
      <c r="I104" s="10" t="str">
        <f>IF(COUNTA(A104:H104)=0,"",IF(OR(OR(OR(G104="撤单",G104="交易失败",G104="交易关闭"),G104="交易失败",G104="交易关闭"),G104="交易失败",G104="交易关闭"),"已排除",IF(G104="待确认","待确认",IF(NOT(OR(G104="已确认",G104="历史估算")),"请选择确认状态",IF(NOT(ISNUMBER(A104)),"缺少有效净值日期",IF(OR(A104&lt;=0,A104&lt;&gt;INT(A104)),"净值日期无效",IF(NOT(OR(OR(B104="买入",B104="定投",B104="转换转入"),B104="卖出",B104="现金分红",B104="红利再投")),"请选择交易类型",IF(NOT(ISNUMBER(C104)),"缺少成交净值",IF(C104&lt;=0,"成交净值须大于零",IF(NOT(ISNUMBER(D104)),"缺少确认份额（分红填0）",IF(NOT(ISNUMBER(E104)),"缺少确认金额（再投填0）",IF(NOT(ISNUMBER(F104)),"缺少手续费（无费用填0）",IF(OR(D104&lt;0,E104&lt;0,F104&lt;0),"份额金额费用不能为负",IF(AA103="错误","前行待修正",IF(A104&lt;Z103,"日期需按成交顺序递增",IF(AND(B104="现金分红",OR(D104&lt;&gt;0,E104&lt;=0,F104&lt;&gt;0)),"分红填份额0、费用0、正金额",IF(AND(B104="红利再投",OR(D104&lt;=0,E104&lt;&gt;0,F104&lt;&gt;0)),"再投填正份额、金额0、费用0",IF(AND(OR(B104="现金分红",B104="红利再投"),K103&lt;=0),"分红或再投前须有持仓",IF(AND(OR(OR(B104="买入",B104="定投",B104="转换转入"),B104="卖出"),OR(D104&lt;=0,E104&lt;=0)),"买卖须填正份额、正金额",IF(AND(B104="卖出",D104&gt;K103+0.000001),"卖出份额超过持仓",IF(AND(OR(B104="买入",B104="定投",B104="转换转入"),F104&gt;=E104)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104="买入",B104="定投",B104="转换转入"),ABS(E104-F104-C104*D104)&gt;持仓总览!$H$6),"买入金额与份额净值不符",IF(AND(B104="卖出",ABS(E104+F104-C104*D104)&gt;持仓总览!$H$6),"到账加费用与赎回市值不符","已计入"))))))))))))))))))))))))))</f>
        <v>已计入</v>
      </c>
      <c r="J104" s="11">
        <f t="shared" si="18"/>
        <v>77.83</v>
      </c>
      <c r="K104" s="11">
        <f t="shared" si="23"/>
        <v>22957.36</v>
      </c>
      <c r="L104" s="11">
        <f t="shared" si="24"/>
        <v>58706.59</v>
      </c>
      <c r="M104" s="11">
        <f t="shared" si="25"/>
        <v>0</v>
      </c>
      <c r="N104" s="11">
        <f>IF(I104="已计入",IF(AND(B104="卖出",持仓总览!$C$7="本金优先"),MAX(0,E104-Q103),IF(OR(B104="卖出",B104="现金分红"),MIN(E104,M104),0)),"")</f>
        <v>0</v>
      </c>
      <c r="O104" s="11">
        <f t="shared" si="26"/>
        <v>0</v>
      </c>
      <c r="P104" s="11">
        <f t="shared" si="27"/>
        <v>0</v>
      </c>
      <c r="Q104" s="11">
        <f t="shared" si="28"/>
        <v>51806.01</v>
      </c>
      <c r="R104" s="11">
        <f t="shared" si="19"/>
        <v>58906.29</v>
      </c>
      <c r="S104" s="11">
        <f t="shared" si="20"/>
        <v>7100.28</v>
      </c>
      <c r="T104" s="12">
        <f t="shared" si="21"/>
        <v>0.137055140899676</v>
      </c>
      <c r="U104" s="11">
        <f t="shared" si="29"/>
        <v>51806.01</v>
      </c>
      <c r="V104" s="11">
        <f t="shared" si="30"/>
        <v>0</v>
      </c>
      <c r="W104" s="11">
        <f t="shared" si="31"/>
        <v>0</v>
      </c>
      <c r="X104" s="11">
        <f t="shared" si="32"/>
        <v>0</v>
      </c>
      <c r="Y104" s="11">
        <f t="shared" si="22"/>
        <v>7100.28</v>
      </c>
      <c r="Z104" s="13">
        <f t="shared" si="33"/>
        <v>46231</v>
      </c>
      <c r="AA104" s="10" t="str">
        <f t="shared" si="34"/>
        <v>正常</v>
      </c>
      <c r="AB104" s="14">
        <f t="shared" si="35"/>
        <v>2.5659</v>
      </c>
    </row>
    <row r="105" ht="38" customHeight="1" spans="1:28">
      <c r="A105" s="5">
        <v>46232</v>
      </c>
      <c r="B105" s="6" t="s">
        <v>90</v>
      </c>
      <c r="C105" s="7">
        <v>2.503</v>
      </c>
      <c r="D105" s="8">
        <v>79.78</v>
      </c>
      <c r="E105" s="8">
        <v>200</v>
      </c>
      <c r="F105" s="8">
        <v>0.3</v>
      </c>
      <c r="G105" s="6" t="s">
        <v>81</v>
      </c>
      <c r="H105" s="9" t="s">
        <v>182</v>
      </c>
      <c r="I105" s="10" t="str">
        <f>IF(COUNTA(A105:H105)=0,"",IF(OR(OR(OR(G105="撤单",G105="交易失败",G105="交易关闭"),G105="交易失败",G105="交易关闭"),G105="交易失败",G105="交易关闭"),"已排除",IF(G105="待确认","待确认",IF(NOT(OR(G105="已确认",G105="历史估算")),"请选择确认状态",IF(NOT(ISNUMBER(A105)),"缺少有效净值日期",IF(OR(A105&lt;=0,A105&lt;&gt;INT(A105)),"净值日期无效",IF(NOT(OR(OR(B105="买入",B105="定投",B105="转换转入"),B105="卖出",B105="现金分红",B105="红利再投")),"请选择交易类型",IF(NOT(ISNUMBER(C105)),"缺少成交净值",IF(C105&lt;=0,"成交净值须大于零",IF(NOT(ISNUMBER(D105)),"缺少确认份额（分红填0）",IF(NOT(ISNUMBER(E105)),"缺少确认金额（再投填0）",IF(NOT(ISNUMBER(F105)),"缺少手续费（无费用填0）",IF(OR(D105&lt;0,E105&lt;0,F105&lt;0),"份额金额费用不能为负",IF(AA104="错误","前行待修正",IF(A105&lt;Z104,"日期需按成交顺序递增",IF(AND(B105="现金分红",OR(D105&lt;&gt;0,E105&lt;=0,F105&lt;&gt;0)),"分红填份额0、费用0、正金额",IF(AND(B105="红利再投",OR(D105&lt;=0,E105&lt;&gt;0,F105&lt;&gt;0)),"再投填正份额、金额0、费用0",IF(AND(OR(B105="现金分红",B105="红利再投"),K104&lt;=0),"分红或再投前须有持仓",IF(AND(OR(OR(B105="买入",B105="定投",B105="转换转入"),B105="卖出"),OR(D105&lt;=0,E105&lt;=0)),"买卖须填正份额、正金额",IF(AND(B105="卖出",D105&gt;K104+0.000001),"卖出份额超过持仓",IF(AND(OR(B105="买入",B105="定投",B105="转换转入"),F105&gt;=E105)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105="买入",B105="定投",B105="转换转入"),ABS(E105-F105-C105*D105)&gt;持仓总览!$H$6),"买入金额与份额净值不符",IF(AND(B105="卖出",ABS(E105+F105-C105*D105)&gt;持仓总览!$H$6),"到账加费用与赎回市值不符","已计入"))))))))))))))))))))))))))</f>
        <v>已计入</v>
      </c>
      <c r="J105" s="11">
        <f t="shared" si="18"/>
        <v>79.78</v>
      </c>
      <c r="K105" s="11">
        <f t="shared" si="23"/>
        <v>23037.14</v>
      </c>
      <c r="L105" s="11">
        <f t="shared" si="24"/>
        <v>57462.27</v>
      </c>
      <c r="M105" s="11">
        <f t="shared" si="25"/>
        <v>0</v>
      </c>
      <c r="N105" s="11">
        <f>IF(I105="已计入",IF(AND(B105="卖出",持仓总览!$C$7="本金优先"),MAX(0,E105-Q104),IF(OR(B105="卖出",B105="现金分红"),MIN(E105,M105),0)),"")</f>
        <v>0</v>
      </c>
      <c r="O105" s="11">
        <f t="shared" si="26"/>
        <v>0</v>
      </c>
      <c r="P105" s="11">
        <f t="shared" si="27"/>
        <v>0</v>
      </c>
      <c r="Q105" s="11">
        <f t="shared" si="28"/>
        <v>52006.01</v>
      </c>
      <c r="R105" s="11">
        <f t="shared" si="19"/>
        <v>57661.96</v>
      </c>
      <c r="S105" s="11">
        <f t="shared" si="20"/>
        <v>5655.95</v>
      </c>
      <c r="T105" s="12">
        <f t="shared" si="21"/>
        <v>0.108755699581644</v>
      </c>
      <c r="U105" s="11">
        <f t="shared" si="29"/>
        <v>52006.01</v>
      </c>
      <c r="V105" s="11">
        <f t="shared" si="30"/>
        <v>0</v>
      </c>
      <c r="W105" s="11">
        <f t="shared" si="31"/>
        <v>0</v>
      </c>
      <c r="X105" s="11">
        <f t="shared" si="32"/>
        <v>0</v>
      </c>
      <c r="Y105" s="11">
        <f t="shared" si="22"/>
        <v>5655.95</v>
      </c>
      <c r="Z105" s="13">
        <f t="shared" si="33"/>
        <v>46232</v>
      </c>
      <c r="AA105" s="10" t="str">
        <f t="shared" si="34"/>
        <v>正常</v>
      </c>
      <c r="AB105" s="14">
        <f t="shared" si="35"/>
        <v>2.503</v>
      </c>
    </row>
    <row r="106" ht="38" customHeight="1" spans="1:28">
      <c r="A106" s="5">
        <v>46233</v>
      </c>
      <c r="B106" s="6" t="s">
        <v>90</v>
      </c>
      <c r="C106" s="7">
        <v>2.4661</v>
      </c>
      <c r="D106" s="8">
        <v>80.98</v>
      </c>
      <c r="E106" s="8">
        <v>200</v>
      </c>
      <c r="F106" s="8">
        <v>0.3</v>
      </c>
      <c r="G106" s="6" t="s">
        <v>81</v>
      </c>
      <c r="H106" s="9" t="s">
        <v>183</v>
      </c>
      <c r="I106" s="10" t="str">
        <f>IF(COUNTA(A106:H106)=0,"",IF(OR(OR(OR(G106="撤单",G106="交易失败",G106="交易关闭"),G106="交易失败",G106="交易关闭"),G106="交易失败",G106="交易关闭"),"已排除",IF(G106="待确认","待确认",IF(NOT(OR(G106="已确认",G106="历史估算")),"请选择确认状态",IF(NOT(ISNUMBER(A106)),"缺少有效净值日期",IF(OR(A106&lt;=0,A106&lt;&gt;INT(A106)),"净值日期无效",IF(NOT(OR(OR(B106="买入",B106="定投",B106="转换转入"),B106="卖出",B106="现金分红",B106="红利再投")),"请选择交易类型",IF(NOT(ISNUMBER(C106)),"缺少成交净值",IF(C106&lt;=0,"成交净值须大于零",IF(NOT(ISNUMBER(D106)),"缺少确认份额（分红填0）",IF(NOT(ISNUMBER(E106)),"缺少确认金额（再投填0）",IF(NOT(ISNUMBER(F106)),"缺少手续费（无费用填0）",IF(OR(D106&lt;0,E106&lt;0,F106&lt;0),"份额金额费用不能为负",IF(AA105="错误","前行待修正",IF(A106&lt;Z105,"日期需按成交顺序递增",IF(AND(B106="现金分红",OR(D106&lt;&gt;0,E106&lt;=0,F106&lt;&gt;0)),"分红填份额0、费用0、正金额",IF(AND(B106="红利再投",OR(D106&lt;=0,E106&lt;&gt;0,F106&lt;&gt;0)),"再投填正份额、金额0、费用0",IF(AND(OR(B106="现金分红",B106="红利再投"),K105&lt;=0),"分红或再投前须有持仓",IF(AND(OR(OR(B106="买入",B106="定投",B106="转换转入"),B106="卖出"),OR(D106&lt;=0,E106&lt;=0)),"买卖须填正份额、正金额",IF(AND(B106="卖出",D106&gt;K105+0.000001),"卖出份额超过持仓",IF(AND(OR(B106="买入",B106="定投",B106="转换转入"),F106&gt;=E106)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106="买入",B106="定投",B106="转换转入"),ABS(E106-F106-C106*D106)&gt;持仓总览!$H$6),"买入金额与份额净值不符",IF(AND(B106="卖出",ABS(E106+F106-C106*D106)&gt;持仓总览!$H$6),"到账加费用与赎回市值不符","已计入"))))))))))))))))))))))))))</f>
        <v>已计入</v>
      </c>
      <c r="J106" s="11">
        <f t="shared" si="18"/>
        <v>80.98</v>
      </c>
      <c r="K106" s="11">
        <f t="shared" si="23"/>
        <v>23118.12</v>
      </c>
      <c r="L106" s="11">
        <f t="shared" si="24"/>
        <v>56811.89</v>
      </c>
      <c r="M106" s="11">
        <f t="shared" si="25"/>
        <v>0</v>
      </c>
      <c r="N106" s="11">
        <f>IF(I106="已计入",IF(AND(B106="卖出",持仓总览!$C$7="本金优先"),MAX(0,E106-Q105),IF(OR(B106="卖出",B106="现金分红"),MIN(E106,M106),0)),"")</f>
        <v>0</v>
      </c>
      <c r="O106" s="11">
        <f t="shared" si="26"/>
        <v>0</v>
      </c>
      <c r="P106" s="11">
        <f t="shared" si="27"/>
        <v>0</v>
      </c>
      <c r="Q106" s="11">
        <f t="shared" si="28"/>
        <v>52206.01</v>
      </c>
      <c r="R106" s="11">
        <f t="shared" si="19"/>
        <v>57011.6</v>
      </c>
      <c r="S106" s="11">
        <f t="shared" si="20"/>
        <v>4805.59</v>
      </c>
      <c r="T106" s="12">
        <f t="shared" si="21"/>
        <v>0.0920505129581824</v>
      </c>
      <c r="U106" s="11">
        <f t="shared" si="29"/>
        <v>52206.01</v>
      </c>
      <c r="V106" s="11">
        <f t="shared" si="30"/>
        <v>0</v>
      </c>
      <c r="W106" s="11">
        <f t="shared" si="31"/>
        <v>0</v>
      </c>
      <c r="X106" s="11">
        <f t="shared" si="32"/>
        <v>0</v>
      </c>
      <c r="Y106" s="11">
        <f t="shared" si="22"/>
        <v>4805.59</v>
      </c>
      <c r="Z106" s="13">
        <f t="shared" si="33"/>
        <v>46233</v>
      </c>
      <c r="AA106" s="10" t="str">
        <f t="shared" si="34"/>
        <v>正常</v>
      </c>
      <c r="AB106" s="14">
        <f t="shared" si="35"/>
        <v>2.4661</v>
      </c>
    </row>
    <row r="107" ht="38" customHeight="1" spans="1:28">
      <c r="A107" s="5">
        <v>46234</v>
      </c>
      <c r="B107" s="6" t="s">
        <v>90</v>
      </c>
      <c r="C107" s="7">
        <v>2.4965</v>
      </c>
      <c r="D107" s="8">
        <v>4</v>
      </c>
      <c r="E107" s="8">
        <v>10</v>
      </c>
      <c r="F107" s="8">
        <v>0.02</v>
      </c>
      <c r="G107" s="6" t="s">
        <v>81</v>
      </c>
      <c r="H107" s="9" t="s">
        <v>184</v>
      </c>
      <c r="I107" s="10" t="str">
        <f>IF(COUNTA(A107:H107)=0,"",IF(OR(OR(OR(G107="撤单",G107="交易失败",G107="交易关闭"),G107="交易失败",G107="交易关闭"),G107="交易失败",G107="交易关闭"),"已排除",IF(G107="待确认","待确认",IF(NOT(OR(G107="已确认",G107="历史估算")),"请选择确认状态",IF(NOT(ISNUMBER(A107)),"缺少有效净值日期",IF(OR(A107&lt;=0,A107&lt;&gt;INT(A107)),"净值日期无效",IF(NOT(OR(OR(B107="买入",B107="定投",B107="转换转入"),B107="卖出",B107="现金分红",B107="红利再投")),"请选择交易类型",IF(NOT(ISNUMBER(C107)),"缺少成交净值",IF(C107&lt;=0,"成交净值须大于零",IF(NOT(ISNUMBER(D107)),"缺少确认份额（分红填0）",IF(NOT(ISNUMBER(E107)),"缺少确认金额（再投填0）",IF(NOT(ISNUMBER(F107)),"缺少手续费（无费用填0）",IF(OR(D107&lt;0,E107&lt;0,F107&lt;0),"份额金额费用不能为负",IF(AA106="错误","前行待修正",IF(A107&lt;Z106,"日期需按成交顺序递增",IF(AND(B107="现金分红",OR(D107&lt;&gt;0,E107&lt;=0,F107&lt;&gt;0)),"分红填份额0、费用0、正金额",IF(AND(B107="红利再投",OR(D107&lt;=0,E107&lt;&gt;0,F107&lt;&gt;0)),"再投填正份额、金额0、费用0",IF(AND(OR(B107="现金分红",B107="红利再投"),K106&lt;=0),"分红或再投前须有持仓",IF(AND(OR(OR(B107="买入",B107="定投",B107="转换转入"),B107="卖出"),OR(D107&lt;=0,E107&lt;=0)),"买卖须填正份额、正金额",IF(AND(B107="卖出",D107&gt;K106+0.000001),"卖出份额超过持仓",IF(AND(OR(B107="买入",B107="定投",B107="转换转入"),F107&gt;=E107)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107="买入",B107="定投",B107="转换转入"),ABS(E107-F107-C107*D107)&gt;持仓总览!$H$6),"买入金额与份额净值不符",IF(AND(B107="卖出",ABS(E107+F107-C107*D107)&gt;持仓总览!$H$6),"到账加费用与赎回市值不符","已计入"))))))))))))))))))))))))))</f>
        <v>已计入</v>
      </c>
      <c r="J107" s="11">
        <f t="shared" si="18"/>
        <v>4</v>
      </c>
      <c r="K107" s="11">
        <f t="shared" si="23"/>
        <v>23122.12</v>
      </c>
      <c r="L107" s="11">
        <f t="shared" si="24"/>
        <v>57714.39</v>
      </c>
      <c r="M107" s="11">
        <f t="shared" si="25"/>
        <v>0</v>
      </c>
      <c r="N107" s="11">
        <f>IF(I107="已计入",IF(AND(B107="卖出",持仓总览!$C$7="本金优先"),MAX(0,E107-Q106),IF(OR(B107="卖出",B107="现金分红"),MIN(E107,M107),0)),"")</f>
        <v>0</v>
      </c>
      <c r="O107" s="11">
        <f t="shared" si="26"/>
        <v>0</v>
      </c>
      <c r="P107" s="11">
        <f t="shared" si="27"/>
        <v>0</v>
      </c>
      <c r="Q107" s="11">
        <f t="shared" si="28"/>
        <v>52216.01</v>
      </c>
      <c r="R107" s="11">
        <f t="shared" si="19"/>
        <v>57724.37</v>
      </c>
      <c r="S107" s="11">
        <f t="shared" si="20"/>
        <v>5508.36</v>
      </c>
      <c r="T107" s="12">
        <f t="shared" si="21"/>
        <v>0.105491783075727</v>
      </c>
      <c r="U107" s="11">
        <f t="shared" si="29"/>
        <v>52216.01</v>
      </c>
      <c r="V107" s="11">
        <f t="shared" si="30"/>
        <v>0</v>
      </c>
      <c r="W107" s="11">
        <f t="shared" si="31"/>
        <v>0</v>
      </c>
      <c r="X107" s="11">
        <f t="shared" si="32"/>
        <v>0</v>
      </c>
      <c r="Y107" s="11">
        <f t="shared" si="22"/>
        <v>5508.36</v>
      </c>
      <c r="Z107" s="13">
        <f t="shared" si="33"/>
        <v>46234</v>
      </c>
      <c r="AA107" s="10" t="str">
        <f t="shared" si="34"/>
        <v>正常</v>
      </c>
      <c r="AB107" s="14">
        <f t="shared" si="35"/>
        <v>2.4965</v>
      </c>
    </row>
    <row r="108" ht="38" customHeight="1" spans="1:28">
      <c r="A108" s="5">
        <v>46237</v>
      </c>
      <c r="B108" s="6" t="s">
        <v>90</v>
      </c>
      <c r="C108" s="7">
        <v>2.495</v>
      </c>
      <c r="D108" s="8">
        <v>40.02</v>
      </c>
      <c r="E108" s="8">
        <v>100</v>
      </c>
      <c r="F108" s="8">
        <v>0.15</v>
      </c>
      <c r="G108" s="6" t="s">
        <v>81</v>
      </c>
      <c r="H108" s="9" t="s">
        <v>185</v>
      </c>
      <c r="I108" s="10" t="str">
        <f>IF(COUNTA(A108:H108)=0,"",IF(OR(OR(OR(G108="撤单",G108="交易失败",G108="交易关闭"),G108="交易失败",G108="交易关闭"),G108="交易失败",G108="交易关闭"),"已排除",IF(G108="待确认","待确认",IF(NOT(OR(G108="已确认",G108="历史估算")),"请选择确认状态",IF(NOT(ISNUMBER(A108)),"缺少有效净值日期",IF(OR(A108&lt;=0,A108&lt;&gt;INT(A108)),"净值日期无效",IF(NOT(OR(OR(B108="买入",B108="定投",B108="转换转入"),B108="卖出",B108="现金分红",B108="红利再投")),"请选择交易类型",IF(NOT(ISNUMBER(C108)),"缺少成交净值",IF(C108&lt;=0,"成交净值须大于零",IF(NOT(ISNUMBER(D108)),"缺少确认份额（分红填0）",IF(NOT(ISNUMBER(E108)),"缺少确认金额（再投填0）",IF(NOT(ISNUMBER(F108)),"缺少手续费（无费用填0）",IF(OR(D108&lt;0,E108&lt;0,F108&lt;0),"份额金额费用不能为负",IF(AA107="错误","前行待修正",IF(A108&lt;Z107,"日期需按成交顺序递增",IF(AND(B108="现金分红",OR(D108&lt;&gt;0,E108&lt;=0,F108&lt;&gt;0)),"分红填份额0、费用0、正金额",IF(AND(B108="红利再投",OR(D108&lt;=0,E108&lt;&gt;0,F108&lt;&gt;0)),"再投填正份额、金额0、费用0",IF(AND(OR(B108="现金分红",B108="红利再投"),K107&lt;=0),"分红或再投前须有持仓",IF(AND(OR(OR(B108="买入",B108="定投",B108="转换转入"),B108="卖出"),OR(D108&lt;=0,E108&lt;=0)),"买卖须填正份额、正金额",IF(AND(B108="卖出",D108&gt;K107+0.000001),"卖出份额超过持仓",IF(AND(OR(B108="买入",B108="定投",B108="转换转入"),F108&gt;=E108)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108="买入",B108="定投",B108="转换转入"),ABS(E108-F108-C108*D108)&gt;持仓总览!$H$6),"买入金额与份额净值不符",IF(AND(B108="卖出",ABS(E108+F108-C108*D108)&gt;持仓总览!$H$6),"到账加费用与赎回市值不符","已计入"))))))))))))))))))))))))))</f>
        <v>已计入</v>
      </c>
      <c r="J108" s="11">
        <f t="shared" si="18"/>
        <v>40.02</v>
      </c>
      <c r="K108" s="11">
        <f t="shared" si="23"/>
        <v>23162.14</v>
      </c>
      <c r="L108" s="11">
        <f t="shared" si="24"/>
        <v>57689.69</v>
      </c>
      <c r="M108" s="11">
        <f t="shared" si="25"/>
        <v>0</v>
      </c>
      <c r="N108" s="11">
        <f>IF(I108="已计入",IF(AND(B108="卖出",持仓总览!$C$7="本金优先"),MAX(0,E108-Q107),IF(OR(B108="卖出",B108="现金分红"),MIN(E108,M108),0)),"")</f>
        <v>0</v>
      </c>
      <c r="O108" s="11">
        <f t="shared" si="26"/>
        <v>0</v>
      </c>
      <c r="P108" s="11">
        <f t="shared" si="27"/>
        <v>0</v>
      </c>
      <c r="Q108" s="11">
        <f t="shared" si="28"/>
        <v>52316.01</v>
      </c>
      <c r="R108" s="11">
        <f t="shared" si="19"/>
        <v>57789.54</v>
      </c>
      <c r="S108" s="11">
        <f t="shared" si="20"/>
        <v>5473.53</v>
      </c>
      <c r="T108" s="12">
        <f t="shared" si="21"/>
        <v>0.104624377891204</v>
      </c>
      <c r="U108" s="11">
        <f t="shared" si="29"/>
        <v>52316.01</v>
      </c>
      <c r="V108" s="11">
        <f t="shared" si="30"/>
        <v>0</v>
      </c>
      <c r="W108" s="11">
        <f t="shared" si="31"/>
        <v>0</v>
      </c>
      <c r="X108" s="11">
        <f t="shared" si="32"/>
        <v>0</v>
      </c>
      <c r="Y108" s="11">
        <f t="shared" si="22"/>
        <v>5473.53</v>
      </c>
      <c r="Z108" s="13">
        <f t="shared" si="33"/>
        <v>46237</v>
      </c>
      <c r="AA108" s="10" t="str">
        <f t="shared" si="34"/>
        <v>正常</v>
      </c>
      <c r="AB108" s="14">
        <f t="shared" si="35"/>
        <v>2.495</v>
      </c>
    </row>
    <row r="109" ht="38" customHeight="1" spans="1:28">
      <c r="A109" s="5">
        <v>46238</v>
      </c>
      <c r="B109" s="6" t="s">
        <v>90</v>
      </c>
      <c r="C109" s="7">
        <v>2.6103</v>
      </c>
      <c r="D109" s="8">
        <v>38.25</v>
      </c>
      <c r="E109" s="8">
        <v>100</v>
      </c>
      <c r="F109" s="8">
        <v>0.15</v>
      </c>
      <c r="G109" s="6" t="s">
        <v>81</v>
      </c>
      <c r="H109" s="9" t="s">
        <v>186</v>
      </c>
      <c r="I109" s="10" t="str">
        <f>IF(COUNTA(A109:H109)=0,"",IF(OR(OR(OR(G109="撤单",G109="交易失败",G109="交易关闭"),G109="交易失败",G109="交易关闭"),G109="交易失败",G109="交易关闭"),"已排除",IF(G109="待确认","待确认",IF(NOT(OR(G109="已确认",G109="历史估算")),"请选择确认状态",IF(NOT(ISNUMBER(A109)),"缺少有效净值日期",IF(OR(A109&lt;=0,A109&lt;&gt;INT(A109)),"净值日期无效",IF(NOT(OR(OR(B109="买入",B109="定投",B109="转换转入"),B109="卖出",B109="现金分红",B109="红利再投")),"请选择交易类型",IF(NOT(ISNUMBER(C109)),"缺少成交净值",IF(C109&lt;=0,"成交净值须大于零",IF(NOT(ISNUMBER(D109)),"缺少确认份额（分红填0）",IF(NOT(ISNUMBER(E109)),"缺少确认金额（再投填0）",IF(NOT(ISNUMBER(F109)),"缺少手续费（无费用填0）",IF(OR(D109&lt;0,E109&lt;0,F109&lt;0),"份额金额费用不能为负",IF(AA108="错误","前行待修正",IF(A109&lt;Z108,"日期需按成交顺序递增",IF(AND(B109="现金分红",OR(D109&lt;&gt;0,E109&lt;=0,F109&lt;&gt;0)),"分红填份额0、费用0、正金额",IF(AND(B109="红利再投",OR(D109&lt;=0,E109&lt;&gt;0,F109&lt;&gt;0)),"再投填正份额、金额0、费用0",IF(AND(OR(B109="现金分红",B109="红利再投"),K108&lt;=0),"分红或再投前须有持仓",IF(AND(OR(OR(B109="买入",B109="定投",B109="转换转入"),B109="卖出"),OR(D109&lt;=0,E109&lt;=0)),"买卖须填正份额、正金额",IF(AND(B109="卖出",D109&gt;K108+0.000001),"卖出份额超过持仓",IF(AND(OR(B109="买入",B109="定投",B109="转换转入"),F109&gt;=E109)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109="买入",B109="定投",B109="转换转入"),ABS(E109-F109-C109*D109)&gt;持仓总览!$H$6),"买入金额与份额净值不符",IF(AND(B109="卖出",ABS(E109+F109-C109*D109)&gt;持仓总览!$H$6),"到账加费用与赎回市值不符","已计入"))))))))))))))))))))))))))</f>
        <v>已计入</v>
      </c>
      <c r="J109" s="11">
        <f t="shared" si="18"/>
        <v>38.25</v>
      </c>
      <c r="K109" s="11">
        <f t="shared" si="23"/>
        <v>23200.39</v>
      </c>
      <c r="L109" s="11">
        <f t="shared" si="24"/>
        <v>60460.13</v>
      </c>
      <c r="M109" s="11">
        <f t="shared" si="25"/>
        <v>0</v>
      </c>
      <c r="N109" s="11">
        <f>IF(I109="已计入",IF(AND(B109="卖出",持仓总览!$C$7="本金优先"),MAX(0,E109-Q108),IF(OR(B109="卖出",B109="现金分红"),MIN(E109,M109),0)),"")</f>
        <v>0</v>
      </c>
      <c r="O109" s="11">
        <f t="shared" si="26"/>
        <v>0</v>
      </c>
      <c r="P109" s="11">
        <f t="shared" si="27"/>
        <v>0</v>
      </c>
      <c r="Q109" s="11">
        <f t="shared" si="28"/>
        <v>52416.01</v>
      </c>
      <c r="R109" s="11">
        <f t="shared" si="19"/>
        <v>60559.98</v>
      </c>
      <c r="S109" s="11">
        <f t="shared" si="20"/>
        <v>8143.97</v>
      </c>
      <c r="T109" s="12">
        <f t="shared" si="21"/>
        <v>0.155371803386027</v>
      </c>
      <c r="U109" s="11">
        <f t="shared" si="29"/>
        <v>52416.01</v>
      </c>
      <c r="V109" s="11">
        <f t="shared" si="30"/>
        <v>0</v>
      </c>
      <c r="W109" s="11">
        <f t="shared" si="31"/>
        <v>0</v>
      </c>
      <c r="X109" s="11">
        <f t="shared" si="32"/>
        <v>0</v>
      </c>
      <c r="Y109" s="11">
        <f t="shared" si="22"/>
        <v>8143.97</v>
      </c>
      <c r="Z109" s="13">
        <f t="shared" si="33"/>
        <v>46238</v>
      </c>
      <c r="AA109" s="10" t="str">
        <f t="shared" si="34"/>
        <v>正常</v>
      </c>
      <c r="AB109" s="14">
        <f t="shared" si="35"/>
        <v>2.6103</v>
      </c>
    </row>
    <row r="110" ht="38" customHeight="1" spans="1:28">
      <c r="A110" s="5">
        <v>46239</v>
      </c>
      <c r="B110" s="6" t="s">
        <v>90</v>
      </c>
      <c r="C110" s="7">
        <v>2.6338</v>
      </c>
      <c r="D110" s="8">
        <v>37.91</v>
      </c>
      <c r="E110" s="8">
        <v>100</v>
      </c>
      <c r="F110" s="8">
        <v>0.15</v>
      </c>
      <c r="G110" s="6" t="s">
        <v>81</v>
      </c>
      <c r="H110" s="9" t="s">
        <v>187</v>
      </c>
      <c r="I110" s="10" t="str">
        <f>IF(COUNTA(A110:H110)=0,"",IF(OR(OR(OR(G110="撤单",G110="交易失败",G110="交易关闭"),G110="交易失败",G110="交易关闭"),G110="交易失败",G110="交易关闭"),"已排除",IF(G110="待确认","待确认",IF(NOT(OR(G110="已确认",G110="历史估算")),"请选择确认状态",IF(NOT(ISNUMBER(A110)),"缺少有效净值日期",IF(OR(A110&lt;=0,A110&lt;&gt;INT(A110)),"净值日期无效",IF(NOT(OR(OR(B110="买入",B110="定投",B110="转换转入"),B110="卖出",B110="现金分红",B110="红利再投")),"请选择交易类型",IF(NOT(ISNUMBER(C110)),"缺少成交净值",IF(C110&lt;=0,"成交净值须大于零",IF(NOT(ISNUMBER(D110)),"缺少确认份额（分红填0）",IF(NOT(ISNUMBER(E110)),"缺少确认金额（再投填0）",IF(NOT(ISNUMBER(F110)),"缺少手续费（无费用填0）",IF(OR(D110&lt;0,E110&lt;0,F110&lt;0),"份额金额费用不能为负",IF(AA109="错误","前行待修正",IF(A110&lt;Z109,"日期需按成交顺序递增",IF(AND(B110="现金分红",OR(D110&lt;&gt;0,E110&lt;=0,F110&lt;&gt;0)),"分红填份额0、费用0、正金额",IF(AND(B110="红利再投",OR(D110&lt;=0,E110&lt;&gt;0,F110&lt;&gt;0)),"再投填正份额、金额0、费用0",IF(AND(OR(B110="现金分红",B110="红利再投"),K109&lt;=0),"分红或再投前须有持仓",IF(AND(OR(OR(B110="买入",B110="定投",B110="转换转入"),B110="卖出"),OR(D110&lt;=0,E110&lt;=0)),"买卖须填正份额、正金额",IF(AND(B110="卖出",D110&gt;K109+0.000001),"卖出份额超过持仓",IF(AND(OR(B110="买入",B110="定投",B110="转换转入"),F110&gt;=E110)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110="买入",B110="定投",B110="转换转入"),ABS(E110-F110-C110*D110)&gt;持仓总览!$H$6),"买入金额与份额净值不符",IF(AND(B110="卖出",ABS(E110+F110-C110*D110)&gt;持仓总览!$H$6),"到账加费用与赎回市值不符","已计入"))))))))))))))))))))))))))</f>
        <v>已计入</v>
      </c>
      <c r="J110" s="11">
        <f t="shared" si="18"/>
        <v>37.91</v>
      </c>
      <c r="K110" s="11">
        <f t="shared" si="23"/>
        <v>23238.3</v>
      </c>
      <c r="L110" s="11">
        <f t="shared" si="24"/>
        <v>61105.19</v>
      </c>
      <c r="M110" s="11">
        <f t="shared" si="25"/>
        <v>0</v>
      </c>
      <c r="N110" s="11">
        <f>IF(I110="已计入",IF(AND(B110="卖出",持仓总览!$C$7="本金优先"),MAX(0,E110-Q109),IF(OR(B110="卖出",B110="现金分红"),MIN(E110,M110),0)),"")</f>
        <v>0</v>
      </c>
      <c r="O110" s="11">
        <f t="shared" si="26"/>
        <v>0</v>
      </c>
      <c r="P110" s="11">
        <f t="shared" si="27"/>
        <v>0</v>
      </c>
      <c r="Q110" s="11">
        <f t="shared" si="28"/>
        <v>52516.01</v>
      </c>
      <c r="R110" s="11">
        <f t="shared" si="19"/>
        <v>61205.03</v>
      </c>
      <c r="S110" s="11">
        <f t="shared" si="20"/>
        <v>8689.02</v>
      </c>
      <c r="T110" s="12">
        <f t="shared" si="21"/>
        <v>0.165454687056385</v>
      </c>
      <c r="U110" s="11">
        <f t="shared" si="29"/>
        <v>52516.01</v>
      </c>
      <c r="V110" s="11">
        <f t="shared" si="30"/>
        <v>0</v>
      </c>
      <c r="W110" s="11">
        <f t="shared" si="31"/>
        <v>0</v>
      </c>
      <c r="X110" s="11">
        <f t="shared" si="32"/>
        <v>0</v>
      </c>
      <c r="Y110" s="11">
        <f t="shared" si="22"/>
        <v>8689.02</v>
      </c>
      <c r="Z110" s="13">
        <f t="shared" si="33"/>
        <v>46239</v>
      </c>
      <c r="AA110" s="10" t="str">
        <f t="shared" si="34"/>
        <v>正常</v>
      </c>
      <c r="AB110" s="14">
        <f t="shared" si="35"/>
        <v>2.6338</v>
      </c>
    </row>
    <row r="111" ht="38" customHeight="1" spans="1:28">
      <c r="A111" s="5">
        <v>46240</v>
      </c>
      <c r="B111" s="6" t="s">
        <v>90</v>
      </c>
      <c r="C111" s="7">
        <v>2.6481</v>
      </c>
      <c r="D111" s="8">
        <v>1885.31</v>
      </c>
      <c r="E111" s="8">
        <v>5000</v>
      </c>
      <c r="F111" s="8">
        <v>7.5</v>
      </c>
      <c r="G111" s="6" t="s">
        <v>81</v>
      </c>
      <c r="H111" s="9" t="s">
        <v>188</v>
      </c>
      <c r="I111" s="10" t="str">
        <f>IF(COUNTA(A111:H111)=0,"",IF(OR(OR(OR(G111="撤单",G111="交易失败",G111="交易关闭"),G111="交易失败",G111="交易关闭"),G111="交易失败",G111="交易关闭"),"已排除",IF(G111="待确认","待确认",IF(NOT(OR(G111="已确认",G111="历史估算")),"请选择确认状态",IF(NOT(ISNUMBER(A111)),"缺少有效净值日期",IF(OR(A111&lt;=0,A111&lt;&gt;INT(A111)),"净值日期无效",IF(NOT(OR(OR(B111="买入",B111="定投",B111="转换转入"),B111="卖出",B111="现金分红",B111="红利再投")),"请选择交易类型",IF(NOT(ISNUMBER(C111)),"缺少成交净值",IF(C111&lt;=0,"成交净值须大于零",IF(NOT(ISNUMBER(D111)),"缺少确认份额（分红填0）",IF(NOT(ISNUMBER(E111)),"缺少确认金额（再投填0）",IF(NOT(ISNUMBER(F111)),"缺少手续费（无费用填0）",IF(OR(D111&lt;0,E111&lt;0,F111&lt;0),"份额金额费用不能为负",IF(AA110="错误","前行待修正",IF(A111&lt;Z110,"日期需按成交顺序递增",IF(AND(B111="现金分红",OR(D111&lt;&gt;0,E111&lt;=0,F111&lt;&gt;0)),"分红填份额0、费用0、正金额",IF(AND(B111="红利再投",OR(D111&lt;=0,E111&lt;&gt;0,F111&lt;&gt;0)),"再投填正份额、金额0、费用0",IF(AND(OR(B111="现金分红",B111="红利再投"),K110&lt;=0),"分红或再投前须有持仓",IF(AND(OR(OR(B111="买入",B111="定投",B111="转换转入"),B111="卖出"),OR(D111&lt;=0,E111&lt;=0)),"买卖须填正份额、正金额",IF(AND(B111="卖出",D111&gt;K110+0.000001),"卖出份额超过持仓",IF(AND(OR(B111="买入",B111="定投",B111="转换转入"),F111&gt;=E111)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111="买入",B111="定投",B111="转换转入"),ABS(E111-F111-C111*D111)&gt;持仓总览!$H$6),"买入金额与份额净值不符",IF(AND(B111="卖出",ABS(E111+F111-C111*D111)&gt;持仓总览!$H$6),"到账加费用与赎回市值不符","已计入"))))))))))))))))))))))))))</f>
        <v>已计入</v>
      </c>
      <c r="J111" s="11">
        <f t="shared" si="18"/>
        <v>1885.31</v>
      </c>
      <c r="K111" s="11">
        <f t="shared" si="23"/>
        <v>25123.61</v>
      </c>
      <c r="L111" s="11">
        <f t="shared" si="24"/>
        <v>61537.34</v>
      </c>
      <c r="M111" s="11">
        <f t="shared" si="25"/>
        <v>0</v>
      </c>
      <c r="N111" s="11">
        <f>IF(I111="已计入",IF(AND(B111="卖出",持仓总览!$C$7="本金优先"),MAX(0,E111-Q110),IF(OR(B111="卖出",B111="现金分红"),MIN(E111,M111),0)),"")</f>
        <v>0</v>
      </c>
      <c r="O111" s="11">
        <f t="shared" si="26"/>
        <v>0</v>
      </c>
      <c r="P111" s="11">
        <f t="shared" si="27"/>
        <v>0</v>
      </c>
      <c r="Q111" s="11">
        <f t="shared" si="28"/>
        <v>57516.01</v>
      </c>
      <c r="R111" s="11">
        <f t="shared" si="19"/>
        <v>66529.83</v>
      </c>
      <c r="S111" s="11">
        <f t="shared" si="20"/>
        <v>9013.82</v>
      </c>
      <c r="T111" s="12">
        <f t="shared" si="21"/>
        <v>0.156718451088662</v>
      </c>
      <c r="U111" s="11">
        <f t="shared" si="29"/>
        <v>57516.01</v>
      </c>
      <c r="V111" s="11">
        <f t="shared" si="30"/>
        <v>0</v>
      </c>
      <c r="W111" s="11">
        <f t="shared" si="31"/>
        <v>0</v>
      </c>
      <c r="X111" s="11">
        <f t="shared" si="32"/>
        <v>0</v>
      </c>
      <c r="Y111" s="11">
        <f t="shared" si="22"/>
        <v>9013.82</v>
      </c>
      <c r="Z111" s="13">
        <f t="shared" si="33"/>
        <v>46240</v>
      </c>
      <c r="AA111" s="10" t="str">
        <f t="shared" si="34"/>
        <v>正常</v>
      </c>
      <c r="AB111" s="14">
        <f t="shared" si="35"/>
        <v>2.6481</v>
      </c>
    </row>
    <row r="112" ht="38" customHeight="1" spans="1:28">
      <c r="A112" s="5">
        <v>46241</v>
      </c>
      <c r="B112" s="6" t="s">
        <v>90</v>
      </c>
      <c r="C112" s="7">
        <v>2.734</v>
      </c>
      <c r="D112" s="8">
        <v>1826.08</v>
      </c>
      <c r="E112" s="8">
        <v>5000</v>
      </c>
      <c r="F112" s="8">
        <v>7.5</v>
      </c>
      <c r="G112" s="6" t="s">
        <v>81</v>
      </c>
      <c r="H112" s="9" t="s">
        <v>189</v>
      </c>
      <c r="I112" s="10" t="str">
        <f>IF(COUNTA(A112:H112)=0,"",IF(OR(OR(OR(G112="撤单",G112="交易失败",G112="交易关闭"),G112="交易失败",G112="交易关闭"),G112="交易失败",G112="交易关闭"),"已排除",IF(G112="待确认","待确认",IF(NOT(OR(G112="已确认",G112="历史估算")),"请选择确认状态",IF(NOT(ISNUMBER(A112)),"缺少有效净值日期",IF(OR(A112&lt;=0,A112&lt;&gt;INT(A112)),"净值日期无效",IF(NOT(OR(OR(B112="买入",B112="定投",B112="转换转入"),B112="卖出",B112="现金分红",B112="红利再投")),"请选择交易类型",IF(NOT(ISNUMBER(C112)),"缺少成交净值",IF(C112&lt;=0,"成交净值须大于零",IF(NOT(ISNUMBER(D112)),"缺少确认份额（分红填0）",IF(NOT(ISNUMBER(E112)),"缺少确认金额（再投填0）",IF(NOT(ISNUMBER(F112)),"缺少手续费（无费用填0）",IF(OR(D112&lt;0,E112&lt;0,F112&lt;0),"份额金额费用不能为负",IF(AA111="错误","前行待修正",IF(A112&lt;Z111,"日期需按成交顺序递增",IF(AND(B112="现金分红",OR(D112&lt;&gt;0,E112&lt;=0,F112&lt;&gt;0)),"分红填份额0、费用0、正金额",IF(AND(B112="红利再投",OR(D112&lt;=0,E112&lt;&gt;0,F112&lt;&gt;0)),"再投填正份额、金额0、费用0",IF(AND(OR(B112="现金分红",B112="红利再投"),K111&lt;=0),"分红或再投前须有持仓",IF(AND(OR(OR(B112="买入",B112="定投",B112="转换转入"),B112="卖出"),OR(D112&lt;=0,E112&lt;=0)),"买卖须填正份额、正金额",IF(AND(B112="卖出",D112&gt;K111+0.000001),"卖出份额超过持仓",IF(AND(OR(B112="买入",B112="定投",B112="转换转入"),F112&gt;=E112)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112="买入",B112="定投",B112="转换转入"),ABS(E112-F112-C112*D112)&gt;持仓总览!$H$6),"买入金额与份额净值不符",IF(AND(B112="卖出",ABS(E112+F112-C112*D112)&gt;持仓总览!$H$6),"到账加费用与赎回市值不符","已计入"))))))))))))))))))))))))))</f>
        <v>已计入</v>
      </c>
      <c r="J112" s="11">
        <f t="shared" si="18"/>
        <v>1826.08</v>
      </c>
      <c r="K112" s="11">
        <f t="shared" si="23"/>
        <v>26949.69</v>
      </c>
      <c r="L112" s="11">
        <f t="shared" si="24"/>
        <v>68687.95</v>
      </c>
      <c r="M112" s="11">
        <f t="shared" si="25"/>
        <v>0</v>
      </c>
      <c r="N112" s="11">
        <f>IF(I112="已计入",IF(AND(B112="卖出",持仓总览!$C$7="本金优先"),MAX(0,E112-Q111),IF(OR(B112="卖出",B112="现金分红"),MIN(E112,M112),0)),"")</f>
        <v>0</v>
      </c>
      <c r="O112" s="11">
        <f t="shared" si="26"/>
        <v>0</v>
      </c>
      <c r="P112" s="11">
        <f t="shared" si="27"/>
        <v>0</v>
      </c>
      <c r="Q112" s="11">
        <f t="shared" si="28"/>
        <v>62516.01</v>
      </c>
      <c r="R112" s="11">
        <f t="shared" si="19"/>
        <v>73680.45</v>
      </c>
      <c r="S112" s="11">
        <f t="shared" si="20"/>
        <v>11164.44</v>
      </c>
      <c r="T112" s="12">
        <f t="shared" si="21"/>
        <v>0.178585293591194</v>
      </c>
      <c r="U112" s="11">
        <f t="shared" si="29"/>
        <v>62516.01</v>
      </c>
      <c r="V112" s="11">
        <f t="shared" si="30"/>
        <v>0</v>
      </c>
      <c r="W112" s="11">
        <f t="shared" si="31"/>
        <v>0</v>
      </c>
      <c r="X112" s="11">
        <f t="shared" si="32"/>
        <v>0</v>
      </c>
      <c r="Y112" s="11">
        <f t="shared" si="22"/>
        <v>11164.44</v>
      </c>
      <c r="Z112" s="13">
        <f t="shared" si="33"/>
        <v>46241</v>
      </c>
      <c r="AA112" s="10" t="str">
        <f t="shared" si="34"/>
        <v>正常</v>
      </c>
      <c r="AB112" s="14">
        <f t="shared" si="35"/>
        <v>2.734</v>
      </c>
    </row>
    <row r="113" ht="38" customHeight="1" spans="1:28">
      <c r="A113" s="5">
        <v>46244</v>
      </c>
      <c r="B113" s="6" t="s">
        <v>90</v>
      </c>
      <c r="C113" s="7">
        <v>2.6882</v>
      </c>
      <c r="D113" s="8">
        <v>1857.19</v>
      </c>
      <c r="E113" s="8">
        <v>5000</v>
      </c>
      <c r="F113" s="8">
        <v>7.5</v>
      </c>
      <c r="G113" s="6" t="s">
        <v>81</v>
      </c>
      <c r="H113" s="9" t="s">
        <v>190</v>
      </c>
      <c r="I113" s="10" t="str">
        <f>IF(COUNTA(A113:H113)=0,"",IF(OR(OR(OR(G113="撤单",G113="交易失败",G113="交易关闭"),G113="交易失败",G113="交易关闭"),G113="交易失败",G113="交易关闭"),"已排除",IF(G113="待确认","待确认",IF(NOT(OR(G113="已确认",G113="历史估算")),"请选择确认状态",IF(NOT(ISNUMBER(A113)),"缺少有效净值日期",IF(OR(A113&lt;=0,A113&lt;&gt;INT(A113)),"净值日期无效",IF(NOT(OR(OR(B113="买入",B113="定投",B113="转换转入"),B113="卖出",B113="现金分红",B113="红利再投")),"请选择交易类型",IF(NOT(ISNUMBER(C113)),"缺少成交净值",IF(C113&lt;=0,"成交净值须大于零",IF(NOT(ISNUMBER(D113)),"缺少确认份额（分红填0）",IF(NOT(ISNUMBER(E113)),"缺少确认金额（再投填0）",IF(NOT(ISNUMBER(F113)),"缺少手续费（无费用填0）",IF(OR(D113&lt;0,E113&lt;0,F113&lt;0),"份额金额费用不能为负",IF(AA112="错误","前行待修正",IF(A113&lt;Z112,"日期需按成交顺序递增",IF(AND(B113="现金分红",OR(D113&lt;&gt;0,E113&lt;=0,F113&lt;&gt;0)),"分红填份额0、费用0、正金额",IF(AND(B113="红利再投",OR(D113&lt;=0,E113&lt;&gt;0,F113&lt;&gt;0)),"再投填正份额、金额0、费用0",IF(AND(OR(B113="现金分红",B113="红利再投"),K112&lt;=0),"分红或再投前须有持仓",IF(AND(OR(OR(B113="买入",B113="定投",B113="转换转入"),B113="卖出"),OR(D113&lt;=0,E113&lt;=0)),"买卖须填正份额、正金额",IF(AND(B113="卖出",D113&gt;K112+0.000001),"卖出份额超过持仓",IF(AND(OR(B113="买入",B113="定投",B113="转换转入"),F113&gt;=E113)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113="买入",B113="定投",B113="转换转入"),ABS(E113-F113-C113*D113)&gt;持仓总览!$H$6),"买入金额与份额净值不符",IF(AND(B113="卖出",ABS(E113+F113-C113*D113)&gt;持仓总览!$H$6),"到账加费用与赎回市值不符","已计入"))))))))))))))))))))))))))</f>
        <v>已计入</v>
      </c>
      <c r="J113" s="11">
        <f t="shared" si="18"/>
        <v>1857.19</v>
      </c>
      <c r="K113" s="11">
        <f t="shared" si="23"/>
        <v>28806.88</v>
      </c>
      <c r="L113" s="11">
        <f t="shared" si="24"/>
        <v>72446.16</v>
      </c>
      <c r="M113" s="11">
        <f t="shared" si="25"/>
        <v>0</v>
      </c>
      <c r="N113" s="11">
        <f>IF(I113="已计入",IF(AND(B113="卖出",持仓总览!$C$7="本金优先"),MAX(0,E113-Q112),IF(OR(B113="卖出",B113="现金分红"),MIN(E113,M113),0)),"")</f>
        <v>0</v>
      </c>
      <c r="O113" s="11">
        <f t="shared" si="26"/>
        <v>0</v>
      </c>
      <c r="P113" s="11">
        <f t="shared" si="27"/>
        <v>0</v>
      </c>
      <c r="Q113" s="11">
        <f t="shared" si="28"/>
        <v>67516.01</v>
      </c>
      <c r="R113" s="11">
        <f t="shared" si="19"/>
        <v>77438.65</v>
      </c>
      <c r="S113" s="11">
        <f t="shared" si="20"/>
        <v>9922.64</v>
      </c>
      <c r="T113" s="12">
        <f t="shared" si="21"/>
        <v>0.146967215627819</v>
      </c>
      <c r="U113" s="11">
        <f t="shared" si="29"/>
        <v>67516.01</v>
      </c>
      <c r="V113" s="11">
        <f t="shared" si="30"/>
        <v>0</v>
      </c>
      <c r="W113" s="11">
        <f t="shared" si="31"/>
        <v>0</v>
      </c>
      <c r="X113" s="11">
        <f t="shared" si="32"/>
        <v>0</v>
      </c>
      <c r="Y113" s="11">
        <f t="shared" si="22"/>
        <v>9922.64</v>
      </c>
      <c r="Z113" s="13">
        <f t="shared" si="33"/>
        <v>46244</v>
      </c>
      <c r="AA113" s="10" t="str">
        <f t="shared" si="34"/>
        <v>正常</v>
      </c>
      <c r="AB113" s="14">
        <f t="shared" si="35"/>
        <v>2.6882</v>
      </c>
    </row>
    <row r="114" ht="38" customHeight="1" spans="1:28">
      <c r="A114" s="5">
        <v>46245</v>
      </c>
      <c r="B114" s="6" t="s">
        <v>90</v>
      </c>
      <c r="C114" s="7">
        <v>2.674</v>
      </c>
      <c r="D114" s="8">
        <v>1867.05</v>
      </c>
      <c r="E114" s="8">
        <v>5000</v>
      </c>
      <c r="F114" s="8">
        <v>7.5</v>
      </c>
      <c r="G114" s="6" t="s">
        <v>81</v>
      </c>
      <c r="H114" s="9" t="s">
        <v>191</v>
      </c>
      <c r="I114" s="10" t="str">
        <f>IF(COUNTA(A114:H114)=0,"",IF(OR(OR(OR(G114="撤单",G114="交易失败",G114="交易关闭"),G114="交易失败",G114="交易关闭"),G114="交易失败",G114="交易关闭"),"已排除",IF(G114="待确认","待确认",IF(NOT(OR(G114="已确认",G114="历史估算")),"请选择确认状态",IF(NOT(ISNUMBER(A114)),"缺少有效净值日期",IF(OR(A114&lt;=0,A114&lt;&gt;INT(A114)),"净值日期无效",IF(NOT(OR(OR(B114="买入",B114="定投",B114="转换转入"),B114="卖出",B114="现金分红",B114="红利再投")),"请选择交易类型",IF(NOT(ISNUMBER(C114)),"缺少成交净值",IF(C114&lt;=0,"成交净值须大于零",IF(NOT(ISNUMBER(D114)),"缺少确认份额（分红填0）",IF(NOT(ISNUMBER(E114)),"缺少确认金额（再投填0）",IF(NOT(ISNUMBER(F114)),"缺少手续费（无费用填0）",IF(OR(D114&lt;0,E114&lt;0,F114&lt;0),"份额金额费用不能为负",IF(AA113="错误","前行待修正",IF(A114&lt;Z113,"日期需按成交顺序递增",IF(AND(B114="现金分红",OR(D114&lt;&gt;0,E114&lt;=0,F114&lt;&gt;0)),"分红填份额0、费用0、正金额",IF(AND(B114="红利再投",OR(D114&lt;=0,E114&lt;&gt;0,F114&lt;&gt;0)),"再投填正份额、金额0、费用0",IF(AND(OR(B114="现金分红",B114="红利再投"),K113&lt;=0),"分红或再投前须有持仓",IF(AND(OR(OR(B114="买入",B114="定投",B114="转换转入"),B114="卖出"),OR(D114&lt;=0,E114&lt;=0)),"买卖须填正份额、正金额",IF(AND(B114="卖出",D114&gt;K113+0.000001),"卖出份额超过持仓",IF(AND(OR(B114="买入",B114="定投",B114="转换转入"),F114&gt;=E114)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114="买入",B114="定投",B114="转换转入"),ABS(E114-F114-C114*D114)&gt;持仓总览!$H$6),"买入金额与份额净值不符",IF(AND(B114="卖出",ABS(E114+F114-C114*D114)&gt;持仓总览!$H$6),"到账加费用与赎回市值不符","已计入"))))))))))))))))))))))))))</f>
        <v>已计入</v>
      </c>
      <c r="J114" s="11">
        <f t="shared" si="18"/>
        <v>1867.05</v>
      </c>
      <c r="K114" s="11">
        <f t="shared" si="23"/>
        <v>30673.93</v>
      </c>
      <c r="L114" s="11">
        <f t="shared" si="24"/>
        <v>77029.6</v>
      </c>
      <c r="M114" s="11">
        <f t="shared" si="25"/>
        <v>0</v>
      </c>
      <c r="N114" s="11">
        <f>IF(I114="已计入",IF(AND(B114="卖出",持仓总览!$C$7="本金优先"),MAX(0,E114-Q113),IF(OR(B114="卖出",B114="现金分红"),MIN(E114,M114),0)),"")</f>
        <v>0</v>
      </c>
      <c r="O114" s="11">
        <f t="shared" si="26"/>
        <v>0</v>
      </c>
      <c r="P114" s="11">
        <f t="shared" si="27"/>
        <v>0</v>
      </c>
      <c r="Q114" s="11">
        <f t="shared" si="28"/>
        <v>72516.01</v>
      </c>
      <c r="R114" s="11">
        <f t="shared" si="19"/>
        <v>82022.09</v>
      </c>
      <c r="S114" s="11">
        <f t="shared" si="20"/>
        <v>9506.08</v>
      </c>
      <c r="T114" s="12">
        <f t="shared" si="21"/>
        <v>0.131089396672542</v>
      </c>
      <c r="U114" s="11">
        <f t="shared" si="29"/>
        <v>72516.01</v>
      </c>
      <c r="V114" s="11">
        <f t="shared" si="30"/>
        <v>0</v>
      </c>
      <c r="W114" s="11">
        <f t="shared" si="31"/>
        <v>0</v>
      </c>
      <c r="X114" s="11">
        <f t="shared" si="32"/>
        <v>0</v>
      </c>
      <c r="Y114" s="11">
        <f t="shared" si="22"/>
        <v>9506.08</v>
      </c>
      <c r="Z114" s="13">
        <f t="shared" si="33"/>
        <v>46245</v>
      </c>
      <c r="AA114" s="10" t="str">
        <f t="shared" si="34"/>
        <v>正常</v>
      </c>
      <c r="AB114" s="14">
        <f t="shared" si="35"/>
        <v>2.674</v>
      </c>
    </row>
    <row r="115" ht="38" customHeight="1" spans="1:28">
      <c r="A115" s="5">
        <v>46246</v>
      </c>
      <c r="B115" s="6" t="s">
        <v>90</v>
      </c>
      <c r="C115" s="7">
        <v>2.7625</v>
      </c>
      <c r="D115" s="8">
        <v>1807.24</v>
      </c>
      <c r="E115" s="8">
        <v>5000</v>
      </c>
      <c r="F115" s="8">
        <v>7.5</v>
      </c>
      <c r="G115" s="6" t="s">
        <v>81</v>
      </c>
      <c r="H115" s="9" t="s">
        <v>192</v>
      </c>
      <c r="I115" s="10" t="str">
        <f>IF(COUNTA(A115:H115)=0,"",IF(OR(OR(OR(G115="撤单",G115="交易失败",G115="交易关闭"),G115="交易失败",G115="交易关闭"),G115="交易失败",G115="交易关闭"),"已排除",IF(G115="待确认","待确认",IF(NOT(OR(G115="已确认",G115="历史估算")),"请选择确认状态",IF(NOT(ISNUMBER(A115)),"缺少有效净值日期",IF(OR(A115&lt;=0,A115&lt;&gt;INT(A115)),"净值日期无效",IF(NOT(OR(OR(B115="买入",B115="定投",B115="转换转入"),B115="卖出",B115="现金分红",B115="红利再投")),"请选择交易类型",IF(NOT(ISNUMBER(C115)),"缺少成交净值",IF(C115&lt;=0,"成交净值须大于零",IF(NOT(ISNUMBER(D115)),"缺少确认份额（分红填0）",IF(NOT(ISNUMBER(E115)),"缺少确认金额（再投填0）",IF(NOT(ISNUMBER(F115)),"缺少手续费（无费用填0）",IF(OR(D115&lt;0,E115&lt;0,F115&lt;0),"份额金额费用不能为负",IF(AA114="错误","前行待修正",IF(A115&lt;Z114,"日期需按成交顺序递增",IF(AND(B115="现金分红",OR(D115&lt;&gt;0,E115&lt;=0,F115&lt;&gt;0)),"分红填份额0、费用0、正金额",IF(AND(B115="红利再投",OR(D115&lt;=0,E115&lt;&gt;0,F115&lt;&gt;0)),"再投填正份额、金额0、费用0",IF(AND(OR(B115="现金分红",B115="红利再投"),K114&lt;=0),"分红或再投前须有持仓",IF(AND(OR(OR(B115="买入",B115="定投",B115="转换转入"),B115="卖出"),OR(D115&lt;=0,E115&lt;=0)),"买卖须填正份额、正金额",IF(AND(B115="卖出",D115&gt;K114+0.000001),"卖出份额超过持仓",IF(AND(OR(B115="买入",B115="定投",B115="转换转入"),F115&gt;=E115)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115="买入",B115="定投",B115="转换转入"),ABS(E115-F115-C115*D115)&gt;持仓总览!$H$6),"买入金额与份额净值不符",IF(AND(B115="卖出",ABS(E115+F115-C115*D115)&gt;持仓总览!$H$6),"到账加费用与赎回市值不符","已计入"))))))))))))))))))))))))))</f>
        <v>已计入</v>
      </c>
      <c r="J115" s="11">
        <f t="shared" si="18"/>
        <v>1807.24</v>
      </c>
      <c r="K115" s="11">
        <f t="shared" si="23"/>
        <v>32481.17</v>
      </c>
      <c r="L115" s="11">
        <f t="shared" si="24"/>
        <v>84736.73</v>
      </c>
      <c r="M115" s="11">
        <f t="shared" si="25"/>
        <v>0</v>
      </c>
      <c r="N115" s="11">
        <f>IF(I115="已计入",IF(AND(B115="卖出",持仓总览!$C$7="本金优先"),MAX(0,E115-Q114),IF(OR(B115="卖出",B115="现金分红"),MIN(E115,M115),0)),"")</f>
        <v>0</v>
      </c>
      <c r="O115" s="11">
        <f t="shared" si="26"/>
        <v>0</v>
      </c>
      <c r="P115" s="11">
        <f t="shared" si="27"/>
        <v>0</v>
      </c>
      <c r="Q115" s="11">
        <f t="shared" si="28"/>
        <v>77516.01</v>
      </c>
      <c r="R115" s="11">
        <f t="shared" si="19"/>
        <v>89729.23</v>
      </c>
      <c r="S115" s="11">
        <f t="shared" si="20"/>
        <v>12213.22</v>
      </c>
      <c r="T115" s="12">
        <f t="shared" si="21"/>
        <v>0.157557387177178</v>
      </c>
      <c r="U115" s="11">
        <f t="shared" si="29"/>
        <v>77516.01</v>
      </c>
      <c r="V115" s="11">
        <f t="shared" si="30"/>
        <v>0</v>
      </c>
      <c r="W115" s="11">
        <f t="shared" si="31"/>
        <v>0</v>
      </c>
      <c r="X115" s="11">
        <f t="shared" si="32"/>
        <v>0</v>
      </c>
      <c r="Y115" s="11">
        <f t="shared" si="22"/>
        <v>12213.22</v>
      </c>
      <c r="Z115" s="13">
        <f t="shared" si="33"/>
        <v>46246</v>
      </c>
      <c r="AA115" s="10" t="str">
        <f t="shared" si="34"/>
        <v>正常</v>
      </c>
      <c r="AB115" s="14">
        <f t="shared" si="35"/>
        <v>2.7625</v>
      </c>
    </row>
    <row r="116" ht="38" customHeight="1" spans="1:28">
      <c r="A116" s="5">
        <v>46247</v>
      </c>
      <c r="B116" s="6" t="s">
        <v>90</v>
      </c>
      <c r="C116" s="7">
        <v>2.7686</v>
      </c>
      <c r="D116" s="8">
        <v>1803.26</v>
      </c>
      <c r="E116" s="8">
        <v>5000</v>
      </c>
      <c r="F116" s="8">
        <v>7.5</v>
      </c>
      <c r="G116" s="6" t="s">
        <v>81</v>
      </c>
      <c r="H116" s="9" t="s">
        <v>193</v>
      </c>
      <c r="I116" s="10" t="str">
        <f>IF(COUNTA(A116:H116)=0,"",IF(OR(OR(OR(G116="撤单",G116="交易失败",G116="交易关闭"),G116="交易失败",G116="交易关闭"),G116="交易失败",G116="交易关闭"),"已排除",IF(G116="待确认","待确认",IF(NOT(OR(G116="已确认",G116="历史估算")),"请选择确认状态",IF(NOT(ISNUMBER(A116)),"缺少有效净值日期",IF(OR(A116&lt;=0,A116&lt;&gt;INT(A116)),"净值日期无效",IF(NOT(OR(OR(B116="买入",B116="定投",B116="转换转入"),B116="卖出",B116="现金分红",B116="红利再投")),"请选择交易类型",IF(NOT(ISNUMBER(C116)),"缺少成交净值",IF(C116&lt;=0,"成交净值须大于零",IF(NOT(ISNUMBER(D116)),"缺少确认份额（分红填0）",IF(NOT(ISNUMBER(E116)),"缺少确认金额（再投填0）",IF(NOT(ISNUMBER(F116)),"缺少手续费（无费用填0）",IF(OR(D116&lt;0,E116&lt;0,F116&lt;0),"份额金额费用不能为负",IF(AA115="错误","前行待修正",IF(A116&lt;Z115,"日期需按成交顺序递增",IF(AND(B116="现金分红",OR(D116&lt;&gt;0,E116&lt;=0,F116&lt;&gt;0)),"分红填份额0、费用0、正金额",IF(AND(B116="红利再投",OR(D116&lt;=0,E116&lt;&gt;0,F116&lt;&gt;0)),"再投填正份额、金额0、费用0",IF(AND(OR(B116="现金分红",B116="红利再投"),K115&lt;=0),"分红或再投前须有持仓",IF(AND(OR(OR(B116="买入",B116="定投",B116="转换转入"),B116="卖出"),OR(D116&lt;=0,E116&lt;=0)),"买卖须填正份额、正金额",IF(AND(B116="卖出",D116&gt;K115+0.000001),"卖出份额超过持仓",IF(AND(OR(B116="买入",B116="定投",B116="转换转入"),F116&gt;=E116),"申购费不能达到总支出",IF(NOT(ISNUMBER(持仓总览!$H$6)),"请填写金额核对容差",IF(持仓总览!$H$6&lt;0,"金额核对容差不能为负",IF(NOT(OR(持仓总览!$C$7="利润优先",持仓总览!$C$7="本金优先")),"请选择卖出分配模式",IF(AND(OR(B116="买入",B116="定投",B116="转换转入"),ABS(E116-F116-C116*D116)&gt;持仓总览!$H$6),"买入金额与份额净值不符",IF(AND(B116="卖出",ABS(E116+F116-C116*D116)&gt;持仓总览!$H$6),"到账加费用与赎回市值不符","已计入"))))))))))))))))))))))))))</f>
        <v>已计入</v>
      </c>
      <c r="J116" s="11">
        <f t="shared" si="18"/>
        <v>1803.26</v>
      </c>
      <c r="K116" s="11">
        <f t="shared" si="23"/>
        <v>34284.43</v>
      </c>
      <c r="L116" s="11">
        <f t="shared" si="24"/>
        <v>89927.37</v>
      </c>
      <c r="M116" s="11">
        <f t="shared" si="25"/>
        <v>0</v>
      </c>
      <c r="N116" s="11">
        <f>IF(I116="已计入",IF(AND(B116="卖出",持仓总览!$C$7="本金优先"),MAX(0,E116-Q115),IF(OR(B116="卖出",B116="现金分红"),MIN(E116,M116),0)),"")</f>
        <v>0</v>
      </c>
      <c r="O116" s="11">
        <f t="shared" si="26"/>
        <v>0</v>
      </c>
      <c r="P116" s="11">
        <f t="shared" si="27"/>
        <v>0</v>
      </c>
      <c r="Q116" s="11">
        <f t="shared" si="28"/>
        <v>82516.01</v>
      </c>
      <c r="R116" s="11">
        <f t="shared" si="19"/>
        <v>94919.87</v>
      </c>
      <c r="S116" s="11">
        <f t="shared" si="20"/>
        <v>12403.86</v>
      </c>
      <c r="T116" s="12">
        <f t="shared" si="21"/>
        <v>0.150320646865984</v>
      </c>
      <c r="U116" s="11">
        <f t="shared" si="29"/>
        <v>82516.01</v>
      </c>
      <c r="V116" s="11">
        <f t="shared" si="30"/>
        <v>0</v>
      </c>
      <c r="W116" s="11">
        <f t="shared" si="31"/>
        <v>0</v>
      </c>
      <c r="X116" s="11">
        <f t="shared" si="32"/>
        <v>0</v>
      </c>
      <c r="Y116" s="11">
        <f t="shared" si="22"/>
        <v>12403.86</v>
      </c>
      <c r="Z116" s="13">
        <f t="shared" si="33"/>
        <v>46247</v>
      </c>
      <c r="AA116" s="10" t="str">
        <f t="shared" si="34"/>
        <v>正常</v>
      </c>
      <c r="AB116" s="14">
        <f t="shared" si="35"/>
        <v>2.7686</v>
      </c>
    </row>
    <row r="117" ht="23" customHeight="1" spans="1:28">
      <c r="A117" s="15"/>
      <c r="B117" s="16"/>
      <c r="C117" s="17"/>
      <c r="D117" s="18"/>
      <c r="E117" s="19" t="str">
        <f t="shared" ref="E117:E180" si="36">IF(AND(ISNUMBER(C117),ISNUMBER(D117),ISNUMBER(F117)),IF(OR(B117="买入",B117="定投"),ROUND(C117*D117+F117,2),IF(B117="卖出",ROUND(C117*D117-F117,2),IF(B117="红利再投",0,""))),"")</f>
        <v/>
      </c>
      <c r="F117" s="18"/>
      <c r="G117" s="20" t="str">
        <f t="shared" ref="G117:G180" si="37">IF(COUNTA(A117:D117,F117)=0,"",IF(I117="已计入","已录入","待修正"))</f>
        <v/>
      </c>
      <c r="H117" s="21" t="str">
        <f t="shared" ref="H117:H180" si="38">IF(COUNTA(A117:D117,F117)=0,"",IF(B117="红利再投","仅增加份额，不增加现金投入","金额由份额、净值和手续费推算"))</f>
        <v/>
      </c>
      <c r="I117" s="10" t="str">
        <f>IF(COUNTA(A117:D117,F117)=0,"",IF(NOT(ISNUMBER(A117)),"缺少有效净值日期",IF(OR(A117&lt;=0,A117&lt;&gt;INT(A117)),"净值日期无效",IF(OR(B117="转换转入",B117="现金分红"),"该类型需实际金额，五项录入不适用",IF(NOT(OR(OR(B117="买入",B117="定投"),B117="卖出",B117="红利再投")),"请选择交易类型",IF(NOT(ISNUMBER(C117)),"缺少成交净值",IF(C117&lt;=0,"成交净值须大于零",IF(NOT(ISNUMBER(D117)),"缺少确认份额",IF(D117&lt;=0,"确认份额须大于零",IF(NOT(ISNUMBER(F117)),"缺少手续费，无费用请填 0",IF(F117&lt;0,"手续费不能为负",IF(AA116="错误","前行待修正",IF(A117&lt;Z116,"日期需按成交顺序递增",IF(AND(B117="红利再投",F117&lt;&gt;0),"红利再投手续费应填 0",IF(AND(B117="红利再投",K116&lt;=0),"红利再投前须有持仓",IF(AND(B117="卖出",D117&gt;K116+0.000001),"卖出份额超过持仓",IF(AND(B117="卖出",F117&gt;=C117*D117),"赎回费不能达到赎回总额",IF(NOT(ISNUMBER(E117)),"自动金额未生成，请检查五项输入",IF(NOT(OR(持仓总览!$C$7="利润优先",持仓总览!$C$7="本金优先")),"请选择卖出分配模式","已计入")))))))))))))))))))</f>
        <v/>
      </c>
      <c r="J117" s="11">
        <f t="shared" si="18"/>
        <v>0</v>
      </c>
      <c r="K117" s="11">
        <f t="shared" si="23"/>
        <v>34284.43</v>
      </c>
      <c r="L117" s="11" t="str">
        <f t="shared" si="24"/>
        <v/>
      </c>
      <c r="M117" s="11" t="str">
        <f t="shared" si="25"/>
        <v/>
      </c>
      <c r="N117" s="11" t="str">
        <f>IF(I117="已计入",IF(AND(B117="卖出",持仓总览!$C$7="本金优先"),MAX(0,E117-Q116),IF(OR(B117="卖出",B117="现金分红"),MIN(E117,M117),0)),"")</f>
        <v/>
      </c>
      <c r="O117" s="11" t="str">
        <f t="shared" si="26"/>
        <v/>
      </c>
      <c r="P117" s="11" t="str">
        <f t="shared" si="27"/>
        <v/>
      </c>
      <c r="Q117" s="11">
        <f t="shared" si="28"/>
        <v>82516.01</v>
      </c>
      <c r="R117" s="11" t="str">
        <f t="shared" si="19"/>
        <v/>
      </c>
      <c r="S117" s="11" t="str">
        <f t="shared" si="20"/>
        <v/>
      </c>
      <c r="T117" s="12" t="str">
        <f t="shared" si="21"/>
        <v/>
      </c>
      <c r="U117" s="11">
        <f t="shared" si="29"/>
        <v>82516.01</v>
      </c>
      <c r="V117" s="11">
        <f t="shared" si="30"/>
        <v>0</v>
      </c>
      <c r="W117" s="11">
        <f t="shared" si="31"/>
        <v>0</v>
      </c>
      <c r="X117" s="11">
        <f t="shared" si="32"/>
        <v>0</v>
      </c>
      <c r="Y117" s="11" t="str">
        <f t="shared" si="22"/>
        <v/>
      </c>
      <c r="Z117" s="13">
        <f t="shared" si="33"/>
        <v>46247</v>
      </c>
      <c r="AA117" s="10" t="str">
        <f t="shared" si="34"/>
        <v>正常</v>
      </c>
      <c r="AB117" s="14">
        <f t="shared" si="35"/>
        <v>2.7686</v>
      </c>
    </row>
    <row r="118" ht="23" customHeight="1" spans="1:28">
      <c r="A118" s="15"/>
      <c r="B118" s="16"/>
      <c r="C118" s="17"/>
      <c r="D118" s="18"/>
      <c r="E118" s="19" t="str">
        <f t="shared" si="36"/>
        <v/>
      </c>
      <c r="F118" s="18"/>
      <c r="G118" s="20" t="str">
        <f t="shared" si="37"/>
        <v/>
      </c>
      <c r="H118" s="21" t="str">
        <f t="shared" si="38"/>
        <v/>
      </c>
      <c r="I118" s="10" t="str">
        <f>IF(COUNTA(A118:D118,F118)=0,"",IF(NOT(ISNUMBER(A118)),"缺少有效净值日期",IF(OR(A118&lt;=0,A118&lt;&gt;INT(A118)),"净值日期无效",IF(OR(B118="转换转入",B118="现金分红"),"该类型需实际金额，五项录入不适用",IF(NOT(OR(OR(B118="买入",B118="定投"),B118="卖出",B118="红利再投")),"请选择交易类型",IF(NOT(ISNUMBER(C118)),"缺少成交净值",IF(C118&lt;=0,"成交净值须大于零",IF(NOT(ISNUMBER(D118)),"缺少确认份额",IF(D118&lt;=0,"确认份额须大于零",IF(NOT(ISNUMBER(F118)),"缺少手续费，无费用请填 0",IF(F118&lt;0,"手续费不能为负",IF(AA117="错误","前行待修正",IF(A118&lt;Z117,"日期需按成交顺序递增",IF(AND(B118="红利再投",F118&lt;&gt;0),"红利再投手续费应填 0",IF(AND(B118="红利再投",K117&lt;=0),"红利再投前须有持仓",IF(AND(B118="卖出",D118&gt;K117+0.000001),"卖出份额超过持仓",IF(AND(B118="卖出",F118&gt;=C118*D118),"赎回费不能达到赎回总额",IF(NOT(ISNUMBER(E118)),"自动金额未生成，请检查五项输入",IF(NOT(OR(持仓总览!$C$7="利润优先",持仓总览!$C$7="本金优先")),"请选择卖出分配模式","已计入")))))))))))))))))))</f>
        <v/>
      </c>
      <c r="J118" s="11">
        <f t="shared" si="18"/>
        <v>0</v>
      </c>
      <c r="K118" s="11">
        <f t="shared" si="23"/>
        <v>34284.43</v>
      </c>
      <c r="L118" s="11" t="str">
        <f t="shared" si="24"/>
        <v/>
      </c>
      <c r="M118" s="11" t="str">
        <f t="shared" si="25"/>
        <v/>
      </c>
      <c r="N118" s="11" t="str">
        <f>IF(I118="已计入",IF(AND(B118="卖出",持仓总览!$C$7="本金优先"),MAX(0,E118-Q117),IF(OR(B118="卖出",B118="现金分红"),MIN(E118,M118),0)),"")</f>
        <v/>
      </c>
      <c r="O118" s="11" t="str">
        <f t="shared" si="26"/>
        <v/>
      </c>
      <c r="P118" s="11" t="str">
        <f t="shared" si="27"/>
        <v/>
      </c>
      <c r="Q118" s="11">
        <f t="shared" si="28"/>
        <v>82516.01</v>
      </c>
      <c r="R118" s="11" t="str">
        <f t="shared" si="19"/>
        <v/>
      </c>
      <c r="S118" s="11" t="str">
        <f t="shared" si="20"/>
        <v/>
      </c>
      <c r="T118" s="12" t="str">
        <f t="shared" si="21"/>
        <v/>
      </c>
      <c r="U118" s="11">
        <f t="shared" si="29"/>
        <v>82516.01</v>
      </c>
      <c r="V118" s="11">
        <f t="shared" si="30"/>
        <v>0</v>
      </c>
      <c r="W118" s="11">
        <f t="shared" si="31"/>
        <v>0</v>
      </c>
      <c r="X118" s="11">
        <f t="shared" si="32"/>
        <v>0</v>
      </c>
      <c r="Y118" s="11" t="str">
        <f t="shared" si="22"/>
        <v/>
      </c>
      <c r="Z118" s="13">
        <f t="shared" si="33"/>
        <v>46247</v>
      </c>
      <c r="AA118" s="10" t="str">
        <f t="shared" si="34"/>
        <v>正常</v>
      </c>
      <c r="AB118" s="14">
        <f t="shared" si="35"/>
        <v>2.7686</v>
      </c>
    </row>
    <row r="119" ht="23" customHeight="1" spans="1:28">
      <c r="A119" s="15"/>
      <c r="B119" s="16"/>
      <c r="C119" s="17"/>
      <c r="D119" s="18"/>
      <c r="E119" s="19" t="str">
        <f t="shared" si="36"/>
        <v/>
      </c>
      <c r="F119" s="18"/>
      <c r="G119" s="20" t="str">
        <f t="shared" si="37"/>
        <v/>
      </c>
      <c r="H119" s="21" t="str">
        <f t="shared" si="38"/>
        <v/>
      </c>
      <c r="I119" s="10" t="str">
        <f>IF(COUNTA(A119:D119,F119)=0,"",IF(NOT(ISNUMBER(A119)),"缺少有效净值日期",IF(OR(A119&lt;=0,A119&lt;&gt;INT(A119)),"净值日期无效",IF(OR(B119="转换转入",B119="现金分红"),"该类型需实际金额，五项录入不适用",IF(NOT(OR(OR(B119="买入",B119="定投"),B119="卖出",B119="红利再投")),"请选择交易类型",IF(NOT(ISNUMBER(C119)),"缺少成交净值",IF(C119&lt;=0,"成交净值须大于零",IF(NOT(ISNUMBER(D119)),"缺少确认份额",IF(D119&lt;=0,"确认份额须大于零",IF(NOT(ISNUMBER(F119)),"缺少手续费，无费用请填 0",IF(F119&lt;0,"手续费不能为负",IF(AA118="错误","前行待修正",IF(A119&lt;Z118,"日期需按成交顺序递增",IF(AND(B119="红利再投",F119&lt;&gt;0),"红利再投手续费应填 0",IF(AND(B119="红利再投",K118&lt;=0),"红利再投前须有持仓",IF(AND(B119="卖出",D119&gt;K118+0.000001),"卖出份额超过持仓",IF(AND(B119="卖出",F119&gt;=C119*D119),"赎回费不能达到赎回总额",IF(NOT(ISNUMBER(E119)),"自动金额未生成，请检查五项输入",IF(NOT(OR(持仓总览!$C$7="利润优先",持仓总览!$C$7="本金优先")),"请选择卖出分配模式","已计入")))))))))))))))))))</f>
        <v/>
      </c>
      <c r="J119" s="11">
        <f t="shared" si="18"/>
        <v>0</v>
      </c>
      <c r="K119" s="11">
        <f t="shared" si="23"/>
        <v>34284.43</v>
      </c>
      <c r="L119" s="11" t="str">
        <f t="shared" si="24"/>
        <v/>
      </c>
      <c r="M119" s="11" t="str">
        <f t="shared" si="25"/>
        <v/>
      </c>
      <c r="N119" s="11" t="str">
        <f>IF(I119="已计入",IF(AND(B119="卖出",持仓总览!$C$7="本金优先"),MAX(0,E119-Q118),IF(OR(B119="卖出",B119="现金分红"),MIN(E119,M119),0)),"")</f>
        <v/>
      </c>
      <c r="O119" s="11" t="str">
        <f t="shared" si="26"/>
        <v/>
      </c>
      <c r="P119" s="11" t="str">
        <f t="shared" si="27"/>
        <v/>
      </c>
      <c r="Q119" s="11">
        <f t="shared" si="28"/>
        <v>82516.01</v>
      </c>
      <c r="R119" s="11" t="str">
        <f t="shared" si="19"/>
        <v/>
      </c>
      <c r="S119" s="11" t="str">
        <f t="shared" si="20"/>
        <v/>
      </c>
      <c r="T119" s="12" t="str">
        <f t="shared" si="21"/>
        <v/>
      </c>
      <c r="U119" s="11">
        <f t="shared" si="29"/>
        <v>82516.01</v>
      </c>
      <c r="V119" s="11">
        <f t="shared" si="30"/>
        <v>0</v>
      </c>
      <c r="W119" s="11">
        <f t="shared" si="31"/>
        <v>0</v>
      </c>
      <c r="X119" s="11">
        <f t="shared" si="32"/>
        <v>0</v>
      </c>
      <c r="Y119" s="11" t="str">
        <f t="shared" si="22"/>
        <v/>
      </c>
      <c r="Z119" s="13">
        <f t="shared" si="33"/>
        <v>46247</v>
      </c>
      <c r="AA119" s="10" t="str">
        <f t="shared" si="34"/>
        <v>正常</v>
      </c>
      <c r="AB119" s="14">
        <f t="shared" si="35"/>
        <v>2.7686</v>
      </c>
    </row>
    <row r="120" ht="23" customHeight="1" spans="1:28">
      <c r="A120" s="15"/>
      <c r="B120" s="16"/>
      <c r="C120" s="17"/>
      <c r="D120" s="18"/>
      <c r="E120" s="19" t="str">
        <f t="shared" si="36"/>
        <v/>
      </c>
      <c r="F120" s="18"/>
      <c r="G120" s="20" t="str">
        <f t="shared" si="37"/>
        <v/>
      </c>
      <c r="H120" s="21" t="str">
        <f t="shared" si="38"/>
        <v/>
      </c>
      <c r="I120" s="10" t="str">
        <f>IF(COUNTA(A120:D120,F120)=0,"",IF(NOT(ISNUMBER(A120)),"缺少有效净值日期",IF(OR(A120&lt;=0,A120&lt;&gt;INT(A120)),"净值日期无效",IF(OR(B120="转换转入",B120="现金分红"),"该类型需实际金额，五项录入不适用",IF(NOT(OR(OR(B120="买入",B120="定投"),B120="卖出",B120="红利再投")),"请选择交易类型",IF(NOT(ISNUMBER(C120)),"缺少成交净值",IF(C120&lt;=0,"成交净值须大于零",IF(NOT(ISNUMBER(D120)),"缺少确认份额",IF(D120&lt;=0,"确认份额须大于零",IF(NOT(ISNUMBER(F120)),"缺少手续费，无费用请填 0",IF(F120&lt;0,"手续费不能为负",IF(AA119="错误","前行待修正",IF(A120&lt;Z119,"日期需按成交顺序递增",IF(AND(B120="红利再投",F120&lt;&gt;0),"红利再投手续费应填 0",IF(AND(B120="红利再投",K119&lt;=0),"红利再投前须有持仓",IF(AND(B120="卖出",D120&gt;K119+0.000001),"卖出份额超过持仓",IF(AND(B120="卖出",F120&gt;=C120*D120),"赎回费不能达到赎回总额",IF(NOT(ISNUMBER(E120)),"自动金额未生成，请检查五项输入",IF(NOT(OR(持仓总览!$C$7="利润优先",持仓总览!$C$7="本金优先")),"请选择卖出分配模式","已计入")))))))))))))))))))</f>
        <v/>
      </c>
      <c r="J120" s="11">
        <f t="shared" si="18"/>
        <v>0</v>
      </c>
      <c r="K120" s="11">
        <f t="shared" si="23"/>
        <v>34284.43</v>
      </c>
      <c r="L120" s="11" t="str">
        <f t="shared" si="24"/>
        <v/>
      </c>
      <c r="M120" s="11" t="str">
        <f t="shared" si="25"/>
        <v/>
      </c>
      <c r="N120" s="11" t="str">
        <f>IF(I120="已计入",IF(AND(B120="卖出",持仓总览!$C$7="本金优先"),MAX(0,E120-Q119),IF(OR(B120="卖出",B120="现金分红"),MIN(E120,M120),0)),"")</f>
        <v/>
      </c>
      <c r="O120" s="11" t="str">
        <f t="shared" si="26"/>
        <v/>
      </c>
      <c r="P120" s="11" t="str">
        <f t="shared" si="27"/>
        <v/>
      </c>
      <c r="Q120" s="11">
        <f t="shared" si="28"/>
        <v>82516.01</v>
      </c>
      <c r="R120" s="11" t="str">
        <f t="shared" si="19"/>
        <v/>
      </c>
      <c r="S120" s="11" t="str">
        <f t="shared" si="20"/>
        <v/>
      </c>
      <c r="T120" s="12" t="str">
        <f t="shared" si="21"/>
        <v/>
      </c>
      <c r="U120" s="11">
        <f t="shared" si="29"/>
        <v>82516.01</v>
      </c>
      <c r="V120" s="11">
        <f t="shared" si="30"/>
        <v>0</v>
      </c>
      <c r="W120" s="11">
        <f t="shared" si="31"/>
        <v>0</v>
      </c>
      <c r="X120" s="11">
        <f t="shared" si="32"/>
        <v>0</v>
      </c>
      <c r="Y120" s="11" t="str">
        <f t="shared" si="22"/>
        <v/>
      </c>
      <c r="Z120" s="13">
        <f t="shared" si="33"/>
        <v>46247</v>
      </c>
      <c r="AA120" s="10" t="str">
        <f t="shared" si="34"/>
        <v>正常</v>
      </c>
      <c r="AB120" s="14">
        <f t="shared" si="35"/>
        <v>2.7686</v>
      </c>
    </row>
    <row r="121" ht="23" customHeight="1" spans="1:28">
      <c r="A121" s="15"/>
      <c r="B121" s="16"/>
      <c r="C121" s="17"/>
      <c r="D121" s="18"/>
      <c r="E121" s="19" t="str">
        <f t="shared" si="36"/>
        <v/>
      </c>
      <c r="F121" s="18"/>
      <c r="G121" s="20" t="str">
        <f t="shared" si="37"/>
        <v/>
      </c>
      <c r="H121" s="21" t="str">
        <f t="shared" si="38"/>
        <v/>
      </c>
      <c r="I121" s="10" t="str">
        <f>IF(COUNTA(A121:D121,F121)=0,"",IF(NOT(ISNUMBER(A121)),"缺少有效净值日期",IF(OR(A121&lt;=0,A121&lt;&gt;INT(A121)),"净值日期无效",IF(OR(B121="转换转入",B121="现金分红"),"该类型需实际金额，五项录入不适用",IF(NOT(OR(OR(B121="买入",B121="定投"),B121="卖出",B121="红利再投")),"请选择交易类型",IF(NOT(ISNUMBER(C121)),"缺少成交净值",IF(C121&lt;=0,"成交净值须大于零",IF(NOT(ISNUMBER(D121)),"缺少确认份额",IF(D121&lt;=0,"确认份额须大于零",IF(NOT(ISNUMBER(F121)),"缺少手续费，无费用请填 0",IF(F121&lt;0,"手续费不能为负",IF(AA120="错误","前行待修正",IF(A121&lt;Z120,"日期需按成交顺序递增",IF(AND(B121="红利再投",F121&lt;&gt;0),"红利再投手续费应填 0",IF(AND(B121="红利再投",K120&lt;=0),"红利再投前须有持仓",IF(AND(B121="卖出",D121&gt;K120+0.000001),"卖出份额超过持仓",IF(AND(B121="卖出",F121&gt;=C121*D121),"赎回费不能达到赎回总额",IF(NOT(ISNUMBER(E121)),"自动金额未生成，请检查五项输入",IF(NOT(OR(持仓总览!$C$7="利润优先",持仓总览!$C$7="本金优先")),"请选择卖出分配模式","已计入")))))))))))))))))))</f>
        <v/>
      </c>
      <c r="J121" s="11">
        <f t="shared" si="18"/>
        <v>0</v>
      </c>
      <c r="K121" s="11">
        <f t="shared" si="23"/>
        <v>34284.43</v>
      </c>
      <c r="L121" s="11" t="str">
        <f t="shared" si="24"/>
        <v/>
      </c>
      <c r="M121" s="11" t="str">
        <f t="shared" si="25"/>
        <v/>
      </c>
      <c r="N121" s="11" t="str">
        <f>IF(I121="已计入",IF(AND(B121="卖出",持仓总览!$C$7="本金优先"),MAX(0,E121-Q120),IF(OR(B121="卖出",B121="现金分红"),MIN(E121,M121),0)),"")</f>
        <v/>
      </c>
      <c r="O121" s="11" t="str">
        <f t="shared" si="26"/>
        <v/>
      </c>
      <c r="P121" s="11" t="str">
        <f t="shared" si="27"/>
        <v/>
      </c>
      <c r="Q121" s="11">
        <f t="shared" si="28"/>
        <v>82516.01</v>
      </c>
      <c r="R121" s="11" t="str">
        <f t="shared" si="19"/>
        <v/>
      </c>
      <c r="S121" s="11" t="str">
        <f t="shared" si="20"/>
        <v/>
      </c>
      <c r="T121" s="12" t="str">
        <f t="shared" si="21"/>
        <v/>
      </c>
      <c r="U121" s="11">
        <f t="shared" si="29"/>
        <v>82516.01</v>
      </c>
      <c r="V121" s="11">
        <f t="shared" si="30"/>
        <v>0</v>
      </c>
      <c r="W121" s="11">
        <f t="shared" si="31"/>
        <v>0</v>
      </c>
      <c r="X121" s="11">
        <f t="shared" si="32"/>
        <v>0</v>
      </c>
      <c r="Y121" s="11" t="str">
        <f t="shared" si="22"/>
        <v/>
      </c>
      <c r="Z121" s="13">
        <f t="shared" si="33"/>
        <v>46247</v>
      </c>
      <c r="AA121" s="10" t="str">
        <f t="shared" si="34"/>
        <v>正常</v>
      </c>
      <c r="AB121" s="14">
        <f t="shared" si="35"/>
        <v>2.7686</v>
      </c>
    </row>
    <row r="122" ht="23" customHeight="1" spans="1:28">
      <c r="A122" s="15"/>
      <c r="B122" s="16"/>
      <c r="C122" s="17"/>
      <c r="D122" s="18"/>
      <c r="E122" s="19" t="str">
        <f t="shared" si="36"/>
        <v/>
      </c>
      <c r="F122" s="18"/>
      <c r="G122" s="20" t="str">
        <f t="shared" si="37"/>
        <v/>
      </c>
      <c r="H122" s="21" t="str">
        <f t="shared" si="38"/>
        <v/>
      </c>
      <c r="I122" s="10" t="str">
        <f>IF(COUNTA(A122:D122,F122)=0,"",IF(NOT(ISNUMBER(A122)),"缺少有效净值日期",IF(OR(A122&lt;=0,A122&lt;&gt;INT(A122)),"净值日期无效",IF(OR(B122="转换转入",B122="现金分红"),"该类型需实际金额，五项录入不适用",IF(NOT(OR(OR(B122="买入",B122="定投"),B122="卖出",B122="红利再投")),"请选择交易类型",IF(NOT(ISNUMBER(C122)),"缺少成交净值",IF(C122&lt;=0,"成交净值须大于零",IF(NOT(ISNUMBER(D122)),"缺少确认份额",IF(D122&lt;=0,"确认份额须大于零",IF(NOT(ISNUMBER(F122)),"缺少手续费，无费用请填 0",IF(F122&lt;0,"手续费不能为负",IF(AA121="错误","前行待修正",IF(A122&lt;Z121,"日期需按成交顺序递增",IF(AND(B122="红利再投",F122&lt;&gt;0),"红利再投手续费应填 0",IF(AND(B122="红利再投",K121&lt;=0),"红利再投前须有持仓",IF(AND(B122="卖出",D122&gt;K121+0.000001),"卖出份额超过持仓",IF(AND(B122="卖出",F122&gt;=C122*D122),"赎回费不能达到赎回总额",IF(NOT(ISNUMBER(E122)),"自动金额未生成，请检查五项输入",IF(NOT(OR(持仓总览!$C$7="利润优先",持仓总览!$C$7="本金优先")),"请选择卖出分配模式","已计入")))))))))))))))))))</f>
        <v/>
      </c>
      <c r="J122" s="11">
        <f t="shared" si="18"/>
        <v>0</v>
      </c>
      <c r="K122" s="11">
        <f t="shared" si="23"/>
        <v>34284.43</v>
      </c>
      <c r="L122" s="11" t="str">
        <f t="shared" si="24"/>
        <v/>
      </c>
      <c r="M122" s="11" t="str">
        <f t="shared" si="25"/>
        <v/>
      </c>
      <c r="N122" s="11" t="str">
        <f>IF(I122="已计入",IF(AND(B122="卖出",持仓总览!$C$7="本金优先"),MAX(0,E122-Q121),IF(OR(B122="卖出",B122="现金分红"),MIN(E122,M122),0)),"")</f>
        <v/>
      </c>
      <c r="O122" s="11" t="str">
        <f t="shared" si="26"/>
        <v/>
      </c>
      <c r="P122" s="11" t="str">
        <f t="shared" si="27"/>
        <v/>
      </c>
      <c r="Q122" s="11">
        <f t="shared" si="28"/>
        <v>82516.01</v>
      </c>
      <c r="R122" s="11" t="str">
        <f t="shared" si="19"/>
        <v/>
      </c>
      <c r="S122" s="11" t="str">
        <f t="shared" si="20"/>
        <v/>
      </c>
      <c r="T122" s="12" t="str">
        <f t="shared" si="21"/>
        <v/>
      </c>
      <c r="U122" s="11">
        <f t="shared" si="29"/>
        <v>82516.01</v>
      </c>
      <c r="V122" s="11">
        <f t="shared" si="30"/>
        <v>0</v>
      </c>
      <c r="W122" s="11">
        <f t="shared" si="31"/>
        <v>0</v>
      </c>
      <c r="X122" s="11">
        <f t="shared" si="32"/>
        <v>0</v>
      </c>
      <c r="Y122" s="11" t="str">
        <f t="shared" si="22"/>
        <v/>
      </c>
      <c r="Z122" s="13">
        <f t="shared" si="33"/>
        <v>46247</v>
      </c>
      <c r="AA122" s="10" t="str">
        <f t="shared" si="34"/>
        <v>正常</v>
      </c>
      <c r="AB122" s="14">
        <f t="shared" si="35"/>
        <v>2.7686</v>
      </c>
    </row>
    <row r="123" ht="23" customHeight="1" spans="1:28">
      <c r="A123" s="15"/>
      <c r="B123" s="16"/>
      <c r="C123" s="17"/>
      <c r="D123" s="18"/>
      <c r="E123" s="19" t="str">
        <f t="shared" si="36"/>
        <v/>
      </c>
      <c r="F123" s="18"/>
      <c r="G123" s="20" t="str">
        <f t="shared" si="37"/>
        <v/>
      </c>
      <c r="H123" s="21" t="str">
        <f t="shared" si="38"/>
        <v/>
      </c>
      <c r="I123" s="10" t="str">
        <f>IF(COUNTA(A123:D123,F123)=0,"",IF(NOT(ISNUMBER(A123)),"缺少有效净值日期",IF(OR(A123&lt;=0,A123&lt;&gt;INT(A123)),"净值日期无效",IF(OR(B123="转换转入",B123="现金分红"),"该类型需实际金额，五项录入不适用",IF(NOT(OR(OR(B123="买入",B123="定投"),B123="卖出",B123="红利再投")),"请选择交易类型",IF(NOT(ISNUMBER(C123)),"缺少成交净值",IF(C123&lt;=0,"成交净值须大于零",IF(NOT(ISNUMBER(D123)),"缺少确认份额",IF(D123&lt;=0,"确认份额须大于零",IF(NOT(ISNUMBER(F123)),"缺少手续费，无费用请填 0",IF(F123&lt;0,"手续费不能为负",IF(AA122="错误","前行待修正",IF(A123&lt;Z122,"日期需按成交顺序递增",IF(AND(B123="红利再投",F123&lt;&gt;0),"红利再投手续费应填 0",IF(AND(B123="红利再投",K122&lt;=0),"红利再投前须有持仓",IF(AND(B123="卖出",D123&gt;K122+0.000001),"卖出份额超过持仓",IF(AND(B123="卖出",F123&gt;=C123*D123),"赎回费不能达到赎回总额",IF(NOT(ISNUMBER(E123)),"自动金额未生成，请检查五项输入",IF(NOT(OR(持仓总览!$C$7="利润优先",持仓总览!$C$7="本金优先")),"请选择卖出分配模式","已计入")))))))))))))))))))</f>
        <v/>
      </c>
      <c r="J123" s="11">
        <f t="shared" si="18"/>
        <v>0</v>
      </c>
      <c r="K123" s="11">
        <f t="shared" si="23"/>
        <v>34284.43</v>
      </c>
      <c r="L123" s="11" t="str">
        <f t="shared" si="24"/>
        <v/>
      </c>
      <c r="M123" s="11" t="str">
        <f t="shared" si="25"/>
        <v/>
      </c>
      <c r="N123" s="11" t="str">
        <f>IF(I123="已计入",IF(AND(B123="卖出",持仓总览!$C$7="本金优先"),MAX(0,E123-Q122),IF(OR(B123="卖出",B123="现金分红"),MIN(E123,M123),0)),"")</f>
        <v/>
      </c>
      <c r="O123" s="11" t="str">
        <f t="shared" si="26"/>
        <v/>
      </c>
      <c r="P123" s="11" t="str">
        <f t="shared" si="27"/>
        <v/>
      </c>
      <c r="Q123" s="11">
        <f t="shared" si="28"/>
        <v>82516.01</v>
      </c>
      <c r="R123" s="11" t="str">
        <f t="shared" si="19"/>
        <v/>
      </c>
      <c r="S123" s="11" t="str">
        <f t="shared" si="20"/>
        <v/>
      </c>
      <c r="T123" s="12" t="str">
        <f t="shared" si="21"/>
        <v/>
      </c>
      <c r="U123" s="11">
        <f t="shared" si="29"/>
        <v>82516.01</v>
      </c>
      <c r="V123" s="11">
        <f t="shared" si="30"/>
        <v>0</v>
      </c>
      <c r="W123" s="11">
        <f t="shared" si="31"/>
        <v>0</v>
      </c>
      <c r="X123" s="11">
        <f t="shared" si="32"/>
        <v>0</v>
      </c>
      <c r="Y123" s="11" t="str">
        <f t="shared" si="22"/>
        <v/>
      </c>
      <c r="Z123" s="13">
        <f t="shared" si="33"/>
        <v>46247</v>
      </c>
      <c r="AA123" s="10" t="str">
        <f t="shared" si="34"/>
        <v>正常</v>
      </c>
      <c r="AB123" s="14">
        <f t="shared" si="35"/>
        <v>2.7686</v>
      </c>
    </row>
    <row r="124" ht="23" customHeight="1" spans="1:28">
      <c r="A124" s="15"/>
      <c r="B124" s="16"/>
      <c r="C124" s="17"/>
      <c r="D124" s="18"/>
      <c r="E124" s="19" t="str">
        <f t="shared" si="36"/>
        <v/>
      </c>
      <c r="F124" s="18"/>
      <c r="G124" s="20" t="str">
        <f t="shared" si="37"/>
        <v/>
      </c>
      <c r="H124" s="21" t="str">
        <f t="shared" si="38"/>
        <v/>
      </c>
      <c r="I124" s="10" t="str">
        <f>IF(COUNTA(A124:D124,F124)=0,"",IF(NOT(ISNUMBER(A124)),"缺少有效净值日期",IF(OR(A124&lt;=0,A124&lt;&gt;INT(A124)),"净值日期无效",IF(OR(B124="转换转入",B124="现金分红"),"该类型需实际金额，五项录入不适用",IF(NOT(OR(OR(B124="买入",B124="定投"),B124="卖出",B124="红利再投")),"请选择交易类型",IF(NOT(ISNUMBER(C124)),"缺少成交净值",IF(C124&lt;=0,"成交净值须大于零",IF(NOT(ISNUMBER(D124)),"缺少确认份额",IF(D124&lt;=0,"确认份额须大于零",IF(NOT(ISNUMBER(F124)),"缺少手续费，无费用请填 0",IF(F124&lt;0,"手续费不能为负",IF(AA123="错误","前行待修正",IF(A124&lt;Z123,"日期需按成交顺序递增",IF(AND(B124="红利再投",F124&lt;&gt;0),"红利再投手续费应填 0",IF(AND(B124="红利再投",K123&lt;=0),"红利再投前须有持仓",IF(AND(B124="卖出",D124&gt;K123+0.000001),"卖出份额超过持仓",IF(AND(B124="卖出",F124&gt;=C124*D124),"赎回费不能达到赎回总额",IF(NOT(ISNUMBER(E124)),"自动金额未生成，请检查五项输入",IF(NOT(OR(持仓总览!$C$7="利润优先",持仓总览!$C$7="本金优先")),"请选择卖出分配模式","已计入")))))))))))))))))))</f>
        <v/>
      </c>
      <c r="J124" s="11">
        <f t="shared" si="18"/>
        <v>0</v>
      </c>
      <c r="K124" s="11">
        <f t="shared" si="23"/>
        <v>34284.43</v>
      </c>
      <c r="L124" s="11" t="str">
        <f t="shared" si="24"/>
        <v/>
      </c>
      <c r="M124" s="11" t="str">
        <f t="shared" si="25"/>
        <v/>
      </c>
      <c r="N124" s="11" t="str">
        <f>IF(I124="已计入",IF(AND(B124="卖出",持仓总览!$C$7="本金优先"),MAX(0,E124-Q123),IF(OR(B124="卖出",B124="现金分红"),MIN(E124,M124),0)),"")</f>
        <v/>
      </c>
      <c r="O124" s="11" t="str">
        <f t="shared" si="26"/>
        <v/>
      </c>
      <c r="P124" s="11" t="str">
        <f t="shared" si="27"/>
        <v/>
      </c>
      <c r="Q124" s="11">
        <f t="shared" si="28"/>
        <v>82516.01</v>
      </c>
      <c r="R124" s="11" t="str">
        <f t="shared" si="19"/>
        <v/>
      </c>
      <c r="S124" s="11" t="str">
        <f t="shared" si="20"/>
        <v/>
      </c>
      <c r="T124" s="12" t="str">
        <f t="shared" si="21"/>
        <v/>
      </c>
      <c r="U124" s="11">
        <f t="shared" si="29"/>
        <v>82516.01</v>
      </c>
      <c r="V124" s="11">
        <f t="shared" si="30"/>
        <v>0</v>
      </c>
      <c r="W124" s="11">
        <f t="shared" si="31"/>
        <v>0</v>
      </c>
      <c r="X124" s="11">
        <f t="shared" si="32"/>
        <v>0</v>
      </c>
      <c r="Y124" s="11" t="str">
        <f t="shared" si="22"/>
        <v/>
      </c>
      <c r="Z124" s="13">
        <f t="shared" si="33"/>
        <v>46247</v>
      </c>
      <c r="AA124" s="10" t="str">
        <f t="shared" si="34"/>
        <v>正常</v>
      </c>
      <c r="AB124" s="14">
        <f t="shared" si="35"/>
        <v>2.7686</v>
      </c>
    </row>
    <row r="125" ht="23" customHeight="1" spans="1:28">
      <c r="A125" s="15"/>
      <c r="B125" s="16"/>
      <c r="C125" s="17"/>
      <c r="D125" s="18"/>
      <c r="E125" s="19" t="str">
        <f t="shared" si="36"/>
        <v/>
      </c>
      <c r="F125" s="18"/>
      <c r="G125" s="20" t="str">
        <f t="shared" si="37"/>
        <v/>
      </c>
      <c r="H125" s="21" t="str">
        <f t="shared" si="38"/>
        <v/>
      </c>
      <c r="I125" s="10" t="str">
        <f>IF(COUNTA(A125:D125,F125)=0,"",IF(NOT(ISNUMBER(A125)),"缺少有效净值日期",IF(OR(A125&lt;=0,A125&lt;&gt;INT(A125)),"净值日期无效",IF(OR(B125="转换转入",B125="现金分红"),"该类型需实际金额，五项录入不适用",IF(NOT(OR(OR(B125="买入",B125="定投"),B125="卖出",B125="红利再投")),"请选择交易类型",IF(NOT(ISNUMBER(C125)),"缺少成交净值",IF(C125&lt;=0,"成交净值须大于零",IF(NOT(ISNUMBER(D125)),"缺少确认份额",IF(D125&lt;=0,"确认份额须大于零",IF(NOT(ISNUMBER(F125)),"缺少手续费，无费用请填 0",IF(F125&lt;0,"手续费不能为负",IF(AA124="错误","前行待修正",IF(A125&lt;Z124,"日期需按成交顺序递增",IF(AND(B125="红利再投",F125&lt;&gt;0),"红利再投手续费应填 0",IF(AND(B125="红利再投",K124&lt;=0),"红利再投前须有持仓",IF(AND(B125="卖出",D125&gt;K124+0.000001),"卖出份额超过持仓",IF(AND(B125="卖出",F125&gt;=C125*D125),"赎回费不能达到赎回总额",IF(NOT(ISNUMBER(E125)),"自动金额未生成，请检查五项输入",IF(NOT(OR(持仓总览!$C$7="利润优先",持仓总览!$C$7="本金优先")),"请选择卖出分配模式","已计入")))))))))))))))))))</f>
        <v/>
      </c>
      <c r="J125" s="11">
        <f t="shared" si="18"/>
        <v>0</v>
      </c>
      <c r="K125" s="11">
        <f t="shared" si="23"/>
        <v>34284.43</v>
      </c>
      <c r="L125" s="11" t="str">
        <f t="shared" si="24"/>
        <v/>
      </c>
      <c r="M125" s="11" t="str">
        <f t="shared" si="25"/>
        <v/>
      </c>
      <c r="N125" s="11" t="str">
        <f>IF(I125="已计入",IF(AND(B125="卖出",持仓总览!$C$7="本金优先"),MAX(0,E125-Q124),IF(OR(B125="卖出",B125="现金分红"),MIN(E125,M125),0)),"")</f>
        <v/>
      </c>
      <c r="O125" s="11" t="str">
        <f t="shared" si="26"/>
        <v/>
      </c>
      <c r="P125" s="11" t="str">
        <f t="shared" si="27"/>
        <v/>
      </c>
      <c r="Q125" s="11">
        <f t="shared" si="28"/>
        <v>82516.01</v>
      </c>
      <c r="R125" s="11" t="str">
        <f t="shared" si="19"/>
        <v/>
      </c>
      <c r="S125" s="11" t="str">
        <f t="shared" si="20"/>
        <v/>
      </c>
      <c r="T125" s="12" t="str">
        <f t="shared" si="21"/>
        <v/>
      </c>
      <c r="U125" s="11">
        <f t="shared" si="29"/>
        <v>82516.01</v>
      </c>
      <c r="V125" s="11">
        <f t="shared" si="30"/>
        <v>0</v>
      </c>
      <c r="W125" s="11">
        <f t="shared" si="31"/>
        <v>0</v>
      </c>
      <c r="X125" s="11">
        <f t="shared" si="32"/>
        <v>0</v>
      </c>
      <c r="Y125" s="11" t="str">
        <f t="shared" si="22"/>
        <v/>
      </c>
      <c r="Z125" s="13">
        <f t="shared" si="33"/>
        <v>46247</v>
      </c>
      <c r="AA125" s="10" t="str">
        <f t="shared" si="34"/>
        <v>正常</v>
      </c>
      <c r="AB125" s="14">
        <f t="shared" si="35"/>
        <v>2.7686</v>
      </c>
    </row>
    <row r="126" ht="23" customHeight="1" spans="1:28">
      <c r="A126" s="15"/>
      <c r="B126" s="16"/>
      <c r="C126" s="17"/>
      <c r="D126" s="18"/>
      <c r="E126" s="19" t="str">
        <f t="shared" si="36"/>
        <v/>
      </c>
      <c r="F126" s="18"/>
      <c r="G126" s="20" t="str">
        <f t="shared" si="37"/>
        <v/>
      </c>
      <c r="H126" s="21" t="str">
        <f t="shared" si="38"/>
        <v/>
      </c>
      <c r="I126" s="10" t="str">
        <f>IF(COUNTA(A126:D126,F126)=0,"",IF(NOT(ISNUMBER(A126)),"缺少有效净值日期",IF(OR(A126&lt;=0,A126&lt;&gt;INT(A126)),"净值日期无效",IF(OR(B126="转换转入",B126="现金分红"),"该类型需实际金额，五项录入不适用",IF(NOT(OR(OR(B126="买入",B126="定投"),B126="卖出",B126="红利再投")),"请选择交易类型",IF(NOT(ISNUMBER(C126)),"缺少成交净值",IF(C126&lt;=0,"成交净值须大于零",IF(NOT(ISNUMBER(D126)),"缺少确认份额",IF(D126&lt;=0,"确认份额须大于零",IF(NOT(ISNUMBER(F126)),"缺少手续费，无费用请填 0",IF(F126&lt;0,"手续费不能为负",IF(AA125="错误","前行待修正",IF(A126&lt;Z125,"日期需按成交顺序递增",IF(AND(B126="红利再投",F126&lt;&gt;0),"红利再投手续费应填 0",IF(AND(B126="红利再投",K125&lt;=0),"红利再投前须有持仓",IF(AND(B126="卖出",D126&gt;K125+0.000001),"卖出份额超过持仓",IF(AND(B126="卖出",F126&gt;=C126*D126),"赎回费不能达到赎回总额",IF(NOT(ISNUMBER(E126)),"自动金额未生成，请检查五项输入",IF(NOT(OR(持仓总览!$C$7="利润优先",持仓总览!$C$7="本金优先")),"请选择卖出分配模式","已计入")))))))))))))))))))</f>
        <v/>
      </c>
      <c r="J126" s="11">
        <f t="shared" si="18"/>
        <v>0</v>
      </c>
      <c r="K126" s="11">
        <f t="shared" si="23"/>
        <v>34284.43</v>
      </c>
      <c r="L126" s="11" t="str">
        <f t="shared" si="24"/>
        <v/>
      </c>
      <c r="M126" s="11" t="str">
        <f t="shared" si="25"/>
        <v/>
      </c>
      <c r="N126" s="11" t="str">
        <f>IF(I126="已计入",IF(AND(B126="卖出",持仓总览!$C$7="本金优先"),MAX(0,E126-Q125),IF(OR(B126="卖出",B126="现金分红"),MIN(E126,M126),0)),"")</f>
        <v/>
      </c>
      <c r="O126" s="11" t="str">
        <f t="shared" si="26"/>
        <v/>
      </c>
      <c r="P126" s="11" t="str">
        <f t="shared" si="27"/>
        <v/>
      </c>
      <c r="Q126" s="11">
        <f t="shared" si="28"/>
        <v>82516.01</v>
      </c>
      <c r="R126" s="11" t="str">
        <f t="shared" si="19"/>
        <v/>
      </c>
      <c r="S126" s="11" t="str">
        <f t="shared" si="20"/>
        <v/>
      </c>
      <c r="T126" s="12" t="str">
        <f t="shared" si="21"/>
        <v/>
      </c>
      <c r="U126" s="11">
        <f t="shared" si="29"/>
        <v>82516.01</v>
      </c>
      <c r="V126" s="11">
        <f t="shared" si="30"/>
        <v>0</v>
      </c>
      <c r="W126" s="11">
        <f t="shared" si="31"/>
        <v>0</v>
      </c>
      <c r="X126" s="11">
        <f t="shared" si="32"/>
        <v>0</v>
      </c>
      <c r="Y126" s="11" t="str">
        <f t="shared" si="22"/>
        <v/>
      </c>
      <c r="Z126" s="13">
        <f t="shared" si="33"/>
        <v>46247</v>
      </c>
      <c r="AA126" s="10" t="str">
        <f t="shared" si="34"/>
        <v>正常</v>
      </c>
      <c r="AB126" s="14">
        <f t="shared" si="35"/>
        <v>2.7686</v>
      </c>
    </row>
    <row r="127" ht="23" customHeight="1" spans="1:28">
      <c r="A127" s="15"/>
      <c r="B127" s="16"/>
      <c r="C127" s="17"/>
      <c r="D127" s="18"/>
      <c r="E127" s="19" t="str">
        <f t="shared" si="36"/>
        <v/>
      </c>
      <c r="F127" s="18"/>
      <c r="G127" s="20" t="str">
        <f t="shared" si="37"/>
        <v/>
      </c>
      <c r="H127" s="21" t="str">
        <f t="shared" si="38"/>
        <v/>
      </c>
      <c r="I127" s="10" t="str">
        <f>IF(COUNTA(A127:D127,F127)=0,"",IF(NOT(ISNUMBER(A127)),"缺少有效净值日期",IF(OR(A127&lt;=0,A127&lt;&gt;INT(A127)),"净值日期无效",IF(OR(B127="转换转入",B127="现金分红"),"该类型需实际金额，五项录入不适用",IF(NOT(OR(OR(B127="买入",B127="定投"),B127="卖出",B127="红利再投")),"请选择交易类型",IF(NOT(ISNUMBER(C127)),"缺少成交净值",IF(C127&lt;=0,"成交净值须大于零",IF(NOT(ISNUMBER(D127)),"缺少确认份额",IF(D127&lt;=0,"确认份额须大于零",IF(NOT(ISNUMBER(F127)),"缺少手续费，无费用请填 0",IF(F127&lt;0,"手续费不能为负",IF(AA126="错误","前行待修正",IF(A127&lt;Z126,"日期需按成交顺序递增",IF(AND(B127="红利再投",F127&lt;&gt;0),"红利再投手续费应填 0",IF(AND(B127="红利再投",K126&lt;=0),"红利再投前须有持仓",IF(AND(B127="卖出",D127&gt;K126+0.000001),"卖出份额超过持仓",IF(AND(B127="卖出",F127&gt;=C127*D127),"赎回费不能达到赎回总额",IF(NOT(ISNUMBER(E127)),"自动金额未生成，请检查五项输入",IF(NOT(OR(持仓总览!$C$7="利润优先",持仓总览!$C$7="本金优先")),"请选择卖出分配模式","已计入")))))))))))))))))))</f>
        <v/>
      </c>
      <c r="J127" s="11">
        <f t="shared" si="18"/>
        <v>0</v>
      </c>
      <c r="K127" s="11">
        <f t="shared" si="23"/>
        <v>34284.43</v>
      </c>
      <c r="L127" s="11" t="str">
        <f t="shared" si="24"/>
        <v/>
      </c>
      <c r="M127" s="11" t="str">
        <f t="shared" si="25"/>
        <v/>
      </c>
      <c r="N127" s="11" t="str">
        <f>IF(I127="已计入",IF(AND(B127="卖出",持仓总览!$C$7="本金优先"),MAX(0,E127-Q126),IF(OR(B127="卖出",B127="现金分红"),MIN(E127,M127),0)),"")</f>
        <v/>
      </c>
      <c r="O127" s="11" t="str">
        <f t="shared" si="26"/>
        <v/>
      </c>
      <c r="P127" s="11" t="str">
        <f t="shared" si="27"/>
        <v/>
      </c>
      <c r="Q127" s="11">
        <f t="shared" si="28"/>
        <v>82516.01</v>
      </c>
      <c r="R127" s="11" t="str">
        <f t="shared" si="19"/>
        <v/>
      </c>
      <c r="S127" s="11" t="str">
        <f t="shared" si="20"/>
        <v/>
      </c>
      <c r="T127" s="12" t="str">
        <f t="shared" si="21"/>
        <v/>
      </c>
      <c r="U127" s="11">
        <f t="shared" si="29"/>
        <v>82516.01</v>
      </c>
      <c r="V127" s="11">
        <f t="shared" si="30"/>
        <v>0</v>
      </c>
      <c r="W127" s="11">
        <f t="shared" si="31"/>
        <v>0</v>
      </c>
      <c r="X127" s="11">
        <f t="shared" si="32"/>
        <v>0</v>
      </c>
      <c r="Y127" s="11" t="str">
        <f t="shared" si="22"/>
        <v/>
      </c>
      <c r="Z127" s="13">
        <f t="shared" si="33"/>
        <v>46247</v>
      </c>
      <c r="AA127" s="10" t="str">
        <f t="shared" si="34"/>
        <v>正常</v>
      </c>
      <c r="AB127" s="14">
        <f t="shared" si="35"/>
        <v>2.7686</v>
      </c>
    </row>
    <row r="128" ht="23" customHeight="1" spans="1:28">
      <c r="A128" s="15"/>
      <c r="B128" s="16"/>
      <c r="C128" s="17"/>
      <c r="D128" s="18"/>
      <c r="E128" s="19" t="str">
        <f t="shared" si="36"/>
        <v/>
      </c>
      <c r="F128" s="18"/>
      <c r="G128" s="20" t="str">
        <f t="shared" si="37"/>
        <v/>
      </c>
      <c r="H128" s="21" t="str">
        <f t="shared" si="38"/>
        <v/>
      </c>
      <c r="I128" s="10" t="str">
        <f>IF(COUNTA(A128:D128,F128)=0,"",IF(NOT(ISNUMBER(A128)),"缺少有效净值日期",IF(OR(A128&lt;=0,A128&lt;&gt;INT(A128)),"净值日期无效",IF(OR(B128="转换转入",B128="现金分红"),"该类型需实际金额，五项录入不适用",IF(NOT(OR(OR(B128="买入",B128="定投"),B128="卖出",B128="红利再投")),"请选择交易类型",IF(NOT(ISNUMBER(C128)),"缺少成交净值",IF(C128&lt;=0,"成交净值须大于零",IF(NOT(ISNUMBER(D128)),"缺少确认份额",IF(D128&lt;=0,"确认份额须大于零",IF(NOT(ISNUMBER(F128)),"缺少手续费，无费用请填 0",IF(F128&lt;0,"手续费不能为负",IF(AA127="错误","前行待修正",IF(A128&lt;Z127,"日期需按成交顺序递增",IF(AND(B128="红利再投",F128&lt;&gt;0),"红利再投手续费应填 0",IF(AND(B128="红利再投",K127&lt;=0),"红利再投前须有持仓",IF(AND(B128="卖出",D128&gt;K127+0.000001),"卖出份额超过持仓",IF(AND(B128="卖出",F128&gt;=C128*D128),"赎回费不能达到赎回总额",IF(NOT(ISNUMBER(E128)),"自动金额未生成，请检查五项输入",IF(NOT(OR(持仓总览!$C$7="利润优先",持仓总览!$C$7="本金优先")),"请选择卖出分配模式","已计入")))))))))))))))))))</f>
        <v/>
      </c>
      <c r="J128" s="11">
        <f t="shared" si="18"/>
        <v>0</v>
      </c>
      <c r="K128" s="11">
        <f t="shared" si="23"/>
        <v>34284.43</v>
      </c>
      <c r="L128" s="11" t="str">
        <f t="shared" si="24"/>
        <v/>
      </c>
      <c r="M128" s="11" t="str">
        <f t="shared" si="25"/>
        <v/>
      </c>
      <c r="N128" s="11" t="str">
        <f>IF(I128="已计入",IF(AND(B128="卖出",持仓总览!$C$7="本金优先"),MAX(0,E128-Q127),IF(OR(B128="卖出",B128="现金分红"),MIN(E128,M128),0)),"")</f>
        <v/>
      </c>
      <c r="O128" s="11" t="str">
        <f t="shared" si="26"/>
        <v/>
      </c>
      <c r="P128" s="11" t="str">
        <f t="shared" si="27"/>
        <v/>
      </c>
      <c r="Q128" s="11">
        <f t="shared" si="28"/>
        <v>82516.01</v>
      </c>
      <c r="R128" s="11" t="str">
        <f t="shared" si="19"/>
        <v/>
      </c>
      <c r="S128" s="11" t="str">
        <f t="shared" si="20"/>
        <v/>
      </c>
      <c r="T128" s="12" t="str">
        <f t="shared" si="21"/>
        <v/>
      </c>
      <c r="U128" s="11">
        <f t="shared" si="29"/>
        <v>82516.01</v>
      </c>
      <c r="V128" s="11">
        <f t="shared" si="30"/>
        <v>0</v>
      </c>
      <c r="W128" s="11">
        <f t="shared" si="31"/>
        <v>0</v>
      </c>
      <c r="X128" s="11">
        <f t="shared" si="32"/>
        <v>0</v>
      </c>
      <c r="Y128" s="11" t="str">
        <f t="shared" si="22"/>
        <v/>
      </c>
      <c r="Z128" s="13">
        <f t="shared" si="33"/>
        <v>46247</v>
      </c>
      <c r="AA128" s="10" t="str">
        <f t="shared" si="34"/>
        <v>正常</v>
      </c>
      <c r="AB128" s="14">
        <f t="shared" si="35"/>
        <v>2.7686</v>
      </c>
    </row>
    <row r="129" ht="23" customHeight="1" spans="1:28">
      <c r="A129" s="15"/>
      <c r="B129" s="16"/>
      <c r="C129" s="17"/>
      <c r="D129" s="18"/>
      <c r="E129" s="19" t="str">
        <f t="shared" si="36"/>
        <v/>
      </c>
      <c r="F129" s="18"/>
      <c r="G129" s="20" t="str">
        <f t="shared" si="37"/>
        <v/>
      </c>
      <c r="H129" s="21" t="str">
        <f t="shared" si="38"/>
        <v/>
      </c>
      <c r="I129" s="10" t="str">
        <f>IF(COUNTA(A129:D129,F129)=0,"",IF(NOT(ISNUMBER(A129)),"缺少有效净值日期",IF(OR(A129&lt;=0,A129&lt;&gt;INT(A129)),"净值日期无效",IF(OR(B129="转换转入",B129="现金分红"),"该类型需实际金额，五项录入不适用",IF(NOT(OR(OR(B129="买入",B129="定投"),B129="卖出",B129="红利再投")),"请选择交易类型",IF(NOT(ISNUMBER(C129)),"缺少成交净值",IF(C129&lt;=0,"成交净值须大于零",IF(NOT(ISNUMBER(D129)),"缺少确认份额",IF(D129&lt;=0,"确认份额须大于零",IF(NOT(ISNUMBER(F129)),"缺少手续费，无费用请填 0",IF(F129&lt;0,"手续费不能为负",IF(AA128="错误","前行待修正",IF(A129&lt;Z128,"日期需按成交顺序递增",IF(AND(B129="红利再投",F129&lt;&gt;0),"红利再投手续费应填 0",IF(AND(B129="红利再投",K128&lt;=0),"红利再投前须有持仓",IF(AND(B129="卖出",D129&gt;K128+0.000001),"卖出份额超过持仓",IF(AND(B129="卖出",F129&gt;=C129*D129),"赎回费不能达到赎回总额",IF(NOT(ISNUMBER(E129)),"自动金额未生成，请检查五项输入",IF(NOT(OR(持仓总览!$C$7="利润优先",持仓总览!$C$7="本金优先")),"请选择卖出分配模式","已计入")))))))))))))))))))</f>
        <v/>
      </c>
      <c r="J129" s="11">
        <f t="shared" si="18"/>
        <v>0</v>
      </c>
      <c r="K129" s="11">
        <f t="shared" si="23"/>
        <v>34284.43</v>
      </c>
      <c r="L129" s="11" t="str">
        <f t="shared" si="24"/>
        <v/>
      </c>
      <c r="M129" s="11" t="str">
        <f t="shared" si="25"/>
        <v/>
      </c>
      <c r="N129" s="11" t="str">
        <f>IF(I129="已计入",IF(AND(B129="卖出",持仓总览!$C$7="本金优先"),MAX(0,E129-Q128),IF(OR(B129="卖出",B129="现金分红"),MIN(E129,M129),0)),"")</f>
        <v/>
      </c>
      <c r="O129" s="11" t="str">
        <f t="shared" si="26"/>
        <v/>
      </c>
      <c r="P129" s="11" t="str">
        <f t="shared" si="27"/>
        <v/>
      </c>
      <c r="Q129" s="11">
        <f t="shared" si="28"/>
        <v>82516.01</v>
      </c>
      <c r="R129" s="11" t="str">
        <f t="shared" si="19"/>
        <v/>
      </c>
      <c r="S129" s="11" t="str">
        <f t="shared" si="20"/>
        <v/>
      </c>
      <c r="T129" s="12" t="str">
        <f t="shared" si="21"/>
        <v/>
      </c>
      <c r="U129" s="11">
        <f t="shared" si="29"/>
        <v>82516.01</v>
      </c>
      <c r="V129" s="11">
        <f t="shared" si="30"/>
        <v>0</v>
      </c>
      <c r="W129" s="11">
        <f t="shared" si="31"/>
        <v>0</v>
      </c>
      <c r="X129" s="11">
        <f t="shared" si="32"/>
        <v>0</v>
      </c>
      <c r="Y129" s="11" t="str">
        <f t="shared" si="22"/>
        <v/>
      </c>
      <c r="Z129" s="13">
        <f t="shared" si="33"/>
        <v>46247</v>
      </c>
      <c r="AA129" s="10" t="str">
        <f t="shared" si="34"/>
        <v>正常</v>
      </c>
      <c r="AB129" s="14">
        <f t="shared" si="35"/>
        <v>2.7686</v>
      </c>
    </row>
    <row r="130" ht="23" customHeight="1" spans="1:28">
      <c r="A130" s="15"/>
      <c r="B130" s="16"/>
      <c r="C130" s="17"/>
      <c r="D130" s="18"/>
      <c r="E130" s="19" t="str">
        <f t="shared" si="36"/>
        <v/>
      </c>
      <c r="F130" s="18"/>
      <c r="G130" s="20" t="str">
        <f t="shared" si="37"/>
        <v/>
      </c>
      <c r="H130" s="21" t="str">
        <f t="shared" si="38"/>
        <v/>
      </c>
      <c r="I130" s="10" t="str">
        <f>IF(COUNTA(A130:D130,F130)=0,"",IF(NOT(ISNUMBER(A130)),"缺少有效净值日期",IF(OR(A130&lt;=0,A130&lt;&gt;INT(A130)),"净值日期无效",IF(OR(B130="转换转入",B130="现金分红"),"该类型需实际金额，五项录入不适用",IF(NOT(OR(OR(B130="买入",B130="定投"),B130="卖出",B130="红利再投")),"请选择交易类型",IF(NOT(ISNUMBER(C130)),"缺少成交净值",IF(C130&lt;=0,"成交净值须大于零",IF(NOT(ISNUMBER(D130)),"缺少确认份额",IF(D130&lt;=0,"确认份额须大于零",IF(NOT(ISNUMBER(F130)),"缺少手续费，无费用请填 0",IF(F130&lt;0,"手续费不能为负",IF(AA129="错误","前行待修正",IF(A130&lt;Z129,"日期需按成交顺序递增",IF(AND(B130="红利再投",F130&lt;&gt;0),"红利再投手续费应填 0",IF(AND(B130="红利再投",K129&lt;=0),"红利再投前须有持仓",IF(AND(B130="卖出",D130&gt;K129+0.000001),"卖出份额超过持仓",IF(AND(B130="卖出",F130&gt;=C130*D130),"赎回费不能达到赎回总额",IF(NOT(ISNUMBER(E130)),"自动金额未生成，请检查五项输入",IF(NOT(OR(持仓总览!$C$7="利润优先",持仓总览!$C$7="本金优先")),"请选择卖出分配模式","已计入")))))))))))))))))))</f>
        <v/>
      </c>
      <c r="J130" s="11">
        <f t="shared" si="18"/>
        <v>0</v>
      </c>
      <c r="K130" s="11">
        <f t="shared" si="23"/>
        <v>34284.43</v>
      </c>
      <c r="L130" s="11" t="str">
        <f t="shared" si="24"/>
        <v/>
      </c>
      <c r="M130" s="11" t="str">
        <f t="shared" si="25"/>
        <v/>
      </c>
      <c r="N130" s="11" t="str">
        <f>IF(I130="已计入",IF(AND(B130="卖出",持仓总览!$C$7="本金优先"),MAX(0,E130-Q129),IF(OR(B130="卖出",B130="现金分红"),MIN(E130,M130),0)),"")</f>
        <v/>
      </c>
      <c r="O130" s="11" t="str">
        <f t="shared" si="26"/>
        <v/>
      </c>
      <c r="P130" s="11" t="str">
        <f t="shared" si="27"/>
        <v/>
      </c>
      <c r="Q130" s="11">
        <f t="shared" si="28"/>
        <v>82516.01</v>
      </c>
      <c r="R130" s="11" t="str">
        <f t="shared" si="19"/>
        <v/>
      </c>
      <c r="S130" s="11" t="str">
        <f t="shared" si="20"/>
        <v/>
      </c>
      <c r="T130" s="12" t="str">
        <f t="shared" si="21"/>
        <v/>
      </c>
      <c r="U130" s="11">
        <f t="shared" si="29"/>
        <v>82516.01</v>
      </c>
      <c r="V130" s="11">
        <f t="shared" si="30"/>
        <v>0</v>
      </c>
      <c r="W130" s="11">
        <f t="shared" si="31"/>
        <v>0</v>
      </c>
      <c r="X130" s="11">
        <f t="shared" si="32"/>
        <v>0</v>
      </c>
      <c r="Y130" s="11" t="str">
        <f t="shared" si="22"/>
        <v/>
      </c>
      <c r="Z130" s="13">
        <f t="shared" si="33"/>
        <v>46247</v>
      </c>
      <c r="AA130" s="10" t="str">
        <f t="shared" si="34"/>
        <v>正常</v>
      </c>
      <c r="AB130" s="14">
        <f t="shared" si="35"/>
        <v>2.7686</v>
      </c>
    </row>
    <row r="131" ht="23" customHeight="1" spans="1:28">
      <c r="A131" s="15"/>
      <c r="B131" s="16"/>
      <c r="C131" s="17"/>
      <c r="D131" s="18"/>
      <c r="E131" s="19" t="str">
        <f t="shared" si="36"/>
        <v/>
      </c>
      <c r="F131" s="18"/>
      <c r="G131" s="20" t="str">
        <f t="shared" si="37"/>
        <v/>
      </c>
      <c r="H131" s="21" t="str">
        <f t="shared" si="38"/>
        <v/>
      </c>
      <c r="I131" s="10" t="str">
        <f>IF(COUNTA(A131:D131,F131)=0,"",IF(NOT(ISNUMBER(A131)),"缺少有效净值日期",IF(OR(A131&lt;=0,A131&lt;&gt;INT(A131)),"净值日期无效",IF(OR(B131="转换转入",B131="现金分红"),"该类型需实际金额，五项录入不适用",IF(NOT(OR(OR(B131="买入",B131="定投"),B131="卖出",B131="红利再投")),"请选择交易类型",IF(NOT(ISNUMBER(C131)),"缺少成交净值",IF(C131&lt;=0,"成交净值须大于零",IF(NOT(ISNUMBER(D131)),"缺少确认份额",IF(D131&lt;=0,"确认份额须大于零",IF(NOT(ISNUMBER(F131)),"缺少手续费，无费用请填 0",IF(F131&lt;0,"手续费不能为负",IF(AA130="错误","前行待修正",IF(A131&lt;Z130,"日期需按成交顺序递增",IF(AND(B131="红利再投",F131&lt;&gt;0),"红利再投手续费应填 0",IF(AND(B131="红利再投",K130&lt;=0),"红利再投前须有持仓",IF(AND(B131="卖出",D131&gt;K130+0.000001),"卖出份额超过持仓",IF(AND(B131="卖出",F131&gt;=C131*D131),"赎回费不能达到赎回总额",IF(NOT(ISNUMBER(E131)),"自动金额未生成，请检查五项输入",IF(NOT(OR(持仓总览!$C$7="利润优先",持仓总览!$C$7="本金优先")),"请选择卖出分配模式","已计入")))))))))))))))))))</f>
        <v/>
      </c>
      <c r="J131" s="11">
        <f t="shared" si="18"/>
        <v>0</v>
      </c>
      <c r="K131" s="11">
        <f t="shared" si="23"/>
        <v>34284.43</v>
      </c>
      <c r="L131" s="11" t="str">
        <f t="shared" si="24"/>
        <v/>
      </c>
      <c r="M131" s="11" t="str">
        <f t="shared" si="25"/>
        <v/>
      </c>
      <c r="N131" s="11" t="str">
        <f>IF(I131="已计入",IF(AND(B131="卖出",持仓总览!$C$7="本金优先"),MAX(0,E131-Q130),IF(OR(B131="卖出",B131="现金分红"),MIN(E131,M131),0)),"")</f>
        <v/>
      </c>
      <c r="O131" s="11" t="str">
        <f t="shared" si="26"/>
        <v/>
      </c>
      <c r="P131" s="11" t="str">
        <f t="shared" si="27"/>
        <v/>
      </c>
      <c r="Q131" s="11">
        <f t="shared" si="28"/>
        <v>82516.01</v>
      </c>
      <c r="R131" s="11" t="str">
        <f t="shared" si="19"/>
        <v/>
      </c>
      <c r="S131" s="11" t="str">
        <f t="shared" si="20"/>
        <v/>
      </c>
      <c r="T131" s="12" t="str">
        <f t="shared" si="21"/>
        <v/>
      </c>
      <c r="U131" s="11">
        <f t="shared" si="29"/>
        <v>82516.01</v>
      </c>
      <c r="V131" s="11">
        <f t="shared" si="30"/>
        <v>0</v>
      </c>
      <c r="W131" s="11">
        <f t="shared" si="31"/>
        <v>0</v>
      </c>
      <c r="X131" s="11">
        <f t="shared" si="32"/>
        <v>0</v>
      </c>
      <c r="Y131" s="11" t="str">
        <f t="shared" si="22"/>
        <v/>
      </c>
      <c r="Z131" s="13">
        <f t="shared" si="33"/>
        <v>46247</v>
      </c>
      <c r="AA131" s="10" t="str">
        <f t="shared" si="34"/>
        <v>正常</v>
      </c>
      <c r="AB131" s="14">
        <f t="shared" si="35"/>
        <v>2.7686</v>
      </c>
    </row>
    <row r="132" ht="23" customHeight="1" spans="1:28">
      <c r="A132" s="15"/>
      <c r="B132" s="16"/>
      <c r="C132" s="17"/>
      <c r="D132" s="18"/>
      <c r="E132" s="19" t="str">
        <f t="shared" si="36"/>
        <v/>
      </c>
      <c r="F132" s="18"/>
      <c r="G132" s="20" t="str">
        <f t="shared" si="37"/>
        <v/>
      </c>
      <c r="H132" s="21" t="str">
        <f t="shared" si="38"/>
        <v/>
      </c>
      <c r="I132" s="10" t="str">
        <f>IF(COUNTA(A132:D132,F132)=0,"",IF(NOT(ISNUMBER(A132)),"缺少有效净值日期",IF(OR(A132&lt;=0,A132&lt;&gt;INT(A132)),"净值日期无效",IF(OR(B132="转换转入",B132="现金分红"),"该类型需实际金额，五项录入不适用",IF(NOT(OR(OR(B132="买入",B132="定投"),B132="卖出",B132="红利再投")),"请选择交易类型",IF(NOT(ISNUMBER(C132)),"缺少成交净值",IF(C132&lt;=0,"成交净值须大于零",IF(NOT(ISNUMBER(D132)),"缺少确认份额",IF(D132&lt;=0,"确认份额须大于零",IF(NOT(ISNUMBER(F132)),"缺少手续费，无费用请填 0",IF(F132&lt;0,"手续费不能为负",IF(AA131="错误","前行待修正",IF(A132&lt;Z131,"日期需按成交顺序递增",IF(AND(B132="红利再投",F132&lt;&gt;0),"红利再投手续费应填 0",IF(AND(B132="红利再投",K131&lt;=0),"红利再投前须有持仓",IF(AND(B132="卖出",D132&gt;K131+0.000001),"卖出份额超过持仓",IF(AND(B132="卖出",F132&gt;=C132*D132),"赎回费不能达到赎回总额",IF(NOT(ISNUMBER(E132)),"自动金额未生成，请检查五项输入",IF(NOT(OR(持仓总览!$C$7="利润优先",持仓总览!$C$7="本金优先")),"请选择卖出分配模式","已计入")))))))))))))))))))</f>
        <v/>
      </c>
      <c r="J132" s="11">
        <f t="shared" si="18"/>
        <v>0</v>
      </c>
      <c r="K132" s="11">
        <f t="shared" si="23"/>
        <v>34284.43</v>
      </c>
      <c r="L132" s="11" t="str">
        <f t="shared" si="24"/>
        <v/>
      </c>
      <c r="M132" s="11" t="str">
        <f t="shared" si="25"/>
        <v/>
      </c>
      <c r="N132" s="11" t="str">
        <f>IF(I132="已计入",IF(AND(B132="卖出",持仓总览!$C$7="本金优先"),MAX(0,E132-Q131),IF(OR(B132="卖出",B132="现金分红"),MIN(E132,M132),0)),"")</f>
        <v/>
      </c>
      <c r="O132" s="11" t="str">
        <f t="shared" si="26"/>
        <v/>
      </c>
      <c r="P132" s="11" t="str">
        <f t="shared" si="27"/>
        <v/>
      </c>
      <c r="Q132" s="11">
        <f t="shared" si="28"/>
        <v>82516.01</v>
      </c>
      <c r="R132" s="11" t="str">
        <f t="shared" si="19"/>
        <v/>
      </c>
      <c r="S132" s="11" t="str">
        <f t="shared" si="20"/>
        <v/>
      </c>
      <c r="T132" s="12" t="str">
        <f t="shared" si="21"/>
        <v/>
      </c>
      <c r="U132" s="11">
        <f t="shared" si="29"/>
        <v>82516.01</v>
      </c>
      <c r="V132" s="11">
        <f t="shared" si="30"/>
        <v>0</v>
      </c>
      <c r="W132" s="11">
        <f t="shared" si="31"/>
        <v>0</v>
      </c>
      <c r="X132" s="11">
        <f t="shared" si="32"/>
        <v>0</v>
      </c>
      <c r="Y132" s="11" t="str">
        <f t="shared" si="22"/>
        <v/>
      </c>
      <c r="Z132" s="13">
        <f t="shared" si="33"/>
        <v>46247</v>
      </c>
      <c r="AA132" s="10" t="str">
        <f t="shared" si="34"/>
        <v>正常</v>
      </c>
      <c r="AB132" s="14">
        <f t="shared" si="35"/>
        <v>2.7686</v>
      </c>
    </row>
    <row r="133" ht="23" customHeight="1" spans="1:28">
      <c r="A133" s="15"/>
      <c r="B133" s="16"/>
      <c r="C133" s="17"/>
      <c r="D133" s="18"/>
      <c r="E133" s="19" t="str">
        <f t="shared" si="36"/>
        <v/>
      </c>
      <c r="F133" s="18"/>
      <c r="G133" s="20" t="str">
        <f t="shared" si="37"/>
        <v/>
      </c>
      <c r="H133" s="21" t="str">
        <f t="shared" si="38"/>
        <v/>
      </c>
      <c r="I133" s="10" t="str">
        <f>IF(COUNTA(A133:D133,F133)=0,"",IF(NOT(ISNUMBER(A133)),"缺少有效净值日期",IF(OR(A133&lt;=0,A133&lt;&gt;INT(A133)),"净值日期无效",IF(OR(B133="转换转入",B133="现金分红"),"该类型需实际金额，五项录入不适用",IF(NOT(OR(OR(B133="买入",B133="定投"),B133="卖出",B133="红利再投")),"请选择交易类型",IF(NOT(ISNUMBER(C133)),"缺少成交净值",IF(C133&lt;=0,"成交净值须大于零",IF(NOT(ISNUMBER(D133)),"缺少确认份额",IF(D133&lt;=0,"确认份额须大于零",IF(NOT(ISNUMBER(F133)),"缺少手续费，无费用请填 0",IF(F133&lt;0,"手续费不能为负",IF(AA132="错误","前行待修正",IF(A133&lt;Z132,"日期需按成交顺序递增",IF(AND(B133="红利再投",F133&lt;&gt;0),"红利再投手续费应填 0",IF(AND(B133="红利再投",K132&lt;=0),"红利再投前须有持仓",IF(AND(B133="卖出",D133&gt;K132+0.000001),"卖出份额超过持仓",IF(AND(B133="卖出",F133&gt;=C133*D133),"赎回费不能达到赎回总额",IF(NOT(ISNUMBER(E133)),"自动金额未生成，请检查五项输入",IF(NOT(OR(持仓总览!$C$7="利润优先",持仓总览!$C$7="本金优先")),"请选择卖出分配模式","已计入")))))))))))))))))))</f>
        <v/>
      </c>
      <c r="J133" s="11">
        <f t="shared" si="18"/>
        <v>0</v>
      </c>
      <c r="K133" s="11">
        <f t="shared" si="23"/>
        <v>34284.43</v>
      </c>
      <c r="L133" s="11" t="str">
        <f t="shared" si="24"/>
        <v/>
      </c>
      <c r="M133" s="11" t="str">
        <f t="shared" si="25"/>
        <v/>
      </c>
      <c r="N133" s="11" t="str">
        <f>IF(I133="已计入",IF(AND(B133="卖出",持仓总览!$C$7="本金优先"),MAX(0,E133-Q132),IF(OR(B133="卖出",B133="现金分红"),MIN(E133,M133),0)),"")</f>
        <v/>
      </c>
      <c r="O133" s="11" t="str">
        <f t="shared" si="26"/>
        <v/>
      </c>
      <c r="P133" s="11" t="str">
        <f t="shared" si="27"/>
        <v/>
      </c>
      <c r="Q133" s="11">
        <f t="shared" si="28"/>
        <v>82516.01</v>
      </c>
      <c r="R133" s="11" t="str">
        <f t="shared" si="19"/>
        <v/>
      </c>
      <c r="S133" s="11" t="str">
        <f t="shared" si="20"/>
        <v/>
      </c>
      <c r="T133" s="12" t="str">
        <f t="shared" si="21"/>
        <v/>
      </c>
      <c r="U133" s="11">
        <f t="shared" si="29"/>
        <v>82516.01</v>
      </c>
      <c r="V133" s="11">
        <f t="shared" si="30"/>
        <v>0</v>
      </c>
      <c r="W133" s="11">
        <f t="shared" si="31"/>
        <v>0</v>
      </c>
      <c r="X133" s="11">
        <f t="shared" si="32"/>
        <v>0</v>
      </c>
      <c r="Y133" s="11" t="str">
        <f t="shared" si="22"/>
        <v/>
      </c>
      <c r="Z133" s="13">
        <f t="shared" si="33"/>
        <v>46247</v>
      </c>
      <c r="AA133" s="10" t="str">
        <f t="shared" si="34"/>
        <v>正常</v>
      </c>
      <c r="AB133" s="14">
        <f t="shared" si="35"/>
        <v>2.7686</v>
      </c>
    </row>
    <row r="134" ht="23" customHeight="1" spans="1:28">
      <c r="A134" s="15"/>
      <c r="B134" s="16"/>
      <c r="C134" s="17"/>
      <c r="D134" s="18"/>
      <c r="E134" s="19" t="str">
        <f t="shared" si="36"/>
        <v/>
      </c>
      <c r="F134" s="18"/>
      <c r="G134" s="20" t="str">
        <f t="shared" si="37"/>
        <v/>
      </c>
      <c r="H134" s="21" t="str">
        <f t="shared" si="38"/>
        <v/>
      </c>
      <c r="I134" s="10" t="str">
        <f>IF(COUNTA(A134:D134,F134)=0,"",IF(NOT(ISNUMBER(A134)),"缺少有效净值日期",IF(OR(A134&lt;=0,A134&lt;&gt;INT(A134)),"净值日期无效",IF(OR(B134="转换转入",B134="现金分红"),"该类型需实际金额，五项录入不适用",IF(NOT(OR(OR(B134="买入",B134="定投"),B134="卖出",B134="红利再投")),"请选择交易类型",IF(NOT(ISNUMBER(C134)),"缺少成交净值",IF(C134&lt;=0,"成交净值须大于零",IF(NOT(ISNUMBER(D134)),"缺少确认份额",IF(D134&lt;=0,"确认份额须大于零",IF(NOT(ISNUMBER(F134)),"缺少手续费，无费用请填 0",IF(F134&lt;0,"手续费不能为负",IF(AA133="错误","前行待修正",IF(A134&lt;Z133,"日期需按成交顺序递增",IF(AND(B134="红利再投",F134&lt;&gt;0),"红利再投手续费应填 0",IF(AND(B134="红利再投",K133&lt;=0),"红利再投前须有持仓",IF(AND(B134="卖出",D134&gt;K133+0.000001),"卖出份额超过持仓",IF(AND(B134="卖出",F134&gt;=C134*D134),"赎回费不能达到赎回总额",IF(NOT(ISNUMBER(E134)),"自动金额未生成，请检查五项输入",IF(NOT(OR(持仓总览!$C$7="利润优先",持仓总览!$C$7="本金优先")),"请选择卖出分配模式","已计入")))))))))))))))))))</f>
        <v/>
      </c>
      <c r="J134" s="11">
        <f t="shared" si="18"/>
        <v>0</v>
      </c>
      <c r="K134" s="11">
        <f t="shared" si="23"/>
        <v>34284.43</v>
      </c>
      <c r="L134" s="11" t="str">
        <f t="shared" si="24"/>
        <v/>
      </c>
      <c r="M134" s="11" t="str">
        <f t="shared" si="25"/>
        <v/>
      </c>
      <c r="N134" s="11" t="str">
        <f>IF(I134="已计入",IF(AND(B134="卖出",持仓总览!$C$7="本金优先"),MAX(0,E134-Q133),IF(OR(B134="卖出",B134="现金分红"),MIN(E134,M134),0)),"")</f>
        <v/>
      </c>
      <c r="O134" s="11" t="str">
        <f t="shared" si="26"/>
        <v/>
      </c>
      <c r="P134" s="11" t="str">
        <f t="shared" si="27"/>
        <v/>
      </c>
      <c r="Q134" s="11">
        <f t="shared" si="28"/>
        <v>82516.01</v>
      </c>
      <c r="R134" s="11" t="str">
        <f t="shared" si="19"/>
        <v/>
      </c>
      <c r="S134" s="11" t="str">
        <f t="shared" si="20"/>
        <v/>
      </c>
      <c r="T134" s="12" t="str">
        <f t="shared" si="21"/>
        <v/>
      </c>
      <c r="U134" s="11">
        <f t="shared" si="29"/>
        <v>82516.01</v>
      </c>
      <c r="V134" s="11">
        <f t="shared" si="30"/>
        <v>0</v>
      </c>
      <c r="W134" s="11">
        <f t="shared" si="31"/>
        <v>0</v>
      </c>
      <c r="X134" s="11">
        <f t="shared" si="32"/>
        <v>0</v>
      </c>
      <c r="Y134" s="11" t="str">
        <f t="shared" si="22"/>
        <v/>
      </c>
      <c r="Z134" s="13">
        <f t="shared" si="33"/>
        <v>46247</v>
      </c>
      <c r="AA134" s="10" t="str">
        <f t="shared" si="34"/>
        <v>正常</v>
      </c>
      <c r="AB134" s="14">
        <f t="shared" si="35"/>
        <v>2.7686</v>
      </c>
    </row>
    <row r="135" ht="23" customHeight="1" spans="1:28">
      <c r="A135" s="15"/>
      <c r="B135" s="16"/>
      <c r="C135" s="17"/>
      <c r="D135" s="18"/>
      <c r="E135" s="19" t="str">
        <f t="shared" si="36"/>
        <v/>
      </c>
      <c r="F135" s="18"/>
      <c r="G135" s="20" t="str">
        <f t="shared" si="37"/>
        <v/>
      </c>
      <c r="H135" s="21" t="str">
        <f t="shared" si="38"/>
        <v/>
      </c>
      <c r="I135" s="10" t="str">
        <f>IF(COUNTA(A135:D135,F135)=0,"",IF(NOT(ISNUMBER(A135)),"缺少有效净值日期",IF(OR(A135&lt;=0,A135&lt;&gt;INT(A135)),"净值日期无效",IF(OR(B135="转换转入",B135="现金分红"),"该类型需实际金额，五项录入不适用",IF(NOT(OR(OR(B135="买入",B135="定投"),B135="卖出",B135="红利再投")),"请选择交易类型",IF(NOT(ISNUMBER(C135)),"缺少成交净值",IF(C135&lt;=0,"成交净值须大于零",IF(NOT(ISNUMBER(D135)),"缺少确认份额",IF(D135&lt;=0,"确认份额须大于零",IF(NOT(ISNUMBER(F135)),"缺少手续费，无费用请填 0",IF(F135&lt;0,"手续费不能为负",IF(AA134="错误","前行待修正",IF(A135&lt;Z134,"日期需按成交顺序递增",IF(AND(B135="红利再投",F135&lt;&gt;0),"红利再投手续费应填 0",IF(AND(B135="红利再投",K134&lt;=0),"红利再投前须有持仓",IF(AND(B135="卖出",D135&gt;K134+0.000001),"卖出份额超过持仓",IF(AND(B135="卖出",F135&gt;=C135*D135),"赎回费不能达到赎回总额",IF(NOT(ISNUMBER(E135)),"自动金额未生成，请检查五项输入",IF(NOT(OR(持仓总览!$C$7="利润优先",持仓总览!$C$7="本金优先")),"请选择卖出分配模式","已计入")))))))))))))))))))</f>
        <v/>
      </c>
      <c r="J135" s="11">
        <f t="shared" ref="J135:J198" si="39">IF(AA135="正常",IF(I135="已计入",IF(OR(OR(B135="买入",B135="定投",B135="转换转入"),B135="红利再投"),D135,IF(B135="卖出",-D135,0)),0),"")</f>
        <v>0</v>
      </c>
      <c r="K135" s="11">
        <f t="shared" si="23"/>
        <v>34284.43</v>
      </c>
      <c r="L135" s="11" t="str">
        <f t="shared" si="24"/>
        <v/>
      </c>
      <c r="M135" s="11" t="str">
        <f t="shared" si="25"/>
        <v/>
      </c>
      <c r="N135" s="11" t="str">
        <f>IF(I135="已计入",IF(AND(B135="卖出",持仓总览!$C$7="本金优先"),MAX(0,E135-Q134),IF(OR(B135="卖出",B135="现金分红"),MIN(E135,M135),0)),"")</f>
        <v/>
      </c>
      <c r="O135" s="11" t="str">
        <f t="shared" si="26"/>
        <v/>
      </c>
      <c r="P135" s="11" t="str">
        <f t="shared" si="27"/>
        <v/>
      </c>
      <c r="Q135" s="11">
        <f t="shared" si="28"/>
        <v>82516.01</v>
      </c>
      <c r="R135" s="11" t="str">
        <f t="shared" ref="R135:R198" si="40">IF(I135="已计入",ROUND(K135*C135,2),"")</f>
        <v/>
      </c>
      <c r="S135" s="11" t="str">
        <f t="shared" ref="S135:S198" si="41">IF(I135="已计入",ROUND(R135-Q135,2),"")</f>
        <v/>
      </c>
      <c r="T135" s="12" t="str">
        <f t="shared" ref="T135:T198" si="42">IF(I135="已计入",IF(Q135=0,"",S135/Q135),"")</f>
        <v/>
      </c>
      <c r="U135" s="11">
        <f t="shared" si="29"/>
        <v>82516.01</v>
      </c>
      <c r="V135" s="11">
        <f t="shared" si="30"/>
        <v>0</v>
      </c>
      <c r="W135" s="11">
        <f t="shared" si="31"/>
        <v>0</v>
      </c>
      <c r="X135" s="11">
        <f t="shared" si="32"/>
        <v>0</v>
      </c>
      <c r="Y135" s="11" t="str">
        <f t="shared" ref="Y135:Y198" si="43">IF(I135="已计入",ROUND(R135+V135-U135,2),"")</f>
        <v/>
      </c>
      <c r="Z135" s="13">
        <f t="shared" si="33"/>
        <v>46247</v>
      </c>
      <c r="AA135" s="10" t="str">
        <f t="shared" si="34"/>
        <v>正常</v>
      </c>
      <c r="AB135" s="14">
        <f t="shared" si="35"/>
        <v>2.7686</v>
      </c>
    </row>
    <row r="136" ht="23" customHeight="1" spans="1:28">
      <c r="A136" s="15"/>
      <c r="B136" s="16"/>
      <c r="C136" s="17"/>
      <c r="D136" s="18"/>
      <c r="E136" s="19" t="str">
        <f t="shared" si="36"/>
        <v/>
      </c>
      <c r="F136" s="18"/>
      <c r="G136" s="20" t="str">
        <f t="shared" si="37"/>
        <v/>
      </c>
      <c r="H136" s="21" t="str">
        <f t="shared" si="38"/>
        <v/>
      </c>
      <c r="I136" s="10" t="str">
        <f>IF(COUNTA(A136:D136,F136)=0,"",IF(NOT(ISNUMBER(A136)),"缺少有效净值日期",IF(OR(A136&lt;=0,A136&lt;&gt;INT(A136)),"净值日期无效",IF(OR(B136="转换转入",B136="现金分红"),"该类型需实际金额，五项录入不适用",IF(NOT(OR(OR(B136="买入",B136="定投"),B136="卖出",B136="红利再投")),"请选择交易类型",IF(NOT(ISNUMBER(C136)),"缺少成交净值",IF(C136&lt;=0,"成交净值须大于零",IF(NOT(ISNUMBER(D136)),"缺少确认份额",IF(D136&lt;=0,"确认份额须大于零",IF(NOT(ISNUMBER(F136)),"缺少手续费，无费用请填 0",IF(F136&lt;0,"手续费不能为负",IF(AA135="错误","前行待修正",IF(A136&lt;Z135,"日期需按成交顺序递增",IF(AND(B136="红利再投",F136&lt;&gt;0),"红利再投手续费应填 0",IF(AND(B136="红利再投",K135&lt;=0),"红利再投前须有持仓",IF(AND(B136="卖出",D136&gt;K135+0.000001),"卖出份额超过持仓",IF(AND(B136="卖出",F136&gt;=C136*D136),"赎回费不能达到赎回总额",IF(NOT(ISNUMBER(E136)),"自动金额未生成，请检查五项输入",IF(NOT(OR(持仓总览!$C$7="利润优先",持仓总览!$C$7="本金优先")),"请选择卖出分配模式","已计入")))))))))))))))))))</f>
        <v/>
      </c>
      <c r="J136" s="11">
        <f t="shared" si="39"/>
        <v>0</v>
      </c>
      <c r="K136" s="11">
        <f t="shared" ref="K136:K199" si="44">IF(AA136="正常",ROUND(K135+J136,6),"")</f>
        <v>34284.43</v>
      </c>
      <c r="L136" s="11" t="str">
        <f t="shared" ref="L136:L199" si="45">IF(I136="已计入",ROUND(K135*C136,2),"")</f>
        <v/>
      </c>
      <c r="M136" s="11" t="str">
        <f t="shared" ref="M136:M199" si="46">IF(I136="已计入",IF(B136="卖出",MAX(0,L136-Q135-F136),IF(B136="现金分红",MAX(0,L136+E136-Q135),0)),"")</f>
        <v/>
      </c>
      <c r="N136" s="11" t="str">
        <f>IF(I136="已计入",IF(AND(B136="卖出",持仓总览!$C$7="本金优先"),MAX(0,E136-Q135),IF(OR(B136="卖出",B136="现金分红"),MIN(E136,M136),0)),"")</f>
        <v/>
      </c>
      <c r="O136" s="11" t="str">
        <f t="shared" ref="O136:O199" si="47">IF(I136="已计入",IF(OR(B136="卖出",B136="现金分红"),MIN(Q135,MAX(0,E136-N136)),0),"")</f>
        <v/>
      </c>
      <c r="P136" s="11" t="str">
        <f t="shared" ref="P136:P199" si="48">IF(I136="已计入",IF(AND(B136="卖出",K136=0),MAX(0,Q135-O136),0),"")</f>
        <v/>
      </c>
      <c r="Q136" s="11">
        <f t="shared" ref="Q136:Q199" si="49">IF(AA136="正常",IF(I136="已计入",ROUND(Q135+IF(OR(B136="买入",B136="定投",B136="转换转入"),E136,0)-O136-P136,2),Q135),"")</f>
        <v>82516.01</v>
      </c>
      <c r="R136" s="11" t="str">
        <f t="shared" si="40"/>
        <v/>
      </c>
      <c r="S136" s="11" t="str">
        <f t="shared" si="41"/>
        <v/>
      </c>
      <c r="T136" s="12" t="str">
        <f t="shared" si="42"/>
        <v/>
      </c>
      <c r="U136" s="11">
        <f t="shared" ref="U136:U199" si="50">IF(AA136="正常",U135+IF(AND(I136="已计入",OR(B136="买入",B136="定投",B136="转换转入")),E136,0),"")</f>
        <v>82516.01</v>
      </c>
      <c r="V136" s="11">
        <f t="shared" ref="V136:V199" si="51">IF(AA136="正常",V135+IF(AND(I136="已计入",OR(B136="卖出",B136="现金分红")),E136,0),"")</f>
        <v>0</v>
      </c>
      <c r="W136" s="11">
        <f t="shared" ref="W136:W199" si="52">IF(AA136="正常",W135+IF(I136="已计入",N136,0),"")</f>
        <v>0</v>
      </c>
      <c r="X136" s="11">
        <f t="shared" ref="X136:X199" si="53">IF(AA136="正常",X135+IF(I136="已计入",P136,0),"")</f>
        <v>0</v>
      </c>
      <c r="Y136" s="11" t="str">
        <f t="shared" si="43"/>
        <v/>
      </c>
      <c r="Z136" s="13">
        <f t="shared" ref="Z136:Z199" si="54">IF(AA136="正常",IF(I136="已计入",A136,Z135),"")</f>
        <v>46247</v>
      </c>
      <c r="AA136" s="10" t="str">
        <f>IF(OR($AA$116="错误",COUNTIF($G$117:G136,"待修正")&gt;0),"错误","正常")</f>
        <v>正常</v>
      </c>
      <c r="AB136" s="14">
        <f t="shared" ref="AB136:AB199" si="55">IF(AA136="正常",IF(I136="已计入",C136,AB135),"")</f>
        <v>2.7686</v>
      </c>
    </row>
    <row r="137" ht="23" customHeight="1" spans="1:28">
      <c r="A137" s="15"/>
      <c r="B137" s="16"/>
      <c r="C137" s="17"/>
      <c r="D137" s="18"/>
      <c r="E137" s="19" t="str">
        <f t="shared" si="36"/>
        <v/>
      </c>
      <c r="F137" s="18"/>
      <c r="G137" s="20" t="str">
        <f t="shared" si="37"/>
        <v/>
      </c>
      <c r="H137" s="21" t="str">
        <f t="shared" si="38"/>
        <v/>
      </c>
      <c r="I137" s="10" t="str">
        <f>IF(COUNTA(A137:D137,F137)=0,"",IF(NOT(ISNUMBER(A137)),"缺少有效净值日期",IF(OR(A137&lt;=0,A137&lt;&gt;INT(A137)),"净值日期无效",IF(OR(B137="转换转入",B137="现金分红"),"该类型需实际金额，五项录入不适用",IF(NOT(OR(OR(B137="买入",B137="定投"),B137="卖出",B137="红利再投")),"请选择交易类型",IF(NOT(ISNUMBER(C137)),"缺少成交净值",IF(C137&lt;=0,"成交净值须大于零",IF(NOT(ISNUMBER(D137)),"缺少确认份额",IF(D137&lt;=0,"确认份额须大于零",IF(NOT(ISNUMBER(F137)),"缺少手续费，无费用请填 0",IF(F137&lt;0,"手续费不能为负",IF(AA136="错误","前行待修正",IF(A137&lt;Z136,"日期需按成交顺序递增",IF(AND(B137="红利再投",F137&lt;&gt;0),"红利再投手续费应填 0",IF(AND(B137="红利再投",K136&lt;=0),"红利再投前须有持仓",IF(AND(B137="卖出",D137&gt;K136+0.000001),"卖出份额超过持仓",IF(AND(B137="卖出",F137&gt;=C137*D137),"赎回费不能达到赎回总额",IF(NOT(ISNUMBER(E137)),"自动金额未生成，请检查五项输入",IF(NOT(OR(持仓总览!$C$7="利润优先",持仓总览!$C$7="本金优先")),"请选择卖出分配模式","已计入")))))))))))))))))))</f>
        <v/>
      </c>
      <c r="J137" s="11">
        <f t="shared" si="39"/>
        <v>0</v>
      </c>
      <c r="K137" s="11">
        <f t="shared" si="44"/>
        <v>34284.43</v>
      </c>
      <c r="L137" s="11" t="str">
        <f t="shared" si="45"/>
        <v/>
      </c>
      <c r="M137" s="11" t="str">
        <f t="shared" si="46"/>
        <v/>
      </c>
      <c r="N137" s="11" t="str">
        <f>IF(I137="已计入",IF(AND(B137="卖出",持仓总览!$C$7="本金优先"),MAX(0,E137-Q136),IF(OR(B137="卖出",B137="现金分红"),MIN(E137,M137),0)),"")</f>
        <v/>
      </c>
      <c r="O137" s="11" t="str">
        <f t="shared" si="47"/>
        <v/>
      </c>
      <c r="P137" s="11" t="str">
        <f t="shared" si="48"/>
        <v/>
      </c>
      <c r="Q137" s="11">
        <f t="shared" si="49"/>
        <v>82516.01</v>
      </c>
      <c r="R137" s="11" t="str">
        <f t="shared" si="40"/>
        <v/>
      </c>
      <c r="S137" s="11" t="str">
        <f t="shared" si="41"/>
        <v/>
      </c>
      <c r="T137" s="12" t="str">
        <f t="shared" si="42"/>
        <v/>
      </c>
      <c r="U137" s="11">
        <f t="shared" si="50"/>
        <v>82516.01</v>
      </c>
      <c r="V137" s="11">
        <f t="shared" si="51"/>
        <v>0</v>
      </c>
      <c r="W137" s="11">
        <f t="shared" si="52"/>
        <v>0</v>
      </c>
      <c r="X137" s="11">
        <f t="shared" si="53"/>
        <v>0</v>
      </c>
      <c r="Y137" s="11" t="str">
        <f t="shared" si="43"/>
        <v/>
      </c>
      <c r="Z137" s="13">
        <f t="shared" si="54"/>
        <v>46247</v>
      </c>
      <c r="AA137" s="10" t="str">
        <f>IF(OR($AA$116="错误",COUNTIF($G$117:G137,"待修正")&gt;0),"错误","正常")</f>
        <v>正常</v>
      </c>
      <c r="AB137" s="14">
        <f t="shared" si="55"/>
        <v>2.7686</v>
      </c>
    </row>
    <row r="138" ht="23" customHeight="1" spans="1:28">
      <c r="A138" s="15"/>
      <c r="B138" s="16"/>
      <c r="C138" s="17"/>
      <c r="D138" s="18"/>
      <c r="E138" s="19" t="str">
        <f t="shared" si="36"/>
        <v/>
      </c>
      <c r="F138" s="18"/>
      <c r="G138" s="20" t="str">
        <f t="shared" si="37"/>
        <v/>
      </c>
      <c r="H138" s="21" t="str">
        <f t="shared" si="38"/>
        <v/>
      </c>
      <c r="I138" s="10" t="str">
        <f>IF(COUNTA(A138:D138,F138)=0,"",IF(NOT(ISNUMBER(A138)),"缺少有效净值日期",IF(OR(A138&lt;=0,A138&lt;&gt;INT(A138)),"净值日期无效",IF(OR(B138="转换转入",B138="现金分红"),"该类型需实际金额，五项录入不适用",IF(NOT(OR(OR(B138="买入",B138="定投"),B138="卖出",B138="红利再投")),"请选择交易类型",IF(NOT(ISNUMBER(C138)),"缺少成交净值",IF(C138&lt;=0,"成交净值须大于零",IF(NOT(ISNUMBER(D138)),"缺少确认份额",IF(D138&lt;=0,"确认份额须大于零",IF(NOT(ISNUMBER(F138)),"缺少手续费，无费用请填 0",IF(F138&lt;0,"手续费不能为负",IF(AA137="错误","前行待修正",IF(A138&lt;Z137,"日期需按成交顺序递增",IF(AND(B138="红利再投",F138&lt;&gt;0),"红利再投手续费应填 0",IF(AND(B138="红利再投",K137&lt;=0),"红利再投前须有持仓",IF(AND(B138="卖出",D138&gt;K137+0.000001),"卖出份额超过持仓",IF(AND(B138="卖出",F138&gt;=C138*D138),"赎回费不能达到赎回总额",IF(NOT(ISNUMBER(E138)),"自动金额未生成，请检查五项输入",IF(NOT(OR(持仓总览!$C$7="利润优先",持仓总览!$C$7="本金优先")),"请选择卖出分配模式","已计入")))))))))))))))))))</f>
        <v/>
      </c>
      <c r="J138" s="11">
        <f t="shared" si="39"/>
        <v>0</v>
      </c>
      <c r="K138" s="11">
        <f t="shared" si="44"/>
        <v>34284.43</v>
      </c>
      <c r="L138" s="11" t="str">
        <f t="shared" si="45"/>
        <v/>
      </c>
      <c r="M138" s="11" t="str">
        <f t="shared" si="46"/>
        <v/>
      </c>
      <c r="N138" s="11" t="str">
        <f>IF(I138="已计入",IF(AND(B138="卖出",持仓总览!$C$7="本金优先"),MAX(0,E138-Q137),IF(OR(B138="卖出",B138="现金分红"),MIN(E138,M138),0)),"")</f>
        <v/>
      </c>
      <c r="O138" s="11" t="str">
        <f t="shared" si="47"/>
        <v/>
      </c>
      <c r="P138" s="11" t="str">
        <f t="shared" si="48"/>
        <v/>
      </c>
      <c r="Q138" s="11">
        <f t="shared" si="49"/>
        <v>82516.01</v>
      </c>
      <c r="R138" s="11" t="str">
        <f t="shared" si="40"/>
        <v/>
      </c>
      <c r="S138" s="11" t="str">
        <f t="shared" si="41"/>
        <v/>
      </c>
      <c r="T138" s="12" t="str">
        <f t="shared" si="42"/>
        <v/>
      </c>
      <c r="U138" s="11">
        <f t="shared" si="50"/>
        <v>82516.01</v>
      </c>
      <c r="V138" s="11">
        <f t="shared" si="51"/>
        <v>0</v>
      </c>
      <c r="W138" s="11">
        <f t="shared" si="52"/>
        <v>0</v>
      </c>
      <c r="X138" s="11">
        <f t="shared" si="53"/>
        <v>0</v>
      </c>
      <c r="Y138" s="11" t="str">
        <f t="shared" si="43"/>
        <v/>
      </c>
      <c r="Z138" s="13">
        <f t="shared" si="54"/>
        <v>46247</v>
      </c>
      <c r="AA138" s="10" t="str">
        <f>IF(OR($AA$116="错误",COUNTIF($G$117:G138,"待修正")&gt;0),"错误","正常")</f>
        <v>正常</v>
      </c>
      <c r="AB138" s="14">
        <f t="shared" si="55"/>
        <v>2.7686</v>
      </c>
    </row>
    <row r="139" ht="23" customHeight="1" spans="1:28">
      <c r="A139" s="15"/>
      <c r="B139" s="16"/>
      <c r="C139" s="17"/>
      <c r="D139" s="18"/>
      <c r="E139" s="19" t="str">
        <f t="shared" si="36"/>
        <v/>
      </c>
      <c r="F139" s="18"/>
      <c r="G139" s="20" t="str">
        <f t="shared" si="37"/>
        <v/>
      </c>
      <c r="H139" s="21" t="str">
        <f t="shared" si="38"/>
        <v/>
      </c>
      <c r="I139" s="10" t="str">
        <f>IF(COUNTA(A139:D139,F139)=0,"",IF(NOT(ISNUMBER(A139)),"缺少有效净值日期",IF(OR(A139&lt;=0,A139&lt;&gt;INT(A139)),"净值日期无效",IF(OR(B139="转换转入",B139="现金分红"),"该类型需实际金额，五项录入不适用",IF(NOT(OR(OR(B139="买入",B139="定投"),B139="卖出",B139="红利再投")),"请选择交易类型",IF(NOT(ISNUMBER(C139)),"缺少成交净值",IF(C139&lt;=0,"成交净值须大于零",IF(NOT(ISNUMBER(D139)),"缺少确认份额",IF(D139&lt;=0,"确认份额须大于零",IF(NOT(ISNUMBER(F139)),"缺少手续费，无费用请填 0",IF(F139&lt;0,"手续费不能为负",IF(AA138="错误","前行待修正",IF(A139&lt;Z138,"日期需按成交顺序递增",IF(AND(B139="红利再投",F139&lt;&gt;0),"红利再投手续费应填 0",IF(AND(B139="红利再投",K138&lt;=0),"红利再投前须有持仓",IF(AND(B139="卖出",D139&gt;K138+0.000001),"卖出份额超过持仓",IF(AND(B139="卖出",F139&gt;=C139*D139),"赎回费不能达到赎回总额",IF(NOT(ISNUMBER(E139)),"自动金额未生成，请检查五项输入",IF(NOT(OR(持仓总览!$C$7="利润优先",持仓总览!$C$7="本金优先")),"请选择卖出分配模式","已计入")))))))))))))))))))</f>
        <v/>
      </c>
      <c r="J139" s="11">
        <f t="shared" si="39"/>
        <v>0</v>
      </c>
      <c r="K139" s="11">
        <f t="shared" si="44"/>
        <v>34284.43</v>
      </c>
      <c r="L139" s="11" t="str">
        <f t="shared" si="45"/>
        <v/>
      </c>
      <c r="M139" s="11" t="str">
        <f t="shared" si="46"/>
        <v/>
      </c>
      <c r="N139" s="11" t="str">
        <f>IF(I139="已计入",IF(AND(B139="卖出",持仓总览!$C$7="本金优先"),MAX(0,E139-Q138),IF(OR(B139="卖出",B139="现金分红"),MIN(E139,M139),0)),"")</f>
        <v/>
      </c>
      <c r="O139" s="11" t="str">
        <f t="shared" si="47"/>
        <v/>
      </c>
      <c r="P139" s="11" t="str">
        <f t="shared" si="48"/>
        <v/>
      </c>
      <c r="Q139" s="11">
        <f t="shared" si="49"/>
        <v>82516.01</v>
      </c>
      <c r="R139" s="11" t="str">
        <f t="shared" si="40"/>
        <v/>
      </c>
      <c r="S139" s="11" t="str">
        <f t="shared" si="41"/>
        <v/>
      </c>
      <c r="T139" s="12" t="str">
        <f t="shared" si="42"/>
        <v/>
      </c>
      <c r="U139" s="11">
        <f t="shared" si="50"/>
        <v>82516.01</v>
      </c>
      <c r="V139" s="11">
        <f t="shared" si="51"/>
        <v>0</v>
      </c>
      <c r="W139" s="11">
        <f t="shared" si="52"/>
        <v>0</v>
      </c>
      <c r="X139" s="11">
        <f t="shared" si="53"/>
        <v>0</v>
      </c>
      <c r="Y139" s="11" t="str">
        <f t="shared" si="43"/>
        <v/>
      </c>
      <c r="Z139" s="13">
        <f t="shared" si="54"/>
        <v>46247</v>
      </c>
      <c r="AA139" s="10" t="str">
        <f>IF(OR($AA$116="错误",COUNTIF($G$117:G139,"待修正")&gt;0),"错误","正常")</f>
        <v>正常</v>
      </c>
      <c r="AB139" s="14">
        <f t="shared" si="55"/>
        <v>2.7686</v>
      </c>
    </row>
    <row r="140" ht="23" customHeight="1" spans="1:28">
      <c r="A140" s="15"/>
      <c r="B140" s="16"/>
      <c r="C140" s="17"/>
      <c r="D140" s="18"/>
      <c r="E140" s="19" t="str">
        <f t="shared" si="36"/>
        <v/>
      </c>
      <c r="F140" s="18"/>
      <c r="G140" s="20" t="str">
        <f t="shared" si="37"/>
        <v/>
      </c>
      <c r="H140" s="21" t="str">
        <f t="shared" si="38"/>
        <v/>
      </c>
      <c r="I140" s="10" t="str">
        <f>IF(COUNTA(A140:D140,F140)=0,"",IF(NOT(ISNUMBER(A140)),"缺少有效净值日期",IF(OR(A140&lt;=0,A140&lt;&gt;INT(A140)),"净值日期无效",IF(OR(B140="转换转入",B140="现金分红"),"该类型需实际金额，五项录入不适用",IF(NOT(OR(OR(B140="买入",B140="定投"),B140="卖出",B140="红利再投")),"请选择交易类型",IF(NOT(ISNUMBER(C140)),"缺少成交净值",IF(C140&lt;=0,"成交净值须大于零",IF(NOT(ISNUMBER(D140)),"缺少确认份额",IF(D140&lt;=0,"确认份额须大于零",IF(NOT(ISNUMBER(F140)),"缺少手续费，无费用请填 0",IF(F140&lt;0,"手续费不能为负",IF(AA139="错误","前行待修正",IF(A140&lt;Z139,"日期需按成交顺序递增",IF(AND(B140="红利再投",F140&lt;&gt;0),"红利再投手续费应填 0",IF(AND(B140="红利再投",K139&lt;=0),"红利再投前须有持仓",IF(AND(B140="卖出",D140&gt;K139+0.000001),"卖出份额超过持仓",IF(AND(B140="卖出",F140&gt;=C140*D140),"赎回费不能达到赎回总额",IF(NOT(ISNUMBER(E140)),"自动金额未生成，请检查五项输入",IF(NOT(OR(持仓总览!$C$7="利润优先",持仓总览!$C$7="本金优先")),"请选择卖出分配模式","已计入")))))))))))))))))))</f>
        <v/>
      </c>
      <c r="J140" s="11">
        <f t="shared" si="39"/>
        <v>0</v>
      </c>
      <c r="K140" s="11">
        <f t="shared" si="44"/>
        <v>34284.43</v>
      </c>
      <c r="L140" s="11" t="str">
        <f t="shared" si="45"/>
        <v/>
      </c>
      <c r="M140" s="11" t="str">
        <f t="shared" si="46"/>
        <v/>
      </c>
      <c r="N140" s="11" t="str">
        <f>IF(I140="已计入",IF(AND(B140="卖出",持仓总览!$C$7="本金优先"),MAX(0,E140-Q139),IF(OR(B140="卖出",B140="现金分红"),MIN(E140,M140),0)),"")</f>
        <v/>
      </c>
      <c r="O140" s="11" t="str">
        <f t="shared" si="47"/>
        <v/>
      </c>
      <c r="P140" s="11" t="str">
        <f t="shared" si="48"/>
        <v/>
      </c>
      <c r="Q140" s="11">
        <f t="shared" si="49"/>
        <v>82516.01</v>
      </c>
      <c r="R140" s="11" t="str">
        <f t="shared" si="40"/>
        <v/>
      </c>
      <c r="S140" s="11" t="str">
        <f t="shared" si="41"/>
        <v/>
      </c>
      <c r="T140" s="12" t="str">
        <f t="shared" si="42"/>
        <v/>
      </c>
      <c r="U140" s="11">
        <f t="shared" si="50"/>
        <v>82516.01</v>
      </c>
      <c r="V140" s="11">
        <f t="shared" si="51"/>
        <v>0</v>
      </c>
      <c r="W140" s="11">
        <f t="shared" si="52"/>
        <v>0</v>
      </c>
      <c r="X140" s="11">
        <f t="shared" si="53"/>
        <v>0</v>
      </c>
      <c r="Y140" s="11" t="str">
        <f t="shared" si="43"/>
        <v/>
      </c>
      <c r="Z140" s="13">
        <f t="shared" si="54"/>
        <v>46247</v>
      </c>
      <c r="AA140" s="10" t="str">
        <f>IF(OR($AA$116="错误",COUNTIF($G$117:G140,"待修正")&gt;0),"错误","正常")</f>
        <v>正常</v>
      </c>
      <c r="AB140" s="14">
        <f t="shared" si="55"/>
        <v>2.7686</v>
      </c>
    </row>
    <row r="141" ht="23" customHeight="1" spans="1:28">
      <c r="A141" s="15"/>
      <c r="B141" s="16"/>
      <c r="C141" s="17"/>
      <c r="D141" s="18"/>
      <c r="E141" s="19" t="str">
        <f t="shared" si="36"/>
        <v/>
      </c>
      <c r="F141" s="18"/>
      <c r="G141" s="20" t="str">
        <f t="shared" si="37"/>
        <v/>
      </c>
      <c r="H141" s="21" t="str">
        <f t="shared" si="38"/>
        <v/>
      </c>
      <c r="I141" s="10" t="str">
        <f>IF(COUNTA(A141:D141,F141)=0,"",IF(NOT(ISNUMBER(A141)),"缺少有效净值日期",IF(OR(A141&lt;=0,A141&lt;&gt;INT(A141)),"净值日期无效",IF(OR(B141="转换转入",B141="现金分红"),"该类型需实际金额，五项录入不适用",IF(NOT(OR(OR(B141="买入",B141="定投"),B141="卖出",B141="红利再投")),"请选择交易类型",IF(NOT(ISNUMBER(C141)),"缺少成交净值",IF(C141&lt;=0,"成交净值须大于零",IF(NOT(ISNUMBER(D141)),"缺少确认份额",IF(D141&lt;=0,"确认份额须大于零",IF(NOT(ISNUMBER(F141)),"缺少手续费，无费用请填 0",IF(F141&lt;0,"手续费不能为负",IF(AA140="错误","前行待修正",IF(A141&lt;Z140,"日期需按成交顺序递增",IF(AND(B141="红利再投",F141&lt;&gt;0),"红利再投手续费应填 0",IF(AND(B141="红利再投",K140&lt;=0),"红利再投前须有持仓",IF(AND(B141="卖出",D141&gt;K140+0.000001),"卖出份额超过持仓",IF(AND(B141="卖出",F141&gt;=C141*D141),"赎回费不能达到赎回总额",IF(NOT(ISNUMBER(E141)),"自动金额未生成，请检查五项输入",IF(NOT(OR(持仓总览!$C$7="利润优先",持仓总览!$C$7="本金优先")),"请选择卖出分配模式","已计入")))))))))))))))))))</f>
        <v/>
      </c>
      <c r="J141" s="11">
        <f t="shared" si="39"/>
        <v>0</v>
      </c>
      <c r="K141" s="11">
        <f t="shared" si="44"/>
        <v>34284.43</v>
      </c>
      <c r="L141" s="11" t="str">
        <f t="shared" si="45"/>
        <v/>
      </c>
      <c r="M141" s="11" t="str">
        <f t="shared" si="46"/>
        <v/>
      </c>
      <c r="N141" s="11" t="str">
        <f>IF(I141="已计入",IF(AND(B141="卖出",持仓总览!$C$7="本金优先"),MAX(0,E141-Q140),IF(OR(B141="卖出",B141="现金分红"),MIN(E141,M141),0)),"")</f>
        <v/>
      </c>
      <c r="O141" s="11" t="str">
        <f t="shared" si="47"/>
        <v/>
      </c>
      <c r="P141" s="11" t="str">
        <f t="shared" si="48"/>
        <v/>
      </c>
      <c r="Q141" s="11">
        <f t="shared" si="49"/>
        <v>82516.01</v>
      </c>
      <c r="R141" s="11" t="str">
        <f t="shared" si="40"/>
        <v/>
      </c>
      <c r="S141" s="11" t="str">
        <f t="shared" si="41"/>
        <v/>
      </c>
      <c r="T141" s="12" t="str">
        <f t="shared" si="42"/>
        <v/>
      </c>
      <c r="U141" s="11">
        <f t="shared" si="50"/>
        <v>82516.01</v>
      </c>
      <c r="V141" s="11">
        <f t="shared" si="51"/>
        <v>0</v>
      </c>
      <c r="W141" s="11">
        <f t="shared" si="52"/>
        <v>0</v>
      </c>
      <c r="X141" s="11">
        <f t="shared" si="53"/>
        <v>0</v>
      </c>
      <c r="Y141" s="11" t="str">
        <f t="shared" si="43"/>
        <v/>
      </c>
      <c r="Z141" s="13">
        <f t="shared" si="54"/>
        <v>46247</v>
      </c>
      <c r="AA141" s="10" t="str">
        <f>IF(OR($AA$116="错误",COUNTIF($G$117:G141,"待修正")&gt;0),"错误","正常")</f>
        <v>正常</v>
      </c>
      <c r="AB141" s="14">
        <f t="shared" si="55"/>
        <v>2.7686</v>
      </c>
    </row>
    <row r="142" ht="23" customHeight="1" spans="1:28">
      <c r="A142" s="15"/>
      <c r="B142" s="16"/>
      <c r="C142" s="17"/>
      <c r="D142" s="18"/>
      <c r="E142" s="19" t="str">
        <f t="shared" si="36"/>
        <v/>
      </c>
      <c r="F142" s="18"/>
      <c r="G142" s="20" t="str">
        <f t="shared" si="37"/>
        <v/>
      </c>
      <c r="H142" s="21" t="str">
        <f t="shared" si="38"/>
        <v/>
      </c>
      <c r="I142" s="10" t="str">
        <f>IF(COUNTA(A142:D142,F142)=0,"",IF(NOT(ISNUMBER(A142)),"缺少有效净值日期",IF(OR(A142&lt;=0,A142&lt;&gt;INT(A142)),"净值日期无效",IF(OR(B142="转换转入",B142="现金分红"),"该类型需实际金额，五项录入不适用",IF(NOT(OR(OR(B142="买入",B142="定投"),B142="卖出",B142="红利再投")),"请选择交易类型",IF(NOT(ISNUMBER(C142)),"缺少成交净值",IF(C142&lt;=0,"成交净值须大于零",IF(NOT(ISNUMBER(D142)),"缺少确认份额",IF(D142&lt;=0,"确认份额须大于零",IF(NOT(ISNUMBER(F142)),"缺少手续费，无费用请填 0",IF(F142&lt;0,"手续费不能为负",IF(AA141="错误","前行待修正",IF(A142&lt;Z141,"日期需按成交顺序递增",IF(AND(B142="红利再投",F142&lt;&gt;0),"红利再投手续费应填 0",IF(AND(B142="红利再投",K141&lt;=0),"红利再投前须有持仓",IF(AND(B142="卖出",D142&gt;K141+0.000001),"卖出份额超过持仓",IF(AND(B142="卖出",F142&gt;=C142*D142),"赎回费不能达到赎回总额",IF(NOT(ISNUMBER(E142)),"自动金额未生成，请检查五项输入",IF(NOT(OR(持仓总览!$C$7="利润优先",持仓总览!$C$7="本金优先")),"请选择卖出分配模式","已计入")))))))))))))))))))</f>
        <v/>
      </c>
      <c r="J142" s="11">
        <f t="shared" si="39"/>
        <v>0</v>
      </c>
      <c r="K142" s="11">
        <f t="shared" si="44"/>
        <v>34284.43</v>
      </c>
      <c r="L142" s="11" t="str">
        <f t="shared" si="45"/>
        <v/>
      </c>
      <c r="M142" s="11" t="str">
        <f t="shared" si="46"/>
        <v/>
      </c>
      <c r="N142" s="11" t="str">
        <f>IF(I142="已计入",IF(AND(B142="卖出",持仓总览!$C$7="本金优先"),MAX(0,E142-Q141),IF(OR(B142="卖出",B142="现金分红"),MIN(E142,M142),0)),"")</f>
        <v/>
      </c>
      <c r="O142" s="11" t="str">
        <f t="shared" si="47"/>
        <v/>
      </c>
      <c r="P142" s="11" t="str">
        <f t="shared" si="48"/>
        <v/>
      </c>
      <c r="Q142" s="11">
        <f t="shared" si="49"/>
        <v>82516.01</v>
      </c>
      <c r="R142" s="11" t="str">
        <f t="shared" si="40"/>
        <v/>
      </c>
      <c r="S142" s="11" t="str">
        <f t="shared" si="41"/>
        <v/>
      </c>
      <c r="T142" s="12" t="str">
        <f t="shared" si="42"/>
        <v/>
      </c>
      <c r="U142" s="11">
        <f t="shared" si="50"/>
        <v>82516.01</v>
      </c>
      <c r="V142" s="11">
        <f t="shared" si="51"/>
        <v>0</v>
      </c>
      <c r="W142" s="11">
        <f t="shared" si="52"/>
        <v>0</v>
      </c>
      <c r="X142" s="11">
        <f t="shared" si="53"/>
        <v>0</v>
      </c>
      <c r="Y142" s="11" t="str">
        <f t="shared" si="43"/>
        <v/>
      </c>
      <c r="Z142" s="13">
        <f t="shared" si="54"/>
        <v>46247</v>
      </c>
      <c r="AA142" s="10" t="str">
        <f>IF(OR($AA$116="错误",COUNTIF($G$117:G142,"待修正")&gt;0),"错误","正常")</f>
        <v>正常</v>
      </c>
      <c r="AB142" s="14">
        <f t="shared" si="55"/>
        <v>2.7686</v>
      </c>
    </row>
    <row r="143" ht="23" customHeight="1" spans="1:28">
      <c r="A143" s="15"/>
      <c r="B143" s="16"/>
      <c r="C143" s="17"/>
      <c r="D143" s="18"/>
      <c r="E143" s="19" t="str">
        <f t="shared" si="36"/>
        <v/>
      </c>
      <c r="F143" s="18"/>
      <c r="G143" s="20" t="str">
        <f t="shared" si="37"/>
        <v/>
      </c>
      <c r="H143" s="21" t="str">
        <f t="shared" si="38"/>
        <v/>
      </c>
      <c r="I143" s="10" t="str">
        <f>IF(COUNTA(A143:D143,F143)=0,"",IF(NOT(ISNUMBER(A143)),"缺少有效净值日期",IF(OR(A143&lt;=0,A143&lt;&gt;INT(A143)),"净值日期无效",IF(OR(B143="转换转入",B143="现金分红"),"该类型需实际金额，五项录入不适用",IF(NOT(OR(OR(B143="买入",B143="定投"),B143="卖出",B143="红利再投")),"请选择交易类型",IF(NOT(ISNUMBER(C143)),"缺少成交净值",IF(C143&lt;=0,"成交净值须大于零",IF(NOT(ISNUMBER(D143)),"缺少确认份额",IF(D143&lt;=0,"确认份额须大于零",IF(NOT(ISNUMBER(F143)),"缺少手续费，无费用请填 0",IF(F143&lt;0,"手续费不能为负",IF(AA142="错误","前行待修正",IF(A143&lt;Z142,"日期需按成交顺序递增",IF(AND(B143="红利再投",F143&lt;&gt;0),"红利再投手续费应填 0",IF(AND(B143="红利再投",K142&lt;=0),"红利再投前须有持仓",IF(AND(B143="卖出",D143&gt;K142+0.000001),"卖出份额超过持仓",IF(AND(B143="卖出",F143&gt;=C143*D143),"赎回费不能达到赎回总额",IF(NOT(ISNUMBER(E143)),"自动金额未生成，请检查五项输入",IF(NOT(OR(持仓总览!$C$7="利润优先",持仓总览!$C$7="本金优先")),"请选择卖出分配模式","已计入")))))))))))))))))))</f>
        <v/>
      </c>
      <c r="J143" s="11">
        <f t="shared" si="39"/>
        <v>0</v>
      </c>
      <c r="K143" s="11">
        <f t="shared" si="44"/>
        <v>34284.43</v>
      </c>
      <c r="L143" s="11" t="str">
        <f t="shared" si="45"/>
        <v/>
      </c>
      <c r="M143" s="11" t="str">
        <f t="shared" si="46"/>
        <v/>
      </c>
      <c r="N143" s="11" t="str">
        <f>IF(I143="已计入",IF(AND(B143="卖出",持仓总览!$C$7="本金优先"),MAX(0,E143-Q142),IF(OR(B143="卖出",B143="现金分红"),MIN(E143,M143),0)),"")</f>
        <v/>
      </c>
      <c r="O143" s="11" t="str">
        <f t="shared" si="47"/>
        <v/>
      </c>
      <c r="P143" s="11" t="str">
        <f t="shared" si="48"/>
        <v/>
      </c>
      <c r="Q143" s="11">
        <f t="shared" si="49"/>
        <v>82516.01</v>
      </c>
      <c r="R143" s="11" t="str">
        <f t="shared" si="40"/>
        <v/>
      </c>
      <c r="S143" s="11" t="str">
        <f t="shared" si="41"/>
        <v/>
      </c>
      <c r="T143" s="12" t="str">
        <f t="shared" si="42"/>
        <v/>
      </c>
      <c r="U143" s="11">
        <f t="shared" si="50"/>
        <v>82516.01</v>
      </c>
      <c r="V143" s="11">
        <f t="shared" si="51"/>
        <v>0</v>
      </c>
      <c r="W143" s="11">
        <f t="shared" si="52"/>
        <v>0</v>
      </c>
      <c r="X143" s="11">
        <f t="shared" si="53"/>
        <v>0</v>
      </c>
      <c r="Y143" s="11" t="str">
        <f t="shared" si="43"/>
        <v/>
      </c>
      <c r="Z143" s="13">
        <f t="shared" si="54"/>
        <v>46247</v>
      </c>
      <c r="AA143" s="10" t="str">
        <f>IF(OR($AA$116="错误",COUNTIF($G$117:G143,"待修正")&gt;0),"错误","正常")</f>
        <v>正常</v>
      </c>
      <c r="AB143" s="14">
        <f t="shared" si="55"/>
        <v>2.7686</v>
      </c>
    </row>
    <row r="144" ht="23" customHeight="1" spans="1:28">
      <c r="A144" s="15"/>
      <c r="B144" s="16"/>
      <c r="C144" s="17"/>
      <c r="D144" s="18"/>
      <c r="E144" s="19" t="str">
        <f t="shared" si="36"/>
        <v/>
      </c>
      <c r="F144" s="18"/>
      <c r="G144" s="20" t="str">
        <f t="shared" si="37"/>
        <v/>
      </c>
      <c r="H144" s="21" t="str">
        <f t="shared" si="38"/>
        <v/>
      </c>
      <c r="I144" s="10" t="str">
        <f>IF(COUNTA(A144:D144,F144)=0,"",IF(NOT(ISNUMBER(A144)),"缺少有效净值日期",IF(OR(A144&lt;=0,A144&lt;&gt;INT(A144)),"净值日期无效",IF(OR(B144="转换转入",B144="现金分红"),"该类型需实际金额，五项录入不适用",IF(NOT(OR(OR(B144="买入",B144="定投"),B144="卖出",B144="红利再投")),"请选择交易类型",IF(NOT(ISNUMBER(C144)),"缺少成交净值",IF(C144&lt;=0,"成交净值须大于零",IF(NOT(ISNUMBER(D144)),"缺少确认份额",IF(D144&lt;=0,"确认份额须大于零",IF(NOT(ISNUMBER(F144)),"缺少手续费，无费用请填 0",IF(F144&lt;0,"手续费不能为负",IF(AA143="错误","前行待修正",IF(A144&lt;Z143,"日期需按成交顺序递增",IF(AND(B144="红利再投",F144&lt;&gt;0),"红利再投手续费应填 0",IF(AND(B144="红利再投",K143&lt;=0),"红利再投前须有持仓",IF(AND(B144="卖出",D144&gt;K143+0.000001),"卖出份额超过持仓",IF(AND(B144="卖出",F144&gt;=C144*D144),"赎回费不能达到赎回总额",IF(NOT(ISNUMBER(E144)),"自动金额未生成，请检查五项输入",IF(NOT(OR(持仓总览!$C$7="利润优先",持仓总览!$C$7="本金优先")),"请选择卖出分配模式","已计入")))))))))))))))))))</f>
        <v/>
      </c>
      <c r="J144" s="11">
        <f t="shared" si="39"/>
        <v>0</v>
      </c>
      <c r="K144" s="11">
        <f t="shared" si="44"/>
        <v>34284.43</v>
      </c>
      <c r="L144" s="11" t="str">
        <f t="shared" si="45"/>
        <v/>
      </c>
      <c r="M144" s="11" t="str">
        <f t="shared" si="46"/>
        <v/>
      </c>
      <c r="N144" s="11" t="str">
        <f>IF(I144="已计入",IF(AND(B144="卖出",持仓总览!$C$7="本金优先"),MAX(0,E144-Q143),IF(OR(B144="卖出",B144="现金分红"),MIN(E144,M144),0)),"")</f>
        <v/>
      </c>
      <c r="O144" s="11" t="str">
        <f t="shared" si="47"/>
        <v/>
      </c>
      <c r="P144" s="11" t="str">
        <f t="shared" si="48"/>
        <v/>
      </c>
      <c r="Q144" s="11">
        <f t="shared" si="49"/>
        <v>82516.01</v>
      </c>
      <c r="R144" s="11" t="str">
        <f t="shared" si="40"/>
        <v/>
      </c>
      <c r="S144" s="11" t="str">
        <f t="shared" si="41"/>
        <v/>
      </c>
      <c r="T144" s="12" t="str">
        <f t="shared" si="42"/>
        <v/>
      </c>
      <c r="U144" s="11">
        <f t="shared" si="50"/>
        <v>82516.01</v>
      </c>
      <c r="V144" s="11">
        <f t="shared" si="51"/>
        <v>0</v>
      </c>
      <c r="W144" s="11">
        <f t="shared" si="52"/>
        <v>0</v>
      </c>
      <c r="X144" s="11">
        <f t="shared" si="53"/>
        <v>0</v>
      </c>
      <c r="Y144" s="11" t="str">
        <f t="shared" si="43"/>
        <v/>
      </c>
      <c r="Z144" s="13">
        <f t="shared" si="54"/>
        <v>46247</v>
      </c>
      <c r="AA144" s="10" t="str">
        <f>IF(OR($AA$116="错误",COUNTIF($G$117:G144,"待修正")&gt;0),"错误","正常")</f>
        <v>正常</v>
      </c>
      <c r="AB144" s="14">
        <f t="shared" si="55"/>
        <v>2.7686</v>
      </c>
    </row>
    <row r="145" ht="23" customHeight="1" spans="1:28">
      <c r="A145" s="15"/>
      <c r="B145" s="16"/>
      <c r="C145" s="17"/>
      <c r="D145" s="18"/>
      <c r="E145" s="19" t="str">
        <f t="shared" si="36"/>
        <v/>
      </c>
      <c r="F145" s="18"/>
      <c r="G145" s="20" t="str">
        <f t="shared" si="37"/>
        <v/>
      </c>
      <c r="H145" s="21" t="str">
        <f t="shared" si="38"/>
        <v/>
      </c>
      <c r="I145" s="10" t="str">
        <f>IF(COUNTA(A145:D145,F145)=0,"",IF(NOT(ISNUMBER(A145)),"缺少有效净值日期",IF(OR(A145&lt;=0,A145&lt;&gt;INT(A145)),"净值日期无效",IF(OR(B145="转换转入",B145="现金分红"),"该类型需实际金额，五项录入不适用",IF(NOT(OR(OR(B145="买入",B145="定投"),B145="卖出",B145="红利再投")),"请选择交易类型",IF(NOT(ISNUMBER(C145)),"缺少成交净值",IF(C145&lt;=0,"成交净值须大于零",IF(NOT(ISNUMBER(D145)),"缺少确认份额",IF(D145&lt;=0,"确认份额须大于零",IF(NOT(ISNUMBER(F145)),"缺少手续费，无费用请填 0",IF(F145&lt;0,"手续费不能为负",IF(AA144="错误","前行待修正",IF(A145&lt;Z144,"日期需按成交顺序递增",IF(AND(B145="红利再投",F145&lt;&gt;0),"红利再投手续费应填 0",IF(AND(B145="红利再投",K144&lt;=0),"红利再投前须有持仓",IF(AND(B145="卖出",D145&gt;K144+0.000001),"卖出份额超过持仓",IF(AND(B145="卖出",F145&gt;=C145*D145),"赎回费不能达到赎回总额",IF(NOT(ISNUMBER(E145)),"自动金额未生成，请检查五项输入",IF(NOT(OR(持仓总览!$C$7="利润优先",持仓总览!$C$7="本金优先")),"请选择卖出分配模式","已计入")))))))))))))))))))</f>
        <v/>
      </c>
      <c r="J145" s="11">
        <f t="shared" si="39"/>
        <v>0</v>
      </c>
      <c r="K145" s="11">
        <f t="shared" si="44"/>
        <v>34284.43</v>
      </c>
      <c r="L145" s="11" t="str">
        <f t="shared" si="45"/>
        <v/>
      </c>
      <c r="M145" s="11" t="str">
        <f t="shared" si="46"/>
        <v/>
      </c>
      <c r="N145" s="11" t="str">
        <f>IF(I145="已计入",IF(AND(B145="卖出",持仓总览!$C$7="本金优先"),MAX(0,E145-Q144),IF(OR(B145="卖出",B145="现金分红"),MIN(E145,M145),0)),"")</f>
        <v/>
      </c>
      <c r="O145" s="11" t="str">
        <f t="shared" si="47"/>
        <v/>
      </c>
      <c r="P145" s="11" t="str">
        <f t="shared" si="48"/>
        <v/>
      </c>
      <c r="Q145" s="11">
        <f t="shared" si="49"/>
        <v>82516.01</v>
      </c>
      <c r="R145" s="11" t="str">
        <f t="shared" si="40"/>
        <v/>
      </c>
      <c r="S145" s="11" t="str">
        <f t="shared" si="41"/>
        <v/>
      </c>
      <c r="T145" s="12" t="str">
        <f t="shared" si="42"/>
        <v/>
      </c>
      <c r="U145" s="11">
        <f t="shared" si="50"/>
        <v>82516.01</v>
      </c>
      <c r="V145" s="11">
        <f t="shared" si="51"/>
        <v>0</v>
      </c>
      <c r="W145" s="11">
        <f t="shared" si="52"/>
        <v>0</v>
      </c>
      <c r="X145" s="11">
        <f t="shared" si="53"/>
        <v>0</v>
      </c>
      <c r="Y145" s="11" t="str">
        <f t="shared" si="43"/>
        <v/>
      </c>
      <c r="Z145" s="13">
        <f t="shared" si="54"/>
        <v>46247</v>
      </c>
      <c r="AA145" s="10" t="str">
        <f>IF(OR($AA$116="错误",COUNTIF($G$117:G145,"待修正")&gt;0),"错误","正常")</f>
        <v>正常</v>
      </c>
      <c r="AB145" s="14">
        <f t="shared" si="55"/>
        <v>2.7686</v>
      </c>
    </row>
    <row r="146" ht="23" customHeight="1" spans="1:28">
      <c r="A146" s="15"/>
      <c r="B146" s="16"/>
      <c r="C146" s="17"/>
      <c r="D146" s="18"/>
      <c r="E146" s="19" t="str">
        <f t="shared" si="36"/>
        <v/>
      </c>
      <c r="F146" s="18"/>
      <c r="G146" s="20" t="str">
        <f t="shared" si="37"/>
        <v/>
      </c>
      <c r="H146" s="21" t="str">
        <f t="shared" si="38"/>
        <v/>
      </c>
      <c r="I146" s="10" t="str">
        <f>IF(COUNTA(A146:D146,F146)=0,"",IF(NOT(ISNUMBER(A146)),"缺少有效净值日期",IF(OR(A146&lt;=0,A146&lt;&gt;INT(A146)),"净值日期无效",IF(OR(B146="转换转入",B146="现金分红"),"该类型需实际金额，五项录入不适用",IF(NOT(OR(OR(B146="买入",B146="定投"),B146="卖出",B146="红利再投")),"请选择交易类型",IF(NOT(ISNUMBER(C146)),"缺少成交净值",IF(C146&lt;=0,"成交净值须大于零",IF(NOT(ISNUMBER(D146)),"缺少确认份额",IF(D146&lt;=0,"确认份额须大于零",IF(NOT(ISNUMBER(F146)),"缺少手续费，无费用请填 0",IF(F146&lt;0,"手续费不能为负",IF(AA145="错误","前行待修正",IF(A146&lt;Z145,"日期需按成交顺序递增",IF(AND(B146="红利再投",F146&lt;&gt;0),"红利再投手续费应填 0",IF(AND(B146="红利再投",K145&lt;=0),"红利再投前须有持仓",IF(AND(B146="卖出",D146&gt;K145+0.000001),"卖出份额超过持仓",IF(AND(B146="卖出",F146&gt;=C146*D146),"赎回费不能达到赎回总额",IF(NOT(ISNUMBER(E146)),"自动金额未生成，请检查五项输入",IF(NOT(OR(持仓总览!$C$7="利润优先",持仓总览!$C$7="本金优先")),"请选择卖出分配模式","已计入")))))))))))))))))))</f>
        <v/>
      </c>
      <c r="J146" s="11">
        <f t="shared" si="39"/>
        <v>0</v>
      </c>
      <c r="K146" s="11">
        <f t="shared" si="44"/>
        <v>34284.43</v>
      </c>
      <c r="L146" s="11" t="str">
        <f t="shared" si="45"/>
        <v/>
      </c>
      <c r="M146" s="11" t="str">
        <f t="shared" si="46"/>
        <v/>
      </c>
      <c r="N146" s="11" t="str">
        <f>IF(I146="已计入",IF(AND(B146="卖出",持仓总览!$C$7="本金优先"),MAX(0,E146-Q145),IF(OR(B146="卖出",B146="现金分红"),MIN(E146,M146),0)),"")</f>
        <v/>
      </c>
      <c r="O146" s="11" t="str">
        <f t="shared" si="47"/>
        <v/>
      </c>
      <c r="P146" s="11" t="str">
        <f t="shared" si="48"/>
        <v/>
      </c>
      <c r="Q146" s="11">
        <f t="shared" si="49"/>
        <v>82516.01</v>
      </c>
      <c r="R146" s="11" t="str">
        <f t="shared" si="40"/>
        <v/>
      </c>
      <c r="S146" s="11" t="str">
        <f t="shared" si="41"/>
        <v/>
      </c>
      <c r="T146" s="12" t="str">
        <f t="shared" si="42"/>
        <v/>
      </c>
      <c r="U146" s="11">
        <f t="shared" si="50"/>
        <v>82516.01</v>
      </c>
      <c r="V146" s="11">
        <f t="shared" si="51"/>
        <v>0</v>
      </c>
      <c r="W146" s="11">
        <f t="shared" si="52"/>
        <v>0</v>
      </c>
      <c r="X146" s="11">
        <f t="shared" si="53"/>
        <v>0</v>
      </c>
      <c r="Y146" s="11" t="str">
        <f t="shared" si="43"/>
        <v/>
      </c>
      <c r="Z146" s="13">
        <f t="shared" si="54"/>
        <v>46247</v>
      </c>
      <c r="AA146" s="10" t="str">
        <f>IF(OR($AA$116="错误",COUNTIF($G$117:G146,"待修正")&gt;0),"错误","正常")</f>
        <v>正常</v>
      </c>
      <c r="AB146" s="14">
        <f t="shared" si="55"/>
        <v>2.7686</v>
      </c>
    </row>
    <row r="147" ht="23" customHeight="1" spans="1:28">
      <c r="A147" s="15"/>
      <c r="B147" s="16"/>
      <c r="C147" s="17"/>
      <c r="D147" s="18"/>
      <c r="E147" s="19" t="str">
        <f t="shared" si="36"/>
        <v/>
      </c>
      <c r="F147" s="18"/>
      <c r="G147" s="20" t="str">
        <f t="shared" si="37"/>
        <v/>
      </c>
      <c r="H147" s="21" t="str">
        <f t="shared" si="38"/>
        <v/>
      </c>
      <c r="I147" s="10" t="str">
        <f>IF(COUNTA(A147:D147,F147)=0,"",IF(NOT(ISNUMBER(A147)),"缺少有效净值日期",IF(OR(A147&lt;=0,A147&lt;&gt;INT(A147)),"净值日期无效",IF(OR(B147="转换转入",B147="现金分红"),"该类型需实际金额，五项录入不适用",IF(NOT(OR(OR(B147="买入",B147="定投"),B147="卖出",B147="红利再投")),"请选择交易类型",IF(NOT(ISNUMBER(C147)),"缺少成交净值",IF(C147&lt;=0,"成交净值须大于零",IF(NOT(ISNUMBER(D147)),"缺少确认份额",IF(D147&lt;=0,"确认份额须大于零",IF(NOT(ISNUMBER(F147)),"缺少手续费，无费用请填 0",IF(F147&lt;0,"手续费不能为负",IF(AA146="错误","前行待修正",IF(A147&lt;Z146,"日期需按成交顺序递增",IF(AND(B147="红利再投",F147&lt;&gt;0),"红利再投手续费应填 0",IF(AND(B147="红利再投",K146&lt;=0),"红利再投前须有持仓",IF(AND(B147="卖出",D147&gt;K146+0.000001),"卖出份额超过持仓",IF(AND(B147="卖出",F147&gt;=C147*D147),"赎回费不能达到赎回总额",IF(NOT(ISNUMBER(E147)),"自动金额未生成，请检查五项输入",IF(NOT(OR(持仓总览!$C$7="利润优先",持仓总览!$C$7="本金优先")),"请选择卖出分配模式","已计入")))))))))))))))))))</f>
        <v/>
      </c>
      <c r="J147" s="11">
        <f t="shared" si="39"/>
        <v>0</v>
      </c>
      <c r="K147" s="11">
        <f t="shared" si="44"/>
        <v>34284.43</v>
      </c>
      <c r="L147" s="11" t="str">
        <f t="shared" si="45"/>
        <v/>
      </c>
      <c r="M147" s="11" t="str">
        <f t="shared" si="46"/>
        <v/>
      </c>
      <c r="N147" s="11" t="str">
        <f>IF(I147="已计入",IF(AND(B147="卖出",持仓总览!$C$7="本金优先"),MAX(0,E147-Q146),IF(OR(B147="卖出",B147="现金分红"),MIN(E147,M147),0)),"")</f>
        <v/>
      </c>
      <c r="O147" s="11" t="str">
        <f t="shared" si="47"/>
        <v/>
      </c>
      <c r="P147" s="11" t="str">
        <f t="shared" si="48"/>
        <v/>
      </c>
      <c r="Q147" s="11">
        <f t="shared" si="49"/>
        <v>82516.01</v>
      </c>
      <c r="R147" s="11" t="str">
        <f t="shared" si="40"/>
        <v/>
      </c>
      <c r="S147" s="11" t="str">
        <f t="shared" si="41"/>
        <v/>
      </c>
      <c r="T147" s="12" t="str">
        <f t="shared" si="42"/>
        <v/>
      </c>
      <c r="U147" s="11">
        <f t="shared" si="50"/>
        <v>82516.01</v>
      </c>
      <c r="V147" s="11">
        <f t="shared" si="51"/>
        <v>0</v>
      </c>
      <c r="W147" s="11">
        <f t="shared" si="52"/>
        <v>0</v>
      </c>
      <c r="X147" s="11">
        <f t="shared" si="53"/>
        <v>0</v>
      </c>
      <c r="Y147" s="11" t="str">
        <f t="shared" si="43"/>
        <v/>
      </c>
      <c r="Z147" s="13">
        <f t="shared" si="54"/>
        <v>46247</v>
      </c>
      <c r="AA147" s="10" t="str">
        <f>IF(OR($AA$116="错误",COUNTIF($G$117:G147,"待修正")&gt;0),"错误","正常")</f>
        <v>正常</v>
      </c>
      <c r="AB147" s="14">
        <f t="shared" si="55"/>
        <v>2.7686</v>
      </c>
    </row>
    <row r="148" ht="23" customHeight="1" spans="1:28">
      <c r="A148" s="15"/>
      <c r="B148" s="16"/>
      <c r="C148" s="17"/>
      <c r="D148" s="18"/>
      <c r="E148" s="19" t="str">
        <f t="shared" si="36"/>
        <v/>
      </c>
      <c r="F148" s="18"/>
      <c r="G148" s="20" t="str">
        <f t="shared" si="37"/>
        <v/>
      </c>
      <c r="H148" s="21" t="str">
        <f t="shared" si="38"/>
        <v/>
      </c>
      <c r="I148" s="10" t="str">
        <f>IF(COUNTA(A148:D148,F148)=0,"",IF(NOT(ISNUMBER(A148)),"缺少有效净值日期",IF(OR(A148&lt;=0,A148&lt;&gt;INT(A148)),"净值日期无效",IF(OR(B148="转换转入",B148="现金分红"),"该类型需实际金额，五项录入不适用",IF(NOT(OR(OR(B148="买入",B148="定投"),B148="卖出",B148="红利再投")),"请选择交易类型",IF(NOT(ISNUMBER(C148)),"缺少成交净值",IF(C148&lt;=0,"成交净值须大于零",IF(NOT(ISNUMBER(D148)),"缺少确认份额",IF(D148&lt;=0,"确认份额须大于零",IF(NOT(ISNUMBER(F148)),"缺少手续费，无费用请填 0",IF(F148&lt;0,"手续费不能为负",IF(AA147="错误","前行待修正",IF(A148&lt;Z147,"日期需按成交顺序递增",IF(AND(B148="红利再投",F148&lt;&gt;0),"红利再投手续费应填 0",IF(AND(B148="红利再投",K147&lt;=0),"红利再投前须有持仓",IF(AND(B148="卖出",D148&gt;K147+0.000001),"卖出份额超过持仓",IF(AND(B148="卖出",F148&gt;=C148*D148),"赎回费不能达到赎回总额",IF(NOT(ISNUMBER(E148)),"自动金额未生成，请检查五项输入",IF(NOT(OR(持仓总览!$C$7="利润优先",持仓总览!$C$7="本金优先")),"请选择卖出分配模式","已计入")))))))))))))))))))</f>
        <v/>
      </c>
      <c r="J148" s="11">
        <f t="shared" si="39"/>
        <v>0</v>
      </c>
      <c r="K148" s="11">
        <f t="shared" si="44"/>
        <v>34284.43</v>
      </c>
      <c r="L148" s="11" t="str">
        <f t="shared" si="45"/>
        <v/>
      </c>
      <c r="M148" s="11" t="str">
        <f t="shared" si="46"/>
        <v/>
      </c>
      <c r="N148" s="11" t="str">
        <f>IF(I148="已计入",IF(AND(B148="卖出",持仓总览!$C$7="本金优先"),MAX(0,E148-Q147),IF(OR(B148="卖出",B148="现金分红"),MIN(E148,M148),0)),"")</f>
        <v/>
      </c>
      <c r="O148" s="11" t="str">
        <f t="shared" si="47"/>
        <v/>
      </c>
      <c r="P148" s="11" t="str">
        <f t="shared" si="48"/>
        <v/>
      </c>
      <c r="Q148" s="11">
        <f t="shared" si="49"/>
        <v>82516.01</v>
      </c>
      <c r="R148" s="11" t="str">
        <f t="shared" si="40"/>
        <v/>
      </c>
      <c r="S148" s="11" t="str">
        <f t="shared" si="41"/>
        <v/>
      </c>
      <c r="T148" s="12" t="str">
        <f t="shared" si="42"/>
        <v/>
      </c>
      <c r="U148" s="11">
        <f t="shared" si="50"/>
        <v>82516.01</v>
      </c>
      <c r="V148" s="11">
        <f t="shared" si="51"/>
        <v>0</v>
      </c>
      <c r="W148" s="11">
        <f t="shared" si="52"/>
        <v>0</v>
      </c>
      <c r="X148" s="11">
        <f t="shared" si="53"/>
        <v>0</v>
      </c>
      <c r="Y148" s="11" t="str">
        <f t="shared" si="43"/>
        <v/>
      </c>
      <c r="Z148" s="13">
        <f t="shared" si="54"/>
        <v>46247</v>
      </c>
      <c r="AA148" s="10" t="str">
        <f>IF(OR($AA$116="错误",COUNTIF($G$117:G148,"待修正")&gt;0),"错误","正常")</f>
        <v>正常</v>
      </c>
      <c r="AB148" s="14">
        <f t="shared" si="55"/>
        <v>2.7686</v>
      </c>
    </row>
    <row r="149" ht="23" customHeight="1" spans="1:28">
      <c r="A149" s="15"/>
      <c r="B149" s="16"/>
      <c r="C149" s="17"/>
      <c r="D149" s="18"/>
      <c r="E149" s="19" t="str">
        <f t="shared" si="36"/>
        <v/>
      </c>
      <c r="F149" s="18"/>
      <c r="G149" s="20" t="str">
        <f t="shared" si="37"/>
        <v/>
      </c>
      <c r="H149" s="21" t="str">
        <f t="shared" si="38"/>
        <v/>
      </c>
      <c r="I149" s="10" t="str">
        <f>IF(COUNTA(A149:D149,F149)=0,"",IF(NOT(ISNUMBER(A149)),"缺少有效净值日期",IF(OR(A149&lt;=0,A149&lt;&gt;INT(A149)),"净值日期无效",IF(OR(B149="转换转入",B149="现金分红"),"该类型需实际金额，五项录入不适用",IF(NOT(OR(OR(B149="买入",B149="定投"),B149="卖出",B149="红利再投")),"请选择交易类型",IF(NOT(ISNUMBER(C149)),"缺少成交净值",IF(C149&lt;=0,"成交净值须大于零",IF(NOT(ISNUMBER(D149)),"缺少确认份额",IF(D149&lt;=0,"确认份额须大于零",IF(NOT(ISNUMBER(F149)),"缺少手续费，无费用请填 0",IF(F149&lt;0,"手续费不能为负",IF(AA148="错误","前行待修正",IF(A149&lt;Z148,"日期需按成交顺序递增",IF(AND(B149="红利再投",F149&lt;&gt;0),"红利再投手续费应填 0",IF(AND(B149="红利再投",K148&lt;=0),"红利再投前须有持仓",IF(AND(B149="卖出",D149&gt;K148+0.000001),"卖出份额超过持仓",IF(AND(B149="卖出",F149&gt;=C149*D149),"赎回费不能达到赎回总额",IF(NOT(ISNUMBER(E149)),"自动金额未生成，请检查五项输入",IF(NOT(OR(持仓总览!$C$7="利润优先",持仓总览!$C$7="本金优先")),"请选择卖出分配模式","已计入")))))))))))))))))))</f>
        <v/>
      </c>
      <c r="J149" s="11">
        <f t="shared" si="39"/>
        <v>0</v>
      </c>
      <c r="K149" s="11">
        <f t="shared" si="44"/>
        <v>34284.43</v>
      </c>
      <c r="L149" s="11" t="str">
        <f t="shared" si="45"/>
        <v/>
      </c>
      <c r="M149" s="11" t="str">
        <f t="shared" si="46"/>
        <v/>
      </c>
      <c r="N149" s="11" t="str">
        <f>IF(I149="已计入",IF(AND(B149="卖出",持仓总览!$C$7="本金优先"),MAX(0,E149-Q148),IF(OR(B149="卖出",B149="现金分红"),MIN(E149,M149),0)),"")</f>
        <v/>
      </c>
      <c r="O149" s="11" t="str">
        <f t="shared" si="47"/>
        <v/>
      </c>
      <c r="P149" s="11" t="str">
        <f t="shared" si="48"/>
        <v/>
      </c>
      <c r="Q149" s="11">
        <f t="shared" si="49"/>
        <v>82516.01</v>
      </c>
      <c r="R149" s="11" t="str">
        <f t="shared" si="40"/>
        <v/>
      </c>
      <c r="S149" s="11" t="str">
        <f t="shared" si="41"/>
        <v/>
      </c>
      <c r="T149" s="12" t="str">
        <f t="shared" si="42"/>
        <v/>
      </c>
      <c r="U149" s="11">
        <f t="shared" si="50"/>
        <v>82516.01</v>
      </c>
      <c r="V149" s="11">
        <f t="shared" si="51"/>
        <v>0</v>
      </c>
      <c r="W149" s="11">
        <f t="shared" si="52"/>
        <v>0</v>
      </c>
      <c r="X149" s="11">
        <f t="shared" si="53"/>
        <v>0</v>
      </c>
      <c r="Y149" s="11" t="str">
        <f t="shared" si="43"/>
        <v/>
      </c>
      <c r="Z149" s="13">
        <f t="shared" si="54"/>
        <v>46247</v>
      </c>
      <c r="AA149" s="10" t="str">
        <f>IF(OR($AA$116="错误",COUNTIF($G$117:G149,"待修正")&gt;0),"错误","正常")</f>
        <v>正常</v>
      </c>
      <c r="AB149" s="14">
        <f t="shared" si="55"/>
        <v>2.7686</v>
      </c>
    </row>
    <row r="150" ht="23" customHeight="1" spans="1:28">
      <c r="A150" s="15"/>
      <c r="B150" s="16"/>
      <c r="C150" s="17"/>
      <c r="D150" s="18"/>
      <c r="E150" s="19" t="str">
        <f t="shared" si="36"/>
        <v/>
      </c>
      <c r="F150" s="18"/>
      <c r="G150" s="20" t="str">
        <f t="shared" si="37"/>
        <v/>
      </c>
      <c r="H150" s="21" t="str">
        <f t="shared" si="38"/>
        <v/>
      </c>
      <c r="I150" s="10" t="str">
        <f>IF(COUNTA(A150:D150,F150)=0,"",IF(NOT(ISNUMBER(A150)),"缺少有效净值日期",IF(OR(A150&lt;=0,A150&lt;&gt;INT(A150)),"净值日期无效",IF(OR(B150="转换转入",B150="现金分红"),"该类型需实际金额，五项录入不适用",IF(NOT(OR(OR(B150="买入",B150="定投"),B150="卖出",B150="红利再投")),"请选择交易类型",IF(NOT(ISNUMBER(C150)),"缺少成交净值",IF(C150&lt;=0,"成交净值须大于零",IF(NOT(ISNUMBER(D150)),"缺少确认份额",IF(D150&lt;=0,"确认份额须大于零",IF(NOT(ISNUMBER(F150)),"缺少手续费，无费用请填 0",IF(F150&lt;0,"手续费不能为负",IF(AA149="错误","前行待修正",IF(A150&lt;Z149,"日期需按成交顺序递增",IF(AND(B150="红利再投",F150&lt;&gt;0),"红利再投手续费应填 0",IF(AND(B150="红利再投",K149&lt;=0),"红利再投前须有持仓",IF(AND(B150="卖出",D150&gt;K149+0.000001),"卖出份额超过持仓",IF(AND(B150="卖出",F150&gt;=C150*D150),"赎回费不能达到赎回总额",IF(NOT(ISNUMBER(E150)),"自动金额未生成，请检查五项输入",IF(NOT(OR(持仓总览!$C$7="利润优先",持仓总览!$C$7="本金优先")),"请选择卖出分配模式","已计入")))))))))))))))))))</f>
        <v/>
      </c>
      <c r="J150" s="11">
        <f t="shared" si="39"/>
        <v>0</v>
      </c>
      <c r="K150" s="11">
        <f t="shared" si="44"/>
        <v>34284.43</v>
      </c>
      <c r="L150" s="11" t="str">
        <f t="shared" si="45"/>
        <v/>
      </c>
      <c r="M150" s="11" t="str">
        <f t="shared" si="46"/>
        <v/>
      </c>
      <c r="N150" s="11" t="str">
        <f>IF(I150="已计入",IF(AND(B150="卖出",持仓总览!$C$7="本金优先"),MAX(0,E150-Q149),IF(OR(B150="卖出",B150="现金分红"),MIN(E150,M150),0)),"")</f>
        <v/>
      </c>
      <c r="O150" s="11" t="str">
        <f t="shared" si="47"/>
        <v/>
      </c>
      <c r="P150" s="11" t="str">
        <f t="shared" si="48"/>
        <v/>
      </c>
      <c r="Q150" s="11">
        <f t="shared" si="49"/>
        <v>82516.01</v>
      </c>
      <c r="R150" s="11" t="str">
        <f t="shared" si="40"/>
        <v/>
      </c>
      <c r="S150" s="11" t="str">
        <f t="shared" si="41"/>
        <v/>
      </c>
      <c r="T150" s="12" t="str">
        <f t="shared" si="42"/>
        <v/>
      </c>
      <c r="U150" s="11">
        <f t="shared" si="50"/>
        <v>82516.01</v>
      </c>
      <c r="V150" s="11">
        <f t="shared" si="51"/>
        <v>0</v>
      </c>
      <c r="W150" s="11">
        <f t="shared" si="52"/>
        <v>0</v>
      </c>
      <c r="X150" s="11">
        <f t="shared" si="53"/>
        <v>0</v>
      </c>
      <c r="Y150" s="11" t="str">
        <f t="shared" si="43"/>
        <v/>
      </c>
      <c r="Z150" s="13">
        <f t="shared" si="54"/>
        <v>46247</v>
      </c>
      <c r="AA150" s="10" t="str">
        <f>IF(OR($AA$116="错误",COUNTIF($G$117:G150,"待修正")&gt;0),"错误","正常")</f>
        <v>正常</v>
      </c>
      <c r="AB150" s="14">
        <f t="shared" si="55"/>
        <v>2.7686</v>
      </c>
    </row>
    <row r="151" ht="23" customHeight="1" spans="1:28">
      <c r="A151" s="15"/>
      <c r="B151" s="16"/>
      <c r="C151" s="17"/>
      <c r="D151" s="18"/>
      <c r="E151" s="19" t="str">
        <f t="shared" si="36"/>
        <v/>
      </c>
      <c r="F151" s="18"/>
      <c r="G151" s="20" t="str">
        <f t="shared" si="37"/>
        <v/>
      </c>
      <c r="H151" s="21" t="str">
        <f t="shared" si="38"/>
        <v/>
      </c>
      <c r="I151" s="10" t="str">
        <f>IF(COUNTA(A151:D151,F151)=0,"",IF(NOT(ISNUMBER(A151)),"缺少有效净值日期",IF(OR(A151&lt;=0,A151&lt;&gt;INT(A151)),"净值日期无效",IF(OR(B151="转换转入",B151="现金分红"),"该类型需实际金额，五项录入不适用",IF(NOT(OR(OR(B151="买入",B151="定投"),B151="卖出",B151="红利再投")),"请选择交易类型",IF(NOT(ISNUMBER(C151)),"缺少成交净值",IF(C151&lt;=0,"成交净值须大于零",IF(NOT(ISNUMBER(D151)),"缺少确认份额",IF(D151&lt;=0,"确认份额须大于零",IF(NOT(ISNUMBER(F151)),"缺少手续费，无费用请填 0",IF(F151&lt;0,"手续费不能为负",IF(AA150="错误","前行待修正",IF(A151&lt;Z150,"日期需按成交顺序递增",IF(AND(B151="红利再投",F151&lt;&gt;0),"红利再投手续费应填 0",IF(AND(B151="红利再投",K150&lt;=0),"红利再投前须有持仓",IF(AND(B151="卖出",D151&gt;K150+0.000001),"卖出份额超过持仓",IF(AND(B151="卖出",F151&gt;=C151*D151),"赎回费不能达到赎回总额",IF(NOT(ISNUMBER(E151)),"自动金额未生成，请检查五项输入",IF(NOT(OR(持仓总览!$C$7="利润优先",持仓总览!$C$7="本金优先")),"请选择卖出分配模式","已计入")))))))))))))))))))</f>
        <v/>
      </c>
      <c r="J151" s="11">
        <f t="shared" si="39"/>
        <v>0</v>
      </c>
      <c r="K151" s="11">
        <f t="shared" si="44"/>
        <v>34284.43</v>
      </c>
      <c r="L151" s="11" t="str">
        <f t="shared" si="45"/>
        <v/>
      </c>
      <c r="M151" s="11" t="str">
        <f t="shared" si="46"/>
        <v/>
      </c>
      <c r="N151" s="11" t="str">
        <f>IF(I151="已计入",IF(AND(B151="卖出",持仓总览!$C$7="本金优先"),MAX(0,E151-Q150),IF(OR(B151="卖出",B151="现金分红"),MIN(E151,M151),0)),"")</f>
        <v/>
      </c>
      <c r="O151" s="11" t="str">
        <f t="shared" si="47"/>
        <v/>
      </c>
      <c r="P151" s="11" t="str">
        <f t="shared" si="48"/>
        <v/>
      </c>
      <c r="Q151" s="11">
        <f t="shared" si="49"/>
        <v>82516.01</v>
      </c>
      <c r="R151" s="11" t="str">
        <f t="shared" si="40"/>
        <v/>
      </c>
      <c r="S151" s="11" t="str">
        <f t="shared" si="41"/>
        <v/>
      </c>
      <c r="T151" s="12" t="str">
        <f t="shared" si="42"/>
        <v/>
      </c>
      <c r="U151" s="11">
        <f t="shared" si="50"/>
        <v>82516.01</v>
      </c>
      <c r="V151" s="11">
        <f t="shared" si="51"/>
        <v>0</v>
      </c>
      <c r="W151" s="11">
        <f t="shared" si="52"/>
        <v>0</v>
      </c>
      <c r="X151" s="11">
        <f t="shared" si="53"/>
        <v>0</v>
      </c>
      <c r="Y151" s="11" t="str">
        <f t="shared" si="43"/>
        <v/>
      </c>
      <c r="Z151" s="13">
        <f t="shared" si="54"/>
        <v>46247</v>
      </c>
      <c r="AA151" s="10" t="str">
        <f>IF(OR($AA$116="错误",COUNTIF($G$117:G151,"待修正")&gt;0),"错误","正常")</f>
        <v>正常</v>
      </c>
      <c r="AB151" s="14">
        <f t="shared" si="55"/>
        <v>2.7686</v>
      </c>
    </row>
    <row r="152" ht="23" customHeight="1" spans="1:28">
      <c r="A152" s="15"/>
      <c r="B152" s="16"/>
      <c r="C152" s="17"/>
      <c r="D152" s="18"/>
      <c r="E152" s="19" t="str">
        <f t="shared" si="36"/>
        <v/>
      </c>
      <c r="F152" s="18"/>
      <c r="G152" s="20" t="str">
        <f t="shared" si="37"/>
        <v/>
      </c>
      <c r="H152" s="21" t="str">
        <f t="shared" si="38"/>
        <v/>
      </c>
      <c r="I152" s="10" t="str">
        <f>IF(COUNTA(A152:D152,F152)=0,"",IF(NOT(ISNUMBER(A152)),"缺少有效净值日期",IF(OR(A152&lt;=0,A152&lt;&gt;INT(A152)),"净值日期无效",IF(OR(B152="转换转入",B152="现金分红"),"该类型需实际金额，五项录入不适用",IF(NOT(OR(OR(B152="买入",B152="定投"),B152="卖出",B152="红利再投")),"请选择交易类型",IF(NOT(ISNUMBER(C152)),"缺少成交净值",IF(C152&lt;=0,"成交净值须大于零",IF(NOT(ISNUMBER(D152)),"缺少确认份额",IF(D152&lt;=0,"确认份额须大于零",IF(NOT(ISNUMBER(F152)),"缺少手续费，无费用请填 0",IF(F152&lt;0,"手续费不能为负",IF(AA151="错误","前行待修正",IF(A152&lt;Z151,"日期需按成交顺序递增",IF(AND(B152="红利再投",F152&lt;&gt;0),"红利再投手续费应填 0",IF(AND(B152="红利再投",K151&lt;=0),"红利再投前须有持仓",IF(AND(B152="卖出",D152&gt;K151+0.000001),"卖出份额超过持仓",IF(AND(B152="卖出",F152&gt;=C152*D152),"赎回费不能达到赎回总额",IF(NOT(ISNUMBER(E152)),"自动金额未生成，请检查五项输入",IF(NOT(OR(持仓总览!$C$7="利润优先",持仓总览!$C$7="本金优先")),"请选择卖出分配模式","已计入")))))))))))))))))))</f>
        <v/>
      </c>
      <c r="J152" s="11">
        <f t="shared" si="39"/>
        <v>0</v>
      </c>
      <c r="K152" s="11">
        <f t="shared" si="44"/>
        <v>34284.43</v>
      </c>
      <c r="L152" s="11" t="str">
        <f t="shared" si="45"/>
        <v/>
      </c>
      <c r="M152" s="11" t="str">
        <f t="shared" si="46"/>
        <v/>
      </c>
      <c r="N152" s="11" t="str">
        <f>IF(I152="已计入",IF(AND(B152="卖出",持仓总览!$C$7="本金优先"),MAX(0,E152-Q151),IF(OR(B152="卖出",B152="现金分红"),MIN(E152,M152),0)),"")</f>
        <v/>
      </c>
      <c r="O152" s="11" t="str">
        <f t="shared" si="47"/>
        <v/>
      </c>
      <c r="P152" s="11" t="str">
        <f t="shared" si="48"/>
        <v/>
      </c>
      <c r="Q152" s="11">
        <f t="shared" si="49"/>
        <v>82516.01</v>
      </c>
      <c r="R152" s="11" t="str">
        <f t="shared" si="40"/>
        <v/>
      </c>
      <c r="S152" s="11" t="str">
        <f t="shared" si="41"/>
        <v/>
      </c>
      <c r="T152" s="12" t="str">
        <f t="shared" si="42"/>
        <v/>
      </c>
      <c r="U152" s="11">
        <f t="shared" si="50"/>
        <v>82516.01</v>
      </c>
      <c r="V152" s="11">
        <f t="shared" si="51"/>
        <v>0</v>
      </c>
      <c r="W152" s="11">
        <f t="shared" si="52"/>
        <v>0</v>
      </c>
      <c r="X152" s="11">
        <f t="shared" si="53"/>
        <v>0</v>
      </c>
      <c r="Y152" s="11" t="str">
        <f t="shared" si="43"/>
        <v/>
      </c>
      <c r="Z152" s="13">
        <f t="shared" si="54"/>
        <v>46247</v>
      </c>
      <c r="AA152" s="10" t="str">
        <f>IF(OR($AA$116="错误",COUNTIF($G$117:G152,"待修正")&gt;0),"错误","正常")</f>
        <v>正常</v>
      </c>
      <c r="AB152" s="14">
        <f t="shared" si="55"/>
        <v>2.7686</v>
      </c>
    </row>
    <row r="153" ht="23" customHeight="1" spans="1:28">
      <c r="A153" s="15"/>
      <c r="B153" s="16"/>
      <c r="C153" s="17"/>
      <c r="D153" s="18"/>
      <c r="E153" s="19" t="str">
        <f t="shared" si="36"/>
        <v/>
      </c>
      <c r="F153" s="18"/>
      <c r="G153" s="20" t="str">
        <f t="shared" si="37"/>
        <v/>
      </c>
      <c r="H153" s="21" t="str">
        <f t="shared" si="38"/>
        <v/>
      </c>
      <c r="I153" s="10" t="str">
        <f>IF(COUNTA(A153:D153,F153)=0,"",IF(NOT(ISNUMBER(A153)),"缺少有效净值日期",IF(OR(A153&lt;=0,A153&lt;&gt;INT(A153)),"净值日期无效",IF(OR(B153="转换转入",B153="现金分红"),"该类型需实际金额，五项录入不适用",IF(NOT(OR(OR(B153="买入",B153="定投"),B153="卖出",B153="红利再投")),"请选择交易类型",IF(NOT(ISNUMBER(C153)),"缺少成交净值",IF(C153&lt;=0,"成交净值须大于零",IF(NOT(ISNUMBER(D153)),"缺少确认份额",IF(D153&lt;=0,"确认份额须大于零",IF(NOT(ISNUMBER(F153)),"缺少手续费，无费用请填 0",IF(F153&lt;0,"手续费不能为负",IF(AA152="错误","前行待修正",IF(A153&lt;Z152,"日期需按成交顺序递增",IF(AND(B153="红利再投",F153&lt;&gt;0),"红利再投手续费应填 0",IF(AND(B153="红利再投",K152&lt;=0),"红利再投前须有持仓",IF(AND(B153="卖出",D153&gt;K152+0.000001),"卖出份额超过持仓",IF(AND(B153="卖出",F153&gt;=C153*D153),"赎回费不能达到赎回总额",IF(NOT(ISNUMBER(E153)),"自动金额未生成，请检查五项输入",IF(NOT(OR(持仓总览!$C$7="利润优先",持仓总览!$C$7="本金优先")),"请选择卖出分配模式","已计入")))))))))))))))))))</f>
        <v/>
      </c>
      <c r="J153" s="11">
        <f t="shared" si="39"/>
        <v>0</v>
      </c>
      <c r="K153" s="11">
        <f t="shared" si="44"/>
        <v>34284.43</v>
      </c>
      <c r="L153" s="11" t="str">
        <f t="shared" si="45"/>
        <v/>
      </c>
      <c r="M153" s="11" t="str">
        <f t="shared" si="46"/>
        <v/>
      </c>
      <c r="N153" s="11" t="str">
        <f>IF(I153="已计入",IF(AND(B153="卖出",持仓总览!$C$7="本金优先"),MAX(0,E153-Q152),IF(OR(B153="卖出",B153="现金分红"),MIN(E153,M153),0)),"")</f>
        <v/>
      </c>
      <c r="O153" s="11" t="str">
        <f t="shared" si="47"/>
        <v/>
      </c>
      <c r="P153" s="11" t="str">
        <f t="shared" si="48"/>
        <v/>
      </c>
      <c r="Q153" s="11">
        <f t="shared" si="49"/>
        <v>82516.01</v>
      </c>
      <c r="R153" s="11" t="str">
        <f t="shared" si="40"/>
        <v/>
      </c>
      <c r="S153" s="11" t="str">
        <f t="shared" si="41"/>
        <v/>
      </c>
      <c r="T153" s="12" t="str">
        <f t="shared" si="42"/>
        <v/>
      </c>
      <c r="U153" s="11">
        <f t="shared" si="50"/>
        <v>82516.01</v>
      </c>
      <c r="V153" s="11">
        <f t="shared" si="51"/>
        <v>0</v>
      </c>
      <c r="W153" s="11">
        <f t="shared" si="52"/>
        <v>0</v>
      </c>
      <c r="X153" s="11">
        <f t="shared" si="53"/>
        <v>0</v>
      </c>
      <c r="Y153" s="11" t="str">
        <f t="shared" si="43"/>
        <v/>
      </c>
      <c r="Z153" s="13">
        <f t="shared" si="54"/>
        <v>46247</v>
      </c>
      <c r="AA153" s="10" t="str">
        <f>IF(OR($AA$116="错误",COUNTIF($G$117:G153,"待修正")&gt;0),"错误","正常")</f>
        <v>正常</v>
      </c>
      <c r="AB153" s="14">
        <f t="shared" si="55"/>
        <v>2.7686</v>
      </c>
    </row>
    <row r="154" ht="23" customHeight="1" spans="1:28">
      <c r="A154" s="15"/>
      <c r="B154" s="16"/>
      <c r="C154" s="17"/>
      <c r="D154" s="18"/>
      <c r="E154" s="19" t="str">
        <f t="shared" si="36"/>
        <v/>
      </c>
      <c r="F154" s="18"/>
      <c r="G154" s="20" t="str">
        <f t="shared" si="37"/>
        <v/>
      </c>
      <c r="H154" s="21" t="str">
        <f t="shared" si="38"/>
        <v/>
      </c>
      <c r="I154" s="10" t="str">
        <f>IF(COUNTA(A154:D154,F154)=0,"",IF(NOT(ISNUMBER(A154)),"缺少有效净值日期",IF(OR(A154&lt;=0,A154&lt;&gt;INT(A154)),"净值日期无效",IF(OR(B154="转换转入",B154="现金分红"),"该类型需实际金额，五项录入不适用",IF(NOT(OR(OR(B154="买入",B154="定投"),B154="卖出",B154="红利再投")),"请选择交易类型",IF(NOT(ISNUMBER(C154)),"缺少成交净值",IF(C154&lt;=0,"成交净值须大于零",IF(NOT(ISNUMBER(D154)),"缺少确认份额",IF(D154&lt;=0,"确认份额须大于零",IF(NOT(ISNUMBER(F154)),"缺少手续费，无费用请填 0",IF(F154&lt;0,"手续费不能为负",IF(AA153="错误","前行待修正",IF(A154&lt;Z153,"日期需按成交顺序递增",IF(AND(B154="红利再投",F154&lt;&gt;0),"红利再投手续费应填 0",IF(AND(B154="红利再投",K153&lt;=0),"红利再投前须有持仓",IF(AND(B154="卖出",D154&gt;K153+0.000001),"卖出份额超过持仓",IF(AND(B154="卖出",F154&gt;=C154*D154),"赎回费不能达到赎回总额",IF(NOT(ISNUMBER(E154)),"自动金额未生成，请检查五项输入",IF(NOT(OR(持仓总览!$C$7="利润优先",持仓总览!$C$7="本金优先")),"请选择卖出分配模式","已计入")))))))))))))))))))</f>
        <v/>
      </c>
      <c r="J154" s="11">
        <f t="shared" si="39"/>
        <v>0</v>
      </c>
      <c r="K154" s="11">
        <f t="shared" si="44"/>
        <v>34284.43</v>
      </c>
      <c r="L154" s="11" t="str">
        <f t="shared" si="45"/>
        <v/>
      </c>
      <c r="M154" s="11" t="str">
        <f t="shared" si="46"/>
        <v/>
      </c>
      <c r="N154" s="11" t="str">
        <f>IF(I154="已计入",IF(AND(B154="卖出",持仓总览!$C$7="本金优先"),MAX(0,E154-Q153),IF(OR(B154="卖出",B154="现金分红"),MIN(E154,M154),0)),"")</f>
        <v/>
      </c>
      <c r="O154" s="11" t="str">
        <f t="shared" si="47"/>
        <v/>
      </c>
      <c r="P154" s="11" t="str">
        <f t="shared" si="48"/>
        <v/>
      </c>
      <c r="Q154" s="11">
        <f t="shared" si="49"/>
        <v>82516.01</v>
      </c>
      <c r="R154" s="11" t="str">
        <f t="shared" si="40"/>
        <v/>
      </c>
      <c r="S154" s="11" t="str">
        <f t="shared" si="41"/>
        <v/>
      </c>
      <c r="T154" s="12" t="str">
        <f t="shared" si="42"/>
        <v/>
      </c>
      <c r="U154" s="11">
        <f t="shared" si="50"/>
        <v>82516.01</v>
      </c>
      <c r="V154" s="11">
        <f t="shared" si="51"/>
        <v>0</v>
      </c>
      <c r="W154" s="11">
        <f t="shared" si="52"/>
        <v>0</v>
      </c>
      <c r="X154" s="11">
        <f t="shared" si="53"/>
        <v>0</v>
      </c>
      <c r="Y154" s="11" t="str">
        <f t="shared" si="43"/>
        <v/>
      </c>
      <c r="Z154" s="13">
        <f t="shared" si="54"/>
        <v>46247</v>
      </c>
      <c r="AA154" s="10" t="str">
        <f>IF(OR($AA$116="错误",COUNTIF($G$117:G154,"待修正")&gt;0),"错误","正常")</f>
        <v>正常</v>
      </c>
      <c r="AB154" s="14">
        <f t="shared" si="55"/>
        <v>2.7686</v>
      </c>
    </row>
    <row r="155" ht="23" customHeight="1" spans="1:28">
      <c r="A155" s="15"/>
      <c r="B155" s="16"/>
      <c r="C155" s="17"/>
      <c r="D155" s="18"/>
      <c r="E155" s="19" t="str">
        <f t="shared" si="36"/>
        <v/>
      </c>
      <c r="F155" s="18"/>
      <c r="G155" s="20" t="str">
        <f t="shared" si="37"/>
        <v/>
      </c>
      <c r="H155" s="21" t="str">
        <f t="shared" si="38"/>
        <v/>
      </c>
      <c r="I155" s="10" t="str">
        <f>IF(COUNTA(A155:D155,F155)=0,"",IF(NOT(ISNUMBER(A155)),"缺少有效净值日期",IF(OR(A155&lt;=0,A155&lt;&gt;INT(A155)),"净值日期无效",IF(OR(B155="转换转入",B155="现金分红"),"该类型需实际金额，五项录入不适用",IF(NOT(OR(OR(B155="买入",B155="定投"),B155="卖出",B155="红利再投")),"请选择交易类型",IF(NOT(ISNUMBER(C155)),"缺少成交净值",IF(C155&lt;=0,"成交净值须大于零",IF(NOT(ISNUMBER(D155)),"缺少确认份额",IF(D155&lt;=0,"确认份额须大于零",IF(NOT(ISNUMBER(F155)),"缺少手续费，无费用请填 0",IF(F155&lt;0,"手续费不能为负",IF(AA154="错误","前行待修正",IF(A155&lt;Z154,"日期需按成交顺序递增",IF(AND(B155="红利再投",F155&lt;&gt;0),"红利再投手续费应填 0",IF(AND(B155="红利再投",K154&lt;=0),"红利再投前须有持仓",IF(AND(B155="卖出",D155&gt;K154+0.000001),"卖出份额超过持仓",IF(AND(B155="卖出",F155&gt;=C155*D155),"赎回费不能达到赎回总额",IF(NOT(ISNUMBER(E155)),"自动金额未生成，请检查五项输入",IF(NOT(OR(持仓总览!$C$7="利润优先",持仓总览!$C$7="本金优先")),"请选择卖出分配模式","已计入")))))))))))))))))))</f>
        <v/>
      </c>
      <c r="J155" s="11">
        <f t="shared" si="39"/>
        <v>0</v>
      </c>
      <c r="K155" s="11">
        <f t="shared" si="44"/>
        <v>34284.43</v>
      </c>
      <c r="L155" s="11" t="str">
        <f t="shared" si="45"/>
        <v/>
      </c>
      <c r="M155" s="11" t="str">
        <f t="shared" si="46"/>
        <v/>
      </c>
      <c r="N155" s="11" t="str">
        <f>IF(I155="已计入",IF(AND(B155="卖出",持仓总览!$C$7="本金优先"),MAX(0,E155-Q154),IF(OR(B155="卖出",B155="现金分红"),MIN(E155,M155),0)),"")</f>
        <v/>
      </c>
      <c r="O155" s="11" t="str">
        <f t="shared" si="47"/>
        <v/>
      </c>
      <c r="P155" s="11" t="str">
        <f t="shared" si="48"/>
        <v/>
      </c>
      <c r="Q155" s="11">
        <f t="shared" si="49"/>
        <v>82516.01</v>
      </c>
      <c r="R155" s="11" t="str">
        <f t="shared" si="40"/>
        <v/>
      </c>
      <c r="S155" s="11" t="str">
        <f t="shared" si="41"/>
        <v/>
      </c>
      <c r="T155" s="12" t="str">
        <f t="shared" si="42"/>
        <v/>
      </c>
      <c r="U155" s="11">
        <f t="shared" si="50"/>
        <v>82516.01</v>
      </c>
      <c r="V155" s="11">
        <f t="shared" si="51"/>
        <v>0</v>
      </c>
      <c r="W155" s="11">
        <f t="shared" si="52"/>
        <v>0</v>
      </c>
      <c r="X155" s="11">
        <f t="shared" si="53"/>
        <v>0</v>
      </c>
      <c r="Y155" s="11" t="str">
        <f t="shared" si="43"/>
        <v/>
      </c>
      <c r="Z155" s="13">
        <f t="shared" si="54"/>
        <v>46247</v>
      </c>
      <c r="AA155" s="10" t="str">
        <f>IF(OR($AA$116="错误",COUNTIF($G$117:G155,"待修正")&gt;0),"错误","正常")</f>
        <v>正常</v>
      </c>
      <c r="AB155" s="14">
        <f t="shared" si="55"/>
        <v>2.7686</v>
      </c>
    </row>
    <row r="156" ht="23" customHeight="1" spans="1:28">
      <c r="A156" s="15"/>
      <c r="B156" s="16"/>
      <c r="C156" s="17"/>
      <c r="D156" s="18"/>
      <c r="E156" s="19" t="str">
        <f t="shared" si="36"/>
        <v/>
      </c>
      <c r="F156" s="18"/>
      <c r="G156" s="20" t="str">
        <f t="shared" si="37"/>
        <v/>
      </c>
      <c r="H156" s="21" t="str">
        <f t="shared" si="38"/>
        <v/>
      </c>
      <c r="I156" s="10" t="str">
        <f>IF(COUNTA(A156:D156,F156)=0,"",IF(NOT(ISNUMBER(A156)),"缺少有效净值日期",IF(OR(A156&lt;=0,A156&lt;&gt;INT(A156)),"净值日期无效",IF(OR(B156="转换转入",B156="现金分红"),"该类型需实际金额，五项录入不适用",IF(NOT(OR(OR(B156="买入",B156="定投"),B156="卖出",B156="红利再投")),"请选择交易类型",IF(NOT(ISNUMBER(C156)),"缺少成交净值",IF(C156&lt;=0,"成交净值须大于零",IF(NOT(ISNUMBER(D156)),"缺少确认份额",IF(D156&lt;=0,"确认份额须大于零",IF(NOT(ISNUMBER(F156)),"缺少手续费，无费用请填 0",IF(F156&lt;0,"手续费不能为负",IF(AA155="错误","前行待修正",IF(A156&lt;Z155,"日期需按成交顺序递增",IF(AND(B156="红利再投",F156&lt;&gt;0),"红利再投手续费应填 0",IF(AND(B156="红利再投",K155&lt;=0),"红利再投前须有持仓",IF(AND(B156="卖出",D156&gt;K155+0.000001),"卖出份额超过持仓",IF(AND(B156="卖出",F156&gt;=C156*D156),"赎回费不能达到赎回总额",IF(NOT(ISNUMBER(E156)),"自动金额未生成，请检查五项输入",IF(NOT(OR(持仓总览!$C$7="利润优先",持仓总览!$C$7="本金优先")),"请选择卖出分配模式","已计入")))))))))))))))))))</f>
        <v/>
      </c>
      <c r="J156" s="11">
        <f t="shared" si="39"/>
        <v>0</v>
      </c>
      <c r="K156" s="11">
        <f t="shared" si="44"/>
        <v>34284.43</v>
      </c>
      <c r="L156" s="11" t="str">
        <f t="shared" si="45"/>
        <v/>
      </c>
      <c r="M156" s="11" t="str">
        <f t="shared" si="46"/>
        <v/>
      </c>
      <c r="N156" s="11" t="str">
        <f>IF(I156="已计入",IF(AND(B156="卖出",持仓总览!$C$7="本金优先"),MAX(0,E156-Q155),IF(OR(B156="卖出",B156="现金分红"),MIN(E156,M156),0)),"")</f>
        <v/>
      </c>
      <c r="O156" s="11" t="str">
        <f t="shared" si="47"/>
        <v/>
      </c>
      <c r="P156" s="11" t="str">
        <f t="shared" si="48"/>
        <v/>
      </c>
      <c r="Q156" s="11">
        <f t="shared" si="49"/>
        <v>82516.01</v>
      </c>
      <c r="R156" s="11" t="str">
        <f t="shared" si="40"/>
        <v/>
      </c>
      <c r="S156" s="11" t="str">
        <f t="shared" si="41"/>
        <v/>
      </c>
      <c r="T156" s="12" t="str">
        <f t="shared" si="42"/>
        <v/>
      </c>
      <c r="U156" s="11">
        <f t="shared" si="50"/>
        <v>82516.01</v>
      </c>
      <c r="V156" s="11">
        <f t="shared" si="51"/>
        <v>0</v>
      </c>
      <c r="W156" s="11">
        <f t="shared" si="52"/>
        <v>0</v>
      </c>
      <c r="X156" s="11">
        <f t="shared" si="53"/>
        <v>0</v>
      </c>
      <c r="Y156" s="11" t="str">
        <f t="shared" si="43"/>
        <v/>
      </c>
      <c r="Z156" s="13">
        <f t="shared" si="54"/>
        <v>46247</v>
      </c>
      <c r="AA156" s="10" t="str">
        <f>IF(OR($AA$116="错误",COUNTIF($G$117:G156,"待修正")&gt;0),"错误","正常")</f>
        <v>正常</v>
      </c>
      <c r="AB156" s="14">
        <f t="shared" si="55"/>
        <v>2.7686</v>
      </c>
    </row>
    <row r="157" ht="23" customHeight="1" spans="1:28">
      <c r="A157" s="15"/>
      <c r="B157" s="16"/>
      <c r="C157" s="17"/>
      <c r="D157" s="18"/>
      <c r="E157" s="19" t="str">
        <f t="shared" si="36"/>
        <v/>
      </c>
      <c r="F157" s="18"/>
      <c r="G157" s="20" t="str">
        <f t="shared" si="37"/>
        <v/>
      </c>
      <c r="H157" s="21" t="str">
        <f t="shared" si="38"/>
        <v/>
      </c>
      <c r="I157" s="10" t="str">
        <f>IF(COUNTA(A157:D157,F157)=0,"",IF(NOT(ISNUMBER(A157)),"缺少有效净值日期",IF(OR(A157&lt;=0,A157&lt;&gt;INT(A157)),"净值日期无效",IF(OR(B157="转换转入",B157="现金分红"),"该类型需实际金额，五项录入不适用",IF(NOT(OR(OR(B157="买入",B157="定投"),B157="卖出",B157="红利再投")),"请选择交易类型",IF(NOT(ISNUMBER(C157)),"缺少成交净值",IF(C157&lt;=0,"成交净值须大于零",IF(NOT(ISNUMBER(D157)),"缺少确认份额",IF(D157&lt;=0,"确认份额须大于零",IF(NOT(ISNUMBER(F157)),"缺少手续费，无费用请填 0",IF(F157&lt;0,"手续费不能为负",IF(AA156="错误","前行待修正",IF(A157&lt;Z156,"日期需按成交顺序递增",IF(AND(B157="红利再投",F157&lt;&gt;0),"红利再投手续费应填 0",IF(AND(B157="红利再投",K156&lt;=0),"红利再投前须有持仓",IF(AND(B157="卖出",D157&gt;K156+0.000001),"卖出份额超过持仓",IF(AND(B157="卖出",F157&gt;=C157*D157),"赎回费不能达到赎回总额",IF(NOT(ISNUMBER(E157)),"自动金额未生成，请检查五项输入",IF(NOT(OR(持仓总览!$C$7="利润优先",持仓总览!$C$7="本金优先")),"请选择卖出分配模式","已计入")))))))))))))))))))</f>
        <v/>
      </c>
      <c r="J157" s="11">
        <f t="shared" si="39"/>
        <v>0</v>
      </c>
      <c r="K157" s="11">
        <f t="shared" si="44"/>
        <v>34284.43</v>
      </c>
      <c r="L157" s="11" t="str">
        <f t="shared" si="45"/>
        <v/>
      </c>
      <c r="M157" s="11" t="str">
        <f t="shared" si="46"/>
        <v/>
      </c>
      <c r="N157" s="11" t="str">
        <f>IF(I157="已计入",IF(AND(B157="卖出",持仓总览!$C$7="本金优先"),MAX(0,E157-Q156),IF(OR(B157="卖出",B157="现金分红"),MIN(E157,M157),0)),"")</f>
        <v/>
      </c>
      <c r="O157" s="11" t="str">
        <f t="shared" si="47"/>
        <v/>
      </c>
      <c r="P157" s="11" t="str">
        <f t="shared" si="48"/>
        <v/>
      </c>
      <c r="Q157" s="11">
        <f t="shared" si="49"/>
        <v>82516.01</v>
      </c>
      <c r="R157" s="11" t="str">
        <f t="shared" si="40"/>
        <v/>
      </c>
      <c r="S157" s="11" t="str">
        <f t="shared" si="41"/>
        <v/>
      </c>
      <c r="T157" s="12" t="str">
        <f t="shared" si="42"/>
        <v/>
      </c>
      <c r="U157" s="11">
        <f t="shared" si="50"/>
        <v>82516.01</v>
      </c>
      <c r="V157" s="11">
        <f t="shared" si="51"/>
        <v>0</v>
      </c>
      <c r="W157" s="11">
        <f t="shared" si="52"/>
        <v>0</v>
      </c>
      <c r="X157" s="11">
        <f t="shared" si="53"/>
        <v>0</v>
      </c>
      <c r="Y157" s="11" t="str">
        <f t="shared" si="43"/>
        <v/>
      </c>
      <c r="Z157" s="13">
        <f t="shared" si="54"/>
        <v>46247</v>
      </c>
      <c r="AA157" s="10" t="str">
        <f>IF(OR($AA$116="错误",COUNTIF($G$117:G157,"待修正")&gt;0),"错误","正常")</f>
        <v>正常</v>
      </c>
      <c r="AB157" s="14">
        <f t="shared" si="55"/>
        <v>2.7686</v>
      </c>
    </row>
    <row r="158" ht="23" customHeight="1" spans="1:28">
      <c r="A158" s="15"/>
      <c r="B158" s="16"/>
      <c r="C158" s="17"/>
      <c r="D158" s="18"/>
      <c r="E158" s="19" t="str">
        <f t="shared" si="36"/>
        <v/>
      </c>
      <c r="F158" s="18"/>
      <c r="G158" s="20" t="str">
        <f t="shared" si="37"/>
        <v/>
      </c>
      <c r="H158" s="21" t="str">
        <f t="shared" si="38"/>
        <v/>
      </c>
      <c r="I158" s="10" t="str">
        <f>IF(COUNTA(A158:D158,F158)=0,"",IF(NOT(ISNUMBER(A158)),"缺少有效净值日期",IF(OR(A158&lt;=0,A158&lt;&gt;INT(A158)),"净值日期无效",IF(OR(B158="转换转入",B158="现金分红"),"该类型需实际金额，五项录入不适用",IF(NOT(OR(OR(B158="买入",B158="定投"),B158="卖出",B158="红利再投")),"请选择交易类型",IF(NOT(ISNUMBER(C158)),"缺少成交净值",IF(C158&lt;=0,"成交净值须大于零",IF(NOT(ISNUMBER(D158)),"缺少确认份额",IF(D158&lt;=0,"确认份额须大于零",IF(NOT(ISNUMBER(F158)),"缺少手续费，无费用请填 0",IF(F158&lt;0,"手续费不能为负",IF(AA157="错误","前行待修正",IF(A158&lt;Z157,"日期需按成交顺序递增",IF(AND(B158="红利再投",F158&lt;&gt;0),"红利再投手续费应填 0",IF(AND(B158="红利再投",K157&lt;=0),"红利再投前须有持仓",IF(AND(B158="卖出",D158&gt;K157+0.000001),"卖出份额超过持仓",IF(AND(B158="卖出",F158&gt;=C158*D158),"赎回费不能达到赎回总额",IF(NOT(ISNUMBER(E158)),"自动金额未生成，请检查五项输入",IF(NOT(OR(持仓总览!$C$7="利润优先",持仓总览!$C$7="本金优先")),"请选择卖出分配模式","已计入")))))))))))))))))))</f>
        <v/>
      </c>
      <c r="J158" s="11">
        <f t="shared" si="39"/>
        <v>0</v>
      </c>
      <c r="K158" s="11">
        <f t="shared" si="44"/>
        <v>34284.43</v>
      </c>
      <c r="L158" s="11" t="str">
        <f t="shared" si="45"/>
        <v/>
      </c>
      <c r="M158" s="11" t="str">
        <f t="shared" si="46"/>
        <v/>
      </c>
      <c r="N158" s="11" t="str">
        <f>IF(I158="已计入",IF(AND(B158="卖出",持仓总览!$C$7="本金优先"),MAX(0,E158-Q157),IF(OR(B158="卖出",B158="现金分红"),MIN(E158,M158),0)),"")</f>
        <v/>
      </c>
      <c r="O158" s="11" t="str">
        <f t="shared" si="47"/>
        <v/>
      </c>
      <c r="P158" s="11" t="str">
        <f t="shared" si="48"/>
        <v/>
      </c>
      <c r="Q158" s="11">
        <f t="shared" si="49"/>
        <v>82516.01</v>
      </c>
      <c r="R158" s="11" t="str">
        <f t="shared" si="40"/>
        <v/>
      </c>
      <c r="S158" s="11" t="str">
        <f t="shared" si="41"/>
        <v/>
      </c>
      <c r="T158" s="12" t="str">
        <f t="shared" si="42"/>
        <v/>
      </c>
      <c r="U158" s="11">
        <f t="shared" si="50"/>
        <v>82516.01</v>
      </c>
      <c r="V158" s="11">
        <f t="shared" si="51"/>
        <v>0</v>
      </c>
      <c r="W158" s="11">
        <f t="shared" si="52"/>
        <v>0</v>
      </c>
      <c r="X158" s="11">
        <f t="shared" si="53"/>
        <v>0</v>
      </c>
      <c r="Y158" s="11" t="str">
        <f t="shared" si="43"/>
        <v/>
      </c>
      <c r="Z158" s="13">
        <f t="shared" si="54"/>
        <v>46247</v>
      </c>
      <c r="AA158" s="10" t="str">
        <f>IF(OR($AA$116="错误",COUNTIF($G$117:G158,"待修正")&gt;0),"错误","正常")</f>
        <v>正常</v>
      </c>
      <c r="AB158" s="14">
        <f t="shared" si="55"/>
        <v>2.7686</v>
      </c>
    </row>
    <row r="159" ht="23" customHeight="1" spans="1:28">
      <c r="A159" s="15"/>
      <c r="B159" s="16"/>
      <c r="C159" s="17"/>
      <c r="D159" s="18"/>
      <c r="E159" s="19" t="str">
        <f t="shared" si="36"/>
        <v/>
      </c>
      <c r="F159" s="18"/>
      <c r="G159" s="20" t="str">
        <f t="shared" si="37"/>
        <v/>
      </c>
      <c r="H159" s="21" t="str">
        <f t="shared" si="38"/>
        <v/>
      </c>
      <c r="I159" s="10" t="str">
        <f>IF(COUNTA(A159:D159,F159)=0,"",IF(NOT(ISNUMBER(A159)),"缺少有效净值日期",IF(OR(A159&lt;=0,A159&lt;&gt;INT(A159)),"净值日期无效",IF(OR(B159="转换转入",B159="现金分红"),"该类型需实际金额，五项录入不适用",IF(NOT(OR(OR(B159="买入",B159="定投"),B159="卖出",B159="红利再投")),"请选择交易类型",IF(NOT(ISNUMBER(C159)),"缺少成交净值",IF(C159&lt;=0,"成交净值须大于零",IF(NOT(ISNUMBER(D159)),"缺少确认份额",IF(D159&lt;=0,"确认份额须大于零",IF(NOT(ISNUMBER(F159)),"缺少手续费，无费用请填 0",IF(F159&lt;0,"手续费不能为负",IF(AA158="错误","前行待修正",IF(A159&lt;Z158,"日期需按成交顺序递增",IF(AND(B159="红利再投",F159&lt;&gt;0),"红利再投手续费应填 0",IF(AND(B159="红利再投",K158&lt;=0),"红利再投前须有持仓",IF(AND(B159="卖出",D159&gt;K158+0.000001),"卖出份额超过持仓",IF(AND(B159="卖出",F159&gt;=C159*D159),"赎回费不能达到赎回总额",IF(NOT(ISNUMBER(E159)),"自动金额未生成，请检查五项输入",IF(NOT(OR(持仓总览!$C$7="利润优先",持仓总览!$C$7="本金优先")),"请选择卖出分配模式","已计入")))))))))))))))))))</f>
        <v/>
      </c>
      <c r="J159" s="11">
        <f t="shared" si="39"/>
        <v>0</v>
      </c>
      <c r="K159" s="11">
        <f t="shared" si="44"/>
        <v>34284.43</v>
      </c>
      <c r="L159" s="11" t="str">
        <f t="shared" si="45"/>
        <v/>
      </c>
      <c r="M159" s="11" t="str">
        <f t="shared" si="46"/>
        <v/>
      </c>
      <c r="N159" s="11" t="str">
        <f>IF(I159="已计入",IF(AND(B159="卖出",持仓总览!$C$7="本金优先"),MAX(0,E159-Q158),IF(OR(B159="卖出",B159="现金分红"),MIN(E159,M159),0)),"")</f>
        <v/>
      </c>
      <c r="O159" s="11" t="str">
        <f t="shared" si="47"/>
        <v/>
      </c>
      <c r="P159" s="11" t="str">
        <f t="shared" si="48"/>
        <v/>
      </c>
      <c r="Q159" s="11">
        <f t="shared" si="49"/>
        <v>82516.01</v>
      </c>
      <c r="R159" s="11" t="str">
        <f t="shared" si="40"/>
        <v/>
      </c>
      <c r="S159" s="11" t="str">
        <f t="shared" si="41"/>
        <v/>
      </c>
      <c r="T159" s="12" t="str">
        <f t="shared" si="42"/>
        <v/>
      </c>
      <c r="U159" s="11">
        <f t="shared" si="50"/>
        <v>82516.01</v>
      </c>
      <c r="V159" s="11">
        <f t="shared" si="51"/>
        <v>0</v>
      </c>
      <c r="W159" s="11">
        <f t="shared" si="52"/>
        <v>0</v>
      </c>
      <c r="X159" s="11">
        <f t="shared" si="53"/>
        <v>0</v>
      </c>
      <c r="Y159" s="11" t="str">
        <f t="shared" si="43"/>
        <v/>
      </c>
      <c r="Z159" s="13">
        <f t="shared" si="54"/>
        <v>46247</v>
      </c>
      <c r="AA159" s="10" t="str">
        <f>IF(OR($AA$116="错误",COUNTIF($G$117:G159,"待修正")&gt;0),"错误","正常")</f>
        <v>正常</v>
      </c>
      <c r="AB159" s="14">
        <f t="shared" si="55"/>
        <v>2.7686</v>
      </c>
    </row>
    <row r="160" ht="23" customHeight="1" spans="1:28">
      <c r="A160" s="15"/>
      <c r="B160" s="16"/>
      <c r="C160" s="17"/>
      <c r="D160" s="18"/>
      <c r="E160" s="19" t="str">
        <f t="shared" si="36"/>
        <v/>
      </c>
      <c r="F160" s="18"/>
      <c r="G160" s="20" t="str">
        <f t="shared" si="37"/>
        <v/>
      </c>
      <c r="H160" s="21" t="str">
        <f t="shared" si="38"/>
        <v/>
      </c>
      <c r="I160" s="10" t="str">
        <f>IF(COUNTA(A160:D160,F160)=0,"",IF(NOT(ISNUMBER(A160)),"缺少有效净值日期",IF(OR(A160&lt;=0,A160&lt;&gt;INT(A160)),"净值日期无效",IF(OR(B160="转换转入",B160="现金分红"),"该类型需实际金额，五项录入不适用",IF(NOT(OR(OR(B160="买入",B160="定投"),B160="卖出",B160="红利再投")),"请选择交易类型",IF(NOT(ISNUMBER(C160)),"缺少成交净值",IF(C160&lt;=0,"成交净值须大于零",IF(NOT(ISNUMBER(D160)),"缺少确认份额",IF(D160&lt;=0,"确认份额须大于零",IF(NOT(ISNUMBER(F160)),"缺少手续费，无费用请填 0",IF(F160&lt;0,"手续费不能为负",IF(AA159="错误","前行待修正",IF(A160&lt;Z159,"日期需按成交顺序递增",IF(AND(B160="红利再投",F160&lt;&gt;0),"红利再投手续费应填 0",IF(AND(B160="红利再投",K159&lt;=0),"红利再投前须有持仓",IF(AND(B160="卖出",D160&gt;K159+0.000001),"卖出份额超过持仓",IF(AND(B160="卖出",F160&gt;=C160*D160),"赎回费不能达到赎回总额",IF(NOT(ISNUMBER(E160)),"自动金额未生成，请检查五项输入",IF(NOT(OR(持仓总览!$C$7="利润优先",持仓总览!$C$7="本金优先")),"请选择卖出分配模式","已计入")))))))))))))))))))</f>
        <v/>
      </c>
      <c r="J160" s="11">
        <f t="shared" si="39"/>
        <v>0</v>
      </c>
      <c r="K160" s="11">
        <f t="shared" si="44"/>
        <v>34284.43</v>
      </c>
      <c r="L160" s="11" t="str">
        <f t="shared" si="45"/>
        <v/>
      </c>
      <c r="M160" s="11" t="str">
        <f t="shared" si="46"/>
        <v/>
      </c>
      <c r="N160" s="11" t="str">
        <f>IF(I160="已计入",IF(AND(B160="卖出",持仓总览!$C$7="本金优先"),MAX(0,E160-Q159),IF(OR(B160="卖出",B160="现金分红"),MIN(E160,M160),0)),"")</f>
        <v/>
      </c>
      <c r="O160" s="11" t="str">
        <f t="shared" si="47"/>
        <v/>
      </c>
      <c r="P160" s="11" t="str">
        <f t="shared" si="48"/>
        <v/>
      </c>
      <c r="Q160" s="11">
        <f t="shared" si="49"/>
        <v>82516.01</v>
      </c>
      <c r="R160" s="11" t="str">
        <f t="shared" si="40"/>
        <v/>
      </c>
      <c r="S160" s="11" t="str">
        <f t="shared" si="41"/>
        <v/>
      </c>
      <c r="T160" s="12" t="str">
        <f t="shared" si="42"/>
        <v/>
      </c>
      <c r="U160" s="11">
        <f t="shared" si="50"/>
        <v>82516.01</v>
      </c>
      <c r="V160" s="11">
        <f t="shared" si="51"/>
        <v>0</v>
      </c>
      <c r="W160" s="11">
        <f t="shared" si="52"/>
        <v>0</v>
      </c>
      <c r="X160" s="11">
        <f t="shared" si="53"/>
        <v>0</v>
      </c>
      <c r="Y160" s="11" t="str">
        <f t="shared" si="43"/>
        <v/>
      </c>
      <c r="Z160" s="13">
        <f t="shared" si="54"/>
        <v>46247</v>
      </c>
      <c r="AA160" s="10" t="str">
        <f>IF(OR($AA$116="错误",COUNTIF($G$117:G160,"待修正")&gt;0),"错误","正常")</f>
        <v>正常</v>
      </c>
      <c r="AB160" s="14">
        <f t="shared" si="55"/>
        <v>2.7686</v>
      </c>
    </row>
    <row r="161" ht="23" customHeight="1" spans="1:28">
      <c r="A161" s="15"/>
      <c r="B161" s="16"/>
      <c r="C161" s="17"/>
      <c r="D161" s="18"/>
      <c r="E161" s="19" t="str">
        <f t="shared" si="36"/>
        <v/>
      </c>
      <c r="F161" s="18"/>
      <c r="G161" s="20" t="str">
        <f t="shared" si="37"/>
        <v/>
      </c>
      <c r="H161" s="21" t="str">
        <f t="shared" si="38"/>
        <v/>
      </c>
      <c r="I161" s="10" t="str">
        <f>IF(COUNTA(A161:D161,F161)=0,"",IF(NOT(ISNUMBER(A161)),"缺少有效净值日期",IF(OR(A161&lt;=0,A161&lt;&gt;INT(A161)),"净值日期无效",IF(OR(B161="转换转入",B161="现金分红"),"该类型需实际金额，五项录入不适用",IF(NOT(OR(OR(B161="买入",B161="定投"),B161="卖出",B161="红利再投")),"请选择交易类型",IF(NOT(ISNUMBER(C161)),"缺少成交净值",IF(C161&lt;=0,"成交净值须大于零",IF(NOT(ISNUMBER(D161)),"缺少确认份额",IF(D161&lt;=0,"确认份额须大于零",IF(NOT(ISNUMBER(F161)),"缺少手续费，无费用请填 0",IF(F161&lt;0,"手续费不能为负",IF(AA160="错误","前行待修正",IF(A161&lt;Z160,"日期需按成交顺序递增",IF(AND(B161="红利再投",F161&lt;&gt;0),"红利再投手续费应填 0",IF(AND(B161="红利再投",K160&lt;=0),"红利再投前须有持仓",IF(AND(B161="卖出",D161&gt;K160+0.000001),"卖出份额超过持仓",IF(AND(B161="卖出",F161&gt;=C161*D161),"赎回费不能达到赎回总额",IF(NOT(ISNUMBER(E161)),"自动金额未生成，请检查五项输入",IF(NOT(OR(持仓总览!$C$7="利润优先",持仓总览!$C$7="本金优先")),"请选择卖出分配模式","已计入")))))))))))))))))))</f>
        <v/>
      </c>
      <c r="J161" s="11">
        <f t="shared" si="39"/>
        <v>0</v>
      </c>
      <c r="K161" s="11">
        <f t="shared" si="44"/>
        <v>34284.43</v>
      </c>
      <c r="L161" s="11" t="str">
        <f t="shared" si="45"/>
        <v/>
      </c>
      <c r="M161" s="11" t="str">
        <f t="shared" si="46"/>
        <v/>
      </c>
      <c r="N161" s="11" t="str">
        <f>IF(I161="已计入",IF(AND(B161="卖出",持仓总览!$C$7="本金优先"),MAX(0,E161-Q160),IF(OR(B161="卖出",B161="现金分红"),MIN(E161,M161),0)),"")</f>
        <v/>
      </c>
      <c r="O161" s="11" t="str">
        <f t="shared" si="47"/>
        <v/>
      </c>
      <c r="P161" s="11" t="str">
        <f t="shared" si="48"/>
        <v/>
      </c>
      <c r="Q161" s="11">
        <f t="shared" si="49"/>
        <v>82516.01</v>
      </c>
      <c r="R161" s="11" t="str">
        <f t="shared" si="40"/>
        <v/>
      </c>
      <c r="S161" s="11" t="str">
        <f t="shared" si="41"/>
        <v/>
      </c>
      <c r="T161" s="12" t="str">
        <f t="shared" si="42"/>
        <v/>
      </c>
      <c r="U161" s="11">
        <f t="shared" si="50"/>
        <v>82516.01</v>
      </c>
      <c r="V161" s="11">
        <f t="shared" si="51"/>
        <v>0</v>
      </c>
      <c r="W161" s="11">
        <f t="shared" si="52"/>
        <v>0</v>
      </c>
      <c r="X161" s="11">
        <f t="shared" si="53"/>
        <v>0</v>
      </c>
      <c r="Y161" s="11" t="str">
        <f t="shared" si="43"/>
        <v/>
      </c>
      <c r="Z161" s="13">
        <f t="shared" si="54"/>
        <v>46247</v>
      </c>
      <c r="AA161" s="10" t="str">
        <f>IF(OR($AA$116="错误",COUNTIF($G$117:G161,"待修正")&gt;0),"错误","正常")</f>
        <v>正常</v>
      </c>
      <c r="AB161" s="14">
        <f t="shared" si="55"/>
        <v>2.7686</v>
      </c>
    </row>
    <row r="162" ht="23" customHeight="1" spans="1:28">
      <c r="A162" s="15"/>
      <c r="B162" s="16"/>
      <c r="C162" s="17"/>
      <c r="D162" s="18"/>
      <c r="E162" s="19" t="str">
        <f t="shared" si="36"/>
        <v/>
      </c>
      <c r="F162" s="18"/>
      <c r="G162" s="20" t="str">
        <f t="shared" si="37"/>
        <v/>
      </c>
      <c r="H162" s="21" t="str">
        <f t="shared" si="38"/>
        <v/>
      </c>
      <c r="I162" s="10" t="str">
        <f>IF(COUNTA(A162:D162,F162)=0,"",IF(NOT(ISNUMBER(A162)),"缺少有效净值日期",IF(OR(A162&lt;=0,A162&lt;&gt;INT(A162)),"净值日期无效",IF(OR(B162="转换转入",B162="现金分红"),"该类型需实际金额，五项录入不适用",IF(NOT(OR(OR(B162="买入",B162="定投"),B162="卖出",B162="红利再投")),"请选择交易类型",IF(NOT(ISNUMBER(C162)),"缺少成交净值",IF(C162&lt;=0,"成交净值须大于零",IF(NOT(ISNUMBER(D162)),"缺少确认份额",IF(D162&lt;=0,"确认份额须大于零",IF(NOT(ISNUMBER(F162)),"缺少手续费，无费用请填 0",IF(F162&lt;0,"手续费不能为负",IF(AA161="错误","前行待修正",IF(A162&lt;Z161,"日期需按成交顺序递增",IF(AND(B162="红利再投",F162&lt;&gt;0),"红利再投手续费应填 0",IF(AND(B162="红利再投",K161&lt;=0),"红利再投前须有持仓",IF(AND(B162="卖出",D162&gt;K161+0.000001),"卖出份额超过持仓",IF(AND(B162="卖出",F162&gt;=C162*D162),"赎回费不能达到赎回总额",IF(NOT(ISNUMBER(E162)),"自动金额未生成，请检查五项输入",IF(NOT(OR(持仓总览!$C$7="利润优先",持仓总览!$C$7="本金优先")),"请选择卖出分配模式","已计入")))))))))))))))))))</f>
        <v/>
      </c>
      <c r="J162" s="11">
        <f t="shared" si="39"/>
        <v>0</v>
      </c>
      <c r="K162" s="11">
        <f t="shared" si="44"/>
        <v>34284.43</v>
      </c>
      <c r="L162" s="11" t="str">
        <f t="shared" si="45"/>
        <v/>
      </c>
      <c r="M162" s="11" t="str">
        <f t="shared" si="46"/>
        <v/>
      </c>
      <c r="N162" s="11" t="str">
        <f>IF(I162="已计入",IF(AND(B162="卖出",持仓总览!$C$7="本金优先"),MAX(0,E162-Q161),IF(OR(B162="卖出",B162="现金分红"),MIN(E162,M162),0)),"")</f>
        <v/>
      </c>
      <c r="O162" s="11" t="str">
        <f t="shared" si="47"/>
        <v/>
      </c>
      <c r="P162" s="11" t="str">
        <f t="shared" si="48"/>
        <v/>
      </c>
      <c r="Q162" s="11">
        <f t="shared" si="49"/>
        <v>82516.01</v>
      </c>
      <c r="R162" s="11" t="str">
        <f t="shared" si="40"/>
        <v/>
      </c>
      <c r="S162" s="11" t="str">
        <f t="shared" si="41"/>
        <v/>
      </c>
      <c r="T162" s="12" t="str">
        <f t="shared" si="42"/>
        <v/>
      </c>
      <c r="U162" s="11">
        <f t="shared" si="50"/>
        <v>82516.01</v>
      </c>
      <c r="V162" s="11">
        <f t="shared" si="51"/>
        <v>0</v>
      </c>
      <c r="W162" s="11">
        <f t="shared" si="52"/>
        <v>0</v>
      </c>
      <c r="X162" s="11">
        <f t="shared" si="53"/>
        <v>0</v>
      </c>
      <c r="Y162" s="11" t="str">
        <f t="shared" si="43"/>
        <v/>
      </c>
      <c r="Z162" s="13">
        <f t="shared" si="54"/>
        <v>46247</v>
      </c>
      <c r="AA162" s="10" t="str">
        <f>IF(OR($AA$116="错误",COUNTIF($G$117:G162,"待修正")&gt;0),"错误","正常")</f>
        <v>正常</v>
      </c>
      <c r="AB162" s="14">
        <f t="shared" si="55"/>
        <v>2.7686</v>
      </c>
    </row>
    <row r="163" ht="23" customHeight="1" spans="1:28">
      <c r="A163" s="15"/>
      <c r="B163" s="16"/>
      <c r="C163" s="17"/>
      <c r="D163" s="18"/>
      <c r="E163" s="19" t="str">
        <f t="shared" si="36"/>
        <v/>
      </c>
      <c r="F163" s="18"/>
      <c r="G163" s="20" t="str">
        <f t="shared" si="37"/>
        <v/>
      </c>
      <c r="H163" s="21" t="str">
        <f t="shared" si="38"/>
        <v/>
      </c>
      <c r="I163" s="10" t="str">
        <f>IF(COUNTA(A163:D163,F163)=0,"",IF(NOT(ISNUMBER(A163)),"缺少有效净值日期",IF(OR(A163&lt;=0,A163&lt;&gt;INT(A163)),"净值日期无效",IF(OR(B163="转换转入",B163="现金分红"),"该类型需实际金额，五项录入不适用",IF(NOT(OR(OR(B163="买入",B163="定投"),B163="卖出",B163="红利再投")),"请选择交易类型",IF(NOT(ISNUMBER(C163)),"缺少成交净值",IF(C163&lt;=0,"成交净值须大于零",IF(NOT(ISNUMBER(D163)),"缺少确认份额",IF(D163&lt;=0,"确认份额须大于零",IF(NOT(ISNUMBER(F163)),"缺少手续费，无费用请填 0",IF(F163&lt;0,"手续费不能为负",IF(AA162="错误","前行待修正",IF(A163&lt;Z162,"日期需按成交顺序递增",IF(AND(B163="红利再投",F163&lt;&gt;0),"红利再投手续费应填 0",IF(AND(B163="红利再投",K162&lt;=0),"红利再投前须有持仓",IF(AND(B163="卖出",D163&gt;K162+0.000001),"卖出份额超过持仓",IF(AND(B163="卖出",F163&gt;=C163*D163),"赎回费不能达到赎回总额",IF(NOT(ISNUMBER(E163)),"自动金额未生成，请检查五项输入",IF(NOT(OR(持仓总览!$C$7="利润优先",持仓总览!$C$7="本金优先")),"请选择卖出分配模式","已计入")))))))))))))))))))</f>
        <v/>
      </c>
      <c r="J163" s="11">
        <f t="shared" si="39"/>
        <v>0</v>
      </c>
      <c r="K163" s="11">
        <f t="shared" si="44"/>
        <v>34284.43</v>
      </c>
      <c r="L163" s="11" t="str">
        <f t="shared" si="45"/>
        <v/>
      </c>
      <c r="M163" s="11" t="str">
        <f t="shared" si="46"/>
        <v/>
      </c>
      <c r="N163" s="11" t="str">
        <f>IF(I163="已计入",IF(AND(B163="卖出",持仓总览!$C$7="本金优先"),MAX(0,E163-Q162),IF(OR(B163="卖出",B163="现金分红"),MIN(E163,M163),0)),"")</f>
        <v/>
      </c>
      <c r="O163" s="11" t="str">
        <f t="shared" si="47"/>
        <v/>
      </c>
      <c r="P163" s="11" t="str">
        <f t="shared" si="48"/>
        <v/>
      </c>
      <c r="Q163" s="11">
        <f t="shared" si="49"/>
        <v>82516.01</v>
      </c>
      <c r="R163" s="11" t="str">
        <f t="shared" si="40"/>
        <v/>
      </c>
      <c r="S163" s="11" t="str">
        <f t="shared" si="41"/>
        <v/>
      </c>
      <c r="T163" s="12" t="str">
        <f t="shared" si="42"/>
        <v/>
      </c>
      <c r="U163" s="11">
        <f t="shared" si="50"/>
        <v>82516.01</v>
      </c>
      <c r="V163" s="11">
        <f t="shared" si="51"/>
        <v>0</v>
      </c>
      <c r="W163" s="11">
        <f t="shared" si="52"/>
        <v>0</v>
      </c>
      <c r="X163" s="11">
        <f t="shared" si="53"/>
        <v>0</v>
      </c>
      <c r="Y163" s="11" t="str">
        <f t="shared" si="43"/>
        <v/>
      </c>
      <c r="Z163" s="13">
        <f t="shared" si="54"/>
        <v>46247</v>
      </c>
      <c r="AA163" s="10" t="str">
        <f>IF(OR($AA$116="错误",COUNTIF($G$117:G163,"待修正")&gt;0),"错误","正常")</f>
        <v>正常</v>
      </c>
      <c r="AB163" s="14">
        <f t="shared" si="55"/>
        <v>2.7686</v>
      </c>
    </row>
    <row r="164" ht="23" customHeight="1" spans="1:28">
      <c r="A164" s="15"/>
      <c r="B164" s="16"/>
      <c r="C164" s="17"/>
      <c r="D164" s="18"/>
      <c r="E164" s="19" t="str">
        <f t="shared" si="36"/>
        <v/>
      </c>
      <c r="F164" s="18"/>
      <c r="G164" s="20" t="str">
        <f t="shared" si="37"/>
        <v/>
      </c>
      <c r="H164" s="21" t="str">
        <f t="shared" si="38"/>
        <v/>
      </c>
      <c r="I164" s="10" t="str">
        <f>IF(COUNTA(A164:D164,F164)=0,"",IF(NOT(ISNUMBER(A164)),"缺少有效净值日期",IF(OR(A164&lt;=0,A164&lt;&gt;INT(A164)),"净值日期无效",IF(OR(B164="转换转入",B164="现金分红"),"该类型需实际金额，五项录入不适用",IF(NOT(OR(OR(B164="买入",B164="定投"),B164="卖出",B164="红利再投")),"请选择交易类型",IF(NOT(ISNUMBER(C164)),"缺少成交净值",IF(C164&lt;=0,"成交净值须大于零",IF(NOT(ISNUMBER(D164)),"缺少确认份额",IF(D164&lt;=0,"确认份额须大于零",IF(NOT(ISNUMBER(F164)),"缺少手续费，无费用请填 0",IF(F164&lt;0,"手续费不能为负",IF(AA163="错误","前行待修正",IF(A164&lt;Z163,"日期需按成交顺序递增",IF(AND(B164="红利再投",F164&lt;&gt;0),"红利再投手续费应填 0",IF(AND(B164="红利再投",K163&lt;=0),"红利再投前须有持仓",IF(AND(B164="卖出",D164&gt;K163+0.000001),"卖出份额超过持仓",IF(AND(B164="卖出",F164&gt;=C164*D164),"赎回费不能达到赎回总额",IF(NOT(ISNUMBER(E164)),"自动金额未生成，请检查五项输入",IF(NOT(OR(持仓总览!$C$7="利润优先",持仓总览!$C$7="本金优先")),"请选择卖出分配模式","已计入")))))))))))))))))))</f>
        <v/>
      </c>
      <c r="J164" s="11">
        <f t="shared" si="39"/>
        <v>0</v>
      </c>
      <c r="K164" s="11">
        <f t="shared" si="44"/>
        <v>34284.43</v>
      </c>
      <c r="L164" s="11" t="str">
        <f t="shared" si="45"/>
        <v/>
      </c>
      <c r="M164" s="11" t="str">
        <f t="shared" si="46"/>
        <v/>
      </c>
      <c r="N164" s="11" t="str">
        <f>IF(I164="已计入",IF(AND(B164="卖出",持仓总览!$C$7="本金优先"),MAX(0,E164-Q163),IF(OR(B164="卖出",B164="现金分红"),MIN(E164,M164),0)),"")</f>
        <v/>
      </c>
      <c r="O164" s="11" t="str">
        <f t="shared" si="47"/>
        <v/>
      </c>
      <c r="P164" s="11" t="str">
        <f t="shared" si="48"/>
        <v/>
      </c>
      <c r="Q164" s="11">
        <f t="shared" si="49"/>
        <v>82516.01</v>
      </c>
      <c r="R164" s="11" t="str">
        <f t="shared" si="40"/>
        <v/>
      </c>
      <c r="S164" s="11" t="str">
        <f t="shared" si="41"/>
        <v/>
      </c>
      <c r="T164" s="12" t="str">
        <f t="shared" si="42"/>
        <v/>
      </c>
      <c r="U164" s="11">
        <f t="shared" si="50"/>
        <v>82516.01</v>
      </c>
      <c r="V164" s="11">
        <f t="shared" si="51"/>
        <v>0</v>
      </c>
      <c r="W164" s="11">
        <f t="shared" si="52"/>
        <v>0</v>
      </c>
      <c r="X164" s="11">
        <f t="shared" si="53"/>
        <v>0</v>
      </c>
      <c r="Y164" s="11" t="str">
        <f t="shared" si="43"/>
        <v/>
      </c>
      <c r="Z164" s="13">
        <f t="shared" si="54"/>
        <v>46247</v>
      </c>
      <c r="AA164" s="10" t="str">
        <f>IF(OR($AA$116="错误",COUNTIF($G$117:G164,"待修正")&gt;0),"错误","正常")</f>
        <v>正常</v>
      </c>
      <c r="AB164" s="14">
        <f t="shared" si="55"/>
        <v>2.7686</v>
      </c>
    </row>
    <row r="165" ht="23" customHeight="1" spans="1:28">
      <c r="A165" s="15"/>
      <c r="B165" s="16"/>
      <c r="C165" s="17"/>
      <c r="D165" s="18"/>
      <c r="E165" s="19" t="str">
        <f t="shared" si="36"/>
        <v/>
      </c>
      <c r="F165" s="18"/>
      <c r="G165" s="20" t="str">
        <f t="shared" si="37"/>
        <v/>
      </c>
      <c r="H165" s="21" t="str">
        <f t="shared" si="38"/>
        <v/>
      </c>
      <c r="I165" s="10" t="str">
        <f>IF(COUNTA(A165:D165,F165)=0,"",IF(NOT(ISNUMBER(A165)),"缺少有效净值日期",IF(OR(A165&lt;=0,A165&lt;&gt;INT(A165)),"净值日期无效",IF(OR(B165="转换转入",B165="现金分红"),"该类型需实际金额，五项录入不适用",IF(NOT(OR(OR(B165="买入",B165="定投"),B165="卖出",B165="红利再投")),"请选择交易类型",IF(NOT(ISNUMBER(C165)),"缺少成交净值",IF(C165&lt;=0,"成交净值须大于零",IF(NOT(ISNUMBER(D165)),"缺少确认份额",IF(D165&lt;=0,"确认份额须大于零",IF(NOT(ISNUMBER(F165)),"缺少手续费，无费用请填 0",IF(F165&lt;0,"手续费不能为负",IF(AA164="错误","前行待修正",IF(A165&lt;Z164,"日期需按成交顺序递增",IF(AND(B165="红利再投",F165&lt;&gt;0),"红利再投手续费应填 0",IF(AND(B165="红利再投",K164&lt;=0),"红利再投前须有持仓",IF(AND(B165="卖出",D165&gt;K164+0.000001),"卖出份额超过持仓",IF(AND(B165="卖出",F165&gt;=C165*D165),"赎回费不能达到赎回总额",IF(NOT(ISNUMBER(E165)),"自动金额未生成，请检查五项输入",IF(NOT(OR(持仓总览!$C$7="利润优先",持仓总览!$C$7="本金优先")),"请选择卖出分配模式","已计入")))))))))))))))))))</f>
        <v/>
      </c>
      <c r="J165" s="11">
        <f t="shared" si="39"/>
        <v>0</v>
      </c>
      <c r="K165" s="11">
        <f t="shared" si="44"/>
        <v>34284.43</v>
      </c>
      <c r="L165" s="11" t="str">
        <f t="shared" si="45"/>
        <v/>
      </c>
      <c r="M165" s="11" t="str">
        <f t="shared" si="46"/>
        <v/>
      </c>
      <c r="N165" s="11" t="str">
        <f>IF(I165="已计入",IF(AND(B165="卖出",持仓总览!$C$7="本金优先"),MAX(0,E165-Q164),IF(OR(B165="卖出",B165="现金分红"),MIN(E165,M165),0)),"")</f>
        <v/>
      </c>
      <c r="O165" s="11" t="str">
        <f t="shared" si="47"/>
        <v/>
      </c>
      <c r="P165" s="11" t="str">
        <f t="shared" si="48"/>
        <v/>
      </c>
      <c r="Q165" s="11">
        <f t="shared" si="49"/>
        <v>82516.01</v>
      </c>
      <c r="R165" s="11" t="str">
        <f t="shared" si="40"/>
        <v/>
      </c>
      <c r="S165" s="11" t="str">
        <f t="shared" si="41"/>
        <v/>
      </c>
      <c r="T165" s="12" t="str">
        <f t="shared" si="42"/>
        <v/>
      </c>
      <c r="U165" s="11">
        <f t="shared" si="50"/>
        <v>82516.01</v>
      </c>
      <c r="V165" s="11">
        <f t="shared" si="51"/>
        <v>0</v>
      </c>
      <c r="W165" s="11">
        <f t="shared" si="52"/>
        <v>0</v>
      </c>
      <c r="X165" s="11">
        <f t="shared" si="53"/>
        <v>0</v>
      </c>
      <c r="Y165" s="11" t="str">
        <f t="shared" si="43"/>
        <v/>
      </c>
      <c r="Z165" s="13">
        <f t="shared" si="54"/>
        <v>46247</v>
      </c>
      <c r="AA165" s="10" t="str">
        <f>IF(OR($AA$116="错误",COUNTIF($G$117:G165,"待修正")&gt;0),"错误","正常")</f>
        <v>正常</v>
      </c>
      <c r="AB165" s="14">
        <f t="shared" si="55"/>
        <v>2.7686</v>
      </c>
    </row>
    <row r="166" ht="23" customHeight="1" spans="1:28">
      <c r="A166" s="15"/>
      <c r="B166" s="16"/>
      <c r="C166" s="17"/>
      <c r="D166" s="18"/>
      <c r="E166" s="19" t="str">
        <f t="shared" si="36"/>
        <v/>
      </c>
      <c r="F166" s="18"/>
      <c r="G166" s="20" t="str">
        <f t="shared" si="37"/>
        <v/>
      </c>
      <c r="H166" s="21" t="str">
        <f t="shared" si="38"/>
        <v/>
      </c>
      <c r="I166" s="10" t="str">
        <f>IF(COUNTA(A166:D166,F166)=0,"",IF(NOT(ISNUMBER(A166)),"缺少有效净值日期",IF(OR(A166&lt;=0,A166&lt;&gt;INT(A166)),"净值日期无效",IF(OR(B166="转换转入",B166="现金分红"),"该类型需实际金额，五项录入不适用",IF(NOT(OR(OR(B166="买入",B166="定投"),B166="卖出",B166="红利再投")),"请选择交易类型",IF(NOT(ISNUMBER(C166)),"缺少成交净值",IF(C166&lt;=0,"成交净值须大于零",IF(NOT(ISNUMBER(D166)),"缺少确认份额",IF(D166&lt;=0,"确认份额须大于零",IF(NOT(ISNUMBER(F166)),"缺少手续费，无费用请填 0",IF(F166&lt;0,"手续费不能为负",IF(AA165="错误","前行待修正",IF(A166&lt;Z165,"日期需按成交顺序递增",IF(AND(B166="红利再投",F166&lt;&gt;0),"红利再投手续费应填 0",IF(AND(B166="红利再投",K165&lt;=0),"红利再投前须有持仓",IF(AND(B166="卖出",D166&gt;K165+0.000001),"卖出份额超过持仓",IF(AND(B166="卖出",F166&gt;=C166*D166),"赎回费不能达到赎回总额",IF(NOT(ISNUMBER(E166)),"自动金额未生成，请检查五项输入",IF(NOT(OR(持仓总览!$C$7="利润优先",持仓总览!$C$7="本金优先")),"请选择卖出分配模式","已计入")))))))))))))))))))</f>
        <v/>
      </c>
      <c r="J166" s="11">
        <f t="shared" si="39"/>
        <v>0</v>
      </c>
      <c r="K166" s="11">
        <f t="shared" si="44"/>
        <v>34284.43</v>
      </c>
      <c r="L166" s="11" t="str">
        <f t="shared" si="45"/>
        <v/>
      </c>
      <c r="M166" s="11" t="str">
        <f t="shared" si="46"/>
        <v/>
      </c>
      <c r="N166" s="11" t="str">
        <f>IF(I166="已计入",IF(AND(B166="卖出",持仓总览!$C$7="本金优先"),MAX(0,E166-Q165),IF(OR(B166="卖出",B166="现金分红"),MIN(E166,M166),0)),"")</f>
        <v/>
      </c>
      <c r="O166" s="11" t="str">
        <f t="shared" si="47"/>
        <v/>
      </c>
      <c r="P166" s="11" t="str">
        <f t="shared" si="48"/>
        <v/>
      </c>
      <c r="Q166" s="11">
        <f t="shared" si="49"/>
        <v>82516.01</v>
      </c>
      <c r="R166" s="11" t="str">
        <f t="shared" si="40"/>
        <v/>
      </c>
      <c r="S166" s="11" t="str">
        <f t="shared" si="41"/>
        <v/>
      </c>
      <c r="T166" s="12" t="str">
        <f t="shared" si="42"/>
        <v/>
      </c>
      <c r="U166" s="11">
        <f t="shared" si="50"/>
        <v>82516.01</v>
      </c>
      <c r="V166" s="11">
        <f t="shared" si="51"/>
        <v>0</v>
      </c>
      <c r="W166" s="11">
        <f t="shared" si="52"/>
        <v>0</v>
      </c>
      <c r="X166" s="11">
        <f t="shared" si="53"/>
        <v>0</v>
      </c>
      <c r="Y166" s="11" t="str">
        <f t="shared" si="43"/>
        <v/>
      </c>
      <c r="Z166" s="13">
        <f t="shared" si="54"/>
        <v>46247</v>
      </c>
      <c r="AA166" s="10" t="str">
        <f>IF(OR($AA$116="错误",COUNTIF($G$117:G166,"待修正")&gt;0),"错误","正常")</f>
        <v>正常</v>
      </c>
      <c r="AB166" s="14">
        <f t="shared" si="55"/>
        <v>2.7686</v>
      </c>
    </row>
    <row r="167" ht="23" customHeight="1" spans="1:28">
      <c r="A167" s="15"/>
      <c r="B167" s="16"/>
      <c r="C167" s="17"/>
      <c r="D167" s="18"/>
      <c r="E167" s="19" t="str">
        <f t="shared" si="36"/>
        <v/>
      </c>
      <c r="F167" s="18"/>
      <c r="G167" s="20" t="str">
        <f t="shared" si="37"/>
        <v/>
      </c>
      <c r="H167" s="21" t="str">
        <f t="shared" si="38"/>
        <v/>
      </c>
      <c r="I167" s="10" t="str">
        <f>IF(COUNTA(A167:D167,F167)=0,"",IF(NOT(ISNUMBER(A167)),"缺少有效净值日期",IF(OR(A167&lt;=0,A167&lt;&gt;INT(A167)),"净值日期无效",IF(OR(B167="转换转入",B167="现金分红"),"该类型需实际金额，五项录入不适用",IF(NOT(OR(OR(B167="买入",B167="定投"),B167="卖出",B167="红利再投")),"请选择交易类型",IF(NOT(ISNUMBER(C167)),"缺少成交净值",IF(C167&lt;=0,"成交净值须大于零",IF(NOT(ISNUMBER(D167)),"缺少确认份额",IF(D167&lt;=0,"确认份额须大于零",IF(NOT(ISNUMBER(F167)),"缺少手续费，无费用请填 0",IF(F167&lt;0,"手续费不能为负",IF(AA166="错误","前行待修正",IF(A167&lt;Z166,"日期需按成交顺序递增",IF(AND(B167="红利再投",F167&lt;&gt;0),"红利再投手续费应填 0",IF(AND(B167="红利再投",K166&lt;=0),"红利再投前须有持仓",IF(AND(B167="卖出",D167&gt;K166+0.000001),"卖出份额超过持仓",IF(AND(B167="卖出",F167&gt;=C167*D167),"赎回费不能达到赎回总额",IF(NOT(ISNUMBER(E167)),"自动金额未生成，请检查五项输入",IF(NOT(OR(持仓总览!$C$7="利润优先",持仓总览!$C$7="本金优先")),"请选择卖出分配模式","已计入")))))))))))))))))))</f>
        <v/>
      </c>
      <c r="J167" s="11">
        <f t="shared" si="39"/>
        <v>0</v>
      </c>
      <c r="K167" s="11">
        <f t="shared" si="44"/>
        <v>34284.43</v>
      </c>
      <c r="L167" s="11" t="str">
        <f t="shared" si="45"/>
        <v/>
      </c>
      <c r="M167" s="11" t="str">
        <f t="shared" si="46"/>
        <v/>
      </c>
      <c r="N167" s="11" t="str">
        <f>IF(I167="已计入",IF(AND(B167="卖出",持仓总览!$C$7="本金优先"),MAX(0,E167-Q166),IF(OR(B167="卖出",B167="现金分红"),MIN(E167,M167),0)),"")</f>
        <v/>
      </c>
      <c r="O167" s="11" t="str">
        <f t="shared" si="47"/>
        <v/>
      </c>
      <c r="P167" s="11" t="str">
        <f t="shared" si="48"/>
        <v/>
      </c>
      <c r="Q167" s="11">
        <f t="shared" si="49"/>
        <v>82516.01</v>
      </c>
      <c r="R167" s="11" t="str">
        <f t="shared" si="40"/>
        <v/>
      </c>
      <c r="S167" s="11" t="str">
        <f t="shared" si="41"/>
        <v/>
      </c>
      <c r="T167" s="12" t="str">
        <f t="shared" si="42"/>
        <v/>
      </c>
      <c r="U167" s="11">
        <f t="shared" si="50"/>
        <v>82516.01</v>
      </c>
      <c r="V167" s="11">
        <f t="shared" si="51"/>
        <v>0</v>
      </c>
      <c r="W167" s="11">
        <f t="shared" si="52"/>
        <v>0</v>
      </c>
      <c r="X167" s="11">
        <f t="shared" si="53"/>
        <v>0</v>
      </c>
      <c r="Y167" s="11" t="str">
        <f t="shared" si="43"/>
        <v/>
      </c>
      <c r="Z167" s="13">
        <f t="shared" si="54"/>
        <v>46247</v>
      </c>
      <c r="AA167" s="10" t="str">
        <f>IF(OR($AA$116="错误",COUNTIF($G$117:G167,"待修正")&gt;0),"错误","正常")</f>
        <v>正常</v>
      </c>
      <c r="AB167" s="14">
        <f t="shared" si="55"/>
        <v>2.7686</v>
      </c>
    </row>
    <row r="168" ht="23" customHeight="1" spans="1:28">
      <c r="A168" s="15"/>
      <c r="B168" s="16"/>
      <c r="C168" s="17"/>
      <c r="D168" s="18"/>
      <c r="E168" s="19" t="str">
        <f t="shared" si="36"/>
        <v/>
      </c>
      <c r="F168" s="18"/>
      <c r="G168" s="20" t="str">
        <f t="shared" si="37"/>
        <v/>
      </c>
      <c r="H168" s="21" t="str">
        <f t="shared" si="38"/>
        <v/>
      </c>
      <c r="I168" s="10" t="str">
        <f>IF(COUNTA(A168:D168,F168)=0,"",IF(NOT(ISNUMBER(A168)),"缺少有效净值日期",IF(OR(A168&lt;=0,A168&lt;&gt;INT(A168)),"净值日期无效",IF(OR(B168="转换转入",B168="现金分红"),"该类型需实际金额，五项录入不适用",IF(NOT(OR(OR(B168="买入",B168="定投"),B168="卖出",B168="红利再投")),"请选择交易类型",IF(NOT(ISNUMBER(C168)),"缺少成交净值",IF(C168&lt;=0,"成交净值须大于零",IF(NOT(ISNUMBER(D168)),"缺少确认份额",IF(D168&lt;=0,"确认份额须大于零",IF(NOT(ISNUMBER(F168)),"缺少手续费，无费用请填 0",IF(F168&lt;0,"手续费不能为负",IF(AA167="错误","前行待修正",IF(A168&lt;Z167,"日期需按成交顺序递增",IF(AND(B168="红利再投",F168&lt;&gt;0),"红利再投手续费应填 0",IF(AND(B168="红利再投",K167&lt;=0),"红利再投前须有持仓",IF(AND(B168="卖出",D168&gt;K167+0.000001),"卖出份额超过持仓",IF(AND(B168="卖出",F168&gt;=C168*D168),"赎回费不能达到赎回总额",IF(NOT(ISNUMBER(E168)),"自动金额未生成，请检查五项输入",IF(NOT(OR(持仓总览!$C$7="利润优先",持仓总览!$C$7="本金优先")),"请选择卖出分配模式","已计入")))))))))))))))))))</f>
        <v/>
      </c>
      <c r="J168" s="11">
        <f t="shared" si="39"/>
        <v>0</v>
      </c>
      <c r="K168" s="11">
        <f t="shared" si="44"/>
        <v>34284.43</v>
      </c>
      <c r="L168" s="11" t="str">
        <f t="shared" si="45"/>
        <v/>
      </c>
      <c r="M168" s="11" t="str">
        <f t="shared" si="46"/>
        <v/>
      </c>
      <c r="N168" s="11" t="str">
        <f>IF(I168="已计入",IF(AND(B168="卖出",持仓总览!$C$7="本金优先"),MAX(0,E168-Q167),IF(OR(B168="卖出",B168="现金分红"),MIN(E168,M168),0)),"")</f>
        <v/>
      </c>
      <c r="O168" s="11" t="str">
        <f t="shared" si="47"/>
        <v/>
      </c>
      <c r="P168" s="11" t="str">
        <f t="shared" si="48"/>
        <v/>
      </c>
      <c r="Q168" s="11">
        <f t="shared" si="49"/>
        <v>82516.01</v>
      </c>
      <c r="R168" s="11" t="str">
        <f t="shared" si="40"/>
        <v/>
      </c>
      <c r="S168" s="11" t="str">
        <f t="shared" si="41"/>
        <v/>
      </c>
      <c r="T168" s="12" t="str">
        <f t="shared" si="42"/>
        <v/>
      </c>
      <c r="U168" s="11">
        <f t="shared" si="50"/>
        <v>82516.01</v>
      </c>
      <c r="V168" s="11">
        <f t="shared" si="51"/>
        <v>0</v>
      </c>
      <c r="W168" s="11">
        <f t="shared" si="52"/>
        <v>0</v>
      </c>
      <c r="X168" s="11">
        <f t="shared" si="53"/>
        <v>0</v>
      </c>
      <c r="Y168" s="11" t="str">
        <f t="shared" si="43"/>
        <v/>
      </c>
      <c r="Z168" s="13">
        <f t="shared" si="54"/>
        <v>46247</v>
      </c>
      <c r="AA168" s="10" t="str">
        <f>IF(OR($AA$116="错误",COUNTIF($G$117:G168,"待修正")&gt;0),"错误","正常")</f>
        <v>正常</v>
      </c>
      <c r="AB168" s="14">
        <f t="shared" si="55"/>
        <v>2.7686</v>
      </c>
    </row>
    <row r="169" ht="23" customHeight="1" spans="1:28">
      <c r="A169" s="15"/>
      <c r="B169" s="16"/>
      <c r="C169" s="17"/>
      <c r="D169" s="18"/>
      <c r="E169" s="19" t="str">
        <f t="shared" si="36"/>
        <v/>
      </c>
      <c r="F169" s="18"/>
      <c r="G169" s="20" t="str">
        <f t="shared" si="37"/>
        <v/>
      </c>
      <c r="H169" s="21" t="str">
        <f t="shared" si="38"/>
        <v/>
      </c>
      <c r="I169" s="10" t="str">
        <f>IF(COUNTA(A169:D169,F169)=0,"",IF(NOT(ISNUMBER(A169)),"缺少有效净值日期",IF(OR(A169&lt;=0,A169&lt;&gt;INT(A169)),"净值日期无效",IF(OR(B169="转换转入",B169="现金分红"),"该类型需实际金额，五项录入不适用",IF(NOT(OR(OR(B169="买入",B169="定投"),B169="卖出",B169="红利再投")),"请选择交易类型",IF(NOT(ISNUMBER(C169)),"缺少成交净值",IF(C169&lt;=0,"成交净值须大于零",IF(NOT(ISNUMBER(D169)),"缺少确认份额",IF(D169&lt;=0,"确认份额须大于零",IF(NOT(ISNUMBER(F169)),"缺少手续费，无费用请填 0",IF(F169&lt;0,"手续费不能为负",IF(AA168="错误","前行待修正",IF(A169&lt;Z168,"日期需按成交顺序递增",IF(AND(B169="红利再投",F169&lt;&gt;0),"红利再投手续费应填 0",IF(AND(B169="红利再投",K168&lt;=0),"红利再投前须有持仓",IF(AND(B169="卖出",D169&gt;K168+0.000001),"卖出份额超过持仓",IF(AND(B169="卖出",F169&gt;=C169*D169),"赎回费不能达到赎回总额",IF(NOT(ISNUMBER(E169)),"自动金额未生成，请检查五项输入",IF(NOT(OR(持仓总览!$C$7="利润优先",持仓总览!$C$7="本金优先")),"请选择卖出分配模式","已计入")))))))))))))))))))</f>
        <v/>
      </c>
      <c r="J169" s="11">
        <f t="shared" si="39"/>
        <v>0</v>
      </c>
      <c r="K169" s="11">
        <f t="shared" si="44"/>
        <v>34284.43</v>
      </c>
      <c r="L169" s="11" t="str">
        <f t="shared" si="45"/>
        <v/>
      </c>
      <c r="M169" s="11" t="str">
        <f t="shared" si="46"/>
        <v/>
      </c>
      <c r="N169" s="11" t="str">
        <f>IF(I169="已计入",IF(AND(B169="卖出",持仓总览!$C$7="本金优先"),MAX(0,E169-Q168),IF(OR(B169="卖出",B169="现金分红"),MIN(E169,M169),0)),"")</f>
        <v/>
      </c>
      <c r="O169" s="11" t="str">
        <f t="shared" si="47"/>
        <v/>
      </c>
      <c r="P169" s="11" t="str">
        <f t="shared" si="48"/>
        <v/>
      </c>
      <c r="Q169" s="11">
        <f t="shared" si="49"/>
        <v>82516.01</v>
      </c>
      <c r="R169" s="11" t="str">
        <f t="shared" si="40"/>
        <v/>
      </c>
      <c r="S169" s="11" t="str">
        <f t="shared" si="41"/>
        <v/>
      </c>
      <c r="T169" s="12" t="str">
        <f t="shared" si="42"/>
        <v/>
      </c>
      <c r="U169" s="11">
        <f t="shared" si="50"/>
        <v>82516.01</v>
      </c>
      <c r="V169" s="11">
        <f t="shared" si="51"/>
        <v>0</v>
      </c>
      <c r="W169" s="11">
        <f t="shared" si="52"/>
        <v>0</v>
      </c>
      <c r="X169" s="11">
        <f t="shared" si="53"/>
        <v>0</v>
      </c>
      <c r="Y169" s="11" t="str">
        <f t="shared" si="43"/>
        <v/>
      </c>
      <c r="Z169" s="13">
        <f t="shared" si="54"/>
        <v>46247</v>
      </c>
      <c r="AA169" s="10" t="str">
        <f>IF(OR($AA$116="错误",COUNTIF($G$117:G169,"待修正")&gt;0),"错误","正常")</f>
        <v>正常</v>
      </c>
      <c r="AB169" s="14">
        <f t="shared" si="55"/>
        <v>2.7686</v>
      </c>
    </row>
    <row r="170" ht="23" customHeight="1" spans="1:28">
      <c r="A170" s="15"/>
      <c r="B170" s="16"/>
      <c r="C170" s="17"/>
      <c r="D170" s="18"/>
      <c r="E170" s="19" t="str">
        <f t="shared" si="36"/>
        <v/>
      </c>
      <c r="F170" s="18"/>
      <c r="G170" s="20" t="str">
        <f t="shared" si="37"/>
        <v/>
      </c>
      <c r="H170" s="21" t="str">
        <f t="shared" si="38"/>
        <v/>
      </c>
      <c r="I170" s="10" t="str">
        <f>IF(COUNTA(A170:D170,F170)=0,"",IF(NOT(ISNUMBER(A170)),"缺少有效净值日期",IF(OR(A170&lt;=0,A170&lt;&gt;INT(A170)),"净值日期无效",IF(OR(B170="转换转入",B170="现金分红"),"该类型需实际金额，五项录入不适用",IF(NOT(OR(OR(B170="买入",B170="定投"),B170="卖出",B170="红利再投")),"请选择交易类型",IF(NOT(ISNUMBER(C170)),"缺少成交净值",IF(C170&lt;=0,"成交净值须大于零",IF(NOT(ISNUMBER(D170)),"缺少确认份额",IF(D170&lt;=0,"确认份额须大于零",IF(NOT(ISNUMBER(F170)),"缺少手续费，无费用请填 0",IF(F170&lt;0,"手续费不能为负",IF(AA169="错误","前行待修正",IF(A170&lt;Z169,"日期需按成交顺序递增",IF(AND(B170="红利再投",F170&lt;&gt;0),"红利再投手续费应填 0",IF(AND(B170="红利再投",K169&lt;=0),"红利再投前须有持仓",IF(AND(B170="卖出",D170&gt;K169+0.000001),"卖出份额超过持仓",IF(AND(B170="卖出",F170&gt;=C170*D170),"赎回费不能达到赎回总额",IF(NOT(ISNUMBER(E170)),"自动金额未生成，请检查五项输入",IF(NOT(OR(持仓总览!$C$7="利润优先",持仓总览!$C$7="本金优先")),"请选择卖出分配模式","已计入")))))))))))))))))))</f>
        <v/>
      </c>
      <c r="J170" s="11">
        <f t="shared" si="39"/>
        <v>0</v>
      </c>
      <c r="K170" s="11">
        <f t="shared" si="44"/>
        <v>34284.43</v>
      </c>
      <c r="L170" s="11" t="str">
        <f t="shared" si="45"/>
        <v/>
      </c>
      <c r="M170" s="11" t="str">
        <f t="shared" si="46"/>
        <v/>
      </c>
      <c r="N170" s="11" t="str">
        <f>IF(I170="已计入",IF(AND(B170="卖出",持仓总览!$C$7="本金优先"),MAX(0,E170-Q169),IF(OR(B170="卖出",B170="现金分红"),MIN(E170,M170),0)),"")</f>
        <v/>
      </c>
      <c r="O170" s="11" t="str">
        <f t="shared" si="47"/>
        <v/>
      </c>
      <c r="P170" s="11" t="str">
        <f t="shared" si="48"/>
        <v/>
      </c>
      <c r="Q170" s="11">
        <f t="shared" si="49"/>
        <v>82516.01</v>
      </c>
      <c r="R170" s="11" t="str">
        <f t="shared" si="40"/>
        <v/>
      </c>
      <c r="S170" s="11" t="str">
        <f t="shared" si="41"/>
        <v/>
      </c>
      <c r="T170" s="12" t="str">
        <f t="shared" si="42"/>
        <v/>
      </c>
      <c r="U170" s="11">
        <f t="shared" si="50"/>
        <v>82516.01</v>
      </c>
      <c r="V170" s="11">
        <f t="shared" si="51"/>
        <v>0</v>
      </c>
      <c r="W170" s="11">
        <f t="shared" si="52"/>
        <v>0</v>
      </c>
      <c r="X170" s="11">
        <f t="shared" si="53"/>
        <v>0</v>
      </c>
      <c r="Y170" s="11" t="str">
        <f t="shared" si="43"/>
        <v/>
      </c>
      <c r="Z170" s="13">
        <f t="shared" si="54"/>
        <v>46247</v>
      </c>
      <c r="AA170" s="10" t="str">
        <f>IF(OR($AA$116="错误",COUNTIF($G$117:G170,"待修正")&gt;0),"错误","正常")</f>
        <v>正常</v>
      </c>
      <c r="AB170" s="14">
        <f t="shared" si="55"/>
        <v>2.7686</v>
      </c>
    </row>
    <row r="171" ht="23" customHeight="1" spans="1:28">
      <c r="A171" s="15"/>
      <c r="B171" s="16"/>
      <c r="C171" s="17"/>
      <c r="D171" s="18"/>
      <c r="E171" s="19" t="str">
        <f t="shared" si="36"/>
        <v/>
      </c>
      <c r="F171" s="18"/>
      <c r="G171" s="20" t="str">
        <f t="shared" si="37"/>
        <v/>
      </c>
      <c r="H171" s="21" t="str">
        <f t="shared" si="38"/>
        <v/>
      </c>
      <c r="I171" s="10" t="str">
        <f>IF(COUNTA(A171:D171,F171)=0,"",IF(NOT(ISNUMBER(A171)),"缺少有效净值日期",IF(OR(A171&lt;=0,A171&lt;&gt;INT(A171)),"净值日期无效",IF(OR(B171="转换转入",B171="现金分红"),"该类型需实际金额，五项录入不适用",IF(NOT(OR(OR(B171="买入",B171="定投"),B171="卖出",B171="红利再投")),"请选择交易类型",IF(NOT(ISNUMBER(C171)),"缺少成交净值",IF(C171&lt;=0,"成交净值须大于零",IF(NOT(ISNUMBER(D171)),"缺少确认份额",IF(D171&lt;=0,"确认份额须大于零",IF(NOT(ISNUMBER(F171)),"缺少手续费，无费用请填 0",IF(F171&lt;0,"手续费不能为负",IF(AA170="错误","前行待修正",IF(A171&lt;Z170,"日期需按成交顺序递增",IF(AND(B171="红利再投",F171&lt;&gt;0),"红利再投手续费应填 0",IF(AND(B171="红利再投",K170&lt;=0),"红利再投前须有持仓",IF(AND(B171="卖出",D171&gt;K170+0.000001),"卖出份额超过持仓",IF(AND(B171="卖出",F171&gt;=C171*D171),"赎回费不能达到赎回总额",IF(NOT(ISNUMBER(E171)),"自动金额未生成，请检查五项输入",IF(NOT(OR(持仓总览!$C$7="利润优先",持仓总览!$C$7="本金优先")),"请选择卖出分配模式","已计入")))))))))))))))))))</f>
        <v/>
      </c>
      <c r="J171" s="11">
        <f t="shared" si="39"/>
        <v>0</v>
      </c>
      <c r="K171" s="11">
        <f t="shared" si="44"/>
        <v>34284.43</v>
      </c>
      <c r="L171" s="11" t="str">
        <f t="shared" si="45"/>
        <v/>
      </c>
      <c r="M171" s="11" t="str">
        <f t="shared" si="46"/>
        <v/>
      </c>
      <c r="N171" s="11" t="str">
        <f>IF(I171="已计入",IF(AND(B171="卖出",持仓总览!$C$7="本金优先"),MAX(0,E171-Q170),IF(OR(B171="卖出",B171="现金分红"),MIN(E171,M171),0)),"")</f>
        <v/>
      </c>
      <c r="O171" s="11" t="str">
        <f t="shared" si="47"/>
        <v/>
      </c>
      <c r="P171" s="11" t="str">
        <f t="shared" si="48"/>
        <v/>
      </c>
      <c r="Q171" s="11">
        <f t="shared" si="49"/>
        <v>82516.01</v>
      </c>
      <c r="R171" s="11" t="str">
        <f t="shared" si="40"/>
        <v/>
      </c>
      <c r="S171" s="11" t="str">
        <f t="shared" si="41"/>
        <v/>
      </c>
      <c r="T171" s="12" t="str">
        <f t="shared" si="42"/>
        <v/>
      </c>
      <c r="U171" s="11">
        <f t="shared" si="50"/>
        <v>82516.01</v>
      </c>
      <c r="V171" s="11">
        <f t="shared" si="51"/>
        <v>0</v>
      </c>
      <c r="W171" s="11">
        <f t="shared" si="52"/>
        <v>0</v>
      </c>
      <c r="X171" s="11">
        <f t="shared" si="53"/>
        <v>0</v>
      </c>
      <c r="Y171" s="11" t="str">
        <f t="shared" si="43"/>
        <v/>
      </c>
      <c r="Z171" s="13">
        <f t="shared" si="54"/>
        <v>46247</v>
      </c>
      <c r="AA171" s="10" t="str">
        <f>IF(OR($AA$116="错误",COUNTIF($G$117:G171,"待修正")&gt;0),"错误","正常")</f>
        <v>正常</v>
      </c>
      <c r="AB171" s="14">
        <f t="shared" si="55"/>
        <v>2.7686</v>
      </c>
    </row>
    <row r="172" ht="23" customHeight="1" spans="1:28">
      <c r="A172" s="15"/>
      <c r="B172" s="16"/>
      <c r="C172" s="17"/>
      <c r="D172" s="18"/>
      <c r="E172" s="19" t="str">
        <f t="shared" si="36"/>
        <v/>
      </c>
      <c r="F172" s="18"/>
      <c r="G172" s="20" t="str">
        <f t="shared" si="37"/>
        <v/>
      </c>
      <c r="H172" s="21" t="str">
        <f t="shared" si="38"/>
        <v/>
      </c>
      <c r="I172" s="10" t="str">
        <f>IF(COUNTA(A172:D172,F172)=0,"",IF(NOT(ISNUMBER(A172)),"缺少有效净值日期",IF(OR(A172&lt;=0,A172&lt;&gt;INT(A172)),"净值日期无效",IF(OR(B172="转换转入",B172="现金分红"),"该类型需实际金额，五项录入不适用",IF(NOT(OR(OR(B172="买入",B172="定投"),B172="卖出",B172="红利再投")),"请选择交易类型",IF(NOT(ISNUMBER(C172)),"缺少成交净值",IF(C172&lt;=0,"成交净值须大于零",IF(NOT(ISNUMBER(D172)),"缺少确认份额",IF(D172&lt;=0,"确认份额须大于零",IF(NOT(ISNUMBER(F172)),"缺少手续费，无费用请填 0",IF(F172&lt;0,"手续费不能为负",IF(AA171="错误","前行待修正",IF(A172&lt;Z171,"日期需按成交顺序递增",IF(AND(B172="红利再投",F172&lt;&gt;0),"红利再投手续费应填 0",IF(AND(B172="红利再投",K171&lt;=0),"红利再投前须有持仓",IF(AND(B172="卖出",D172&gt;K171+0.000001),"卖出份额超过持仓",IF(AND(B172="卖出",F172&gt;=C172*D172),"赎回费不能达到赎回总额",IF(NOT(ISNUMBER(E172)),"自动金额未生成，请检查五项输入",IF(NOT(OR(持仓总览!$C$7="利润优先",持仓总览!$C$7="本金优先")),"请选择卖出分配模式","已计入")))))))))))))))))))</f>
        <v/>
      </c>
      <c r="J172" s="11">
        <f t="shared" si="39"/>
        <v>0</v>
      </c>
      <c r="K172" s="11">
        <f t="shared" si="44"/>
        <v>34284.43</v>
      </c>
      <c r="L172" s="11" t="str">
        <f t="shared" si="45"/>
        <v/>
      </c>
      <c r="M172" s="11" t="str">
        <f t="shared" si="46"/>
        <v/>
      </c>
      <c r="N172" s="11" t="str">
        <f>IF(I172="已计入",IF(AND(B172="卖出",持仓总览!$C$7="本金优先"),MAX(0,E172-Q171),IF(OR(B172="卖出",B172="现金分红"),MIN(E172,M172),0)),"")</f>
        <v/>
      </c>
      <c r="O172" s="11" t="str">
        <f t="shared" si="47"/>
        <v/>
      </c>
      <c r="P172" s="11" t="str">
        <f t="shared" si="48"/>
        <v/>
      </c>
      <c r="Q172" s="11">
        <f t="shared" si="49"/>
        <v>82516.01</v>
      </c>
      <c r="R172" s="11" t="str">
        <f t="shared" si="40"/>
        <v/>
      </c>
      <c r="S172" s="11" t="str">
        <f t="shared" si="41"/>
        <v/>
      </c>
      <c r="T172" s="12" t="str">
        <f t="shared" si="42"/>
        <v/>
      </c>
      <c r="U172" s="11">
        <f t="shared" si="50"/>
        <v>82516.01</v>
      </c>
      <c r="V172" s="11">
        <f t="shared" si="51"/>
        <v>0</v>
      </c>
      <c r="W172" s="11">
        <f t="shared" si="52"/>
        <v>0</v>
      </c>
      <c r="X172" s="11">
        <f t="shared" si="53"/>
        <v>0</v>
      </c>
      <c r="Y172" s="11" t="str">
        <f t="shared" si="43"/>
        <v/>
      </c>
      <c r="Z172" s="13">
        <f t="shared" si="54"/>
        <v>46247</v>
      </c>
      <c r="AA172" s="10" t="str">
        <f>IF(OR($AA$116="错误",COUNTIF($G$117:G172,"待修正")&gt;0),"错误","正常")</f>
        <v>正常</v>
      </c>
      <c r="AB172" s="14">
        <f t="shared" si="55"/>
        <v>2.7686</v>
      </c>
    </row>
    <row r="173" ht="23" customHeight="1" spans="1:28">
      <c r="A173" s="15"/>
      <c r="B173" s="16"/>
      <c r="C173" s="17"/>
      <c r="D173" s="18"/>
      <c r="E173" s="19" t="str">
        <f t="shared" si="36"/>
        <v/>
      </c>
      <c r="F173" s="18"/>
      <c r="G173" s="20" t="str">
        <f t="shared" si="37"/>
        <v/>
      </c>
      <c r="H173" s="21" t="str">
        <f t="shared" si="38"/>
        <v/>
      </c>
      <c r="I173" s="10" t="str">
        <f>IF(COUNTA(A173:D173,F173)=0,"",IF(NOT(ISNUMBER(A173)),"缺少有效净值日期",IF(OR(A173&lt;=0,A173&lt;&gt;INT(A173)),"净值日期无效",IF(OR(B173="转换转入",B173="现金分红"),"该类型需实际金额，五项录入不适用",IF(NOT(OR(OR(B173="买入",B173="定投"),B173="卖出",B173="红利再投")),"请选择交易类型",IF(NOT(ISNUMBER(C173)),"缺少成交净值",IF(C173&lt;=0,"成交净值须大于零",IF(NOT(ISNUMBER(D173)),"缺少确认份额",IF(D173&lt;=0,"确认份额须大于零",IF(NOT(ISNUMBER(F173)),"缺少手续费，无费用请填 0",IF(F173&lt;0,"手续费不能为负",IF(AA172="错误","前行待修正",IF(A173&lt;Z172,"日期需按成交顺序递增",IF(AND(B173="红利再投",F173&lt;&gt;0),"红利再投手续费应填 0",IF(AND(B173="红利再投",K172&lt;=0),"红利再投前须有持仓",IF(AND(B173="卖出",D173&gt;K172+0.000001),"卖出份额超过持仓",IF(AND(B173="卖出",F173&gt;=C173*D173),"赎回费不能达到赎回总额",IF(NOT(ISNUMBER(E173)),"自动金额未生成，请检查五项输入",IF(NOT(OR(持仓总览!$C$7="利润优先",持仓总览!$C$7="本金优先")),"请选择卖出分配模式","已计入")))))))))))))))))))</f>
        <v/>
      </c>
      <c r="J173" s="11">
        <f t="shared" si="39"/>
        <v>0</v>
      </c>
      <c r="K173" s="11">
        <f t="shared" si="44"/>
        <v>34284.43</v>
      </c>
      <c r="L173" s="11" t="str">
        <f t="shared" si="45"/>
        <v/>
      </c>
      <c r="M173" s="11" t="str">
        <f t="shared" si="46"/>
        <v/>
      </c>
      <c r="N173" s="11" t="str">
        <f>IF(I173="已计入",IF(AND(B173="卖出",持仓总览!$C$7="本金优先"),MAX(0,E173-Q172),IF(OR(B173="卖出",B173="现金分红"),MIN(E173,M173),0)),"")</f>
        <v/>
      </c>
      <c r="O173" s="11" t="str">
        <f t="shared" si="47"/>
        <v/>
      </c>
      <c r="P173" s="11" t="str">
        <f t="shared" si="48"/>
        <v/>
      </c>
      <c r="Q173" s="11">
        <f t="shared" si="49"/>
        <v>82516.01</v>
      </c>
      <c r="R173" s="11" t="str">
        <f t="shared" si="40"/>
        <v/>
      </c>
      <c r="S173" s="11" t="str">
        <f t="shared" si="41"/>
        <v/>
      </c>
      <c r="T173" s="12" t="str">
        <f t="shared" si="42"/>
        <v/>
      </c>
      <c r="U173" s="11">
        <f t="shared" si="50"/>
        <v>82516.01</v>
      </c>
      <c r="V173" s="11">
        <f t="shared" si="51"/>
        <v>0</v>
      </c>
      <c r="W173" s="11">
        <f t="shared" si="52"/>
        <v>0</v>
      </c>
      <c r="X173" s="11">
        <f t="shared" si="53"/>
        <v>0</v>
      </c>
      <c r="Y173" s="11" t="str">
        <f t="shared" si="43"/>
        <v/>
      </c>
      <c r="Z173" s="13">
        <f t="shared" si="54"/>
        <v>46247</v>
      </c>
      <c r="AA173" s="10" t="str">
        <f>IF(OR($AA$116="错误",COUNTIF($G$117:G173,"待修正")&gt;0),"错误","正常")</f>
        <v>正常</v>
      </c>
      <c r="AB173" s="14">
        <f t="shared" si="55"/>
        <v>2.7686</v>
      </c>
    </row>
    <row r="174" ht="23" customHeight="1" spans="1:28">
      <c r="A174" s="15"/>
      <c r="B174" s="16"/>
      <c r="C174" s="17"/>
      <c r="D174" s="18"/>
      <c r="E174" s="19" t="str">
        <f t="shared" si="36"/>
        <v/>
      </c>
      <c r="F174" s="18"/>
      <c r="G174" s="20" t="str">
        <f t="shared" si="37"/>
        <v/>
      </c>
      <c r="H174" s="21" t="str">
        <f t="shared" si="38"/>
        <v/>
      </c>
      <c r="I174" s="10" t="str">
        <f>IF(COUNTA(A174:D174,F174)=0,"",IF(NOT(ISNUMBER(A174)),"缺少有效净值日期",IF(OR(A174&lt;=0,A174&lt;&gt;INT(A174)),"净值日期无效",IF(OR(B174="转换转入",B174="现金分红"),"该类型需实际金额，五项录入不适用",IF(NOT(OR(OR(B174="买入",B174="定投"),B174="卖出",B174="红利再投")),"请选择交易类型",IF(NOT(ISNUMBER(C174)),"缺少成交净值",IF(C174&lt;=0,"成交净值须大于零",IF(NOT(ISNUMBER(D174)),"缺少确认份额",IF(D174&lt;=0,"确认份额须大于零",IF(NOT(ISNUMBER(F174)),"缺少手续费，无费用请填 0",IF(F174&lt;0,"手续费不能为负",IF(AA173="错误","前行待修正",IF(A174&lt;Z173,"日期需按成交顺序递增",IF(AND(B174="红利再投",F174&lt;&gt;0),"红利再投手续费应填 0",IF(AND(B174="红利再投",K173&lt;=0),"红利再投前须有持仓",IF(AND(B174="卖出",D174&gt;K173+0.000001),"卖出份额超过持仓",IF(AND(B174="卖出",F174&gt;=C174*D174),"赎回费不能达到赎回总额",IF(NOT(ISNUMBER(E174)),"自动金额未生成，请检查五项输入",IF(NOT(OR(持仓总览!$C$7="利润优先",持仓总览!$C$7="本金优先")),"请选择卖出分配模式","已计入")))))))))))))))))))</f>
        <v/>
      </c>
      <c r="J174" s="11">
        <f t="shared" si="39"/>
        <v>0</v>
      </c>
      <c r="K174" s="11">
        <f t="shared" si="44"/>
        <v>34284.43</v>
      </c>
      <c r="L174" s="11" t="str">
        <f t="shared" si="45"/>
        <v/>
      </c>
      <c r="M174" s="11" t="str">
        <f t="shared" si="46"/>
        <v/>
      </c>
      <c r="N174" s="11" t="str">
        <f>IF(I174="已计入",IF(AND(B174="卖出",持仓总览!$C$7="本金优先"),MAX(0,E174-Q173),IF(OR(B174="卖出",B174="现金分红"),MIN(E174,M174),0)),"")</f>
        <v/>
      </c>
      <c r="O174" s="11" t="str">
        <f t="shared" si="47"/>
        <v/>
      </c>
      <c r="P174" s="11" t="str">
        <f t="shared" si="48"/>
        <v/>
      </c>
      <c r="Q174" s="11">
        <f t="shared" si="49"/>
        <v>82516.01</v>
      </c>
      <c r="R174" s="11" t="str">
        <f t="shared" si="40"/>
        <v/>
      </c>
      <c r="S174" s="11" t="str">
        <f t="shared" si="41"/>
        <v/>
      </c>
      <c r="T174" s="12" t="str">
        <f t="shared" si="42"/>
        <v/>
      </c>
      <c r="U174" s="11">
        <f t="shared" si="50"/>
        <v>82516.01</v>
      </c>
      <c r="V174" s="11">
        <f t="shared" si="51"/>
        <v>0</v>
      </c>
      <c r="W174" s="11">
        <f t="shared" si="52"/>
        <v>0</v>
      </c>
      <c r="X174" s="11">
        <f t="shared" si="53"/>
        <v>0</v>
      </c>
      <c r="Y174" s="11" t="str">
        <f t="shared" si="43"/>
        <v/>
      </c>
      <c r="Z174" s="13">
        <f t="shared" si="54"/>
        <v>46247</v>
      </c>
      <c r="AA174" s="10" t="str">
        <f>IF(OR($AA$116="错误",COUNTIF($G$117:G174,"待修正")&gt;0),"错误","正常")</f>
        <v>正常</v>
      </c>
      <c r="AB174" s="14">
        <f t="shared" si="55"/>
        <v>2.7686</v>
      </c>
    </row>
    <row r="175" ht="23" customHeight="1" spans="1:28">
      <c r="A175" s="15"/>
      <c r="B175" s="16"/>
      <c r="C175" s="17"/>
      <c r="D175" s="18"/>
      <c r="E175" s="19" t="str">
        <f t="shared" si="36"/>
        <v/>
      </c>
      <c r="F175" s="18"/>
      <c r="G175" s="20" t="str">
        <f t="shared" si="37"/>
        <v/>
      </c>
      <c r="H175" s="21" t="str">
        <f t="shared" si="38"/>
        <v/>
      </c>
      <c r="I175" s="10" t="str">
        <f>IF(COUNTA(A175:D175,F175)=0,"",IF(NOT(ISNUMBER(A175)),"缺少有效净值日期",IF(OR(A175&lt;=0,A175&lt;&gt;INT(A175)),"净值日期无效",IF(OR(B175="转换转入",B175="现金分红"),"该类型需实际金额，五项录入不适用",IF(NOT(OR(OR(B175="买入",B175="定投"),B175="卖出",B175="红利再投")),"请选择交易类型",IF(NOT(ISNUMBER(C175)),"缺少成交净值",IF(C175&lt;=0,"成交净值须大于零",IF(NOT(ISNUMBER(D175)),"缺少确认份额",IF(D175&lt;=0,"确认份额须大于零",IF(NOT(ISNUMBER(F175)),"缺少手续费，无费用请填 0",IF(F175&lt;0,"手续费不能为负",IF(AA174="错误","前行待修正",IF(A175&lt;Z174,"日期需按成交顺序递增",IF(AND(B175="红利再投",F175&lt;&gt;0),"红利再投手续费应填 0",IF(AND(B175="红利再投",K174&lt;=0),"红利再投前须有持仓",IF(AND(B175="卖出",D175&gt;K174+0.000001),"卖出份额超过持仓",IF(AND(B175="卖出",F175&gt;=C175*D175),"赎回费不能达到赎回总额",IF(NOT(ISNUMBER(E175)),"自动金额未生成，请检查五项输入",IF(NOT(OR(持仓总览!$C$7="利润优先",持仓总览!$C$7="本金优先")),"请选择卖出分配模式","已计入")))))))))))))))))))</f>
        <v/>
      </c>
      <c r="J175" s="11">
        <f t="shared" si="39"/>
        <v>0</v>
      </c>
      <c r="K175" s="11">
        <f t="shared" si="44"/>
        <v>34284.43</v>
      </c>
      <c r="L175" s="11" t="str">
        <f t="shared" si="45"/>
        <v/>
      </c>
      <c r="M175" s="11" t="str">
        <f t="shared" si="46"/>
        <v/>
      </c>
      <c r="N175" s="11" t="str">
        <f>IF(I175="已计入",IF(AND(B175="卖出",持仓总览!$C$7="本金优先"),MAX(0,E175-Q174),IF(OR(B175="卖出",B175="现金分红"),MIN(E175,M175),0)),"")</f>
        <v/>
      </c>
      <c r="O175" s="11" t="str">
        <f t="shared" si="47"/>
        <v/>
      </c>
      <c r="P175" s="11" t="str">
        <f t="shared" si="48"/>
        <v/>
      </c>
      <c r="Q175" s="11">
        <f t="shared" si="49"/>
        <v>82516.01</v>
      </c>
      <c r="R175" s="11" t="str">
        <f t="shared" si="40"/>
        <v/>
      </c>
      <c r="S175" s="11" t="str">
        <f t="shared" si="41"/>
        <v/>
      </c>
      <c r="T175" s="12" t="str">
        <f t="shared" si="42"/>
        <v/>
      </c>
      <c r="U175" s="11">
        <f t="shared" si="50"/>
        <v>82516.01</v>
      </c>
      <c r="V175" s="11">
        <f t="shared" si="51"/>
        <v>0</v>
      </c>
      <c r="W175" s="11">
        <f t="shared" si="52"/>
        <v>0</v>
      </c>
      <c r="X175" s="11">
        <f t="shared" si="53"/>
        <v>0</v>
      </c>
      <c r="Y175" s="11" t="str">
        <f t="shared" si="43"/>
        <v/>
      </c>
      <c r="Z175" s="13">
        <f t="shared" si="54"/>
        <v>46247</v>
      </c>
      <c r="AA175" s="10" t="str">
        <f>IF(OR($AA$116="错误",COUNTIF($G$117:G175,"待修正")&gt;0),"错误","正常")</f>
        <v>正常</v>
      </c>
      <c r="AB175" s="14">
        <f t="shared" si="55"/>
        <v>2.7686</v>
      </c>
    </row>
    <row r="176" ht="23" customHeight="1" spans="1:28">
      <c r="A176" s="15"/>
      <c r="B176" s="16"/>
      <c r="C176" s="17"/>
      <c r="D176" s="18"/>
      <c r="E176" s="19" t="str">
        <f t="shared" si="36"/>
        <v/>
      </c>
      <c r="F176" s="18"/>
      <c r="G176" s="20" t="str">
        <f t="shared" si="37"/>
        <v/>
      </c>
      <c r="H176" s="21" t="str">
        <f t="shared" si="38"/>
        <v/>
      </c>
      <c r="I176" s="10" t="str">
        <f>IF(COUNTA(A176:D176,F176)=0,"",IF(NOT(ISNUMBER(A176)),"缺少有效净值日期",IF(OR(A176&lt;=0,A176&lt;&gt;INT(A176)),"净值日期无效",IF(OR(B176="转换转入",B176="现金分红"),"该类型需实际金额，五项录入不适用",IF(NOT(OR(OR(B176="买入",B176="定投"),B176="卖出",B176="红利再投")),"请选择交易类型",IF(NOT(ISNUMBER(C176)),"缺少成交净值",IF(C176&lt;=0,"成交净值须大于零",IF(NOT(ISNUMBER(D176)),"缺少确认份额",IF(D176&lt;=0,"确认份额须大于零",IF(NOT(ISNUMBER(F176)),"缺少手续费，无费用请填 0",IF(F176&lt;0,"手续费不能为负",IF(AA175="错误","前行待修正",IF(A176&lt;Z175,"日期需按成交顺序递增",IF(AND(B176="红利再投",F176&lt;&gt;0),"红利再投手续费应填 0",IF(AND(B176="红利再投",K175&lt;=0),"红利再投前须有持仓",IF(AND(B176="卖出",D176&gt;K175+0.000001),"卖出份额超过持仓",IF(AND(B176="卖出",F176&gt;=C176*D176),"赎回费不能达到赎回总额",IF(NOT(ISNUMBER(E176)),"自动金额未生成，请检查五项输入",IF(NOT(OR(持仓总览!$C$7="利润优先",持仓总览!$C$7="本金优先")),"请选择卖出分配模式","已计入")))))))))))))))))))</f>
        <v/>
      </c>
      <c r="J176" s="11">
        <f t="shared" si="39"/>
        <v>0</v>
      </c>
      <c r="K176" s="11">
        <f t="shared" si="44"/>
        <v>34284.43</v>
      </c>
      <c r="L176" s="11" t="str">
        <f t="shared" si="45"/>
        <v/>
      </c>
      <c r="M176" s="11" t="str">
        <f t="shared" si="46"/>
        <v/>
      </c>
      <c r="N176" s="11" t="str">
        <f>IF(I176="已计入",IF(AND(B176="卖出",持仓总览!$C$7="本金优先"),MAX(0,E176-Q175),IF(OR(B176="卖出",B176="现金分红"),MIN(E176,M176),0)),"")</f>
        <v/>
      </c>
      <c r="O176" s="11" t="str">
        <f t="shared" si="47"/>
        <v/>
      </c>
      <c r="P176" s="11" t="str">
        <f t="shared" si="48"/>
        <v/>
      </c>
      <c r="Q176" s="11">
        <f t="shared" si="49"/>
        <v>82516.01</v>
      </c>
      <c r="R176" s="11" t="str">
        <f t="shared" si="40"/>
        <v/>
      </c>
      <c r="S176" s="11" t="str">
        <f t="shared" si="41"/>
        <v/>
      </c>
      <c r="T176" s="12" t="str">
        <f t="shared" si="42"/>
        <v/>
      </c>
      <c r="U176" s="11">
        <f t="shared" si="50"/>
        <v>82516.01</v>
      </c>
      <c r="V176" s="11">
        <f t="shared" si="51"/>
        <v>0</v>
      </c>
      <c r="W176" s="11">
        <f t="shared" si="52"/>
        <v>0</v>
      </c>
      <c r="X176" s="11">
        <f t="shared" si="53"/>
        <v>0</v>
      </c>
      <c r="Y176" s="11" t="str">
        <f t="shared" si="43"/>
        <v/>
      </c>
      <c r="Z176" s="13">
        <f t="shared" si="54"/>
        <v>46247</v>
      </c>
      <c r="AA176" s="10" t="str">
        <f>IF(OR($AA$116="错误",COUNTIF($G$117:G176,"待修正")&gt;0),"错误","正常")</f>
        <v>正常</v>
      </c>
      <c r="AB176" s="14">
        <f t="shared" si="55"/>
        <v>2.7686</v>
      </c>
    </row>
    <row r="177" ht="23" customHeight="1" spans="1:28">
      <c r="A177" s="15"/>
      <c r="B177" s="16"/>
      <c r="C177" s="17"/>
      <c r="D177" s="18"/>
      <c r="E177" s="19" t="str">
        <f t="shared" si="36"/>
        <v/>
      </c>
      <c r="F177" s="18"/>
      <c r="G177" s="20" t="str">
        <f t="shared" si="37"/>
        <v/>
      </c>
      <c r="H177" s="21" t="str">
        <f t="shared" si="38"/>
        <v/>
      </c>
      <c r="I177" s="10" t="str">
        <f>IF(COUNTA(A177:D177,F177)=0,"",IF(NOT(ISNUMBER(A177)),"缺少有效净值日期",IF(OR(A177&lt;=0,A177&lt;&gt;INT(A177)),"净值日期无效",IF(OR(B177="转换转入",B177="现金分红"),"该类型需实际金额，五项录入不适用",IF(NOT(OR(OR(B177="买入",B177="定投"),B177="卖出",B177="红利再投")),"请选择交易类型",IF(NOT(ISNUMBER(C177)),"缺少成交净值",IF(C177&lt;=0,"成交净值须大于零",IF(NOT(ISNUMBER(D177)),"缺少确认份额",IF(D177&lt;=0,"确认份额须大于零",IF(NOT(ISNUMBER(F177)),"缺少手续费，无费用请填 0",IF(F177&lt;0,"手续费不能为负",IF(AA176="错误","前行待修正",IF(A177&lt;Z176,"日期需按成交顺序递增",IF(AND(B177="红利再投",F177&lt;&gt;0),"红利再投手续费应填 0",IF(AND(B177="红利再投",K176&lt;=0),"红利再投前须有持仓",IF(AND(B177="卖出",D177&gt;K176+0.000001),"卖出份额超过持仓",IF(AND(B177="卖出",F177&gt;=C177*D177),"赎回费不能达到赎回总额",IF(NOT(ISNUMBER(E177)),"自动金额未生成，请检查五项输入",IF(NOT(OR(持仓总览!$C$7="利润优先",持仓总览!$C$7="本金优先")),"请选择卖出分配模式","已计入")))))))))))))))))))</f>
        <v/>
      </c>
      <c r="J177" s="11">
        <f t="shared" si="39"/>
        <v>0</v>
      </c>
      <c r="K177" s="11">
        <f t="shared" si="44"/>
        <v>34284.43</v>
      </c>
      <c r="L177" s="11" t="str">
        <f t="shared" si="45"/>
        <v/>
      </c>
      <c r="M177" s="11" t="str">
        <f t="shared" si="46"/>
        <v/>
      </c>
      <c r="N177" s="11" t="str">
        <f>IF(I177="已计入",IF(AND(B177="卖出",持仓总览!$C$7="本金优先"),MAX(0,E177-Q176),IF(OR(B177="卖出",B177="现金分红"),MIN(E177,M177),0)),"")</f>
        <v/>
      </c>
      <c r="O177" s="11" t="str">
        <f t="shared" si="47"/>
        <v/>
      </c>
      <c r="P177" s="11" t="str">
        <f t="shared" si="48"/>
        <v/>
      </c>
      <c r="Q177" s="11">
        <f t="shared" si="49"/>
        <v>82516.01</v>
      </c>
      <c r="R177" s="11" t="str">
        <f t="shared" si="40"/>
        <v/>
      </c>
      <c r="S177" s="11" t="str">
        <f t="shared" si="41"/>
        <v/>
      </c>
      <c r="T177" s="12" t="str">
        <f t="shared" si="42"/>
        <v/>
      </c>
      <c r="U177" s="11">
        <f t="shared" si="50"/>
        <v>82516.01</v>
      </c>
      <c r="V177" s="11">
        <f t="shared" si="51"/>
        <v>0</v>
      </c>
      <c r="W177" s="11">
        <f t="shared" si="52"/>
        <v>0</v>
      </c>
      <c r="X177" s="11">
        <f t="shared" si="53"/>
        <v>0</v>
      </c>
      <c r="Y177" s="11" t="str">
        <f t="shared" si="43"/>
        <v/>
      </c>
      <c r="Z177" s="13">
        <f t="shared" si="54"/>
        <v>46247</v>
      </c>
      <c r="AA177" s="10" t="str">
        <f>IF(OR($AA$116="错误",COUNTIF($G$117:G177,"待修正")&gt;0),"错误","正常")</f>
        <v>正常</v>
      </c>
      <c r="AB177" s="14">
        <f t="shared" si="55"/>
        <v>2.7686</v>
      </c>
    </row>
    <row r="178" ht="23" customHeight="1" spans="1:28">
      <c r="A178" s="15"/>
      <c r="B178" s="16"/>
      <c r="C178" s="17"/>
      <c r="D178" s="18"/>
      <c r="E178" s="19" t="str">
        <f t="shared" si="36"/>
        <v/>
      </c>
      <c r="F178" s="18"/>
      <c r="G178" s="20" t="str">
        <f t="shared" si="37"/>
        <v/>
      </c>
      <c r="H178" s="21" t="str">
        <f t="shared" si="38"/>
        <v/>
      </c>
      <c r="I178" s="10" t="str">
        <f>IF(COUNTA(A178:D178,F178)=0,"",IF(NOT(ISNUMBER(A178)),"缺少有效净值日期",IF(OR(A178&lt;=0,A178&lt;&gt;INT(A178)),"净值日期无效",IF(OR(B178="转换转入",B178="现金分红"),"该类型需实际金额，五项录入不适用",IF(NOT(OR(OR(B178="买入",B178="定投"),B178="卖出",B178="红利再投")),"请选择交易类型",IF(NOT(ISNUMBER(C178)),"缺少成交净值",IF(C178&lt;=0,"成交净值须大于零",IF(NOT(ISNUMBER(D178)),"缺少确认份额",IF(D178&lt;=0,"确认份额须大于零",IF(NOT(ISNUMBER(F178)),"缺少手续费，无费用请填 0",IF(F178&lt;0,"手续费不能为负",IF(AA177="错误","前行待修正",IF(A178&lt;Z177,"日期需按成交顺序递增",IF(AND(B178="红利再投",F178&lt;&gt;0),"红利再投手续费应填 0",IF(AND(B178="红利再投",K177&lt;=0),"红利再投前须有持仓",IF(AND(B178="卖出",D178&gt;K177+0.000001),"卖出份额超过持仓",IF(AND(B178="卖出",F178&gt;=C178*D178),"赎回费不能达到赎回总额",IF(NOT(ISNUMBER(E178)),"自动金额未生成，请检查五项输入",IF(NOT(OR(持仓总览!$C$7="利润优先",持仓总览!$C$7="本金优先")),"请选择卖出分配模式","已计入")))))))))))))))))))</f>
        <v/>
      </c>
      <c r="J178" s="11">
        <f t="shared" si="39"/>
        <v>0</v>
      </c>
      <c r="K178" s="11">
        <f t="shared" si="44"/>
        <v>34284.43</v>
      </c>
      <c r="L178" s="11" t="str">
        <f t="shared" si="45"/>
        <v/>
      </c>
      <c r="M178" s="11" t="str">
        <f t="shared" si="46"/>
        <v/>
      </c>
      <c r="N178" s="11" t="str">
        <f>IF(I178="已计入",IF(AND(B178="卖出",持仓总览!$C$7="本金优先"),MAX(0,E178-Q177),IF(OR(B178="卖出",B178="现金分红"),MIN(E178,M178),0)),"")</f>
        <v/>
      </c>
      <c r="O178" s="11" t="str">
        <f t="shared" si="47"/>
        <v/>
      </c>
      <c r="P178" s="11" t="str">
        <f t="shared" si="48"/>
        <v/>
      </c>
      <c r="Q178" s="11">
        <f t="shared" si="49"/>
        <v>82516.01</v>
      </c>
      <c r="R178" s="11" t="str">
        <f t="shared" si="40"/>
        <v/>
      </c>
      <c r="S178" s="11" t="str">
        <f t="shared" si="41"/>
        <v/>
      </c>
      <c r="T178" s="12" t="str">
        <f t="shared" si="42"/>
        <v/>
      </c>
      <c r="U178" s="11">
        <f t="shared" si="50"/>
        <v>82516.01</v>
      </c>
      <c r="V178" s="11">
        <f t="shared" si="51"/>
        <v>0</v>
      </c>
      <c r="W178" s="11">
        <f t="shared" si="52"/>
        <v>0</v>
      </c>
      <c r="X178" s="11">
        <f t="shared" si="53"/>
        <v>0</v>
      </c>
      <c r="Y178" s="11" t="str">
        <f t="shared" si="43"/>
        <v/>
      </c>
      <c r="Z178" s="13">
        <f t="shared" si="54"/>
        <v>46247</v>
      </c>
      <c r="AA178" s="10" t="str">
        <f>IF(OR($AA$116="错误",COUNTIF($G$117:G178,"待修正")&gt;0),"错误","正常")</f>
        <v>正常</v>
      </c>
      <c r="AB178" s="14">
        <f t="shared" si="55"/>
        <v>2.7686</v>
      </c>
    </row>
    <row r="179" ht="23" customHeight="1" spans="1:28">
      <c r="A179" s="15"/>
      <c r="B179" s="16"/>
      <c r="C179" s="17"/>
      <c r="D179" s="18"/>
      <c r="E179" s="19" t="str">
        <f t="shared" si="36"/>
        <v/>
      </c>
      <c r="F179" s="18"/>
      <c r="G179" s="20" t="str">
        <f t="shared" si="37"/>
        <v/>
      </c>
      <c r="H179" s="21" t="str">
        <f t="shared" si="38"/>
        <v/>
      </c>
      <c r="I179" s="10" t="str">
        <f>IF(COUNTA(A179:D179,F179)=0,"",IF(NOT(ISNUMBER(A179)),"缺少有效净值日期",IF(OR(A179&lt;=0,A179&lt;&gt;INT(A179)),"净值日期无效",IF(OR(B179="转换转入",B179="现金分红"),"该类型需实际金额，五项录入不适用",IF(NOT(OR(OR(B179="买入",B179="定投"),B179="卖出",B179="红利再投")),"请选择交易类型",IF(NOT(ISNUMBER(C179)),"缺少成交净值",IF(C179&lt;=0,"成交净值须大于零",IF(NOT(ISNUMBER(D179)),"缺少确认份额",IF(D179&lt;=0,"确认份额须大于零",IF(NOT(ISNUMBER(F179)),"缺少手续费，无费用请填 0",IF(F179&lt;0,"手续费不能为负",IF(AA178="错误","前行待修正",IF(A179&lt;Z178,"日期需按成交顺序递增",IF(AND(B179="红利再投",F179&lt;&gt;0),"红利再投手续费应填 0",IF(AND(B179="红利再投",K178&lt;=0),"红利再投前须有持仓",IF(AND(B179="卖出",D179&gt;K178+0.000001),"卖出份额超过持仓",IF(AND(B179="卖出",F179&gt;=C179*D179),"赎回费不能达到赎回总额",IF(NOT(ISNUMBER(E179)),"自动金额未生成，请检查五项输入",IF(NOT(OR(持仓总览!$C$7="利润优先",持仓总览!$C$7="本金优先")),"请选择卖出分配模式","已计入")))))))))))))))))))</f>
        <v/>
      </c>
      <c r="J179" s="11">
        <f t="shared" si="39"/>
        <v>0</v>
      </c>
      <c r="K179" s="11">
        <f t="shared" si="44"/>
        <v>34284.43</v>
      </c>
      <c r="L179" s="11" t="str">
        <f t="shared" si="45"/>
        <v/>
      </c>
      <c r="M179" s="11" t="str">
        <f t="shared" si="46"/>
        <v/>
      </c>
      <c r="N179" s="11" t="str">
        <f>IF(I179="已计入",IF(AND(B179="卖出",持仓总览!$C$7="本金优先"),MAX(0,E179-Q178),IF(OR(B179="卖出",B179="现金分红"),MIN(E179,M179),0)),"")</f>
        <v/>
      </c>
      <c r="O179" s="11" t="str">
        <f t="shared" si="47"/>
        <v/>
      </c>
      <c r="P179" s="11" t="str">
        <f t="shared" si="48"/>
        <v/>
      </c>
      <c r="Q179" s="11">
        <f t="shared" si="49"/>
        <v>82516.01</v>
      </c>
      <c r="R179" s="11" t="str">
        <f t="shared" si="40"/>
        <v/>
      </c>
      <c r="S179" s="11" t="str">
        <f t="shared" si="41"/>
        <v/>
      </c>
      <c r="T179" s="12" t="str">
        <f t="shared" si="42"/>
        <v/>
      </c>
      <c r="U179" s="11">
        <f t="shared" si="50"/>
        <v>82516.01</v>
      </c>
      <c r="V179" s="11">
        <f t="shared" si="51"/>
        <v>0</v>
      </c>
      <c r="W179" s="11">
        <f t="shared" si="52"/>
        <v>0</v>
      </c>
      <c r="X179" s="11">
        <f t="shared" si="53"/>
        <v>0</v>
      </c>
      <c r="Y179" s="11" t="str">
        <f t="shared" si="43"/>
        <v/>
      </c>
      <c r="Z179" s="13">
        <f t="shared" si="54"/>
        <v>46247</v>
      </c>
      <c r="AA179" s="10" t="str">
        <f>IF(OR($AA$116="错误",COUNTIF($G$117:G179,"待修正")&gt;0),"错误","正常")</f>
        <v>正常</v>
      </c>
      <c r="AB179" s="14">
        <f t="shared" si="55"/>
        <v>2.7686</v>
      </c>
    </row>
    <row r="180" ht="23" customHeight="1" spans="1:28">
      <c r="A180" s="15"/>
      <c r="B180" s="16"/>
      <c r="C180" s="17"/>
      <c r="D180" s="18"/>
      <c r="E180" s="19" t="str">
        <f t="shared" si="36"/>
        <v/>
      </c>
      <c r="F180" s="18"/>
      <c r="G180" s="20" t="str">
        <f t="shared" si="37"/>
        <v/>
      </c>
      <c r="H180" s="21" t="str">
        <f t="shared" si="38"/>
        <v/>
      </c>
      <c r="I180" s="10" t="str">
        <f>IF(COUNTA(A180:D180,F180)=0,"",IF(NOT(ISNUMBER(A180)),"缺少有效净值日期",IF(OR(A180&lt;=0,A180&lt;&gt;INT(A180)),"净值日期无效",IF(OR(B180="转换转入",B180="现金分红"),"该类型需实际金额，五项录入不适用",IF(NOT(OR(OR(B180="买入",B180="定投"),B180="卖出",B180="红利再投")),"请选择交易类型",IF(NOT(ISNUMBER(C180)),"缺少成交净值",IF(C180&lt;=0,"成交净值须大于零",IF(NOT(ISNUMBER(D180)),"缺少确认份额",IF(D180&lt;=0,"确认份额须大于零",IF(NOT(ISNUMBER(F180)),"缺少手续费，无费用请填 0",IF(F180&lt;0,"手续费不能为负",IF(AA179="错误","前行待修正",IF(A180&lt;Z179,"日期需按成交顺序递增",IF(AND(B180="红利再投",F180&lt;&gt;0),"红利再投手续费应填 0",IF(AND(B180="红利再投",K179&lt;=0),"红利再投前须有持仓",IF(AND(B180="卖出",D180&gt;K179+0.000001),"卖出份额超过持仓",IF(AND(B180="卖出",F180&gt;=C180*D180),"赎回费不能达到赎回总额",IF(NOT(ISNUMBER(E180)),"自动金额未生成，请检查五项输入",IF(NOT(OR(持仓总览!$C$7="利润优先",持仓总览!$C$7="本金优先")),"请选择卖出分配模式","已计入")))))))))))))))))))</f>
        <v/>
      </c>
      <c r="J180" s="11">
        <f t="shared" si="39"/>
        <v>0</v>
      </c>
      <c r="K180" s="11">
        <f t="shared" si="44"/>
        <v>34284.43</v>
      </c>
      <c r="L180" s="11" t="str">
        <f t="shared" si="45"/>
        <v/>
      </c>
      <c r="M180" s="11" t="str">
        <f t="shared" si="46"/>
        <v/>
      </c>
      <c r="N180" s="11" t="str">
        <f>IF(I180="已计入",IF(AND(B180="卖出",持仓总览!$C$7="本金优先"),MAX(0,E180-Q179),IF(OR(B180="卖出",B180="现金分红"),MIN(E180,M180),0)),"")</f>
        <v/>
      </c>
      <c r="O180" s="11" t="str">
        <f t="shared" si="47"/>
        <v/>
      </c>
      <c r="P180" s="11" t="str">
        <f t="shared" si="48"/>
        <v/>
      </c>
      <c r="Q180" s="11">
        <f t="shared" si="49"/>
        <v>82516.01</v>
      </c>
      <c r="R180" s="11" t="str">
        <f t="shared" si="40"/>
        <v/>
      </c>
      <c r="S180" s="11" t="str">
        <f t="shared" si="41"/>
        <v/>
      </c>
      <c r="T180" s="12" t="str">
        <f t="shared" si="42"/>
        <v/>
      </c>
      <c r="U180" s="11">
        <f t="shared" si="50"/>
        <v>82516.01</v>
      </c>
      <c r="V180" s="11">
        <f t="shared" si="51"/>
        <v>0</v>
      </c>
      <c r="W180" s="11">
        <f t="shared" si="52"/>
        <v>0</v>
      </c>
      <c r="X180" s="11">
        <f t="shared" si="53"/>
        <v>0</v>
      </c>
      <c r="Y180" s="11" t="str">
        <f t="shared" si="43"/>
        <v/>
      </c>
      <c r="Z180" s="13">
        <f t="shared" si="54"/>
        <v>46247</v>
      </c>
      <c r="AA180" s="10" t="str">
        <f>IF(OR($AA$116="错误",COUNTIF($G$117:G180,"待修正")&gt;0),"错误","正常")</f>
        <v>正常</v>
      </c>
      <c r="AB180" s="14">
        <f t="shared" si="55"/>
        <v>2.7686</v>
      </c>
    </row>
    <row r="181" ht="23" customHeight="1" spans="1:28">
      <c r="A181" s="15"/>
      <c r="B181" s="16"/>
      <c r="C181" s="17"/>
      <c r="D181" s="18"/>
      <c r="E181" s="19" t="str">
        <f t="shared" ref="E181:E244" si="56">IF(AND(ISNUMBER(C181),ISNUMBER(D181),ISNUMBER(F181)),IF(OR(B181="买入",B181="定投"),ROUND(C181*D181+F181,2),IF(B181="卖出",ROUND(C181*D181-F181,2),IF(B181="红利再投",0,""))),"")</f>
        <v/>
      </c>
      <c r="F181" s="18"/>
      <c r="G181" s="20" t="str">
        <f t="shared" ref="G181:G244" si="57">IF(COUNTA(A181:D181,F181)=0,"",IF(I181="已计入","已录入","待修正"))</f>
        <v/>
      </c>
      <c r="H181" s="21" t="str">
        <f t="shared" ref="H181:H244" si="58">IF(COUNTA(A181:D181,F181)=0,"",IF(B181="红利再投","仅增加份额，不增加现金投入","金额由份额、净值和手续费推算"))</f>
        <v/>
      </c>
      <c r="I181" s="10" t="str">
        <f>IF(COUNTA(A181:D181,F181)=0,"",IF(NOT(ISNUMBER(A181)),"缺少有效净值日期",IF(OR(A181&lt;=0,A181&lt;&gt;INT(A181)),"净值日期无效",IF(OR(B181="转换转入",B181="现金分红"),"该类型需实际金额，五项录入不适用",IF(NOT(OR(OR(B181="买入",B181="定投"),B181="卖出",B181="红利再投")),"请选择交易类型",IF(NOT(ISNUMBER(C181)),"缺少成交净值",IF(C181&lt;=0,"成交净值须大于零",IF(NOT(ISNUMBER(D181)),"缺少确认份额",IF(D181&lt;=0,"确认份额须大于零",IF(NOT(ISNUMBER(F181)),"缺少手续费，无费用请填 0",IF(F181&lt;0,"手续费不能为负",IF(AA180="错误","前行待修正",IF(A181&lt;Z180,"日期需按成交顺序递增",IF(AND(B181="红利再投",F181&lt;&gt;0),"红利再投手续费应填 0",IF(AND(B181="红利再投",K180&lt;=0),"红利再投前须有持仓",IF(AND(B181="卖出",D181&gt;K180+0.000001),"卖出份额超过持仓",IF(AND(B181="卖出",F181&gt;=C181*D181),"赎回费不能达到赎回总额",IF(NOT(ISNUMBER(E181)),"自动金额未生成，请检查五项输入",IF(NOT(OR(持仓总览!$C$7="利润优先",持仓总览!$C$7="本金优先")),"请选择卖出分配模式","已计入")))))))))))))))))))</f>
        <v/>
      </c>
      <c r="J181" s="11">
        <f t="shared" si="39"/>
        <v>0</v>
      </c>
      <c r="K181" s="11">
        <f t="shared" si="44"/>
        <v>34284.43</v>
      </c>
      <c r="L181" s="11" t="str">
        <f t="shared" si="45"/>
        <v/>
      </c>
      <c r="M181" s="11" t="str">
        <f t="shared" si="46"/>
        <v/>
      </c>
      <c r="N181" s="11" t="str">
        <f>IF(I181="已计入",IF(AND(B181="卖出",持仓总览!$C$7="本金优先"),MAX(0,E181-Q180),IF(OR(B181="卖出",B181="现金分红"),MIN(E181,M181),0)),"")</f>
        <v/>
      </c>
      <c r="O181" s="11" t="str">
        <f t="shared" si="47"/>
        <v/>
      </c>
      <c r="P181" s="11" t="str">
        <f t="shared" si="48"/>
        <v/>
      </c>
      <c r="Q181" s="11">
        <f t="shared" si="49"/>
        <v>82516.01</v>
      </c>
      <c r="R181" s="11" t="str">
        <f t="shared" si="40"/>
        <v/>
      </c>
      <c r="S181" s="11" t="str">
        <f t="shared" si="41"/>
        <v/>
      </c>
      <c r="T181" s="12" t="str">
        <f t="shared" si="42"/>
        <v/>
      </c>
      <c r="U181" s="11">
        <f t="shared" si="50"/>
        <v>82516.01</v>
      </c>
      <c r="V181" s="11">
        <f t="shared" si="51"/>
        <v>0</v>
      </c>
      <c r="W181" s="11">
        <f t="shared" si="52"/>
        <v>0</v>
      </c>
      <c r="X181" s="11">
        <f t="shared" si="53"/>
        <v>0</v>
      </c>
      <c r="Y181" s="11" t="str">
        <f t="shared" si="43"/>
        <v/>
      </c>
      <c r="Z181" s="13">
        <f t="shared" si="54"/>
        <v>46247</v>
      </c>
      <c r="AA181" s="10" t="str">
        <f>IF(OR($AA$116="错误",COUNTIF($G$117:G181,"待修正")&gt;0),"错误","正常")</f>
        <v>正常</v>
      </c>
      <c r="AB181" s="14">
        <f t="shared" si="55"/>
        <v>2.7686</v>
      </c>
    </row>
    <row r="182" ht="23" customHeight="1" spans="1:28">
      <c r="A182" s="15"/>
      <c r="B182" s="16"/>
      <c r="C182" s="17"/>
      <c r="D182" s="18"/>
      <c r="E182" s="19" t="str">
        <f t="shared" si="56"/>
        <v/>
      </c>
      <c r="F182" s="18"/>
      <c r="G182" s="20" t="str">
        <f t="shared" si="57"/>
        <v/>
      </c>
      <c r="H182" s="21" t="str">
        <f t="shared" si="58"/>
        <v/>
      </c>
      <c r="I182" s="10" t="str">
        <f>IF(COUNTA(A182:D182,F182)=0,"",IF(NOT(ISNUMBER(A182)),"缺少有效净值日期",IF(OR(A182&lt;=0,A182&lt;&gt;INT(A182)),"净值日期无效",IF(OR(B182="转换转入",B182="现金分红"),"该类型需实际金额，五项录入不适用",IF(NOT(OR(OR(B182="买入",B182="定投"),B182="卖出",B182="红利再投")),"请选择交易类型",IF(NOT(ISNUMBER(C182)),"缺少成交净值",IF(C182&lt;=0,"成交净值须大于零",IF(NOT(ISNUMBER(D182)),"缺少确认份额",IF(D182&lt;=0,"确认份额须大于零",IF(NOT(ISNUMBER(F182)),"缺少手续费，无费用请填 0",IF(F182&lt;0,"手续费不能为负",IF(AA181="错误","前行待修正",IF(A182&lt;Z181,"日期需按成交顺序递增",IF(AND(B182="红利再投",F182&lt;&gt;0),"红利再投手续费应填 0",IF(AND(B182="红利再投",K181&lt;=0),"红利再投前须有持仓",IF(AND(B182="卖出",D182&gt;K181+0.000001),"卖出份额超过持仓",IF(AND(B182="卖出",F182&gt;=C182*D182),"赎回费不能达到赎回总额",IF(NOT(ISNUMBER(E182)),"自动金额未生成，请检查五项输入",IF(NOT(OR(持仓总览!$C$7="利润优先",持仓总览!$C$7="本金优先")),"请选择卖出分配模式","已计入")))))))))))))))))))</f>
        <v/>
      </c>
      <c r="J182" s="11">
        <f t="shared" si="39"/>
        <v>0</v>
      </c>
      <c r="K182" s="11">
        <f t="shared" si="44"/>
        <v>34284.43</v>
      </c>
      <c r="L182" s="11" t="str">
        <f t="shared" si="45"/>
        <v/>
      </c>
      <c r="M182" s="11" t="str">
        <f t="shared" si="46"/>
        <v/>
      </c>
      <c r="N182" s="11" t="str">
        <f>IF(I182="已计入",IF(AND(B182="卖出",持仓总览!$C$7="本金优先"),MAX(0,E182-Q181),IF(OR(B182="卖出",B182="现金分红"),MIN(E182,M182),0)),"")</f>
        <v/>
      </c>
      <c r="O182" s="11" t="str">
        <f t="shared" si="47"/>
        <v/>
      </c>
      <c r="P182" s="11" t="str">
        <f t="shared" si="48"/>
        <v/>
      </c>
      <c r="Q182" s="11">
        <f t="shared" si="49"/>
        <v>82516.01</v>
      </c>
      <c r="R182" s="11" t="str">
        <f t="shared" si="40"/>
        <v/>
      </c>
      <c r="S182" s="11" t="str">
        <f t="shared" si="41"/>
        <v/>
      </c>
      <c r="T182" s="12" t="str">
        <f t="shared" si="42"/>
        <v/>
      </c>
      <c r="U182" s="11">
        <f t="shared" si="50"/>
        <v>82516.01</v>
      </c>
      <c r="V182" s="11">
        <f t="shared" si="51"/>
        <v>0</v>
      </c>
      <c r="W182" s="11">
        <f t="shared" si="52"/>
        <v>0</v>
      </c>
      <c r="X182" s="11">
        <f t="shared" si="53"/>
        <v>0</v>
      </c>
      <c r="Y182" s="11" t="str">
        <f t="shared" si="43"/>
        <v/>
      </c>
      <c r="Z182" s="13">
        <f t="shared" si="54"/>
        <v>46247</v>
      </c>
      <c r="AA182" s="10" t="str">
        <f>IF(OR($AA$116="错误",COUNTIF($G$117:G182,"待修正")&gt;0),"错误","正常")</f>
        <v>正常</v>
      </c>
      <c r="AB182" s="14">
        <f t="shared" si="55"/>
        <v>2.7686</v>
      </c>
    </row>
    <row r="183" ht="23" customHeight="1" spans="1:28">
      <c r="A183" s="15"/>
      <c r="B183" s="16"/>
      <c r="C183" s="17"/>
      <c r="D183" s="18"/>
      <c r="E183" s="19" t="str">
        <f t="shared" si="56"/>
        <v/>
      </c>
      <c r="F183" s="18"/>
      <c r="G183" s="20" t="str">
        <f t="shared" si="57"/>
        <v/>
      </c>
      <c r="H183" s="21" t="str">
        <f t="shared" si="58"/>
        <v/>
      </c>
      <c r="I183" s="10" t="str">
        <f>IF(COUNTA(A183:D183,F183)=0,"",IF(NOT(ISNUMBER(A183)),"缺少有效净值日期",IF(OR(A183&lt;=0,A183&lt;&gt;INT(A183)),"净值日期无效",IF(OR(B183="转换转入",B183="现金分红"),"该类型需实际金额，五项录入不适用",IF(NOT(OR(OR(B183="买入",B183="定投"),B183="卖出",B183="红利再投")),"请选择交易类型",IF(NOT(ISNUMBER(C183)),"缺少成交净值",IF(C183&lt;=0,"成交净值须大于零",IF(NOT(ISNUMBER(D183)),"缺少确认份额",IF(D183&lt;=0,"确认份额须大于零",IF(NOT(ISNUMBER(F183)),"缺少手续费，无费用请填 0",IF(F183&lt;0,"手续费不能为负",IF(AA182="错误","前行待修正",IF(A183&lt;Z182,"日期需按成交顺序递增",IF(AND(B183="红利再投",F183&lt;&gt;0),"红利再投手续费应填 0",IF(AND(B183="红利再投",K182&lt;=0),"红利再投前须有持仓",IF(AND(B183="卖出",D183&gt;K182+0.000001),"卖出份额超过持仓",IF(AND(B183="卖出",F183&gt;=C183*D183),"赎回费不能达到赎回总额",IF(NOT(ISNUMBER(E183)),"自动金额未生成，请检查五项输入",IF(NOT(OR(持仓总览!$C$7="利润优先",持仓总览!$C$7="本金优先")),"请选择卖出分配模式","已计入")))))))))))))))))))</f>
        <v/>
      </c>
      <c r="J183" s="11">
        <f t="shared" si="39"/>
        <v>0</v>
      </c>
      <c r="K183" s="11">
        <f t="shared" si="44"/>
        <v>34284.43</v>
      </c>
      <c r="L183" s="11" t="str">
        <f t="shared" si="45"/>
        <v/>
      </c>
      <c r="M183" s="11" t="str">
        <f t="shared" si="46"/>
        <v/>
      </c>
      <c r="N183" s="11" t="str">
        <f>IF(I183="已计入",IF(AND(B183="卖出",持仓总览!$C$7="本金优先"),MAX(0,E183-Q182),IF(OR(B183="卖出",B183="现金分红"),MIN(E183,M183),0)),"")</f>
        <v/>
      </c>
      <c r="O183" s="11" t="str">
        <f t="shared" si="47"/>
        <v/>
      </c>
      <c r="P183" s="11" t="str">
        <f t="shared" si="48"/>
        <v/>
      </c>
      <c r="Q183" s="11">
        <f t="shared" si="49"/>
        <v>82516.01</v>
      </c>
      <c r="R183" s="11" t="str">
        <f t="shared" si="40"/>
        <v/>
      </c>
      <c r="S183" s="11" t="str">
        <f t="shared" si="41"/>
        <v/>
      </c>
      <c r="T183" s="12" t="str">
        <f t="shared" si="42"/>
        <v/>
      </c>
      <c r="U183" s="11">
        <f t="shared" si="50"/>
        <v>82516.01</v>
      </c>
      <c r="V183" s="11">
        <f t="shared" si="51"/>
        <v>0</v>
      </c>
      <c r="W183" s="11">
        <f t="shared" si="52"/>
        <v>0</v>
      </c>
      <c r="X183" s="11">
        <f t="shared" si="53"/>
        <v>0</v>
      </c>
      <c r="Y183" s="11" t="str">
        <f t="shared" si="43"/>
        <v/>
      </c>
      <c r="Z183" s="13">
        <f t="shared" si="54"/>
        <v>46247</v>
      </c>
      <c r="AA183" s="10" t="str">
        <f>IF(OR($AA$116="错误",COUNTIF($G$117:G183,"待修正")&gt;0),"错误","正常")</f>
        <v>正常</v>
      </c>
      <c r="AB183" s="14">
        <f t="shared" si="55"/>
        <v>2.7686</v>
      </c>
    </row>
    <row r="184" ht="23" customHeight="1" spans="1:28">
      <c r="A184" s="15"/>
      <c r="B184" s="16"/>
      <c r="C184" s="17"/>
      <c r="D184" s="18"/>
      <c r="E184" s="19" t="str">
        <f t="shared" si="56"/>
        <v/>
      </c>
      <c r="F184" s="18"/>
      <c r="G184" s="20" t="str">
        <f t="shared" si="57"/>
        <v/>
      </c>
      <c r="H184" s="21" t="str">
        <f t="shared" si="58"/>
        <v/>
      </c>
      <c r="I184" s="10" t="str">
        <f>IF(COUNTA(A184:D184,F184)=0,"",IF(NOT(ISNUMBER(A184)),"缺少有效净值日期",IF(OR(A184&lt;=0,A184&lt;&gt;INT(A184)),"净值日期无效",IF(OR(B184="转换转入",B184="现金分红"),"该类型需实际金额，五项录入不适用",IF(NOT(OR(OR(B184="买入",B184="定投"),B184="卖出",B184="红利再投")),"请选择交易类型",IF(NOT(ISNUMBER(C184)),"缺少成交净值",IF(C184&lt;=0,"成交净值须大于零",IF(NOT(ISNUMBER(D184)),"缺少确认份额",IF(D184&lt;=0,"确认份额须大于零",IF(NOT(ISNUMBER(F184)),"缺少手续费，无费用请填 0",IF(F184&lt;0,"手续费不能为负",IF(AA183="错误","前行待修正",IF(A184&lt;Z183,"日期需按成交顺序递增",IF(AND(B184="红利再投",F184&lt;&gt;0),"红利再投手续费应填 0",IF(AND(B184="红利再投",K183&lt;=0),"红利再投前须有持仓",IF(AND(B184="卖出",D184&gt;K183+0.000001),"卖出份额超过持仓",IF(AND(B184="卖出",F184&gt;=C184*D184),"赎回费不能达到赎回总额",IF(NOT(ISNUMBER(E184)),"自动金额未生成，请检查五项输入",IF(NOT(OR(持仓总览!$C$7="利润优先",持仓总览!$C$7="本金优先")),"请选择卖出分配模式","已计入")))))))))))))))))))</f>
        <v/>
      </c>
      <c r="J184" s="11">
        <f t="shared" si="39"/>
        <v>0</v>
      </c>
      <c r="K184" s="11">
        <f t="shared" si="44"/>
        <v>34284.43</v>
      </c>
      <c r="L184" s="11" t="str">
        <f t="shared" si="45"/>
        <v/>
      </c>
      <c r="M184" s="11" t="str">
        <f t="shared" si="46"/>
        <v/>
      </c>
      <c r="N184" s="11" t="str">
        <f>IF(I184="已计入",IF(AND(B184="卖出",持仓总览!$C$7="本金优先"),MAX(0,E184-Q183),IF(OR(B184="卖出",B184="现金分红"),MIN(E184,M184),0)),"")</f>
        <v/>
      </c>
      <c r="O184" s="11" t="str">
        <f t="shared" si="47"/>
        <v/>
      </c>
      <c r="P184" s="11" t="str">
        <f t="shared" si="48"/>
        <v/>
      </c>
      <c r="Q184" s="11">
        <f t="shared" si="49"/>
        <v>82516.01</v>
      </c>
      <c r="R184" s="11" t="str">
        <f t="shared" si="40"/>
        <v/>
      </c>
      <c r="S184" s="11" t="str">
        <f t="shared" si="41"/>
        <v/>
      </c>
      <c r="T184" s="12" t="str">
        <f t="shared" si="42"/>
        <v/>
      </c>
      <c r="U184" s="11">
        <f t="shared" si="50"/>
        <v>82516.01</v>
      </c>
      <c r="V184" s="11">
        <f t="shared" si="51"/>
        <v>0</v>
      </c>
      <c r="W184" s="11">
        <f t="shared" si="52"/>
        <v>0</v>
      </c>
      <c r="X184" s="11">
        <f t="shared" si="53"/>
        <v>0</v>
      </c>
      <c r="Y184" s="11" t="str">
        <f t="shared" si="43"/>
        <v/>
      </c>
      <c r="Z184" s="13">
        <f t="shared" si="54"/>
        <v>46247</v>
      </c>
      <c r="AA184" s="10" t="str">
        <f>IF(OR($AA$116="错误",COUNTIF($G$117:G184,"待修正")&gt;0),"错误","正常")</f>
        <v>正常</v>
      </c>
      <c r="AB184" s="14">
        <f t="shared" si="55"/>
        <v>2.7686</v>
      </c>
    </row>
    <row r="185" ht="23" customHeight="1" spans="1:28">
      <c r="A185" s="15"/>
      <c r="B185" s="16"/>
      <c r="C185" s="17"/>
      <c r="D185" s="18"/>
      <c r="E185" s="19" t="str">
        <f t="shared" si="56"/>
        <v/>
      </c>
      <c r="F185" s="18"/>
      <c r="G185" s="20" t="str">
        <f t="shared" si="57"/>
        <v/>
      </c>
      <c r="H185" s="21" t="str">
        <f t="shared" si="58"/>
        <v/>
      </c>
      <c r="I185" s="10" t="str">
        <f>IF(COUNTA(A185:D185,F185)=0,"",IF(NOT(ISNUMBER(A185)),"缺少有效净值日期",IF(OR(A185&lt;=0,A185&lt;&gt;INT(A185)),"净值日期无效",IF(OR(B185="转换转入",B185="现金分红"),"该类型需实际金额，五项录入不适用",IF(NOT(OR(OR(B185="买入",B185="定投"),B185="卖出",B185="红利再投")),"请选择交易类型",IF(NOT(ISNUMBER(C185)),"缺少成交净值",IF(C185&lt;=0,"成交净值须大于零",IF(NOT(ISNUMBER(D185)),"缺少确认份额",IF(D185&lt;=0,"确认份额须大于零",IF(NOT(ISNUMBER(F185)),"缺少手续费，无费用请填 0",IF(F185&lt;0,"手续费不能为负",IF(AA184="错误","前行待修正",IF(A185&lt;Z184,"日期需按成交顺序递增",IF(AND(B185="红利再投",F185&lt;&gt;0),"红利再投手续费应填 0",IF(AND(B185="红利再投",K184&lt;=0),"红利再投前须有持仓",IF(AND(B185="卖出",D185&gt;K184+0.000001),"卖出份额超过持仓",IF(AND(B185="卖出",F185&gt;=C185*D185),"赎回费不能达到赎回总额",IF(NOT(ISNUMBER(E185)),"自动金额未生成，请检查五项输入",IF(NOT(OR(持仓总览!$C$7="利润优先",持仓总览!$C$7="本金优先")),"请选择卖出分配模式","已计入")))))))))))))))))))</f>
        <v/>
      </c>
      <c r="J185" s="11">
        <f t="shared" si="39"/>
        <v>0</v>
      </c>
      <c r="K185" s="11">
        <f t="shared" si="44"/>
        <v>34284.43</v>
      </c>
      <c r="L185" s="11" t="str">
        <f t="shared" si="45"/>
        <v/>
      </c>
      <c r="M185" s="11" t="str">
        <f t="shared" si="46"/>
        <v/>
      </c>
      <c r="N185" s="11" t="str">
        <f>IF(I185="已计入",IF(AND(B185="卖出",持仓总览!$C$7="本金优先"),MAX(0,E185-Q184),IF(OR(B185="卖出",B185="现金分红"),MIN(E185,M185),0)),"")</f>
        <v/>
      </c>
      <c r="O185" s="11" t="str">
        <f t="shared" si="47"/>
        <v/>
      </c>
      <c r="P185" s="11" t="str">
        <f t="shared" si="48"/>
        <v/>
      </c>
      <c r="Q185" s="11">
        <f t="shared" si="49"/>
        <v>82516.01</v>
      </c>
      <c r="R185" s="11" t="str">
        <f t="shared" si="40"/>
        <v/>
      </c>
      <c r="S185" s="11" t="str">
        <f t="shared" si="41"/>
        <v/>
      </c>
      <c r="T185" s="12" t="str">
        <f t="shared" si="42"/>
        <v/>
      </c>
      <c r="U185" s="11">
        <f t="shared" si="50"/>
        <v>82516.01</v>
      </c>
      <c r="V185" s="11">
        <f t="shared" si="51"/>
        <v>0</v>
      </c>
      <c r="W185" s="11">
        <f t="shared" si="52"/>
        <v>0</v>
      </c>
      <c r="X185" s="11">
        <f t="shared" si="53"/>
        <v>0</v>
      </c>
      <c r="Y185" s="11" t="str">
        <f t="shared" si="43"/>
        <v/>
      </c>
      <c r="Z185" s="13">
        <f t="shared" si="54"/>
        <v>46247</v>
      </c>
      <c r="AA185" s="10" t="str">
        <f>IF(OR($AA$116="错误",COUNTIF($G$117:G185,"待修正")&gt;0),"错误","正常")</f>
        <v>正常</v>
      </c>
      <c r="AB185" s="14">
        <f t="shared" si="55"/>
        <v>2.7686</v>
      </c>
    </row>
    <row r="186" ht="23" customHeight="1" spans="1:28">
      <c r="A186" s="15"/>
      <c r="B186" s="16"/>
      <c r="C186" s="17"/>
      <c r="D186" s="18"/>
      <c r="E186" s="19" t="str">
        <f t="shared" si="56"/>
        <v/>
      </c>
      <c r="F186" s="18"/>
      <c r="G186" s="20" t="str">
        <f t="shared" si="57"/>
        <v/>
      </c>
      <c r="H186" s="21" t="str">
        <f t="shared" si="58"/>
        <v/>
      </c>
      <c r="I186" s="10" t="str">
        <f>IF(COUNTA(A186:D186,F186)=0,"",IF(NOT(ISNUMBER(A186)),"缺少有效净值日期",IF(OR(A186&lt;=0,A186&lt;&gt;INT(A186)),"净值日期无效",IF(OR(B186="转换转入",B186="现金分红"),"该类型需实际金额，五项录入不适用",IF(NOT(OR(OR(B186="买入",B186="定投"),B186="卖出",B186="红利再投")),"请选择交易类型",IF(NOT(ISNUMBER(C186)),"缺少成交净值",IF(C186&lt;=0,"成交净值须大于零",IF(NOT(ISNUMBER(D186)),"缺少确认份额",IF(D186&lt;=0,"确认份额须大于零",IF(NOT(ISNUMBER(F186)),"缺少手续费，无费用请填 0",IF(F186&lt;0,"手续费不能为负",IF(AA185="错误","前行待修正",IF(A186&lt;Z185,"日期需按成交顺序递增",IF(AND(B186="红利再投",F186&lt;&gt;0),"红利再投手续费应填 0",IF(AND(B186="红利再投",K185&lt;=0),"红利再投前须有持仓",IF(AND(B186="卖出",D186&gt;K185+0.000001),"卖出份额超过持仓",IF(AND(B186="卖出",F186&gt;=C186*D186),"赎回费不能达到赎回总额",IF(NOT(ISNUMBER(E186)),"自动金额未生成，请检查五项输入",IF(NOT(OR(持仓总览!$C$7="利润优先",持仓总览!$C$7="本金优先")),"请选择卖出分配模式","已计入")))))))))))))))))))</f>
        <v/>
      </c>
      <c r="J186" s="11">
        <f t="shared" si="39"/>
        <v>0</v>
      </c>
      <c r="K186" s="11">
        <f t="shared" si="44"/>
        <v>34284.43</v>
      </c>
      <c r="L186" s="11" t="str">
        <f t="shared" si="45"/>
        <v/>
      </c>
      <c r="M186" s="11" t="str">
        <f t="shared" si="46"/>
        <v/>
      </c>
      <c r="N186" s="11" t="str">
        <f>IF(I186="已计入",IF(AND(B186="卖出",持仓总览!$C$7="本金优先"),MAX(0,E186-Q185),IF(OR(B186="卖出",B186="现金分红"),MIN(E186,M186),0)),"")</f>
        <v/>
      </c>
      <c r="O186" s="11" t="str">
        <f t="shared" si="47"/>
        <v/>
      </c>
      <c r="P186" s="11" t="str">
        <f t="shared" si="48"/>
        <v/>
      </c>
      <c r="Q186" s="11">
        <f t="shared" si="49"/>
        <v>82516.01</v>
      </c>
      <c r="R186" s="11" t="str">
        <f t="shared" si="40"/>
        <v/>
      </c>
      <c r="S186" s="11" t="str">
        <f t="shared" si="41"/>
        <v/>
      </c>
      <c r="T186" s="12" t="str">
        <f t="shared" si="42"/>
        <v/>
      </c>
      <c r="U186" s="11">
        <f t="shared" si="50"/>
        <v>82516.01</v>
      </c>
      <c r="V186" s="11">
        <f t="shared" si="51"/>
        <v>0</v>
      </c>
      <c r="W186" s="11">
        <f t="shared" si="52"/>
        <v>0</v>
      </c>
      <c r="X186" s="11">
        <f t="shared" si="53"/>
        <v>0</v>
      </c>
      <c r="Y186" s="11" t="str">
        <f t="shared" si="43"/>
        <v/>
      </c>
      <c r="Z186" s="13">
        <f t="shared" si="54"/>
        <v>46247</v>
      </c>
      <c r="AA186" s="10" t="str">
        <f>IF(OR($AA$116="错误",COUNTIF($G$117:G186,"待修正")&gt;0),"错误","正常")</f>
        <v>正常</v>
      </c>
      <c r="AB186" s="14">
        <f t="shared" si="55"/>
        <v>2.7686</v>
      </c>
    </row>
    <row r="187" ht="23" customHeight="1" spans="1:28">
      <c r="A187" s="15"/>
      <c r="B187" s="16"/>
      <c r="C187" s="17"/>
      <c r="D187" s="18"/>
      <c r="E187" s="19" t="str">
        <f t="shared" si="56"/>
        <v/>
      </c>
      <c r="F187" s="18"/>
      <c r="G187" s="20" t="str">
        <f t="shared" si="57"/>
        <v/>
      </c>
      <c r="H187" s="21" t="str">
        <f t="shared" si="58"/>
        <v/>
      </c>
      <c r="I187" s="10" t="str">
        <f>IF(COUNTA(A187:D187,F187)=0,"",IF(NOT(ISNUMBER(A187)),"缺少有效净值日期",IF(OR(A187&lt;=0,A187&lt;&gt;INT(A187)),"净值日期无效",IF(OR(B187="转换转入",B187="现金分红"),"该类型需实际金额，五项录入不适用",IF(NOT(OR(OR(B187="买入",B187="定投"),B187="卖出",B187="红利再投")),"请选择交易类型",IF(NOT(ISNUMBER(C187)),"缺少成交净值",IF(C187&lt;=0,"成交净值须大于零",IF(NOT(ISNUMBER(D187)),"缺少确认份额",IF(D187&lt;=0,"确认份额须大于零",IF(NOT(ISNUMBER(F187)),"缺少手续费，无费用请填 0",IF(F187&lt;0,"手续费不能为负",IF(AA186="错误","前行待修正",IF(A187&lt;Z186,"日期需按成交顺序递增",IF(AND(B187="红利再投",F187&lt;&gt;0),"红利再投手续费应填 0",IF(AND(B187="红利再投",K186&lt;=0),"红利再投前须有持仓",IF(AND(B187="卖出",D187&gt;K186+0.000001),"卖出份额超过持仓",IF(AND(B187="卖出",F187&gt;=C187*D187),"赎回费不能达到赎回总额",IF(NOT(ISNUMBER(E187)),"自动金额未生成，请检查五项输入",IF(NOT(OR(持仓总览!$C$7="利润优先",持仓总览!$C$7="本金优先")),"请选择卖出分配模式","已计入")))))))))))))))))))</f>
        <v/>
      </c>
      <c r="J187" s="11">
        <f t="shared" si="39"/>
        <v>0</v>
      </c>
      <c r="K187" s="11">
        <f t="shared" si="44"/>
        <v>34284.43</v>
      </c>
      <c r="L187" s="11" t="str">
        <f t="shared" si="45"/>
        <v/>
      </c>
      <c r="M187" s="11" t="str">
        <f t="shared" si="46"/>
        <v/>
      </c>
      <c r="N187" s="11" t="str">
        <f>IF(I187="已计入",IF(AND(B187="卖出",持仓总览!$C$7="本金优先"),MAX(0,E187-Q186),IF(OR(B187="卖出",B187="现金分红"),MIN(E187,M187),0)),"")</f>
        <v/>
      </c>
      <c r="O187" s="11" t="str">
        <f t="shared" si="47"/>
        <v/>
      </c>
      <c r="P187" s="11" t="str">
        <f t="shared" si="48"/>
        <v/>
      </c>
      <c r="Q187" s="11">
        <f t="shared" si="49"/>
        <v>82516.01</v>
      </c>
      <c r="R187" s="11" t="str">
        <f t="shared" si="40"/>
        <v/>
      </c>
      <c r="S187" s="11" t="str">
        <f t="shared" si="41"/>
        <v/>
      </c>
      <c r="T187" s="12" t="str">
        <f t="shared" si="42"/>
        <v/>
      </c>
      <c r="U187" s="11">
        <f t="shared" si="50"/>
        <v>82516.01</v>
      </c>
      <c r="V187" s="11">
        <f t="shared" si="51"/>
        <v>0</v>
      </c>
      <c r="W187" s="11">
        <f t="shared" si="52"/>
        <v>0</v>
      </c>
      <c r="X187" s="11">
        <f t="shared" si="53"/>
        <v>0</v>
      </c>
      <c r="Y187" s="11" t="str">
        <f t="shared" si="43"/>
        <v/>
      </c>
      <c r="Z187" s="13">
        <f t="shared" si="54"/>
        <v>46247</v>
      </c>
      <c r="AA187" s="10" t="str">
        <f>IF(OR($AA$116="错误",COUNTIF($G$117:G187,"待修正")&gt;0),"错误","正常")</f>
        <v>正常</v>
      </c>
      <c r="AB187" s="14">
        <f t="shared" si="55"/>
        <v>2.7686</v>
      </c>
    </row>
    <row r="188" ht="23" customHeight="1" spans="1:28">
      <c r="A188" s="15"/>
      <c r="B188" s="16"/>
      <c r="C188" s="17"/>
      <c r="D188" s="18"/>
      <c r="E188" s="19" t="str">
        <f t="shared" si="56"/>
        <v/>
      </c>
      <c r="F188" s="18"/>
      <c r="G188" s="20" t="str">
        <f t="shared" si="57"/>
        <v/>
      </c>
      <c r="H188" s="21" t="str">
        <f t="shared" si="58"/>
        <v/>
      </c>
      <c r="I188" s="10" t="str">
        <f>IF(COUNTA(A188:D188,F188)=0,"",IF(NOT(ISNUMBER(A188)),"缺少有效净值日期",IF(OR(A188&lt;=0,A188&lt;&gt;INT(A188)),"净值日期无效",IF(OR(B188="转换转入",B188="现金分红"),"该类型需实际金额，五项录入不适用",IF(NOT(OR(OR(B188="买入",B188="定投"),B188="卖出",B188="红利再投")),"请选择交易类型",IF(NOT(ISNUMBER(C188)),"缺少成交净值",IF(C188&lt;=0,"成交净值须大于零",IF(NOT(ISNUMBER(D188)),"缺少确认份额",IF(D188&lt;=0,"确认份额须大于零",IF(NOT(ISNUMBER(F188)),"缺少手续费，无费用请填 0",IF(F188&lt;0,"手续费不能为负",IF(AA187="错误","前行待修正",IF(A188&lt;Z187,"日期需按成交顺序递增",IF(AND(B188="红利再投",F188&lt;&gt;0),"红利再投手续费应填 0",IF(AND(B188="红利再投",K187&lt;=0),"红利再投前须有持仓",IF(AND(B188="卖出",D188&gt;K187+0.000001),"卖出份额超过持仓",IF(AND(B188="卖出",F188&gt;=C188*D188),"赎回费不能达到赎回总额",IF(NOT(ISNUMBER(E188)),"自动金额未生成，请检查五项输入",IF(NOT(OR(持仓总览!$C$7="利润优先",持仓总览!$C$7="本金优先")),"请选择卖出分配模式","已计入")))))))))))))))))))</f>
        <v/>
      </c>
      <c r="J188" s="11">
        <f t="shared" si="39"/>
        <v>0</v>
      </c>
      <c r="K188" s="11">
        <f t="shared" si="44"/>
        <v>34284.43</v>
      </c>
      <c r="L188" s="11" t="str">
        <f t="shared" si="45"/>
        <v/>
      </c>
      <c r="M188" s="11" t="str">
        <f t="shared" si="46"/>
        <v/>
      </c>
      <c r="N188" s="11" t="str">
        <f>IF(I188="已计入",IF(AND(B188="卖出",持仓总览!$C$7="本金优先"),MAX(0,E188-Q187),IF(OR(B188="卖出",B188="现金分红"),MIN(E188,M188),0)),"")</f>
        <v/>
      </c>
      <c r="O188" s="11" t="str">
        <f t="shared" si="47"/>
        <v/>
      </c>
      <c r="P188" s="11" t="str">
        <f t="shared" si="48"/>
        <v/>
      </c>
      <c r="Q188" s="11">
        <f t="shared" si="49"/>
        <v>82516.01</v>
      </c>
      <c r="R188" s="11" t="str">
        <f t="shared" si="40"/>
        <v/>
      </c>
      <c r="S188" s="11" t="str">
        <f t="shared" si="41"/>
        <v/>
      </c>
      <c r="T188" s="12" t="str">
        <f t="shared" si="42"/>
        <v/>
      </c>
      <c r="U188" s="11">
        <f t="shared" si="50"/>
        <v>82516.01</v>
      </c>
      <c r="V188" s="11">
        <f t="shared" si="51"/>
        <v>0</v>
      </c>
      <c r="W188" s="11">
        <f t="shared" si="52"/>
        <v>0</v>
      </c>
      <c r="X188" s="11">
        <f t="shared" si="53"/>
        <v>0</v>
      </c>
      <c r="Y188" s="11" t="str">
        <f t="shared" si="43"/>
        <v/>
      </c>
      <c r="Z188" s="13">
        <f t="shared" si="54"/>
        <v>46247</v>
      </c>
      <c r="AA188" s="10" t="str">
        <f>IF(OR($AA$116="错误",COUNTIF($G$117:G188,"待修正")&gt;0),"错误","正常")</f>
        <v>正常</v>
      </c>
      <c r="AB188" s="14">
        <f t="shared" si="55"/>
        <v>2.7686</v>
      </c>
    </row>
    <row r="189" ht="23" customHeight="1" spans="1:28">
      <c r="A189" s="15"/>
      <c r="B189" s="16"/>
      <c r="C189" s="17"/>
      <c r="D189" s="18"/>
      <c r="E189" s="19" t="str">
        <f t="shared" si="56"/>
        <v/>
      </c>
      <c r="F189" s="18"/>
      <c r="G189" s="20" t="str">
        <f t="shared" si="57"/>
        <v/>
      </c>
      <c r="H189" s="21" t="str">
        <f t="shared" si="58"/>
        <v/>
      </c>
      <c r="I189" s="10" t="str">
        <f>IF(COUNTA(A189:D189,F189)=0,"",IF(NOT(ISNUMBER(A189)),"缺少有效净值日期",IF(OR(A189&lt;=0,A189&lt;&gt;INT(A189)),"净值日期无效",IF(OR(B189="转换转入",B189="现金分红"),"该类型需实际金额，五项录入不适用",IF(NOT(OR(OR(B189="买入",B189="定投"),B189="卖出",B189="红利再投")),"请选择交易类型",IF(NOT(ISNUMBER(C189)),"缺少成交净值",IF(C189&lt;=0,"成交净值须大于零",IF(NOT(ISNUMBER(D189)),"缺少确认份额",IF(D189&lt;=0,"确认份额须大于零",IF(NOT(ISNUMBER(F189)),"缺少手续费，无费用请填 0",IF(F189&lt;0,"手续费不能为负",IF(AA188="错误","前行待修正",IF(A189&lt;Z188,"日期需按成交顺序递增",IF(AND(B189="红利再投",F189&lt;&gt;0),"红利再投手续费应填 0",IF(AND(B189="红利再投",K188&lt;=0),"红利再投前须有持仓",IF(AND(B189="卖出",D189&gt;K188+0.000001),"卖出份额超过持仓",IF(AND(B189="卖出",F189&gt;=C189*D189),"赎回费不能达到赎回总额",IF(NOT(ISNUMBER(E189)),"自动金额未生成，请检查五项输入",IF(NOT(OR(持仓总览!$C$7="利润优先",持仓总览!$C$7="本金优先")),"请选择卖出分配模式","已计入")))))))))))))))))))</f>
        <v/>
      </c>
      <c r="J189" s="11">
        <f t="shared" si="39"/>
        <v>0</v>
      </c>
      <c r="K189" s="11">
        <f t="shared" si="44"/>
        <v>34284.43</v>
      </c>
      <c r="L189" s="11" t="str">
        <f t="shared" si="45"/>
        <v/>
      </c>
      <c r="M189" s="11" t="str">
        <f t="shared" si="46"/>
        <v/>
      </c>
      <c r="N189" s="11" t="str">
        <f>IF(I189="已计入",IF(AND(B189="卖出",持仓总览!$C$7="本金优先"),MAX(0,E189-Q188),IF(OR(B189="卖出",B189="现金分红"),MIN(E189,M189),0)),"")</f>
        <v/>
      </c>
      <c r="O189" s="11" t="str">
        <f t="shared" si="47"/>
        <v/>
      </c>
      <c r="P189" s="11" t="str">
        <f t="shared" si="48"/>
        <v/>
      </c>
      <c r="Q189" s="11">
        <f t="shared" si="49"/>
        <v>82516.01</v>
      </c>
      <c r="R189" s="11" t="str">
        <f t="shared" si="40"/>
        <v/>
      </c>
      <c r="S189" s="11" t="str">
        <f t="shared" si="41"/>
        <v/>
      </c>
      <c r="T189" s="12" t="str">
        <f t="shared" si="42"/>
        <v/>
      </c>
      <c r="U189" s="11">
        <f t="shared" si="50"/>
        <v>82516.01</v>
      </c>
      <c r="V189" s="11">
        <f t="shared" si="51"/>
        <v>0</v>
      </c>
      <c r="W189" s="11">
        <f t="shared" si="52"/>
        <v>0</v>
      </c>
      <c r="X189" s="11">
        <f t="shared" si="53"/>
        <v>0</v>
      </c>
      <c r="Y189" s="11" t="str">
        <f t="shared" si="43"/>
        <v/>
      </c>
      <c r="Z189" s="13">
        <f t="shared" si="54"/>
        <v>46247</v>
      </c>
      <c r="AA189" s="10" t="str">
        <f>IF(OR($AA$116="错误",COUNTIF($G$117:G189,"待修正")&gt;0),"错误","正常")</f>
        <v>正常</v>
      </c>
      <c r="AB189" s="14">
        <f t="shared" si="55"/>
        <v>2.7686</v>
      </c>
    </row>
    <row r="190" ht="23" customHeight="1" spans="1:28">
      <c r="A190" s="15"/>
      <c r="B190" s="16"/>
      <c r="C190" s="17"/>
      <c r="D190" s="18"/>
      <c r="E190" s="19" t="str">
        <f t="shared" si="56"/>
        <v/>
      </c>
      <c r="F190" s="18"/>
      <c r="G190" s="20" t="str">
        <f t="shared" si="57"/>
        <v/>
      </c>
      <c r="H190" s="21" t="str">
        <f t="shared" si="58"/>
        <v/>
      </c>
      <c r="I190" s="10" t="str">
        <f>IF(COUNTA(A190:D190,F190)=0,"",IF(NOT(ISNUMBER(A190)),"缺少有效净值日期",IF(OR(A190&lt;=0,A190&lt;&gt;INT(A190)),"净值日期无效",IF(OR(B190="转换转入",B190="现金分红"),"该类型需实际金额，五项录入不适用",IF(NOT(OR(OR(B190="买入",B190="定投"),B190="卖出",B190="红利再投")),"请选择交易类型",IF(NOT(ISNUMBER(C190)),"缺少成交净值",IF(C190&lt;=0,"成交净值须大于零",IF(NOT(ISNUMBER(D190)),"缺少确认份额",IF(D190&lt;=0,"确认份额须大于零",IF(NOT(ISNUMBER(F190)),"缺少手续费，无费用请填 0",IF(F190&lt;0,"手续费不能为负",IF(AA189="错误","前行待修正",IF(A190&lt;Z189,"日期需按成交顺序递增",IF(AND(B190="红利再投",F190&lt;&gt;0),"红利再投手续费应填 0",IF(AND(B190="红利再投",K189&lt;=0),"红利再投前须有持仓",IF(AND(B190="卖出",D190&gt;K189+0.000001),"卖出份额超过持仓",IF(AND(B190="卖出",F190&gt;=C190*D190),"赎回费不能达到赎回总额",IF(NOT(ISNUMBER(E190)),"自动金额未生成，请检查五项输入",IF(NOT(OR(持仓总览!$C$7="利润优先",持仓总览!$C$7="本金优先")),"请选择卖出分配模式","已计入")))))))))))))))))))</f>
        <v/>
      </c>
      <c r="J190" s="11">
        <f t="shared" si="39"/>
        <v>0</v>
      </c>
      <c r="K190" s="11">
        <f t="shared" si="44"/>
        <v>34284.43</v>
      </c>
      <c r="L190" s="11" t="str">
        <f t="shared" si="45"/>
        <v/>
      </c>
      <c r="M190" s="11" t="str">
        <f t="shared" si="46"/>
        <v/>
      </c>
      <c r="N190" s="11" t="str">
        <f>IF(I190="已计入",IF(AND(B190="卖出",持仓总览!$C$7="本金优先"),MAX(0,E190-Q189),IF(OR(B190="卖出",B190="现金分红"),MIN(E190,M190),0)),"")</f>
        <v/>
      </c>
      <c r="O190" s="11" t="str">
        <f t="shared" si="47"/>
        <v/>
      </c>
      <c r="P190" s="11" t="str">
        <f t="shared" si="48"/>
        <v/>
      </c>
      <c r="Q190" s="11">
        <f t="shared" si="49"/>
        <v>82516.01</v>
      </c>
      <c r="R190" s="11" t="str">
        <f t="shared" si="40"/>
        <v/>
      </c>
      <c r="S190" s="11" t="str">
        <f t="shared" si="41"/>
        <v/>
      </c>
      <c r="T190" s="12" t="str">
        <f t="shared" si="42"/>
        <v/>
      </c>
      <c r="U190" s="11">
        <f t="shared" si="50"/>
        <v>82516.01</v>
      </c>
      <c r="V190" s="11">
        <f t="shared" si="51"/>
        <v>0</v>
      </c>
      <c r="W190" s="11">
        <f t="shared" si="52"/>
        <v>0</v>
      </c>
      <c r="X190" s="11">
        <f t="shared" si="53"/>
        <v>0</v>
      </c>
      <c r="Y190" s="11" t="str">
        <f t="shared" si="43"/>
        <v/>
      </c>
      <c r="Z190" s="13">
        <f t="shared" si="54"/>
        <v>46247</v>
      </c>
      <c r="AA190" s="10" t="str">
        <f>IF(OR($AA$116="错误",COUNTIF($G$117:G190,"待修正")&gt;0),"错误","正常")</f>
        <v>正常</v>
      </c>
      <c r="AB190" s="14">
        <f t="shared" si="55"/>
        <v>2.7686</v>
      </c>
    </row>
    <row r="191" ht="23" customHeight="1" spans="1:28">
      <c r="A191" s="15"/>
      <c r="B191" s="16"/>
      <c r="C191" s="17"/>
      <c r="D191" s="18"/>
      <c r="E191" s="19" t="str">
        <f t="shared" si="56"/>
        <v/>
      </c>
      <c r="F191" s="18"/>
      <c r="G191" s="20" t="str">
        <f t="shared" si="57"/>
        <v/>
      </c>
      <c r="H191" s="21" t="str">
        <f t="shared" si="58"/>
        <v/>
      </c>
      <c r="I191" s="10" t="str">
        <f>IF(COUNTA(A191:D191,F191)=0,"",IF(NOT(ISNUMBER(A191)),"缺少有效净值日期",IF(OR(A191&lt;=0,A191&lt;&gt;INT(A191)),"净值日期无效",IF(OR(B191="转换转入",B191="现金分红"),"该类型需实际金额，五项录入不适用",IF(NOT(OR(OR(B191="买入",B191="定投"),B191="卖出",B191="红利再投")),"请选择交易类型",IF(NOT(ISNUMBER(C191)),"缺少成交净值",IF(C191&lt;=0,"成交净值须大于零",IF(NOT(ISNUMBER(D191)),"缺少确认份额",IF(D191&lt;=0,"确认份额须大于零",IF(NOT(ISNUMBER(F191)),"缺少手续费，无费用请填 0",IF(F191&lt;0,"手续费不能为负",IF(AA190="错误","前行待修正",IF(A191&lt;Z190,"日期需按成交顺序递增",IF(AND(B191="红利再投",F191&lt;&gt;0),"红利再投手续费应填 0",IF(AND(B191="红利再投",K190&lt;=0),"红利再投前须有持仓",IF(AND(B191="卖出",D191&gt;K190+0.000001),"卖出份额超过持仓",IF(AND(B191="卖出",F191&gt;=C191*D191),"赎回费不能达到赎回总额",IF(NOT(ISNUMBER(E191)),"自动金额未生成，请检查五项输入",IF(NOT(OR(持仓总览!$C$7="利润优先",持仓总览!$C$7="本金优先")),"请选择卖出分配模式","已计入")))))))))))))))))))</f>
        <v/>
      </c>
      <c r="J191" s="11">
        <f t="shared" si="39"/>
        <v>0</v>
      </c>
      <c r="K191" s="11">
        <f t="shared" si="44"/>
        <v>34284.43</v>
      </c>
      <c r="L191" s="11" t="str">
        <f t="shared" si="45"/>
        <v/>
      </c>
      <c r="M191" s="11" t="str">
        <f t="shared" si="46"/>
        <v/>
      </c>
      <c r="N191" s="11" t="str">
        <f>IF(I191="已计入",IF(AND(B191="卖出",持仓总览!$C$7="本金优先"),MAX(0,E191-Q190),IF(OR(B191="卖出",B191="现金分红"),MIN(E191,M191),0)),"")</f>
        <v/>
      </c>
      <c r="O191" s="11" t="str">
        <f t="shared" si="47"/>
        <v/>
      </c>
      <c r="P191" s="11" t="str">
        <f t="shared" si="48"/>
        <v/>
      </c>
      <c r="Q191" s="11">
        <f t="shared" si="49"/>
        <v>82516.01</v>
      </c>
      <c r="R191" s="11" t="str">
        <f t="shared" si="40"/>
        <v/>
      </c>
      <c r="S191" s="11" t="str">
        <f t="shared" si="41"/>
        <v/>
      </c>
      <c r="T191" s="12" t="str">
        <f t="shared" si="42"/>
        <v/>
      </c>
      <c r="U191" s="11">
        <f t="shared" si="50"/>
        <v>82516.01</v>
      </c>
      <c r="V191" s="11">
        <f t="shared" si="51"/>
        <v>0</v>
      </c>
      <c r="W191" s="11">
        <f t="shared" si="52"/>
        <v>0</v>
      </c>
      <c r="X191" s="11">
        <f t="shared" si="53"/>
        <v>0</v>
      </c>
      <c r="Y191" s="11" t="str">
        <f t="shared" si="43"/>
        <v/>
      </c>
      <c r="Z191" s="13">
        <f t="shared" si="54"/>
        <v>46247</v>
      </c>
      <c r="AA191" s="10" t="str">
        <f>IF(OR($AA$116="错误",COUNTIF($G$117:G191,"待修正")&gt;0),"错误","正常")</f>
        <v>正常</v>
      </c>
      <c r="AB191" s="14">
        <f t="shared" si="55"/>
        <v>2.7686</v>
      </c>
    </row>
    <row r="192" ht="23" customHeight="1" spans="1:28">
      <c r="A192" s="15"/>
      <c r="B192" s="16"/>
      <c r="C192" s="17"/>
      <c r="D192" s="18"/>
      <c r="E192" s="19" t="str">
        <f t="shared" si="56"/>
        <v/>
      </c>
      <c r="F192" s="18"/>
      <c r="G192" s="20" t="str">
        <f t="shared" si="57"/>
        <v/>
      </c>
      <c r="H192" s="21" t="str">
        <f t="shared" si="58"/>
        <v/>
      </c>
      <c r="I192" s="10" t="str">
        <f>IF(COUNTA(A192:D192,F192)=0,"",IF(NOT(ISNUMBER(A192)),"缺少有效净值日期",IF(OR(A192&lt;=0,A192&lt;&gt;INT(A192)),"净值日期无效",IF(OR(B192="转换转入",B192="现金分红"),"该类型需实际金额，五项录入不适用",IF(NOT(OR(OR(B192="买入",B192="定投"),B192="卖出",B192="红利再投")),"请选择交易类型",IF(NOT(ISNUMBER(C192)),"缺少成交净值",IF(C192&lt;=0,"成交净值须大于零",IF(NOT(ISNUMBER(D192)),"缺少确认份额",IF(D192&lt;=0,"确认份额须大于零",IF(NOT(ISNUMBER(F192)),"缺少手续费，无费用请填 0",IF(F192&lt;0,"手续费不能为负",IF(AA191="错误","前行待修正",IF(A192&lt;Z191,"日期需按成交顺序递增",IF(AND(B192="红利再投",F192&lt;&gt;0),"红利再投手续费应填 0",IF(AND(B192="红利再投",K191&lt;=0),"红利再投前须有持仓",IF(AND(B192="卖出",D192&gt;K191+0.000001),"卖出份额超过持仓",IF(AND(B192="卖出",F192&gt;=C192*D192),"赎回费不能达到赎回总额",IF(NOT(ISNUMBER(E192)),"自动金额未生成，请检查五项输入",IF(NOT(OR(持仓总览!$C$7="利润优先",持仓总览!$C$7="本金优先")),"请选择卖出分配模式","已计入")))))))))))))))))))</f>
        <v/>
      </c>
      <c r="J192" s="11">
        <f t="shared" si="39"/>
        <v>0</v>
      </c>
      <c r="K192" s="11">
        <f t="shared" si="44"/>
        <v>34284.43</v>
      </c>
      <c r="L192" s="11" t="str">
        <f t="shared" si="45"/>
        <v/>
      </c>
      <c r="M192" s="11" t="str">
        <f t="shared" si="46"/>
        <v/>
      </c>
      <c r="N192" s="11" t="str">
        <f>IF(I192="已计入",IF(AND(B192="卖出",持仓总览!$C$7="本金优先"),MAX(0,E192-Q191),IF(OR(B192="卖出",B192="现金分红"),MIN(E192,M192),0)),"")</f>
        <v/>
      </c>
      <c r="O192" s="11" t="str">
        <f t="shared" si="47"/>
        <v/>
      </c>
      <c r="P192" s="11" t="str">
        <f t="shared" si="48"/>
        <v/>
      </c>
      <c r="Q192" s="11">
        <f t="shared" si="49"/>
        <v>82516.01</v>
      </c>
      <c r="R192" s="11" t="str">
        <f t="shared" si="40"/>
        <v/>
      </c>
      <c r="S192" s="11" t="str">
        <f t="shared" si="41"/>
        <v/>
      </c>
      <c r="T192" s="12" t="str">
        <f t="shared" si="42"/>
        <v/>
      </c>
      <c r="U192" s="11">
        <f t="shared" si="50"/>
        <v>82516.01</v>
      </c>
      <c r="V192" s="11">
        <f t="shared" si="51"/>
        <v>0</v>
      </c>
      <c r="W192" s="11">
        <f t="shared" si="52"/>
        <v>0</v>
      </c>
      <c r="X192" s="11">
        <f t="shared" si="53"/>
        <v>0</v>
      </c>
      <c r="Y192" s="11" t="str">
        <f t="shared" si="43"/>
        <v/>
      </c>
      <c r="Z192" s="13">
        <f t="shared" si="54"/>
        <v>46247</v>
      </c>
      <c r="AA192" s="10" t="str">
        <f>IF(OR($AA$116="错误",COUNTIF($G$117:G192,"待修正")&gt;0),"错误","正常")</f>
        <v>正常</v>
      </c>
      <c r="AB192" s="14">
        <f t="shared" si="55"/>
        <v>2.7686</v>
      </c>
    </row>
    <row r="193" ht="23" customHeight="1" spans="1:28">
      <c r="A193" s="15"/>
      <c r="B193" s="16"/>
      <c r="C193" s="17"/>
      <c r="D193" s="18"/>
      <c r="E193" s="19" t="str">
        <f t="shared" si="56"/>
        <v/>
      </c>
      <c r="F193" s="18"/>
      <c r="G193" s="20" t="str">
        <f t="shared" si="57"/>
        <v/>
      </c>
      <c r="H193" s="21" t="str">
        <f t="shared" si="58"/>
        <v/>
      </c>
      <c r="I193" s="10" t="str">
        <f>IF(COUNTA(A193:D193,F193)=0,"",IF(NOT(ISNUMBER(A193)),"缺少有效净值日期",IF(OR(A193&lt;=0,A193&lt;&gt;INT(A193)),"净值日期无效",IF(OR(B193="转换转入",B193="现金分红"),"该类型需实际金额，五项录入不适用",IF(NOT(OR(OR(B193="买入",B193="定投"),B193="卖出",B193="红利再投")),"请选择交易类型",IF(NOT(ISNUMBER(C193)),"缺少成交净值",IF(C193&lt;=0,"成交净值须大于零",IF(NOT(ISNUMBER(D193)),"缺少确认份额",IF(D193&lt;=0,"确认份额须大于零",IF(NOT(ISNUMBER(F193)),"缺少手续费，无费用请填 0",IF(F193&lt;0,"手续费不能为负",IF(AA192="错误","前行待修正",IF(A193&lt;Z192,"日期需按成交顺序递增",IF(AND(B193="红利再投",F193&lt;&gt;0),"红利再投手续费应填 0",IF(AND(B193="红利再投",K192&lt;=0),"红利再投前须有持仓",IF(AND(B193="卖出",D193&gt;K192+0.000001),"卖出份额超过持仓",IF(AND(B193="卖出",F193&gt;=C193*D193),"赎回费不能达到赎回总额",IF(NOT(ISNUMBER(E193)),"自动金额未生成，请检查五项输入",IF(NOT(OR(持仓总览!$C$7="利润优先",持仓总览!$C$7="本金优先")),"请选择卖出分配模式","已计入")))))))))))))))))))</f>
        <v/>
      </c>
      <c r="J193" s="11">
        <f t="shared" si="39"/>
        <v>0</v>
      </c>
      <c r="K193" s="11">
        <f t="shared" si="44"/>
        <v>34284.43</v>
      </c>
      <c r="L193" s="11" t="str">
        <f t="shared" si="45"/>
        <v/>
      </c>
      <c r="M193" s="11" t="str">
        <f t="shared" si="46"/>
        <v/>
      </c>
      <c r="N193" s="11" t="str">
        <f>IF(I193="已计入",IF(AND(B193="卖出",持仓总览!$C$7="本金优先"),MAX(0,E193-Q192),IF(OR(B193="卖出",B193="现金分红"),MIN(E193,M193),0)),"")</f>
        <v/>
      </c>
      <c r="O193" s="11" t="str">
        <f t="shared" si="47"/>
        <v/>
      </c>
      <c r="P193" s="11" t="str">
        <f t="shared" si="48"/>
        <v/>
      </c>
      <c r="Q193" s="11">
        <f t="shared" si="49"/>
        <v>82516.01</v>
      </c>
      <c r="R193" s="11" t="str">
        <f t="shared" si="40"/>
        <v/>
      </c>
      <c r="S193" s="11" t="str">
        <f t="shared" si="41"/>
        <v/>
      </c>
      <c r="T193" s="12" t="str">
        <f t="shared" si="42"/>
        <v/>
      </c>
      <c r="U193" s="11">
        <f t="shared" si="50"/>
        <v>82516.01</v>
      </c>
      <c r="V193" s="11">
        <f t="shared" si="51"/>
        <v>0</v>
      </c>
      <c r="W193" s="11">
        <f t="shared" si="52"/>
        <v>0</v>
      </c>
      <c r="X193" s="11">
        <f t="shared" si="53"/>
        <v>0</v>
      </c>
      <c r="Y193" s="11" t="str">
        <f t="shared" si="43"/>
        <v/>
      </c>
      <c r="Z193" s="13">
        <f t="shared" si="54"/>
        <v>46247</v>
      </c>
      <c r="AA193" s="10" t="str">
        <f>IF(OR($AA$116="错误",COUNTIF($G$117:G193,"待修正")&gt;0),"错误","正常")</f>
        <v>正常</v>
      </c>
      <c r="AB193" s="14">
        <f t="shared" si="55"/>
        <v>2.7686</v>
      </c>
    </row>
    <row r="194" ht="23" customHeight="1" spans="1:28">
      <c r="A194" s="15"/>
      <c r="B194" s="16"/>
      <c r="C194" s="17"/>
      <c r="D194" s="18"/>
      <c r="E194" s="19" t="str">
        <f t="shared" si="56"/>
        <v/>
      </c>
      <c r="F194" s="18"/>
      <c r="G194" s="20" t="str">
        <f t="shared" si="57"/>
        <v/>
      </c>
      <c r="H194" s="21" t="str">
        <f t="shared" si="58"/>
        <v/>
      </c>
      <c r="I194" s="10" t="str">
        <f>IF(COUNTA(A194:D194,F194)=0,"",IF(NOT(ISNUMBER(A194)),"缺少有效净值日期",IF(OR(A194&lt;=0,A194&lt;&gt;INT(A194)),"净值日期无效",IF(OR(B194="转换转入",B194="现金分红"),"该类型需实际金额，五项录入不适用",IF(NOT(OR(OR(B194="买入",B194="定投"),B194="卖出",B194="红利再投")),"请选择交易类型",IF(NOT(ISNUMBER(C194)),"缺少成交净值",IF(C194&lt;=0,"成交净值须大于零",IF(NOT(ISNUMBER(D194)),"缺少确认份额",IF(D194&lt;=0,"确认份额须大于零",IF(NOT(ISNUMBER(F194)),"缺少手续费，无费用请填 0",IF(F194&lt;0,"手续费不能为负",IF(AA193="错误","前行待修正",IF(A194&lt;Z193,"日期需按成交顺序递增",IF(AND(B194="红利再投",F194&lt;&gt;0),"红利再投手续费应填 0",IF(AND(B194="红利再投",K193&lt;=0),"红利再投前须有持仓",IF(AND(B194="卖出",D194&gt;K193+0.000001),"卖出份额超过持仓",IF(AND(B194="卖出",F194&gt;=C194*D194),"赎回费不能达到赎回总额",IF(NOT(ISNUMBER(E194)),"自动金额未生成，请检查五项输入",IF(NOT(OR(持仓总览!$C$7="利润优先",持仓总览!$C$7="本金优先")),"请选择卖出分配模式","已计入")))))))))))))))))))</f>
        <v/>
      </c>
      <c r="J194" s="11">
        <f t="shared" si="39"/>
        <v>0</v>
      </c>
      <c r="K194" s="11">
        <f t="shared" si="44"/>
        <v>34284.43</v>
      </c>
      <c r="L194" s="11" t="str">
        <f t="shared" si="45"/>
        <v/>
      </c>
      <c r="M194" s="11" t="str">
        <f t="shared" si="46"/>
        <v/>
      </c>
      <c r="N194" s="11" t="str">
        <f>IF(I194="已计入",IF(AND(B194="卖出",持仓总览!$C$7="本金优先"),MAX(0,E194-Q193),IF(OR(B194="卖出",B194="现金分红"),MIN(E194,M194),0)),"")</f>
        <v/>
      </c>
      <c r="O194" s="11" t="str">
        <f t="shared" si="47"/>
        <v/>
      </c>
      <c r="P194" s="11" t="str">
        <f t="shared" si="48"/>
        <v/>
      </c>
      <c r="Q194" s="11">
        <f t="shared" si="49"/>
        <v>82516.01</v>
      </c>
      <c r="R194" s="11" t="str">
        <f t="shared" si="40"/>
        <v/>
      </c>
      <c r="S194" s="11" t="str">
        <f t="shared" si="41"/>
        <v/>
      </c>
      <c r="T194" s="12" t="str">
        <f t="shared" si="42"/>
        <v/>
      </c>
      <c r="U194" s="11">
        <f t="shared" si="50"/>
        <v>82516.01</v>
      </c>
      <c r="V194" s="11">
        <f t="shared" si="51"/>
        <v>0</v>
      </c>
      <c r="W194" s="11">
        <f t="shared" si="52"/>
        <v>0</v>
      </c>
      <c r="X194" s="11">
        <f t="shared" si="53"/>
        <v>0</v>
      </c>
      <c r="Y194" s="11" t="str">
        <f t="shared" si="43"/>
        <v/>
      </c>
      <c r="Z194" s="13">
        <f t="shared" si="54"/>
        <v>46247</v>
      </c>
      <c r="AA194" s="10" t="str">
        <f>IF(OR($AA$116="错误",COUNTIF($G$117:G194,"待修正")&gt;0),"错误","正常")</f>
        <v>正常</v>
      </c>
      <c r="AB194" s="14">
        <f t="shared" si="55"/>
        <v>2.7686</v>
      </c>
    </row>
    <row r="195" ht="23" customHeight="1" spans="1:28">
      <c r="A195" s="15"/>
      <c r="B195" s="16"/>
      <c r="C195" s="17"/>
      <c r="D195" s="18"/>
      <c r="E195" s="19" t="str">
        <f t="shared" si="56"/>
        <v/>
      </c>
      <c r="F195" s="18"/>
      <c r="G195" s="20" t="str">
        <f t="shared" si="57"/>
        <v/>
      </c>
      <c r="H195" s="21" t="str">
        <f t="shared" si="58"/>
        <v/>
      </c>
      <c r="I195" s="10" t="str">
        <f>IF(COUNTA(A195:D195,F195)=0,"",IF(NOT(ISNUMBER(A195)),"缺少有效净值日期",IF(OR(A195&lt;=0,A195&lt;&gt;INT(A195)),"净值日期无效",IF(OR(B195="转换转入",B195="现金分红"),"该类型需实际金额，五项录入不适用",IF(NOT(OR(OR(B195="买入",B195="定投"),B195="卖出",B195="红利再投")),"请选择交易类型",IF(NOT(ISNUMBER(C195)),"缺少成交净值",IF(C195&lt;=0,"成交净值须大于零",IF(NOT(ISNUMBER(D195)),"缺少确认份额",IF(D195&lt;=0,"确认份额须大于零",IF(NOT(ISNUMBER(F195)),"缺少手续费，无费用请填 0",IF(F195&lt;0,"手续费不能为负",IF(AA194="错误","前行待修正",IF(A195&lt;Z194,"日期需按成交顺序递增",IF(AND(B195="红利再投",F195&lt;&gt;0),"红利再投手续费应填 0",IF(AND(B195="红利再投",K194&lt;=0),"红利再投前须有持仓",IF(AND(B195="卖出",D195&gt;K194+0.000001),"卖出份额超过持仓",IF(AND(B195="卖出",F195&gt;=C195*D195),"赎回费不能达到赎回总额",IF(NOT(ISNUMBER(E195)),"自动金额未生成，请检查五项输入",IF(NOT(OR(持仓总览!$C$7="利润优先",持仓总览!$C$7="本金优先")),"请选择卖出分配模式","已计入")))))))))))))))))))</f>
        <v/>
      </c>
      <c r="J195" s="11">
        <f t="shared" si="39"/>
        <v>0</v>
      </c>
      <c r="K195" s="11">
        <f t="shared" si="44"/>
        <v>34284.43</v>
      </c>
      <c r="L195" s="11" t="str">
        <f t="shared" si="45"/>
        <v/>
      </c>
      <c r="M195" s="11" t="str">
        <f t="shared" si="46"/>
        <v/>
      </c>
      <c r="N195" s="11" t="str">
        <f>IF(I195="已计入",IF(AND(B195="卖出",持仓总览!$C$7="本金优先"),MAX(0,E195-Q194),IF(OR(B195="卖出",B195="现金分红"),MIN(E195,M195),0)),"")</f>
        <v/>
      </c>
      <c r="O195" s="11" t="str">
        <f t="shared" si="47"/>
        <v/>
      </c>
      <c r="P195" s="11" t="str">
        <f t="shared" si="48"/>
        <v/>
      </c>
      <c r="Q195" s="11">
        <f t="shared" si="49"/>
        <v>82516.01</v>
      </c>
      <c r="R195" s="11" t="str">
        <f t="shared" si="40"/>
        <v/>
      </c>
      <c r="S195" s="11" t="str">
        <f t="shared" si="41"/>
        <v/>
      </c>
      <c r="T195" s="12" t="str">
        <f t="shared" si="42"/>
        <v/>
      </c>
      <c r="U195" s="11">
        <f t="shared" si="50"/>
        <v>82516.01</v>
      </c>
      <c r="V195" s="11">
        <f t="shared" si="51"/>
        <v>0</v>
      </c>
      <c r="W195" s="11">
        <f t="shared" si="52"/>
        <v>0</v>
      </c>
      <c r="X195" s="11">
        <f t="shared" si="53"/>
        <v>0</v>
      </c>
      <c r="Y195" s="11" t="str">
        <f t="shared" si="43"/>
        <v/>
      </c>
      <c r="Z195" s="13">
        <f t="shared" si="54"/>
        <v>46247</v>
      </c>
      <c r="AA195" s="10" t="str">
        <f>IF(OR($AA$116="错误",COUNTIF($G$117:G195,"待修正")&gt;0),"错误","正常")</f>
        <v>正常</v>
      </c>
      <c r="AB195" s="14">
        <f t="shared" si="55"/>
        <v>2.7686</v>
      </c>
    </row>
    <row r="196" ht="23" customHeight="1" spans="1:28">
      <c r="A196" s="15"/>
      <c r="B196" s="16"/>
      <c r="C196" s="17"/>
      <c r="D196" s="18"/>
      <c r="E196" s="19" t="str">
        <f t="shared" si="56"/>
        <v/>
      </c>
      <c r="F196" s="18"/>
      <c r="G196" s="20" t="str">
        <f t="shared" si="57"/>
        <v/>
      </c>
      <c r="H196" s="21" t="str">
        <f t="shared" si="58"/>
        <v/>
      </c>
      <c r="I196" s="10" t="str">
        <f>IF(COUNTA(A196:D196,F196)=0,"",IF(NOT(ISNUMBER(A196)),"缺少有效净值日期",IF(OR(A196&lt;=0,A196&lt;&gt;INT(A196)),"净值日期无效",IF(OR(B196="转换转入",B196="现金分红"),"该类型需实际金额，五项录入不适用",IF(NOT(OR(OR(B196="买入",B196="定投"),B196="卖出",B196="红利再投")),"请选择交易类型",IF(NOT(ISNUMBER(C196)),"缺少成交净值",IF(C196&lt;=0,"成交净值须大于零",IF(NOT(ISNUMBER(D196)),"缺少确认份额",IF(D196&lt;=0,"确认份额须大于零",IF(NOT(ISNUMBER(F196)),"缺少手续费，无费用请填 0",IF(F196&lt;0,"手续费不能为负",IF(AA195="错误","前行待修正",IF(A196&lt;Z195,"日期需按成交顺序递增",IF(AND(B196="红利再投",F196&lt;&gt;0),"红利再投手续费应填 0",IF(AND(B196="红利再投",K195&lt;=0),"红利再投前须有持仓",IF(AND(B196="卖出",D196&gt;K195+0.000001),"卖出份额超过持仓",IF(AND(B196="卖出",F196&gt;=C196*D196),"赎回费不能达到赎回总额",IF(NOT(ISNUMBER(E196)),"自动金额未生成，请检查五项输入",IF(NOT(OR(持仓总览!$C$7="利润优先",持仓总览!$C$7="本金优先")),"请选择卖出分配模式","已计入")))))))))))))))))))</f>
        <v/>
      </c>
      <c r="J196" s="11">
        <f t="shared" si="39"/>
        <v>0</v>
      </c>
      <c r="K196" s="11">
        <f t="shared" si="44"/>
        <v>34284.43</v>
      </c>
      <c r="L196" s="11" t="str">
        <f t="shared" si="45"/>
        <v/>
      </c>
      <c r="M196" s="11" t="str">
        <f t="shared" si="46"/>
        <v/>
      </c>
      <c r="N196" s="11" t="str">
        <f>IF(I196="已计入",IF(AND(B196="卖出",持仓总览!$C$7="本金优先"),MAX(0,E196-Q195),IF(OR(B196="卖出",B196="现金分红"),MIN(E196,M196),0)),"")</f>
        <v/>
      </c>
      <c r="O196" s="11" t="str">
        <f t="shared" si="47"/>
        <v/>
      </c>
      <c r="P196" s="11" t="str">
        <f t="shared" si="48"/>
        <v/>
      </c>
      <c r="Q196" s="11">
        <f t="shared" si="49"/>
        <v>82516.01</v>
      </c>
      <c r="R196" s="11" t="str">
        <f t="shared" si="40"/>
        <v/>
      </c>
      <c r="S196" s="11" t="str">
        <f t="shared" si="41"/>
        <v/>
      </c>
      <c r="T196" s="12" t="str">
        <f t="shared" si="42"/>
        <v/>
      </c>
      <c r="U196" s="11">
        <f t="shared" si="50"/>
        <v>82516.01</v>
      </c>
      <c r="V196" s="11">
        <f t="shared" si="51"/>
        <v>0</v>
      </c>
      <c r="W196" s="11">
        <f t="shared" si="52"/>
        <v>0</v>
      </c>
      <c r="X196" s="11">
        <f t="shared" si="53"/>
        <v>0</v>
      </c>
      <c r="Y196" s="11" t="str">
        <f t="shared" si="43"/>
        <v/>
      </c>
      <c r="Z196" s="13">
        <f t="shared" si="54"/>
        <v>46247</v>
      </c>
      <c r="AA196" s="10" t="str">
        <f>IF(OR($AA$116="错误",COUNTIF($G$117:G196,"待修正")&gt;0),"错误","正常")</f>
        <v>正常</v>
      </c>
      <c r="AB196" s="14">
        <f t="shared" si="55"/>
        <v>2.7686</v>
      </c>
    </row>
    <row r="197" ht="23" customHeight="1" spans="1:28">
      <c r="A197" s="15"/>
      <c r="B197" s="16"/>
      <c r="C197" s="17"/>
      <c r="D197" s="18"/>
      <c r="E197" s="19" t="str">
        <f t="shared" si="56"/>
        <v/>
      </c>
      <c r="F197" s="18"/>
      <c r="G197" s="20" t="str">
        <f t="shared" si="57"/>
        <v/>
      </c>
      <c r="H197" s="21" t="str">
        <f t="shared" si="58"/>
        <v/>
      </c>
      <c r="I197" s="10" t="str">
        <f>IF(COUNTA(A197:D197,F197)=0,"",IF(NOT(ISNUMBER(A197)),"缺少有效净值日期",IF(OR(A197&lt;=0,A197&lt;&gt;INT(A197)),"净值日期无效",IF(OR(B197="转换转入",B197="现金分红"),"该类型需实际金额，五项录入不适用",IF(NOT(OR(OR(B197="买入",B197="定投"),B197="卖出",B197="红利再投")),"请选择交易类型",IF(NOT(ISNUMBER(C197)),"缺少成交净值",IF(C197&lt;=0,"成交净值须大于零",IF(NOT(ISNUMBER(D197)),"缺少确认份额",IF(D197&lt;=0,"确认份额须大于零",IF(NOT(ISNUMBER(F197)),"缺少手续费，无费用请填 0",IF(F197&lt;0,"手续费不能为负",IF(AA196="错误","前行待修正",IF(A197&lt;Z196,"日期需按成交顺序递增",IF(AND(B197="红利再投",F197&lt;&gt;0),"红利再投手续费应填 0",IF(AND(B197="红利再投",K196&lt;=0),"红利再投前须有持仓",IF(AND(B197="卖出",D197&gt;K196+0.000001),"卖出份额超过持仓",IF(AND(B197="卖出",F197&gt;=C197*D197),"赎回费不能达到赎回总额",IF(NOT(ISNUMBER(E197)),"自动金额未生成，请检查五项输入",IF(NOT(OR(持仓总览!$C$7="利润优先",持仓总览!$C$7="本金优先")),"请选择卖出分配模式","已计入")))))))))))))))))))</f>
        <v/>
      </c>
      <c r="J197" s="11">
        <f t="shared" si="39"/>
        <v>0</v>
      </c>
      <c r="K197" s="11">
        <f t="shared" si="44"/>
        <v>34284.43</v>
      </c>
      <c r="L197" s="11" t="str">
        <f t="shared" si="45"/>
        <v/>
      </c>
      <c r="M197" s="11" t="str">
        <f t="shared" si="46"/>
        <v/>
      </c>
      <c r="N197" s="11" t="str">
        <f>IF(I197="已计入",IF(AND(B197="卖出",持仓总览!$C$7="本金优先"),MAX(0,E197-Q196),IF(OR(B197="卖出",B197="现金分红"),MIN(E197,M197),0)),"")</f>
        <v/>
      </c>
      <c r="O197" s="11" t="str">
        <f t="shared" si="47"/>
        <v/>
      </c>
      <c r="P197" s="11" t="str">
        <f t="shared" si="48"/>
        <v/>
      </c>
      <c r="Q197" s="11">
        <f t="shared" si="49"/>
        <v>82516.01</v>
      </c>
      <c r="R197" s="11" t="str">
        <f t="shared" si="40"/>
        <v/>
      </c>
      <c r="S197" s="11" t="str">
        <f t="shared" si="41"/>
        <v/>
      </c>
      <c r="T197" s="12" t="str">
        <f t="shared" si="42"/>
        <v/>
      </c>
      <c r="U197" s="11">
        <f t="shared" si="50"/>
        <v>82516.01</v>
      </c>
      <c r="V197" s="11">
        <f t="shared" si="51"/>
        <v>0</v>
      </c>
      <c r="W197" s="11">
        <f t="shared" si="52"/>
        <v>0</v>
      </c>
      <c r="X197" s="11">
        <f t="shared" si="53"/>
        <v>0</v>
      </c>
      <c r="Y197" s="11" t="str">
        <f t="shared" si="43"/>
        <v/>
      </c>
      <c r="Z197" s="13">
        <f t="shared" si="54"/>
        <v>46247</v>
      </c>
      <c r="AA197" s="10" t="str">
        <f>IF(OR($AA$116="错误",COUNTIF($G$117:G197,"待修正")&gt;0),"错误","正常")</f>
        <v>正常</v>
      </c>
      <c r="AB197" s="14">
        <f t="shared" si="55"/>
        <v>2.7686</v>
      </c>
    </row>
    <row r="198" ht="23" customHeight="1" spans="1:28">
      <c r="A198" s="15"/>
      <c r="B198" s="16"/>
      <c r="C198" s="17"/>
      <c r="D198" s="18"/>
      <c r="E198" s="19" t="str">
        <f t="shared" si="56"/>
        <v/>
      </c>
      <c r="F198" s="18"/>
      <c r="G198" s="20" t="str">
        <f t="shared" si="57"/>
        <v/>
      </c>
      <c r="H198" s="21" t="str">
        <f t="shared" si="58"/>
        <v/>
      </c>
      <c r="I198" s="10" t="str">
        <f>IF(COUNTA(A198:D198,F198)=0,"",IF(NOT(ISNUMBER(A198)),"缺少有效净值日期",IF(OR(A198&lt;=0,A198&lt;&gt;INT(A198)),"净值日期无效",IF(OR(B198="转换转入",B198="现金分红"),"该类型需实际金额，五项录入不适用",IF(NOT(OR(OR(B198="买入",B198="定投"),B198="卖出",B198="红利再投")),"请选择交易类型",IF(NOT(ISNUMBER(C198)),"缺少成交净值",IF(C198&lt;=0,"成交净值须大于零",IF(NOT(ISNUMBER(D198)),"缺少确认份额",IF(D198&lt;=0,"确认份额须大于零",IF(NOT(ISNUMBER(F198)),"缺少手续费，无费用请填 0",IF(F198&lt;0,"手续费不能为负",IF(AA197="错误","前行待修正",IF(A198&lt;Z197,"日期需按成交顺序递增",IF(AND(B198="红利再投",F198&lt;&gt;0),"红利再投手续费应填 0",IF(AND(B198="红利再投",K197&lt;=0),"红利再投前须有持仓",IF(AND(B198="卖出",D198&gt;K197+0.000001),"卖出份额超过持仓",IF(AND(B198="卖出",F198&gt;=C198*D198),"赎回费不能达到赎回总额",IF(NOT(ISNUMBER(E198)),"自动金额未生成，请检查五项输入",IF(NOT(OR(持仓总览!$C$7="利润优先",持仓总览!$C$7="本金优先")),"请选择卖出分配模式","已计入")))))))))))))))))))</f>
        <v/>
      </c>
      <c r="J198" s="11">
        <f t="shared" si="39"/>
        <v>0</v>
      </c>
      <c r="K198" s="11">
        <f t="shared" si="44"/>
        <v>34284.43</v>
      </c>
      <c r="L198" s="11" t="str">
        <f t="shared" si="45"/>
        <v/>
      </c>
      <c r="M198" s="11" t="str">
        <f t="shared" si="46"/>
        <v/>
      </c>
      <c r="N198" s="11" t="str">
        <f>IF(I198="已计入",IF(AND(B198="卖出",持仓总览!$C$7="本金优先"),MAX(0,E198-Q197),IF(OR(B198="卖出",B198="现金分红"),MIN(E198,M198),0)),"")</f>
        <v/>
      </c>
      <c r="O198" s="11" t="str">
        <f t="shared" si="47"/>
        <v/>
      </c>
      <c r="P198" s="11" t="str">
        <f t="shared" si="48"/>
        <v/>
      </c>
      <c r="Q198" s="11">
        <f t="shared" si="49"/>
        <v>82516.01</v>
      </c>
      <c r="R198" s="11" t="str">
        <f t="shared" si="40"/>
        <v/>
      </c>
      <c r="S198" s="11" t="str">
        <f t="shared" si="41"/>
        <v/>
      </c>
      <c r="T198" s="12" t="str">
        <f t="shared" si="42"/>
        <v/>
      </c>
      <c r="U198" s="11">
        <f t="shared" si="50"/>
        <v>82516.01</v>
      </c>
      <c r="V198" s="11">
        <f t="shared" si="51"/>
        <v>0</v>
      </c>
      <c r="W198" s="11">
        <f t="shared" si="52"/>
        <v>0</v>
      </c>
      <c r="X198" s="11">
        <f t="shared" si="53"/>
        <v>0</v>
      </c>
      <c r="Y198" s="11" t="str">
        <f t="shared" si="43"/>
        <v/>
      </c>
      <c r="Z198" s="13">
        <f t="shared" si="54"/>
        <v>46247</v>
      </c>
      <c r="AA198" s="10" t="str">
        <f>IF(OR($AA$116="错误",COUNTIF($G$117:G198,"待修正")&gt;0),"错误","正常")</f>
        <v>正常</v>
      </c>
      <c r="AB198" s="14">
        <f t="shared" si="55"/>
        <v>2.7686</v>
      </c>
    </row>
    <row r="199" ht="23" customHeight="1" spans="1:28">
      <c r="A199" s="15"/>
      <c r="B199" s="16"/>
      <c r="C199" s="17"/>
      <c r="D199" s="18"/>
      <c r="E199" s="19" t="str">
        <f t="shared" si="56"/>
        <v/>
      </c>
      <c r="F199" s="18"/>
      <c r="G199" s="20" t="str">
        <f t="shared" si="57"/>
        <v/>
      </c>
      <c r="H199" s="21" t="str">
        <f t="shared" si="58"/>
        <v/>
      </c>
      <c r="I199" s="10" t="str">
        <f>IF(COUNTA(A199:D199,F199)=0,"",IF(NOT(ISNUMBER(A199)),"缺少有效净值日期",IF(OR(A199&lt;=0,A199&lt;&gt;INT(A199)),"净值日期无效",IF(OR(B199="转换转入",B199="现金分红"),"该类型需实际金额，五项录入不适用",IF(NOT(OR(OR(B199="买入",B199="定投"),B199="卖出",B199="红利再投")),"请选择交易类型",IF(NOT(ISNUMBER(C199)),"缺少成交净值",IF(C199&lt;=0,"成交净值须大于零",IF(NOT(ISNUMBER(D199)),"缺少确认份额",IF(D199&lt;=0,"确认份额须大于零",IF(NOT(ISNUMBER(F199)),"缺少手续费，无费用请填 0",IF(F199&lt;0,"手续费不能为负",IF(AA198="错误","前行待修正",IF(A199&lt;Z198,"日期需按成交顺序递增",IF(AND(B199="红利再投",F199&lt;&gt;0),"红利再投手续费应填 0",IF(AND(B199="红利再投",K198&lt;=0),"红利再投前须有持仓",IF(AND(B199="卖出",D199&gt;K198+0.000001),"卖出份额超过持仓",IF(AND(B199="卖出",F199&gt;=C199*D199),"赎回费不能达到赎回总额",IF(NOT(ISNUMBER(E199)),"自动金额未生成，请检查五项输入",IF(NOT(OR(持仓总览!$C$7="利润优先",持仓总览!$C$7="本金优先")),"请选择卖出分配模式","已计入")))))))))))))))))))</f>
        <v/>
      </c>
      <c r="J199" s="11">
        <f t="shared" ref="J199:J262" si="59">IF(AA199="正常",IF(I199="已计入",IF(OR(OR(B199="买入",B199="定投",B199="转换转入"),B199="红利再投"),D199,IF(B199="卖出",-D199,0)),0),"")</f>
        <v>0</v>
      </c>
      <c r="K199" s="11">
        <f t="shared" si="44"/>
        <v>34284.43</v>
      </c>
      <c r="L199" s="11" t="str">
        <f t="shared" si="45"/>
        <v/>
      </c>
      <c r="M199" s="11" t="str">
        <f t="shared" si="46"/>
        <v/>
      </c>
      <c r="N199" s="11" t="str">
        <f>IF(I199="已计入",IF(AND(B199="卖出",持仓总览!$C$7="本金优先"),MAX(0,E199-Q198),IF(OR(B199="卖出",B199="现金分红"),MIN(E199,M199),0)),"")</f>
        <v/>
      </c>
      <c r="O199" s="11" t="str">
        <f t="shared" si="47"/>
        <v/>
      </c>
      <c r="P199" s="11" t="str">
        <f t="shared" si="48"/>
        <v/>
      </c>
      <c r="Q199" s="11">
        <f t="shared" si="49"/>
        <v>82516.01</v>
      </c>
      <c r="R199" s="11" t="str">
        <f t="shared" ref="R199:R262" si="60">IF(I199="已计入",ROUND(K199*C199,2),"")</f>
        <v/>
      </c>
      <c r="S199" s="11" t="str">
        <f t="shared" ref="S199:S262" si="61">IF(I199="已计入",ROUND(R199-Q199,2),"")</f>
        <v/>
      </c>
      <c r="T199" s="12" t="str">
        <f t="shared" ref="T199:T262" si="62">IF(I199="已计入",IF(Q199=0,"",S199/Q199),"")</f>
        <v/>
      </c>
      <c r="U199" s="11">
        <f t="shared" si="50"/>
        <v>82516.01</v>
      </c>
      <c r="V199" s="11">
        <f t="shared" si="51"/>
        <v>0</v>
      </c>
      <c r="W199" s="11">
        <f t="shared" si="52"/>
        <v>0</v>
      </c>
      <c r="X199" s="11">
        <f t="shared" si="53"/>
        <v>0</v>
      </c>
      <c r="Y199" s="11" t="str">
        <f t="shared" ref="Y199:Y262" si="63">IF(I199="已计入",ROUND(R199+V199-U199,2),"")</f>
        <v/>
      </c>
      <c r="Z199" s="13">
        <f t="shared" si="54"/>
        <v>46247</v>
      </c>
      <c r="AA199" s="10" t="str">
        <f>IF(OR($AA$116="错误",COUNTIF($G$117:G199,"待修正")&gt;0),"错误","正常")</f>
        <v>正常</v>
      </c>
      <c r="AB199" s="14">
        <f t="shared" si="55"/>
        <v>2.7686</v>
      </c>
    </row>
    <row r="200" ht="23" customHeight="1" spans="1:28">
      <c r="A200" s="15"/>
      <c r="B200" s="16"/>
      <c r="C200" s="17"/>
      <c r="D200" s="18"/>
      <c r="E200" s="19" t="str">
        <f t="shared" si="56"/>
        <v/>
      </c>
      <c r="F200" s="18"/>
      <c r="G200" s="20" t="str">
        <f t="shared" si="57"/>
        <v/>
      </c>
      <c r="H200" s="21" t="str">
        <f t="shared" si="58"/>
        <v/>
      </c>
      <c r="I200" s="10" t="str">
        <f>IF(COUNTA(A200:D200,F200)=0,"",IF(NOT(ISNUMBER(A200)),"缺少有效净值日期",IF(OR(A200&lt;=0,A200&lt;&gt;INT(A200)),"净值日期无效",IF(OR(B200="转换转入",B200="现金分红"),"该类型需实际金额，五项录入不适用",IF(NOT(OR(OR(B200="买入",B200="定投"),B200="卖出",B200="红利再投")),"请选择交易类型",IF(NOT(ISNUMBER(C200)),"缺少成交净值",IF(C200&lt;=0,"成交净值须大于零",IF(NOT(ISNUMBER(D200)),"缺少确认份额",IF(D200&lt;=0,"确认份额须大于零",IF(NOT(ISNUMBER(F200)),"缺少手续费，无费用请填 0",IF(F200&lt;0,"手续费不能为负",IF(AA199="错误","前行待修正",IF(A200&lt;Z199,"日期需按成交顺序递增",IF(AND(B200="红利再投",F200&lt;&gt;0),"红利再投手续费应填 0",IF(AND(B200="红利再投",K199&lt;=0),"红利再投前须有持仓",IF(AND(B200="卖出",D200&gt;K199+0.000001),"卖出份额超过持仓",IF(AND(B200="卖出",F200&gt;=C200*D200),"赎回费不能达到赎回总额",IF(NOT(ISNUMBER(E200)),"自动金额未生成，请检查五项输入",IF(NOT(OR(持仓总览!$C$7="利润优先",持仓总览!$C$7="本金优先")),"请选择卖出分配模式","已计入")))))))))))))))))))</f>
        <v/>
      </c>
      <c r="J200" s="11">
        <f t="shared" si="59"/>
        <v>0</v>
      </c>
      <c r="K200" s="11">
        <f t="shared" ref="K200:K263" si="64">IF(AA200="正常",ROUND(K199+J200,6),"")</f>
        <v>34284.43</v>
      </c>
      <c r="L200" s="11" t="str">
        <f t="shared" ref="L200:L263" si="65">IF(I200="已计入",ROUND(K199*C200,2),"")</f>
        <v/>
      </c>
      <c r="M200" s="11" t="str">
        <f t="shared" ref="M200:M263" si="66">IF(I200="已计入",IF(B200="卖出",MAX(0,L200-Q199-F200),IF(B200="现金分红",MAX(0,L200+E200-Q199),0)),"")</f>
        <v/>
      </c>
      <c r="N200" s="11" t="str">
        <f>IF(I200="已计入",IF(AND(B200="卖出",持仓总览!$C$7="本金优先"),MAX(0,E200-Q199),IF(OR(B200="卖出",B200="现金分红"),MIN(E200,M200),0)),"")</f>
        <v/>
      </c>
      <c r="O200" s="11" t="str">
        <f t="shared" ref="O200:O263" si="67">IF(I200="已计入",IF(OR(B200="卖出",B200="现金分红"),MIN(Q199,MAX(0,E200-N200)),0),"")</f>
        <v/>
      </c>
      <c r="P200" s="11" t="str">
        <f t="shared" ref="P200:P263" si="68">IF(I200="已计入",IF(AND(B200="卖出",K200=0),MAX(0,Q199-O200),0),"")</f>
        <v/>
      </c>
      <c r="Q200" s="11">
        <f t="shared" ref="Q200:Q263" si="69">IF(AA200="正常",IF(I200="已计入",ROUND(Q199+IF(OR(B200="买入",B200="定投",B200="转换转入"),E200,0)-O200-P200,2),Q199),"")</f>
        <v>82516.01</v>
      </c>
      <c r="R200" s="11" t="str">
        <f t="shared" si="60"/>
        <v/>
      </c>
      <c r="S200" s="11" t="str">
        <f t="shared" si="61"/>
        <v/>
      </c>
      <c r="T200" s="12" t="str">
        <f t="shared" si="62"/>
        <v/>
      </c>
      <c r="U200" s="11">
        <f t="shared" ref="U200:U263" si="70">IF(AA200="正常",U199+IF(AND(I200="已计入",OR(B200="买入",B200="定投",B200="转换转入")),E200,0),"")</f>
        <v>82516.01</v>
      </c>
      <c r="V200" s="11">
        <f t="shared" ref="V200:V263" si="71">IF(AA200="正常",V199+IF(AND(I200="已计入",OR(B200="卖出",B200="现金分红")),E200,0),"")</f>
        <v>0</v>
      </c>
      <c r="W200" s="11">
        <f t="shared" ref="W200:W263" si="72">IF(AA200="正常",W199+IF(I200="已计入",N200,0),"")</f>
        <v>0</v>
      </c>
      <c r="X200" s="11">
        <f t="shared" ref="X200:X263" si="73">IF(AA200="正常",X199+IF(I200="已计入",P200,0),"")</f>
        <v>0</v>
      </c>
      <c r="Y200" s="11" t="str">
        <f t="shared" si="63"/>
        <v/>
      </c>
      <c r="Z200" s="13">
        <f t="shared" ref="Z200:Z263" si="74">IF(AA200="正常",IF(I200="已计入",A200,Z199),"")</f>
        <v>46247</v>
      </c>
      <c r="AA200" s="10" t="str">
        <f>IF(OR($AA$116="错误",COUNTIF($G$117:G200,"待修正")&gt;0),"错误","正常")</f>
        <v>正常</v>
      </c>
      <c r="AB200" s="14">
        <f t="shared" ref="AB200:AB263" si="75">IF(AA200="正常",IF(I200="已计入",C200,AB199),"")</f>
        <v>2.7686</v>
      </c>
    </row>
    <row r="201" ht="23" customHeight="1" spans="1:28">
      <c r="A201" s="15"/>
      <c r="B201" s="16"/>
      <c r="C201" s="17"/>
      <c r="D201" s="18"/>
      <c r="E201" s="19" t="str">
        <f t="shared" si="56"/>
        <v/>
      </c>
      <c r="F201" s="18"/>
      <c r="G201" s="20" t="str">
        <f t="shared" si="57"/>
        <v/>
      </c>
      <c r="H201" s="21" t="str">
        <f t="shared" si="58"/>
        <v/>
      </c>
      <c r="I201" s="10" t="str">
        <f>IF(COUNTA(A201:D201,F201)=0,"",IF(NOT(ISNUMBER(A201)),"缺少有效净值日期",IF(OR(A201&lt;=0,A201&lt;&gt;INT(A201)),"净值日期无效",IF(OR(B201="转换转入",B201="现金分红"),"该类型需实际金额，五项录入不适用",IF(NOT(OR(OR(B201="买入",B201="定投"),B201="卖出",B201="红利再投")),"请选择交易类型",IF(NOT(ISNUMBER(C201)),"缺少成交净值",IF(C201&lt;=0,"成交净值须大于零",IF(NOT(ISNUMBER(D201)),"缺少确认份额",IF(D201&lt;=0,"确认份额须大于零",IF(NOT(ISNUMBER(F201)),"缺少手续费，无费用请填 0",IF(F201&lt;0,"手续费不能为负",IF(AA200="错误","前行待修正",IF(A201&lt;Z200,"日期需按成交顺序递增",IF(AND(B201="红利再投",F201&lt;&gt;0),"红利再投手续费应填 0",IF(AND(B201="红利再投",K200&lt;=0),"红利再投前须有持仓",IF(AND(B201="卖出",D201&gt;K200+0.000001),"卖出份额超过持仓",IF(AND(B201="卖出",F201&gt;=C201*D201),"赎回费不能达到赎回总额",IF(NOT(ISNUMBER(E201)),"自动金额未生成，请检查五项输入",IF(NOT(OR(持仓总览!$C$7="利润优先",持仓总览!$C$7="本金优先")),"请选择卖出分配模式","已计入")))))))))))))))))))</f>
        <v/>
      </c>
      <c r="J201" s="11">
        <f t="shared" si="59"/>
        <v>0</v>
      </c>
      <c r="K201" s="11">
        <f t="shared" si="64"/>
        <v>34284.43</v>
      </c>
      <c r="L201" s="11" t="str">
        <f t="shared" si="65"/>
        <v/>
      </c>
      <c r="M201" s="11" t="str">
        <f t="shared" si="66"/>
        <v/>
      </c>
      <c r="N201" s="11" t="str">
        <f>IF(I201="已计入",IF(AND(B201="卖出",持仓总览!$C$7="本金优先"),MAX(0,E201-Q200),IF(OR(B201="卖出",B201="现金分红"),MIN(E201,M201),0)),"")</f>
        <v/>
      </c>
      <c r="O201" s="11" t="str">
        <f t="shared" si="67"/>
        <v/>
      </c>
      <c r="P201" s="11" t="str">
        <f t="shared" si="68"/>
        <v/>
      </c>
      <c r="Q201" s="11">
        <f t="shared" si="69"/>
        <v>82516.01</v>
      </c>
      <c r="R201" s="11" t="str">
        <f t="shared" si="60"/>
        <v/>
      </c>
      <c r="S201" s="11" t="str">
        <f t="shared" si="61"/>
        <v/>
      </c>
      <c r="T201" s="12" t="str">
        <f t="shared" si="62"/>
        <v/>
      </c>
      <c r="U201" s="11">
        <f t="shared" si="70"/>
        <v>82516.01</v>
      </c>
      <c r="V201" s="11">
        <f t="shared" si="71"/>
        <v>0</v>
      </c>
      <c r="W201" s="11">
        <f t="shared" si="72"/>
        <v>0</v>
      </c>
      <c r="X201" s="11">
        <f t="shared" si="73"/>
        <v>0</v>
      </c>
      <c r="Y201" s="11" t="str">
        <f t="shared" si="63"/>
        <v/>
      </c>
      <c r="Z201" s="13">
        <f t="shared" si="74"/>
        <v>46247</v>
      </c>
      <c r="AA201" s="10" t="str">
        <f>IF(OR($AA$116="错误",COUNTIF($G$117:G201,"待修正")&gt;0),"错误","正常")</f>
        <v>正常</v>
      </c>
      <c r="AB201" s="14">
        <f t="shared" si="75"/>
        <v>2.7686</v>
      </c>
    </row>
    <row r="202" ht="23" customHeight="1" spans="1:28">
      <c r="A202" s="15"/>
      <c r="B202" s="16"/>
      <c r="C202" s="17"/>
      <c r="D202" s="18"/>
      <c r="E202" s="19" t="str">
        <f t="shared" si="56"/>
        <v/>
      </c>
      <c r="F202" s="18"/>
      <c r="G202" s="20" t="str">
        <f t="shared" si="57"/>
        <v/>
      </c>
      <c r="H202" s="21" t="str">
        <f t="shared" si="58"/>
        <v/>
      </c>
      <c r="I202" s="10" t="str">
        <f>IF(COUNTA(A202:D202,F202)=0,"",IF(NOT(ISNUMBER(A202)),"缺少有效净值日期",IF(OR(A202&lt;=0,A202&lt;&gt;INT(A202)),"净值日期无效",IF(OR(B202="转换转入",B202="现金分红"),"该类型需实际金额，五项录入不适用",IF(NOT(OR(OR(B202="买入",B202="定投"),B202="卖出",B202="红利再投")),"请选择交易类型",IF(NOT(ISNUMBER(C202)),"缺少成交净值",IF(C202&lt;=0,"成交净值须大于零",IF(NOT(ISNUMBER(D202)),"缺少确认份额",IF(D202&lt;=0,"确认份额须大于零",IF(NOT(ISNUMBER(F202)),"缺少手续费，无费用请填 0",IF(F202&lt;0,"手续费不能为负",IF(AA201="错误","前行待修正",IF(A202&lt;Z201,"日期需按成交顺序递增",IF(AND(B202="红利再投",F202&lt;&gt;0),"红利再投手续费应填 0",IF(AND(B202="红利再投",K201&lt;=0),"红利再投前须有持仓",IF(AND(B202="卖出",D202&gt;K201+0.000001),"卖出份额超过持仓",IF(AND(B202="卖出",F202&gt;=C202*D202),"赎回费不能达到赎回总额",IF(NOT(ISNUMBER(E202)),"自动金额未生成，请检查五项输入",IF(NOT(OR(持仓总览!$C$7="利润优先",持仓总览!$C$7="本金优先")),"请选择卖出分配模式","已计入")))))))))))))))))))</f>
        <v/>
      </c>
      <c r="J202" s="11">
        <f t="shared" si="59"/>
        <v>0</v>
      </c>
      <c r="K202" s="11">
        <f t="shared" si="64"/>
        <v>34284.43</v>
      </c>
      <c r="L202" s="11" t="str">
        <f t="shared" si="65"/>
        <v/>
      </c>
      <c r="M202" s="11" t="str">
        <f t="shared" si="66"/>
        <v/>
      </c>
      <c r="N202" s="11" t="str">
        <f>IF(I202="已计入",IF(AND(B202="卖出",持仓总览!$C$7="本金优先"),MAX(0,E202-Q201),IF(OR(B202="卖出",B202="现金分红"),MIN(E202,M202),0)),"")</f>
        <v/>
      </c>
      <c r="O202" s="11" t="str">
        <f t="shared" si="67"/>
        <v/>
      </c>
      <c r="P202" s="11" t="str">
        <f t="shared" si="68"/>
        <v/>
      </c>
      <c r="Q202" s="11">
        <f t="shared" si="69"/>
        <v>82516.01</v>
      </c>
      <c r="R202" s="11" t="str">
        <f t="shared" si="60"/>
        <v/>
      </c>
      <c r="S202" s="11" t="str">
        <f t="shared" si="61"/>
        <v/>
      </c>
      <c r="T202" s="12" t="str">
        <f t="shared" si="62"/>
        <v/>
      </c>
      <c r="U202" s="11">
        <f t="shared" si="70"/>
        <v>82516.01</v>
      </c>
      <c r="V202" s="11">
        <f t="shared" si="71"/>
        <v>0</v>
      </c>
      <c r="W202" s="11">
        <f t="shared" si="72"/>
        <v>0</v>
      </c>
      <c r="X202" s="11">
        <f t="shared" si="73"/>
        <v>0</v>
      </c>
      <c r="Y202" s="11" t="str">
        <f t="shared" si="63"/>
        <v/>
      </c>
      <c r="Z202" s="13">
        <f t="shared" si="74"/>
        <v>46247</v>
      </c>
      <c r="AA202" s="10" t="str">
        <f>IF(OR($AA$116="错误",COUNTIF($G$117:G202,"待修正")&gt;0),"错误","正常")</f>
        <v>正常</v>
      </c>
      <c r="AB202" s="14">
        <f t="shared" si="75"/>
        <v>2.7686</v>
      </c>
    </row>
    <row r="203" ht="23" customHeight="1" spans="1:28">
      <c r="A203" s="15"/>
      <c r="B203" s="16"/>
      <c r="C203" s="17"/>
      <c r="D203" s="18"/>
      <c r="E203" s="19" t="str">
        <f t="shared" si="56"/>
        <v/>
      </c>
      <c r="F203" s="18"/>
      <c r="G203" s="20" t="str">
        <f t="shared" si="57"/>
        <v/>
      </c>
      <c r="H203" s="21" t="str">
        <f t="shared" si="58"/>
        <v/>
      </c>
      <c r="I203" s="10" t="str">
        <f>IF(COUNTA(A203:D203,F203)=0,"",IF(NOT(ISNUMBER(A203)),"缺少有效净值日期",IF(OR(A203&lt;=0,A203&lt;&gt;INT(A203)),"净值日期无效",IF(OR(B203="转换转入",B203="现金分红"),"该类型需实际金额，五项录入不适用",IF(NOT(OR(OR(B203="买入",B203="定投"),B203="卖出",B203="红利再投")),"请选择交易类型",IF(NOT(ISNUMBER(C203)),"缺少成交净值",IF(C203&lt;=0,"成交净值须大于零",IF(NOT(ISNUMBER(D203)),"缺少确认份额",IF(D203&lt;=0,"确认份额须大于零",IF(NOT(ISNUMBER(F203)),"缺少手续费，无费用请填 0",IF(F203&lt;0,"手续费不能为负",IF(AA202="错误","前行待修正",IF(A203&lt;Z202,"日期需按成交顺序递增",IF(AND(B203="红利再投",F203&lt;&gt;0),"红利再投手续费应填 0",IF(AND(B203="红利再投",K202&lt;=0),"红利再投前须有持仓",IF(AND(B203="卖出",D203&gt;K202+0.000001),"卖出份额超过持仓",IF(AND(B203="卖出",F203&gt;=C203*D203),"赎回费不能达到赎回总额",IF(NOT(ISNUMBER(E203)),"自动金额未生成，请检查五项输入",IF(NOT(OR(持仓总览!$C$7="利润优先",持仓总览!$C$7="本金优先")),"请选择卖出分配模式","已计入")))))))))))))))))))</f>
        <v/>
      </c>
      <c r="J203" s="11">
        <f t="shared" si="59"/>
        <v>0</v>
      </c>
      <c r="K203" s="11">
        <f t="shared" si="64"/>
        <v>34284.43</v>
      </c>
      <c r="L203" s="11" t="str">
        <f t="shared" si="65"/>
        <v/>
      </c>
      <c r="M203" s="11" t="str">
        <f t="shared" si="66"/>
        <v/>
      </c>
      <c r="N203" s="11" t="str">
        <f>IF(I203="已计入",IF(AND(B203="卖出",持仓总览!$C$7="本金优先"),MAX(0,E203-Q202),IF(OR(B203="卖出",B203="现金分红"),MIN(E203,M203),0)),"")</f>
        <v/>
      </c>
      <c r="O203" s="11" t="str">
        <f t="shared" si="67"/>
        <v/>
      </c>
      <c r="P203" s="11" t="str">
        <f t="shared" si="68"/>
        <v/>
      </c>
      <c r="Q203" s="11">
        <f t="shared" si="69"/>
        <v>82516.01</v>
      </c>
      <c r="R203" s="11" t="str">
        <f t="shared" si="60"/>
        <v/>
      </c>
      <c r="S203" s="11" t="str">
        <f t="shared" si="61"/>
        <v/>
      </c>
      <c r="T203" s="12" t="str">
        <f t="shared" si="62"/>
        <v/>
      </c>
      <c r="U203" s="11">
        <f t="shared" si="70"/>
        <v>82516.01</v>
      </c>
      <c r="V203" s="11">
        <f t="shared" si="71"/>
        <v>0</v>
      </c>
      <c r="W203" s="11">
        <f t="shared" si="72"/>
        <v>0</v>
      </c>
      <c r="X203" s="11">
        <f t="shared" si="73"/>
        <v>0</v>
      </c>
      <c r="Y203" s="11" t="str">
        <f t="shared" si="63"/>
        <v/>
      </c>
      <c r="Z203" s="13">
        <f t="shared" si="74"/>
        <v>46247</v>
      </c>
      <c r="AA203" s="10" t="str">
        <f>IF(OR($AA$116="错误",COUNTIF($G$117:G203,"待修正")&gt;0),"错误","正常")</f>
        <v>正常</v>
      </c>
      <c r="AB203" s="14">
        <f t="shared" si="75"/>
        <v>2.7686</v>
      </c>
    </row>
    <row r="204" ht="23" customHeight="1" spans="1:28">
      <c r="A204" s="15"/>
      <c r="B204" s="16"/>
      <c r="C204" s="17"/>
      <c r="D204" s="18"/>
      <c r="E204" s="19" t="str">
        <f t="shared" si="56"/>
        <v/>
      </c>
      <c r="F204" s="18"/>
      <c r="G204" s="20" t="str">
        <f t="shared" si="57"/>
        <v/>
      </c>
      <c r="H204" s="21" t="str">
        <f t="shared" si="58"/>
        <v/>
      </c>
      <c r="I204" s="10" t="str">
        <f>IF(COUNTA(A204:D204,F204)=0,"",IF(NOT(ISNUMBER(A204)),"缺少有效净值日期",IF(OR(A204&lt;=0,A204&lt;&gt;INT(A204)),"净值日期无效",IF(OR(B204="转换转入",B204="现金分红"),"该类型需实际金额，五项录入不适用",IF(NOT(OR(OR(B204="买入",B204="定投"),B204="卖出",B204="红利再投")),"请选择交易类型",IF(NOT(ISNUMBER(C204)),"缺少成交净值",IF(C204&lt;=0,"成交净值须大于零",IF(NOT(ISNUMBER(D204)),"缺少确认份额",IF(D204&lt;=0,"确认份额须大于零",IF(NOT(ISNUMBER(F204)),"缺少手续费，无费用请填 0",IF(F204&lt;0,"手续费不能为负",IF(AA203="错误","前行待修正",IF(A204&lt;Z203,"日期需按成交顺序递增",IF(AND(B204="红利再投",F204&lt;&gt;0),"红利再投手续费应填 0",IF(AND(B204="红利再投",K203&lt;=0),"红利再投前须有持仓",IF(AND(B204="卖出",D204&gt;K203+0.000001),"卖出份额超过持仓",IF(AND(B204="卖出",F204&gt;=C204*D204),"赎回费不能达到赎回总额",IF(NOT(ISNUMBER(E204)),"自动金额未生成，请检查五项输入",IF(NOT(OR(持仓总览!$C$7="利润优先",持仓总览!$C$7="本金优先")),"请选择卖出分配模式","已计入")))))))))))))))))))</f>
        <v/>
      </c>
      <c r="J204" s="11">
        <f t="shared" si="59"/>
        <v>0</v>
      </c>
      <c r="K204" s="11">
        <f t="shared" si="64"/>
        <v>34284.43</v>
      </c>
      <c r="L204" s="11" t="str">
        <f t="shared" si="65"/>
        <v/>
      </c>
      <c r="M204" s="11" t="str">
        <f t="shared" si="66"/>
        <v/>
      </c>
      <c r="N204" s="11" t="str">
        <f>IF(I204="已计入",IF(AND(B204="卖出",持仓总览!$C$7="本金优先"),MAX(0,E204-Q203),IF(OR(B204="卖出",B204="现金分红"),MIN(E204,M204),0)),"")</f>
        <v/>
      </c>
      <c r="O204" s="11" t="str">
        <f t="shared" si="67"/>
        <v/>
      </c>
      <c r="P204" s="11" t="str">
        <f t="shared" si="68"/>
        <v/>
      </c>
      <c r="Q204" s="11">
        <f t="shared" si="69"/>
        <v>82516.01</v>
      </c>
      <c r="R204" s="11" t="str">
        <f t="shared" si="60"/>
        <v/>
      </c>
      <c r="S204" s="11" t="str">
        <f t="shared" si="61"/>
        <v/>
      </c>
      <c r="T204" s="12" t="str">
        <f t="shared" si="62"/>
        <v/>
      </c>
      <c r="U204" s="11">
        <f t="shared" si="70"/>
        <v>82516.01</v>
      </c>
      <c r="V204" s="11">
        <f t="shared" si="71"/>
        <v>0</v>
      </c>
      <c r="W204" s="11">
        <f t="shared" si="72"/>
        <v>0</v>
      </c>
      <c r="X204" s="11">
        <f t="shared" si="73"/>
        <v>0</v>
      </c>
      <c r="Y204" s="11" t="str">
        <f t="shared" si="63"/>
        <v/>
      </c>
      <c r="Z204" s="13">
        <f t="shared" si="74"/>
        <v>46247</v>
      </c>
      <c r="AA204" s="10" t="str">
        <f>IF(OR($AA$116="错误",COUNTIF($G$117:G204,"待修正")&gt;0),"错误","正常")</f>
        <v>正常</v>
      </c>
      <c r="AB204" s="14">
        <f t="shared" si="75"/>
        <v>2.7686</v>
      </c>
    </row>
    <row r="205" ht="23" customHeight="1" spans="1:28">
      <c r="A205" s="15"/>
      <c r="B205" s="16"/>
      <c r="C205" s="17"/>
      <c r="D205" s="18"/>
      <c r="E205" s="19" t="str">
        <f t="shared" si="56"/>
        <v/>
      </c>
      <c r="F205" s="18"/>
      <c r="G205" s="20" t="str">
        <f t="shared" si="57"/>
        <v/>
      </c>
      <c r="H205" s="21" t="str">
        <f t="shared" si="58"/>
        <v/>
      </c>
      <c r="I205" s="10" t="str">
        <f>IF(COUNTA(A205:D205,F205)=0,"",IF(NOT(ISNUMBER(A205)),"缺少有效净值日期",IF(OR(A205&lt;=0,A205&lt;&gt;INT(A205)),"净值日期无效",IF(OR(B205="转换转入",B205="现金分红"),"该类型需实际金额，五项录入不适用",IF(NOT(OR(OR(B205="买入",B205="定投"),B205="卖出",B205="红利再投")),"请选择交易类型",IF(NOT(ISNUMBER(C205)),"缺少成交净值",IF(C205&lt;=0,"成交净值须大于零",IF(NOT(ISNUMBER(D205)),"缺少确认份额",IF(D205&lt;=0,"确认份额须大于零",IF(NOT(ISNUMBER(F205)),"缺少手续费，无费用请填 0",IF(F205&lt;0,"手续费不能为负",IF(AA204="错误","前行待修正",IF(A205&lt;Z204,"日期需按成交顺序递增",IF(AND(B205="红利再投",F205&lt;&gt;0),"红利再投手续费应填 0",IF(AND(B205="红利再投",K204&lt;=0),"红利再投前须有持仓",IF(AND(B205="卖出",D205&gt;K204+0.000001),"卖出份额超过持仓",IF(AND(B205="卖出",F205&gt;=C205*D205),"赎回费不能达到赎回总额",IF(NOT(ISNUMBER(E205)),"自动金额未生成，请检查五项输入",IF(NOT(OR(持仓总览!$C$7="利润优先",持仓总览!$C$7="本金优先")),"请选择卖出分配模式","已计入")))))))))))))))))))</f>
        <v/>
      </c>
      <c r="J205" s="11">
        <f t="shared" si="59"/>
        <v>0</v>
      </c>
      <c r="K205" s="11">
        <f t="shared" si="64"/>
        <v>34284.43</v>
      </c>
      <c r="L205" s="11" t="str">
        <f t="shared" si="65"/>
        <v/>
      </c>
      <c r="M205" s="11" t="str">
        <f t="shared" si="66"/>
        <v/>
      </c>
      <c r="N205" s="11" t="str">
        <f>IF(I205="已计入",IF(AND(B205="卖出",持仓总览!$C$7="本金优先"),MAX(0,E205-Q204),IF(OR(B205="卖出",B205="现金分红"),MIN(E205,M205),0)),"")</f>
        <v/>
      </c>
      <c r="O205" s="11" t="str">
        <f t="shared" si="67"/>
        <v/>
      </c>
      <c r="P205" s="11" t="str">
        <f t="shared" si="68"/>
        <v/>
      </c>
      <c r="Q205" s="11">
        <f t="shared" si="69"/>
        <v>82516.01</v>
      </c>
      <c r="R205" s="11" t="str">
        <f t="shared" si="60"/>
        <v/>
      </c>
      <c r="S205" s="11" t="str">
        <f t="shared" si="61"/>
        <v/>
      </c>
      <c r="T205" s="12" t="str">
        <f t="shared" si="62"/>
        <v/>
      </c>
      <c r="U205" s="11">
        <f t="shared" si="70"/>
        <v>82516.01</v>
      </c>
      <c r="V205" s="11">
        <f t="shared" si="71"/>
        <v>0</v>
      </c>
      <c r="W205" s="11">
        <f t="shared" si="72"/>
        <v>0</v>
      </c>
      <c r="X205" s="11">
        <f t="shared" si="73"/>
        <v>0</v>
      </c>
      <c r="Y205" s="11" t="str">
        <f t="shared" si="63"/>
        <v/>
      </c>
      <c r="Z205" s="13">
        <f t="shared" si="74"/>
        <v>46247</v>
      </c>
      <c r="AA205" s="10" t="str">
        <f>IF(OR($AA$116="错误",COUNTIF($G$117:G205,"待修正")&gt;0),"错误","正常")</f>
        <v>正常</v>
      </c>
      <c r="AB205" s="14">
        <f t="shared" si="75"/>
        <v>2.7686</v>
      </c>
    </row>
    <row r="206" ht="23" customHeight="1" spans="1:28">
      <c r="A206" s="15"/>
      <c r="B206" s="16"/>
      <c r="C206" s="17"/>
      <c r="D206" s="18"/>
      <c r="E206" s="19" t="str">
        <f t="shared" si="56"/>
        <v/>
      </c>
      <c r="F206" s="18"/>
      <c r="G206" s="20" t="str">
        <f t="shared" si="57"/>
        <v/>
      </c>
      <c r="H206" s="21" t="str">
        <f t="shared" si="58"/>
        <v/>
      </c>
      <c r="I206" s="10" t="str">
        <f>IF(COUNTA(A206:D206,F206)=0,"",IF(NOT(ISNUMBER(A206)),"缺少有效净值日期",IF(OR(A206&lt;=0,A206&lt;&gt;INT(A206)),"净值日期无效",IF(OR(B206="转换转入",B206="现金分红"),"该类型需实际金额，五项录入不适用",IF(NOT(OR(OR(B206="买入",B206="定投"),B206="卖出",B206="红利再投")),"请选择交易类型",IF(NOT(ISNUMBER(C206)),"缺少成交净值",IF(C206&lt;=0,"成交净值须大于零",IF(NOT(ISNUMBER(D206)),"缺少确认份额",IF(D206&lt;=0,"确认份额须大于零",IF(NOT(ISNUMBER(F206)),"缺少手续费，无费用请填 0",IF(F206&lt;0,"手续费不能为负",IF(AA205="错误","前行待修正",IF(A206&lt;Z205,"日期需按成交顺序递增",IF(AND(B206="红利再投",F206&lt;&gt;0),"红利再投手续费应填 0",IF(AND(B206="红利再投",K205&lt;=0),"红利再投前须有持仓",IF(AND(B206="卖出",D206&gt;K205+0.000001),"卖出份额超过持仓",IF(AND(B206="卖出",F206&gt;=C206*D206),"赎回费不能达到赎回总额",IF(NOT(ISNUMBER(E206)),"自动金额未生成，请检查五项输入",IF(NOT(OR(持仓总览!$C$7="利润优先",持仓总览!$C$7="本金优先")),"请选择卖出分配模式","已计入")))))))))))))))))))</f>
        <v/>
      </c>
      <c r="J206" s="11">
        <f t="shared" si="59"/>
        <v>0</v>
      </c>
      <c r="K206" s="11">
        <f t="shared" si="64"/>
        <v>34284.43</v>
      </c>
      <c r="L206" s="11" t="str">
        <f t="shared" si="65"/>
        <v/>
      </c>
      <c r="M206" s="11" t="str">
        <f t="shared" si="66"/>
        <v/>
      </c>
      <c r="N206" s="11" t="str">
        <f>IF(I206="已计入",IF(AND(B206="卖出",持仓总览!$C$7="本金优先"),MAX(0,E206-Q205),IF(OR(B206="卖出",B206="现金分红"),MIN(E206,M206),0)),"")</f>
        <v/>
      </c>
      <c r="O206" s="11" t="str">
        <f t="shared" si="67"/>
        <v/>
      </c>
      <c r="P206" s="11" t="str">
        <f t="shared" si="68"/>
        <v/>
      </c>
      <c r="Q206" s="11">
        <f t="shared" si="69"/>
        <v>82516.01</v>
      </c>
      <c r="R206" s="11" t="str">
        <f t="shared" si="60"/>
        <v/>
      </c>
      <c r="S206" s="11" t="str">
        <f t="shared" si="61"/>
        <v/>
      </c>
      <c r="T206" s="12" t="str">
        <f t="shared" si="62"/>
        <v/>
      </c>
      <c r="U206" s="11">
        <f t="shared" si="70"/>
        <v>82516.01</v>
      </c>
      <c r="V206" s="11">
        <f t="shared" si="71"/>
        <v>0</v>
      </c>
      <c r="W206" s="11">
        <f t="shared" si="72"/>
        <v>0</v>
      </c>
      <c r="X206" s="11">
        <f t="shared" si="73"/>
        <v>0</v>
      </c>
      <c r="Y206" s="11" t="str">
        <f t="shared" si="63"/>
        <v/>
      </c>
      <c r="Z206" s="13">
        <f t="shared" si="74"/>
        <v>46247</v>
      </c>
      <c r="AA206" s="10" t="str">
        <f>IF(OR($AA$116="错误",COUNTIF($G$117:G206,"待修正")&gt;0),"错误","正常")</f>
        <v>正常</v>
      </c>
      <c r="AB206" s="14">
        <f t="shared" si="75"/>
        <v>2.7686</v>
      </c>
    </row>
    <row r="207" ht="23" customHeight="1" spans="1:28">
      <c r="A207" s="15"/>
      <c r="B207" s="16"/>
      <c r="C207" s="17"/>
      <c r="D207" s="18"/>
      <c r="E207" s="19" t="str">
        <f t="shared" si="56"/>
        <v/>
      </c>
      <c r="F207" s="18"/>
      <c r="G207" s="20" t="str">
        <f t="shared" si="57"/>
        <v/>
      </c>
      <c r="H207" s="21" t="str">
        <f t="shared" si="58"/>
        <v/>
      </c>
      <c r="I207" s="10" t="str">
        <f>IF(COUNTA(A207:D207,F207)=0,"",IF(NOT(ISNUMBER(A207)),"缺少有效净值日期",IF(OR(A207&lt;=0,A207&lt;&gt;INT(A207)),"净值日期无效",IF(OR(B207="转换转入",B207="现金分红"),"该类型需实际金额，五项录入不适用",IF(NOT(OR(OR(B207="买入",B207="定投"),B207="卖出",B207="红利再投")),"请选择交易类型",IF(NOT(ISNUMBER(C207)),"缺少成交净值",IF(C207&lt;=0,"成交净值须大于零",IF(NOT(ISNUMBER(D207)),"缺少确认份额",IF(D207&lt;=0,"确认份额须大于零",IF(NOT(ISNUMBER(F207)),"缺少手续费，无费用请填 0",IF(F207&lt;0,"手续费不能为负",IF(AA206="错误","前行待修正",IF(A207&lt;Z206,"日期需按成交顺序递增",IF(AND(B207="红利再投",F207&lt;&gt;0),"红利再投手续费应填 0",IF(AND(B207="红利再投",K206&lt;=0),"红利再投前须有持仓",IF(AND(B207="卖出",D207&gt;K206+0.000001),"卖出份额超过持仓",IF(AND(B207="卖出",F207&gt;=C207*D207),"赎回费不能达到赎回总额",IF(NOT(ISNUMBER(E207)),"自动金额未生成，请检查五项输入",IF(NOT(OR(持仓总览!$C$7="利润优先",持仓总览!$C$7="本金优先")),"请选择卖出分配模式","已计入")))))))))))))))))))</f>
        <v/>
      </c>
      <c r="J207" s="11">
        <f t="shared" si="59"/>
        <v>0</v>
      </c>
      <c r="K207" s="11">
        <f t="shared" si="64"/>
        <v>34284.43</v>
      </c>
      <c r="L207" s="11" t="str">
        <f t="shared" si="65"/>
        <v/>
      </c>
      <c r="M207" s="11" t="str">
        <f t="shared" si="66"/>
        <v/>
      </c>
      <c r="N207" s="11" t="str">
        <f>IF(I207="已计入",IF(AND(B207="卖出",持仓总览!$C$7="本金优先"),MAX(0,E207-Q206),IF(OR(B207="卖出",B207="现金分红"),MIN(E207,M207),0)),"")</f>
        <v/>
      </c>
      <c r="O207" s="11" t="str">
        <f t="shared" si="67"/>
        <v/>
      </c>
      <c r="P207" s="11" t="str">
        <f t="shared" si="68"/>
        <v/>
      </c>
      <c r="Q207" s="11">
        <f t="shared" si="69"/>
        <v>82516.01</v>
      </c>
      <c r="R207" s="11" t="str">
        <f t="shared" si="60"/>
        <v/>
      </c>
      <c r="S207" s="11" t="str">
        <f t="shared" si="61"/>
        <v/>
      </c>
      <c r="T207" s="12" t="str">
        <f t="shared" si="62"/>
        <v/>
      </c>
      <c r="U207" s="11">
        <f t="shared" si="70"/>
        <v>82516.01</v>
      </c>
      <c r="V207" s="11">
        <f t="shared" si="71"/>
        <v>0</v>
      </c>
      <c r="W207" s="11">
        <f t="shared" si="72"/>
        <v>0</v>
      </c>
      <c r="X207" s="11">
        <f t="shared" si="73"/>
        <v>0</v>
      </c>
      <c r="Y207" s="11" t="str">
        <f t="shared" si="63"/>
        <v/>
      </c>
      <c r="Z207" s="13">
        <f t="shared" si="74"/>
        <v>46247</v>
      </c>
      <c r="AA207" s="10" t="str">
        <f>IF(OR($AA$116="错误",COUNTIF($G$117:G207,"待修正")&gt;0),"错误","正常")</f>
        <v>正常</v>
      </c>
      <c r="AB207" s="14">
        <f t="shared" si="75"/>
        <v>2.7686</v>
      </c>
    </row>
    <row r="208" ht="23" customHeight="1" spans="1:28">
      <c r="A208" s="15"/>
      <c r="B208" s="16"/>
      <c r="C208" s="17"/>
      <c r="D208" s="18"/>
      <c r="E208" s="19" t="str">
        <f t="shared" si="56"/>
        <v/>
      </c>
      <c r="F208" s="18"/>
      <c r="G208" s="20" t="str">
        <f t="shared" si="57"/>
        <v/>
      </c>
      <c r="H208" s="21" t="str">
        <f t="shared" si="58"/>
        <v/>
      </c>
      <c r="I208" s="10" t="str">
        <f>IF(COUNTA(A208:D208,F208)=0,"",IF(NOT(ISNUMBER(A208)),"缺少有效净值日期",IF(OR(A208&lt;=0,A208&lt;&gt;INT(A208)),"净值日期无效",IF(OR(B208="转换转入",B208="现金分红"),"该类型需实际金额，五项录入不适用",IF(NOT(OR(OR(B208="买入",B208="定投"),B208="卖出",B208="红利再投")),"请选择交易类型",IF(NOT(ISNUMBER(C208)),"缺少成交净值",IF(C208&lt;=0,"成交净值须大于零",IF(NOT(ISNUMBER(D208)),"缺少确认份额",IF(D208&lt;=0,"确认份额须大于零",IF(NOT(ISNUMBER(F208)),"缺少手续费，无费用请填 0",IF(F208&lt;0,"手续费不能为负",IF(AA207="错误","前行待修正",IF(A208&lt;Z207,"日期需按成交顺序递增",IF(AND(B208="红利再投",F208&lt;&gt;0),"红利再投手续费应填 0",IF(AND(B208="红利再投",K207&lt;=0),"红利再投前须有持仓",IF(AND(B208="卖出",D208&gt;K207+0.000001),"卖出份额超过持仓",IF(AND(B208="卖出",F208&gt;=C208*D208),"赎回费不能达到赎回总额",IF(NOT(ISNUMBER(E208)),"自动金额未生成，请检查五项输入",IF(NOT(OR(持仓总览!$C$7="利润优先",持仓总览!$C$7="本金优先")),"请选择卖出分配模式","已计入")))))))))))))))))))</f>
        <v/>
      </c>
      <c r="J208" s="11">
        <f t="shared" si="59"/>
        <v>0</v>
      </c>
      <c r="K208" s="11">
        <f t="shared" si="64"/>
        <v>34284.43</v>
      </c>
      <c r="L208" s="11" t="str">
        <f t="shared" si="65"/>
        <v/>
      </c>
      <c r="M208" s="11" t="str">
        <f t="shared" si="66"/>
        <v/>
      </c>
      <c r="N208" s="11" t="str">
        <f>IF(I208="已计入",IF(AND(B208="卖出",持仓总览!$C$7="本金优先"),MAX(0,E208-Q207),IF(OR(B208="卖出",B208="现金分红"),MIN(E208,M208),0)),"")</f>
        <v/>
      </c>
      <c r="O208" s="11" t="str">
        <f t="shared" si="67"/>
        <v/>
      </c>
      <c r="P208" s="11" t="str">
        <f t="shared" si="68"/>
        <v/>
      </c>
      <c r="Q208" s="11">
        <f t="shared" si="69"/>
        <v>82516.01</v>
      </c>
      <c r="R208" s="11" t="str">
        <f t="shared" si="60"/>
        <v/>
      </c>
      <c r="S208" s="11" t="str">
        <f t="shared" si="61"/>
        <v/>
      </c>
      <c r="T208" s="12" t="str">
        <f t="shared" si="62"/>
        <v/>
      </c>
      <c r="U208" s="11">
        <f t="shared" si="70"/>
        <v>82516.01</v>
      </c>
      <c r="V208" s="11">
        <f t="shared" si="71"/>
        <v>0</v>
      </c>
      <c r="W208" s="11">
        <f t="shared" si="72"/>
        <v>0</v>
      </c>
      <c r="X208" s="11">
        <f t="shared" si="73"/>
        <v>0</v>
      </c>
      <c r="Y208" s="11" t="str">
        <f t="shared" si="63"/>
        <v/>
      </c>
      <c r="Z208" s="13">
        <f t="shared" si="74"/>
        <v>46247</v>
      </c>
      <c r="AA208" s="10" t="str">
        <f>IF(OR($AA$116="错误",COUNTIF($G$117:G208,"待修正")&gt;0),"错误","正常")</f>
        <v>正常</v>
      </c>
      <c r="AB208" s="14">
        <f t="shared" si="75"/>
        <v>2.7686</v>
      </c>
    </row>
    <row r="209" ht="23" customHeight="1" spans="1:28">
      <c r="A209" s="15"/>
      <c r="B209" s="16"/>
      <c r="C209" s="17"/>
      <c r="D209" s="18"/>
      <c r="E209" s="19" t="str">
        <f t="shared" si="56"/>
        <v/>
      </c>
      <c r="F209" s="18"/>
      <c r="G209" s="20" t="str">
        <f t="shared" si="57"/>
        <v/>
      </c>
      <c r="H209" s="21" t="str">
        <f t="shared" si="58"/>
        <v/>
      </c>
      <c r="I209" s="10" t="str">
        <f>IF(COUNTA(A209:D209,F209)=0,"",IF(NOT(ISNUMBER(A209)),"缺少有效净值日期",IF(OR(A209&lt;=0,A209&lt;&gt;INT(A209)),"净值日期无效",IF(OR(B209="转换转入",B209="现金分红"),"该类型需实际金额，五项录入不适用",IF(NOT(OR(OR(B209="买入",B209="定投"),B209="卖出",B209="红利再投")),"请选择交易类型",IF(NOT(ISNUMBER(C209)),"缺少成交净值",IF(C209&lt;=0,"成交净值须大于零",IF(NOT(ISNUMBER(D209)),"缺少确认份额",IF(D209&lt;=0,"确认份额须大于零",IF(NOT(ISNUMBER(F209)),"缺少手续费，无费用请填 0",IF(F209&lt;0,"手续费不能为负",IF(AA208="错误","前行待修正",IF(A209&lt;Z208,"日期需按成交顺序递增",IF(AND(B209="红利再投",F209&lt;&gt;0),"红利再投手续费应填 0",IF(AND(B209="红利再投",K208&lt;=0),"红利再投前须有持仓",IF(AND(B209="卖出",D209&gt;K208+0.000001),"卖出份额超过持仓",IF(AND(B209="卖出",F209&gt;=C209*D209),"赎回费不能达到赎回总额",IF(NOT(ISNUMBER(E209)),"自动金额未生成，请检查五项输入",IF(NOT(OR(持仓总览!$C$7="利润优先",持仓总览!$C$7="本金优先")),"请选择卖出分配模式","已计入")))))))))))))))))))</f>
        <v/>
      </c>
      <c r="J209" s="11">
        <f t="shared" si="59"/>
        <v>0</v>
      </c>
      <c r="K209" s="11">
        <f t="shared" si="64"/>
        <v>34284.43</v>
      </c>
      <c r="L209" s="11" t="str">
        <f t="shared" si="65"/>
        <v/>
      </c>
      <c r="M209" s="11" t="str">
        <f t="shared" si="66"/>
        <v/>
      </c>
      <c r="N209" s="11" t="str">
        <f>IF(I209="已计入",IF(AND(B209="卖出",持仓总览!$C$7="本金优先"),MAX(0,E209-Q208),IF(OR(B209="卖出",B209="现金分红"),MIN(E209,M209),0)),"")</f>
        <v/>
      </c>
      <c r="O209" s="11" t="str">
        <f t="shared" si="67"/>
        <v/>
      </c>
      <c r="P209" s="11" t="str">
        <f t="shared" si="68"/>
        <v/>
      </c>
      <c r="Q209" s="11">
        <f t="shared" si="69"/>
        <v>82516.01</v>
      </c>
      <c r="R209" s="11" t="str">
        <f t="shared" si="60"/>
        <v/>
      </c>
      <c r="S209" s="11" t="str">
        <f t="shared" si="61"/>
        <v/>
      </c>
      <c r="T209" s="12" t="str">
        <f t="shared" si="62"/>
        <v/>
      </c>
      <c r="U209" s="11">
        <f t="shared" si="70"/>
        <v>82516.01</v>
      </c>
      <c r="V209" s="11">
        <f t="shared" si="71"/>
        <v>0</v>
      </c>
      <c r="W209" s="11">
        <f t="shared" si="72"/>
        <v>0</v>
      </c>
      <c r="X209" s="11">
        <f t="shared" si="73"/>
        <v>0</v>
      </c>
      <c r="Y209" s="11" t="str">
        <f t="shared" si="63"/>
        <v/>
      </c>
      <c r="Z209" s="13">
        <f t="shared" si="74"/>
        <v>46247</v>
      </c>
      <c r="AA209" s="10" t="str">
        <f>IF(OR($AA$116="错误",COUNTIF($G$117:G209,"待修正")&gt;0),"错误","正常")</f>
        <v>正常</v>
      </c>
      <c r="AB209" s="14">
        <f t="shared" si="75"/>
        <v>2.7686</v>
      </c>
    </row>
    <row r="210" ht="23" customHeight="1" spans="1:28">
      <c r="A210" s="15"/>
      <c r="B210" s="16"/>
      <c r="C210" s="17"/>
      <c r="D210" s="18"/>
      <c r="E210" s="19" t="str">
        <f t="shared" si="56"/>
        <v/>
      </c>
      <c r="F210" s="18"/>
      <c r="G210" s="20" t="str">
        <f t="shared" si="57"/>
        <v/>
      </c>
      <c r="H210" s="21" t="str">
        <f t="shared" si="58"/>
        <v/>
      </c>
      <c r="I210" s="10" t="str">
        <f>IF(COUNTA(A210:D210,F210)=0,"",IF(NOT(ISNUMBER(A210)),"缺少有效净值日期",IF(OR(A210&lt;=0,A210&lt;&gt;INT(A210)),"净值日期无效",IF(OR(B210="转换转入",B210="现金分红"),"该类型需实际金额，五项录入不适用",IF(NOT(OR(OR(B210="买入",B210="定投"),B210="卖出",B210="红利再投")),"请选择交易类型",IF(NOT(ISNUMBER(C210)),"缺少成交净值",IF(C210&lt;=0,"成交净值须大于零",IF(NOT(ISNUMBER(D210)),"缺少确认份额",IF(D210&lt;=0,"确认份额须大于零",IF(NOT(ISNUMBER(F210)),"缺少手续费，无费用请填 0",IF(F210&lt;0,"手续费不能为负",IF(AA209="错误","前行待修正",IF(A210&lt;Z209,"日期需按成交顺序递增",IF(AND(B210="红利再投",F210&lt;&gt;0),"红利再投手续费应填 0",IF(AND(B210="红利再投",K209&lt;=0),"红利再投前须有持仓",IF(AND(B210="卖出",D210&gt;K209+0.000001),"卖出份额超过持仓",IF(AND(B210="卖出",F210&gt;=C210*D210),"赎回费不能达到赎回总额",IF(NOT(ISNUMBER(E210)),"自动金额未生成，请检查五项输入",IF(NOT(OR(持仓总览!$C$7="利润优先",持仓总览!$C$7="本金优先")),"请选择卖出分配模式","已计入")))))))))))))))))))</f>
        <v/>
      </c>
      <c r="J210" s="11">
        <f t="shared" si="59"/>
        <v>0</v>
      </c>
      <c r="K210" s="11">
        <f t="shared" si="64"/>
        <v>34284.43</v>
      </c>
      <c r="L210" s="11" t="str">
        <f t="shared" si="65"/>
        <v/>
      </c>
      <c r="M210" s="11" t="str">
        <f t="shared" si="66"/>
        <v/>
      </c>
      <c r="N210" s="11" t="str">
        <f>IF(I210="已计入",IF(AND(B210="卖出",持仓总览!$C$7="本金优先"),MAX(0,E210-Q209),IF(OR(B210="卖出",B210="现金分红"),MIN(E210,M210),0)),"")</f>
        <v/>
      </c>
      <c r="O210" s="11" t="str">
        <f t="shared" si="67"/>
        <v/>
      </c>
      <c r="P210" s="11" t="str">
        <f t="shared" si="68"/>
        <v/>
      </c>
      <c r="Q210" s="11">
        <f t="shared" si="69"/>
        <v>82516.01</v>
      </c>
      <c r="R210" s="11" t="str">
        <f t="shared" si="60"/>
        <v/>
      </c>
      <c r="S210" s="11" t="str">
        <f t="shared" si="61"/>
        <v/>
      </c>
      <c r="T210" s="12" t="str">
        <f t="shared" si="62"/>
        <v/>
      </c>
      <c r="U210" s="11">
        <f t="shared" si="70"/>
        <v>82516.01</v>
      </c>
      <c r="V210" s="11">
        <f t="shared" si="71"/>
        <v>0</v>
      </c>
      <c r="W210" s="11">
        <f t="shared" si="72"/>
        <v>0</v>
      </c>
      <c r="X210" s="11">
        <f t="shared" si="73"/>
        <v>0</v>
      </c>
      <c r="Y210" s="11" t="str">
        <f t="shared" si="63"/>
        <v/>
      </c>
      <c r="Z210" s="13">
        <f t="shared" si="74"/>
        <v>46247</v>
      </c>
      <c r="AA210" s="10" t="str">
        <f>IF(OR($AA$116="错误",COUNTIF($G$117:G210,"待修正")&gt;0),"错误","正常")</f>
        <v>正常</v>
      </c>
      <c r="AB210" s="14">
        <f t="shared" si="75"/>
        <v>2.7686</v>
      </c>
    </row>
    <row r="211" ht="23" customHeight="1" spans="1:28">
      <c r="A211" s="15"/>
      <c r="B211" s="16"/>
      <c r="C211" s="17"/>
      <c r="D211" s="18"/>
      <c r="E211" s="19" t="str">
        <f t="shared" si="56"/>
        <v/>
      </c>
      <c r="F211" s="18"/>
      <c r="G211" s="20" t="str">
        <f t="shared" si="57"/>
        <v/>
      </c>
      <c r="H211" s="21" t="str">
        <f t="shared" si="58"/>
        <v/>
      </c>
      <c r="I211" s="10" t="str">
        <f>IF(COUNTA(A211:D211,F211)=0,"",IF(NOT(ISNUMBER(A211)),"缺少有效净值日期",IF(OR(A211&lt;=0,A211&lt;&gt;INT(A211)),"净值日期无效",IF(OR(B211="转换转入",B211="现金分红"),"该类型需实际金额，五项录入不适用",IF(NOT(OR(OR(B211="买入",B211="定投"),B211="卖出",B211="红利再投")),"请选择交易类型",IF(NOT(ISNUMBER(C211)),"缺少成交净值",IF(C211&lt;=0,"成交净值须大于零",IF(NOT(ISNUMBER(D211)),"缺少确认份额",IF(D211&lt;=0,"确认份额须大于零",IF(NOT(ISNUMBER(F211)),"缺少手续费，无费用请填 0",IF(F211&lt;0,"手续费不能为负",IF(AA210="错误","前行待修正",IF(A211&lt;Z210,"日期需按成交顺序递增",IF(AND(B211="红利再投",F211&lt;&gt;0),"红利再投手续费应填 0",IF(AND(B211="红利再投",K210&lt;=0),"红利再投前须有持仓",IF(AND(B211="卖出",D211&gt;K210+0.000001),"卖出份额超过持仓",IF(AND(B211="卖出",F211&gt;=C211*D211),"赎回费不能达到赎回总额",IF(NOT(ISNUMBER(E211)),"自动金额未生成，请检查五项输入",IF(NOT(OR(持仓总览!$C$7="利润优先",持仓总览!$C$7="本金优先")),"请选择卖出分配模式","已计入")))))))))))))))))))</f>
        <v/>
      </c>
      <c r="J211" s="11">
        <f t="shared" si="59"/>
        <v>0</v>
      </c>
      <c r="K211" s="11">
        <f t="shared" si="64"/>
        <v>34284.43</v>
      </c>
      <c r="L211" s="11" t="str">
        <f t="shared" si="65"/>
        <v/>
      </c>
      <c r="M211" s="11" t="str">
        <f t="shared" si="66"/>
        <v/>
      </c>
      <c r="N211" s="11" t="str">
        <f>IF(I211="已计入",IF(AND(B211="卖出",持仓总览!$C$7="本金优先"),MAX(0,E211-Q210),IF(OR(B211="卖出",B211="现金分红"),MIN(E211,M211),0)),"")</f>
        <v/>
      </c>
      <c r="O211" s="11" t="str">
        <f t="shared" si="67"/>
        <v/>
      </c>
      <c r="P211" s="11" t="str">
        <f t="shared" si="68"/>
        <v/>
      </c>
      <c r="Q211" s="11">
        <f t="shared" si="69"/>
        <v>82516.01</v>
      </c>
      <c r="R211" s="11" t="str">
        <f t="shared" si="60"/>
        <v/>
      </c>
      <c r="S211" s="11" t="str">
        <f t="shared" si="61"/>
        <v/>
      </c>
      <c r="T211" s="12" t="str">
        <f t="shared" si="62"/>
        <v/>
      </c>
      <c r="U211" s="11">
        <f t="shared" si="70"/>
        <v>82516.01</v>
      </c>
      <c r="V211" s="11">
        <f t="shared" si="71"/>
        <v>0</v>
      </c>
      <c r="W211" s="11">
        <f t="shared" si="72"/>
        <v>0</v>
      </c>
      <c r="X211" s="11">
        <f t="shared" si="73"/>
        <v>0</v>
      </c>
      <c r="Y211" s="11" t="str">
        <f t="shared" si="63"/>
        <v/>
      </c>
      <c r="Z211" s="13">
        <f t="shared" si="74"/>
        <v>46247</v>
      </c>
      <c r="AA211" s="10" t="str">
        <f>IF(OR($AA$116="错误",COUNTIF($G$117:G211,"待修正")&gt;0),"错误","正常")</f>
        <v>正常</v>
      </c>
      <c r="AB211" s="14">
        <f t="shared" si="75"/>
        <v>2.7686</v>
      </c>
    </row>
    <row r="212" ht="23" customHeight="1" spans="1:28">
      <c r="A212" s="15"/>
      <c r="B212" s="16"/>
      <c r="C212" s="17"/>
      <c r="D212" s="18"/>
      <c r="E212" s="19" t="str">
        <f t="shared" si="56"/>
        <v/>
      </c>
      <c r="F212" s="18"/>
      <c r="G212" s="20" t="str">
        <f t="shared" si="57"/>
        <v/>
      </c>
      <c r="H212" s="21" t="str">
        <f t="shared" si="58"/>
        <v/>
      </c>
      <c r="I212" s="10" t="str">
        <f>IF(COUNTA(A212:D212,F212)=0,"",IF(NOT(ISNUMBER(A212)),"缺少有效净值日期",IF(OR(A212&lt;=0,A212&lt;&gt;INT(A212)),"净值日期无效",IF(OR(B212="转换转入",B212="现金分红"),"该类型需实际金额，五项录入不适用",IF(NOT(OR(OR(B212="买入",B212="定投"),B212="卖出",B212="红利再投")),"请选择交易类型",IF(NOT(ISNUMBER(C212)),"缺少成交净值",IF(C212&lt;=0,"成交净值须大于零",IF(NOT(ISNUMBER(D212)),"缺少确认份额",IF(D212&lt;=0,"确认份额须大于零",IF(NOT(ISNUMBER(F212)),"缺少手续费，无费用请填 0",IF(F212&lt;0,"手续费不能为负",IF(AA211="错误","前行待修正",IF(A212&lt;Z211,"日期需按成交顺序递增",IF(AND(B212="红利再投",F212&lt;&gt;0),"红利再投手续费应填 0",IF(AND(B212="红利再投",K211&lt;=0),"红利再投前须有持仓",IF(AND(B212="卖出",D212&gt;K211+0.000001),"卖出份额超过持仓",IF(AND(B212="卖出",F212&gt;=C212*D212),"赎回费不能达到赎回总额",IF(NOT(ISNUMBER(E212)),"自动金额未生成，请检查五项输入",IF(NOT(OR(持仓总览!$C$7="利润优先",持仓总览!$C$7="本金优先")),"请选择卖出分配模式","已计入")))))))))))))))))))</f>
        <v/>
      </c>
      <c r="J212" s="11">
        <f t="shared" si="59"/>
        <v>0</v>
      </c>
      <c r="K212" s="11">
        <f t="shared" si="64"/>
        <v>34284.43</v>
      </c>
      <c r="L212" s="11" t="str">
        <f t="shared" si="65"/>
        <v/>
      </c>
      <c r="M212" s="11" t="str">
        <f t="shared" si="66"/>
        <v/>
      </c>
      <c r="N212" s="11" t="str">
        <f>IF(I212="已计入",IF(AND(B212="卖出",持仓总览!$C$7="本金优先"),MAX(0,E212-Q211),IF(OR(B212="卖出",B212="现金分红"),MIN(E212,M212),0)),"")</f>
        <v/>
      </c>
      <c r="O212" s="11" t="str">
        <f t="shared" si="67"/>
        <v/>
      </c>
      <c r="P212" s="11" t="str">
        <f t="shared" si="68"/>
        <v/>
      </c>
      <c r="Q212" s="11">
        <f t="shared" si="69"/>
        <v>82516.01</v>
      </c>
      <c r="R212" s="11" t="str">
        <f t="shared" si="60"/>
        <v/>
      </c>
      <c r="S212" s="11" t="str">
        <f t="shared" si="61"/>
        <v/>
      </c>
      <c r="T212" s="12" t="str">
        <f t="shared" si="62"/>
        <v/>
      </c>
      <c r="U212" s="11">
        <f t="shared" si="70"/>
        <v>82516.01</v>
      </c>
      <c r="V212" s="11">
        <f t="shared" si="71"/>
        <v>0</v>
      </c>
      <c r="W212" s="11">
        <f t="shared" si="72"/>
        <v>0</v>
      </c>
      <c r="X212" s="11">
        <f t="shared" si="73"/>
        <v>0</v>
      </c>
      <c r="Y212" s="11" t="str">
        <f t="shared" si="63"/>
        <v/>
      </c>
      <c r="Z212" s="13">
        <f t="shared" si="74"/>
        <v>46247</v>
      </c>
      <c r="AA212" s="10" t="str">
        <f>IF(OR($AA$116="错误",COUNTIF($G$117:G212,"待修正")&gt;0),"错误","正常")</f>
        <v>正常</v>
      </c>
      <c r="AB212" s="14">
        <f t="shared" si="75"/>
        <v>2.7686</v>
      </c>
    </row>
    <row r="213" ht="23" customHeight="1" spans="1:28">
      <c r="A213" s="15"/>
      <c r="B213" s="16"/>
      <c r="C213" s="17"/>
      <c r="D213" s="18"/>
      <c r="E213" s="19" t="str">
        <f t="shared" si="56"/>
        <v/>
      </c>
      <c r="F213" s="18"/>
      <c r="G213" s="20" t="str">
        <f t="shared" si="57"/>
        <v/>
      </c>
      <c r="H213" s="21" t="str">
        <f t="shared" si="58"/>
        <v/>
      </c>
      <c r="I213" s="10" t="str">
        <f>IF(COUNTA(A213:D213,F213)=0,"",IF(NOT(ISNUMBER(A213)),"缺少有效净值日期",IF(OR(A213&lt;=0,A213&lt;&gt;INT(A213)),"净值日期无效",IF(OR(B213="转换转入",B213="现金分红"),"该类型需实际金额，五项录入不适用",IF(NOT(OR(OR(B213="买入",B213="定投"),B213="卖出",B213="红利再投")),"请选择交易类型",IF(NOT(ISNUMBER(C213)),"缺少成交净值",IF(C213&lt;=0,"成交净值须大于零",IF(NOT(ISNUMBER(D213)),"缺少确认份额",IF(D213&lt;=0,"确认份额须大于零",IF(NOT(ISNUMBER(F213)),"缺少手续费，无费用请填 0",IF(F213&lt;0,"手续费不能为负",IF(AA212="错误","前行待修正",IF(A213&lt;Z212,"日期需按成交顺序递增",IF(AND(B213="红利再投",F213&lt;&gt;0),"红利再投手续费应填 0",IF(AND(B213="红利再投",K212&lt;=0),"红利再投前须有持仓",IF(AND(B213="卖出",D213&gt;K212+0.000001),"卖出份额超过持仓",IF(AND(B213="卖出",F213&gt;=C213*D213),"赎回费不能达到赎回总额",IF(NOT(ISNUMBER(E213)),"自动金额未生成，请检查五项输入",IF(NOT(OR(持仓总览!$C$7="利润优先",持仓总览!$C$7="本金优先")),"请选择卖出分配模式","已计入")))))))))))))))))))</f>
        <v/>
      </c>
      <c r="J213" s="11">
        <f t="shared" si="59"/>
        <v>0</v>
      </c>
      <c r="K213" s="11">
        <f t="shared" si="64"/>
        <v>34284.43</v>
      </c>
      <c r="L213" s="11" t="str">
        <f t="shared" si="65"/>
        <v/>
      </c>
      <c r="M213" s="11" t="str">
        <f t="shared" si="66"/>
        <v/>
      </c>
      <c r="N213" s="11" t="str">
        <f>IF(I213="已计入",IF(AND(B213="卖出",持仓总览!$C$7="本金优先"),MAX(0,E213-Q212),IF(OR(B213="卖出",B213="现金分红"),MIN(E213,M213),0)),"")</f>
        <v/>
      </c>
      <c r="O213" s="11" t="str">
        <f t="shared" si="67"/>
        <v/>
      </c>
      <c r="P213" s="11" t="str">
        <f t="shared" si="68"/>
        <v/>
      </c>
      <c r="Q213" s="11">
        <f t="shared" si="69"/>
        <v>82516.01</v>
      </c>
      <c r="R213" s="11" t="str">
        <f t="shared" si="60"/>
        <v/>
      </c>
      <c r="S213" s="11" t="str">
        <f t="shared" si="61"/>
        <v/>
      </c>
      <c r="T213" s="12" t="str">
        <f t="shared" si="62"/>
        <v/>
      </c>
      <c r="U213" s="11">
        <f t="shared" si="70"/>
        <v>82516.01</v>
      </c>
      <c r="V213" s="11">
        <f t="shared" si="71"/>
        <v>0</v>
      </c>
      <c r="W213" s="11">
        <f t="shared" si="72"/>
        <v>0</v>
      </c>
      <c r="X213" s="11">
        <f t="shared" si="73"/>
        <v>0</v>
      </c>
      <c r="Y213" s="11" t="str">
        <f t="shared" si="63"/>
        <v/>
      </c>
      <c r="Z213" s="13">
        <f t="shared" si="74"/>
        <v>46247</v>
      </c>
      <c r="AA213" s="10" t="str">
        <f>IF(OR($AA$116="错误",COUNTIF($G$117:G213,"待修正")&gt;0),"错误","正常")</f>
        <v>正常</v>
      </c>
      <c r="AB213" s="14">
        <f t="shared" si="75"/>
        <v>2.7686</v>
      </c>
    </row>
    <row r="214" ht="23" customHeight="1" spans="1:28">
      <c r="A214" s="15"/>
      <c r="B214" s="16"/>
      <c r="C214" s="17"/>
      <c r="D214" s="18"/>
      <c r="E214" s="19" t="str">
        <f t="shared" si="56"/>
        <v/>
      </c>
      <c r="F214" s="18"/>
      <c r="G214" s="20" t="str">
        <f t="shared" si="57"/>
        <v/>
      </c>
      <c r="H214" s="21" t="str">
        <f t="shared" si="58"/>
        <v/>
      </c>
      <c r="I214" s="10" t="str">
        <f>IF(COUNTA(A214:D214,F214)=0,"",IF(NOT(ISNUMBER(A214)),"缺少有效净值日期",IF(OR(A214&lt;=0,A214&lt;&gt;INT(A214)),"净值日期无效",IF(OR(B214="转换转入",B214="现金分红"),"该类型需实际金额，五项录入不适用",IF(NOT(OR(OR(B214="买入",B214="定投"),B214="卖出",B214="红利再投")),"请选择交易类型",IF(NOT(ISNUMBER(C214)),"缺少成交净值",IF(C214&lt;=0,"成交净值须大于零",IF(NOT(ISNUMBER(D214)),"缺少确认份额",IF(D214&lt;=0,"确认份额须大于零",IF(NOT(ISNUMBER(F214)),"缺少手续费，无费用请填 0",IF(F214&lt;0,"手续费不能为负",IF(AA213="错误","前行待修正",IF(A214&lt;Z213,"日期需按成交顺序递增",IF(AND(B214="红利再投",F214&lt;&gt;0),"红利再投手续费应填 0",IF(AND(B214="红利再投",K213&lt;=0),"红利再投前须有持仓",IF(AND(B214="卖出",D214&gt;K213+0.000001),"卖出份额超过持仓",IF(AND(B214="卖出",F214&gt;=C214*D214),"赎回费不能达到赎回总额",IF(NOT(ISNUMBER(E214)),"自动金额未生成，请检查五项输入",IF(NOT(OR(持仓总览!$C$7="利润优先",持仓总览!$C$7="本金优先")),"请选择卖出分配模式","已计入")))))))))))))))))))</f>
        <v/>
      </c>
      <c r="J214" s="11">
        <f t="shared" si="59"/>
        <v>0</v>
      </c>
      <c r="K214" s="11">
        <f t="shared" si="64"/>
        <v>34284.43</v>
      </c>
      <c r="L214" s="11" t="str">
        <f t="shared" si="65"/>
        <v/>
      </c>
      <c r="M214" s="11" t="str">
        <f t="shared" si="66"/>
        <v/>
      </c>
      <c r="N214" s="11" t="str">
        <f>IF(I214="已计入",IF(AND(B214="卖出",持仓总览!$C$7="本金优先"),MAX(0,E214-Q213),IF(OR(B214="卖出",B214="现金分红"),MIN(E214,M214),0)),"")</f>
        <v/>
      </c>
      <c r="O214" s="11" t="str">
        <f t="shared" si="67"/>
        <v/>
      </c>
      <c r="P214" s="11" t="str">
        <f t="shared" si="68"/>
        <v/>
      </c>
      <c r="Q214" s="11">
        <f t="shared" si="69"/>
        <v>82516.01</v>
      </c>
      <c r="R214" s="11" t="str">
        <f t="shared" si="60"/>
        <v/>
      </c>
      <c r="S214" s="11" t="str">
        <f t="shared" si="61"/>
        <v/>
      </c>
      <c r="T214" s="12" t="str">
        <f t="shared" si="62"/>
        <v/>
      </c>
      <c r="U214" s="11">
        <f t="shared" si="70"/>
        <v>82516.01</v>
      </c>
      <c r="V214" s="11">
        <f t="shared" si="71"/>
        <v>0</v>
      </c>
      <c r="W214" s="11">
        <f t="shared" si="72"/>
        <v>0</v>
      </c>
      <c r="X214" s="11">
        <f t="shared" si="73"/>
        <v>0</v>
      </c>
      <c r="Y214" s="11" t="str">
        <f t="shared" si="63"/>
        <v/>
      </c>
      <c r="Z214" s="13">
        <f t="shared" si="74"/>
        <v>46247</v>
      </c>
      <c r="AA214" s="10" t="str">
        <f>IF(OR($AA$116="错误",COUNTIF($G$117:G214,"待修正")&gt;0),"错误","正常")</f>
        <v>正常</v>
      </c>
      <c r="AB214" s="14">
        <f t="shared" si="75"/>
        <v>2.7686</v>
      </c>
    </row>
    <row r="215" ht="23" customHeight="1" spans="1:28">
      <c r="A215" s="15"/>
      <c r="B215" s="16"/>
      <c r="C215" s="17"/>
      <c r="D215" s="18"/>
      <c r="E215" s="19" t="str">
        <f t="shared" si="56"/>
        <v/>
      </c>
      <c r="F215" s="18"/>
      <c r="G215" s="20" t="str">
        <f t="shared" si="57"/>
        <v/>
      </c>
      <c r="H215" s="21" t="str">
        <f t="shared" si="58"/>
        <v/>
      </c>
      <c r="I215" s="10" t="str">
        <f>IF(COUNTA(A215:D215,F215)=0,"",IF(NOT(ISNUMBER(A215)),"缺少有效净值日期",IF(OR(A215&lt;=0,A215&lt;&gt;INT(A215)),"净值日期无效",IF(OR(B215="转换转入",B215="现金分红"),"该类型需实际金额，五项录入不适用",IF(NOT(OR(OR(B215="买入",B215="定投"),B215="卖出",B215="红利再投")),"请选择交易类型",IF(NOT(ISNUMBER(C215)),"缺少成交净值",IF(C215&lt;=0,"成交净值须大于零",IF(NOT(ISNUMBER(D215)),"缺少确认份额",IF(D215&lt;=0,"确认份额须大于零",IF(NOT(ISNUMBER(F215)),"缺少手续费，无费用请填 0",IF(F215&lt;0,"手续费不能为负",IF(AA214="错误","前行待修正",IF(A215&lt;Z214,"日期需按成交顺序递增",IF(AND(B215="红利再投",F215&lt;&gt;0),"红利再投手续费应填 0",IF(AND(B215="红利再投",K214&lt;=0),"红利再投前须有持仓",IF(AND(B215="卖出",D215&gt;K214+0.000001),"卖出份额超过持仓",IF(AND(B215="卖出",F215&gt;=C215*D215),"赎回费不能达到赎回总额",IF(NOT(ISNUMBER(E215)),"自动金额未生成，请检查五项输入",IF(NOT(OR(持仓总览!$C$7="利润优先",持仓总览!$C$7="本金优先")),"请选择卖出分配模式","已计入")))))))))))))))))))</f>
        <v/>
      </c>
      <c r="J215" s="11">
        <f t="shared" si="59"/>
        <v>0</v>
      </c>
      <c r="K215" s="11">
        <f t="shared" si="64"/>
        <v>34284.43</v>
      </c>
      <c r="L215" s="11" t="str">
        <f t="shared" si="65"/>
        <v/>
      </c>
      <c r="M215" s="11" t="str">
        <f t="shared" si="66"/>
        <v/>
      </c>
      <c r="N215" s="11" t="str">
        <f>IF(I215="已计入",IF(AND(B215="卖出",持仓总览!$C$7="本金优先"),MAX(0,E215-Q214),IF(OR(B215="卖出",B215="现金分红"),MIN(E215,M215),0)),"")</f>
        <v/>
      </c>
      <c r="O215" s="11" t="str">
        <f t="shared" si="67"/>
        <v/>
      </c>
      <c r="P215" s="11" t="str">
        <f t="shared" si="68"/>
        <v/>
      </c>
      <c r="Q215" s="11">
        <f t="shared" si="69"/>
        <v>82516.01</v>
      </c>
      <c r="R215" s="11" t="str">
        <f t="shared" si="60"/>
        <v/>
      </c>
      <c r="S215" s="11" t="str">
        <f t="shared" si="61"/>
        <v/>
      </c>
      <c r="T215" s="12" t="str">
        <f t="shared" si="62"/>
        <v/>
      </c>
      <c r="U215" s="11">
        <f t="shared" si="70"/>
        <v>82516.01</v>
      </c>
      <c r="V215" s="11">
        <f t="shared" si="71"/>
        <v>0</v>
      </c>
      <c r="W215" s="11">
        <f t="shared" si="72"/>
        <v>0</v>
      </c>
      <c r="X215" s="11">
        <f t="shared" si="73"/>
        <v>0</v>
      </c>
      <c r="Y215" s="11" t="str">
        <f t="shared" si="63"/>
        <v/>
      </c>
      <c r="Z215" s="13">
        <f t="shared" si="74"/>
        <v>46247</v>
      </c>
      <c r="AA215" s="10" t="str">
        <f>IF(OR($AA$116="错误",COUNTIF($G$117:G215,"待修正")&gt;0),"错误","正常")</f>
        <v>正常</v>
      </c>
      <c r="AB215" s="14">
        <f t="shared" si="75"/>
        <v>2.7686</v>
      </c>
    </row>
    <row r="216" ht="23" customHeight="1" spans="1:28">
      <c r="A216" s="15"/>
      <c r="B216" s="16"/>
      <c r="C216" s="17"/>
      <c r="D216" s="18"/>
      <c r="E216" s="19" t="str">
        <f t="shared" si="56"/>
        <v/>
      </c>
      <c r="F216" s="18"/>
      <c r="G216" s="20" t="str">
        <f t="shared" si="57"/>
        <v/>
      </c>
      <c r="H216" s="21" t="str">
        <f t="shared" si="58"/>
        <v/>
      </c>
      <c r="I216" s="10" t="str">
        <f>IF(COUNTA(A216:D216,F216)=0,"",IF(NOT(ISNUMBER(A216)),"缺少有效净值日期",IF(OR(A216&lt;=0,A216&lt;&gt;INT(A216)),"净值日期无效",IF(OR(B216="转换转入",B216="现金分红"),"该类型需实际金额，五项录入不适用",IF(NOT(OR(OR(B216="买入",B216="定投"),B216="卖出",B216="红利再投")),"请选择交易类型",IF(NOT(ISNUMBER(C216)),"缺少成交净值",IF(C216&lt;=0,"成交净值须大于零",IF(NOT(ISNUMBER(D216)),"缺少确认份额",IF(D216&lt;=0,"确认份额须大于零",IF(NOT(ISNUMBER(F216)),"缺少手续费，无费用请填 0",IF(F216&lt;0,"手续费不能为负",IF(AA215="错误","前行待修正",IF(A216&lt;Z215,"日期需按成交顺序递增",IF(AND(B216="红利再投",F216&lt;&gt;0),"红利再投手续费应填 0",IF(AND(B216="红利再投",K215&lt;=0),"红利再投前须有持仓",IF(AND(B216="卖出",D216&gt;K215+0.000001),"卖出份额超过持仓",IF(AND(B216="卖出",F216&gt;=C216*D216),"赎回费不能达到赎回总额",IF(NOT(ISNUMBER(E216)),"自动金额未生成，请检查五项输入",IF(NOT(OR(持仓总览!$C$7="利润优先",持仓总览!$C$7="本金优先")),"请选择卖出分配模式","已计入")))))))))))))))))))</f>
        <v/>
      </c>
      <c r="J216" s="11">
        <f t="shared" si="59"/>
        <v>0</v>
      </c>
      <c r="K216" s="11">
        <f t="shared" si="64"/>
        <v>34284.43</v>
      </c>
      <c r="L216" s="11" t="str">
        <f t="shared" si="65"/>
        <v/>
      </c>
      <c r="M216" s="11" t="str">
        <f t="shared" si="66"/>
        <v/>
      </c>
      <c r="N216" s="11" t="str">
        <f>IF(I216="已计入",IF(AND(B216="卖出",持仓总览!$C$7="本金优先"),MAX(0,E216-Q215),IF(OR(B216="卖出",B216="现金分红"),MIN(E216,M216),0)),"")</f>
        <v/>
      </c>
      <c r="O216" s="11" t="str">
        <f t="shared" si="67"/>
        <v/>
      </c>
      <c r="P216" s="11" t="str">
        <f t="shared" si="68"/>
        <v/>
      </c>
      <c r="Q216" s="11">
        <f t="shared" si="69"/>
        <v>82516.01</v>
      </c>
      <c r="R216" s="11" t="str">
        <f t="shared" si="60"/>
        <v/>
      </c>
      <c r="S216" s="11" t="str">
        <f t="shared" si="61"/>
        <v/>
      </c>
      <c r="T216" s="12" t="str">
        <f t="shared" si="62"/>
        <v/>
      </c>
      <c r="U216" s="11">
        <f t="shared" si="70"/>
        <v>82516.01</v>
      </c>
      <c r="V216" s="11">
        <f t="shared" si="71"/>
        <v>0</v>
      </c>
      <c r="W216" s="11">
        <f t="shared" si="72"/>
        <v>0</v>
      </c>
      <c r="X216" s="11">
        <f t="shared" si="73"/>
        <v>0</v>
      </c>
      <c r="Y216" s="11" t="str">
        <f t="shared" si="63"/>
        <v/>
      </c>
      <c r="Z216" s="13">
        <f t="shared" si="74"/>
        <v>46247</v>
      </c>
      <c r="AA216" s="10" t="str">
        <f>IF(OR($AA$116="错误",COUNTIF($G$117:G216,"待修正")&gt;0),"错误","正常")</f>
        <v>正常</v>
      </c>
      <c r="AB216" s="14">
        <f t="shared" si="75"/>
        <v>2.7686</v>
      </c>
    </row>
    <row r="217" ht="23" customHeight="1" spans="1:28">
      <c r="A217" s="15"/>
      <c r="B217" s="16"/>
      <c r="C217" s="17"/>
      <c r="D217" s="18"/>
      <c r="E217" s="19" t="str">
        <f t="shared" si="56"/>
        <v/>
      </c>
      <c r="F217" s="18"/>
      <c r="G217" s="20" t="str">
        <f t="shared" si="57"/>
        <v/>
      </c>
      <c r="H217" s="21" t="str">
        <f t="shared" si="58"/>
        <v/>
      </c>
      <c r="I217" s="10" t="str">
        <f>IF(COUNTA(A217:D217,F217)=0,"",IF(NOT(ISNUMBER(A217)),"缺少有效净值日期",IF(OR(A217&lt;=0,A217&lt;&gt;INT(A217)),"净值日期无效",IF(OR(B217="转换转入",B217="现金分红"),"该类型需实际金额，五项录入不适用",IF(NOT(OR(OR(B217="买入",B217="定投"),B217="卖出",B217="红利再投")),"请选择交易类型",IF(NOT(ISNUMBER(C217)),"缺少成交净值",IF(C217&lt;=0,"成交净值须大于零",IF(NOT(ISNUMBER(D217)),"缺少确认份额",IF(D217&lt;=0,"确认份额须大于零",IF(NOT(ISNUMBER(F217)),"缺少手续费，无费用请填 0",IF(F217&lt;0,"手续费不能为负",IF(AA216="错误","前行待修正",IF(A217&lt;Z216,"日期需按成交顺序递增",IF(AND(B217="红利再投",F217&lt;&gt;0),"红利再投手续费应填 0",IF(AND(B217="红利再投",K216&lt;=0),"红利再投前须有持仓",IF(AND(B217="卖出",D217&gt;K216+0.000001),"卖出份额超过持仓",IF(AND(B217="卖出",F217&gt;=C217*D217),"赎回费不能达到赎回总额",IF(NOT(ISNUMBER(E217)),"自动金额未生成，请检查五项输入",IF(NOT(OR(持仓总览!$C$7="利润优先",持仓总览!$C$7="本金优先")),"请选择卖出分配模式","已计入")))))))))))))))))))</f>
        <v/>
      </c>
      <c r="J217" s="11">
        <f t="shared" si="59"/>
        <v>0</v>
      </c>
      <c r="K217" s="11">
        <f t="shared" si="64"/>
        <v>34284.43</v>
      </c>
      <c r="L217" s="11" t="str">
        <f t="shared" si="65"/>
        <v/>
      </c>
      <c r="M217" s="11" t="str">
        <f t="shared" si="66"/>
        <v/>
      </c>
      <c r="N217" s="11" t="str">
        <f>IF(I217="已计入",IF(AND(B217="卖出",持仓总览!$C$7="本金优先"),MAX(0,E217-Q216),IF(OR(B217="卖出",B217="现金分红"),MIN(E217,M217),0)),"")</f>
        <v/>
      </c>
      <c r="O217" s="11" t="str">
        <f t="shared" si="67"/>
        <v/>
      </c>
      <c r="P217" s="11" t="str">
        <f t="shared" si="68"/>
        <v/>
      </c>
      <c r="Q217" s="11">
        <f t="shared" si="69"/>
        <v>82516.01</v>
      </c>
      <c r="R217" s="11" t="str">
        <f t="shared" si="60"/>
        <v/>
      </c>
      <c r="S217" s="11" t="str">
        <f t="shared" si="61"/>
        <v/>
      </c>
      <c r="T217" s="12" t="str">
        <f t="shared" si="62"/>
        <v/>
      </c>
      <c r="U217" s="11">
        <f t="shared" si="70"/>
        <v>82516.01</v>
      </c>
      <c r="V217" s="11">
        <f t="shared" si="71"/>
        <v>0</v>
      </c>
      <c r="W217" s="11">
        <f t="shared" si="72"/>
        <v>0</v>
      </c>
      <c r="X217" s="11">
        <f t="shared" si="73"/>
        <v>0</v>
      </c>
      <c r="Y217" s="11" t="str">
        <f t="shared" si="63"/>
        <v/>
      </c>
      <c r="Z217" s="13">
        <f t="shared" si="74"/>
        <v>46247</v>
      </c>
      <c r="AA217" s="10" t="str">
        <f>IF(OR($AA$116="错误",COUNTIF($G$117:G217,"待修正")&gt;0),"错误","正常")</f>
        <v>正常</v>
      </c>
      <c r="AB217" s="14">
        <f t="shared" si="75"/>
        <v>2.7686</v>
      </c>
    </row>
    <row r="218" ht="23" customHeight="1" spans="1:28">
      <c r="A218" s="15"/>
      <c r="B218" s="16"/>
      <c r="C218" s="17"/>
      <c r="D218" s="18"/>
      <c r="E218" s="19" t="str">
        <f t="shared" si="56"/>
        <v/>
      </c>
      <c r="F218" s="18"/>
      <c r="G218" s="20" t="str">
        <f t="shared" si="57"/>
        <v/>
      </c>
      <c r="H218" s="21" t="str">
        <f t="shared" si="58"/>
        <v/>
      </c>
      <c r="I218" s="10" t="str">
        <f>IF(COUNTA(A218:D218,F218)=0,"",IF(NOT(ISNUMBER(A218)),"缺少有效净值日期",IF(OR(A218&lt;=0,A218&lt;&gt;INT(A218)),"净值日期无效",IF(OR(B218="转换转入",B218="现金分红"),"该类型需实际金额，五项录入不适用",IF(NOT(OR(OR(B218="买入",B218="定投"),B218="卖出",B218="红利再投")),"请选择交易类型",IF(NOT(ISNUMBER(C218)),"缺少成交净值",IF(C218&lt;=0,"成交净值须大于零",IF(NOT(ISNUMBER(D218)),"缺少确认份额",IF(D218&lt;=0,"确认份额须大于零",IF(NOT(ISNUMBER(F218)),"缺少手续费，无费用请填 0",IF(F218&lt;0,"手续费不能为负",IF(AA217="错误","前行待修正",IF(A218&lt;Z217,"日期需按成交顺序递增",IF(AND(B218="红利再投",F218&lt;&gt;0),"红利再投手续费应填 0",IF(AND(B218="红利再投",K217&lt;=0),"红利再投前须有持仓",IF(AND(B218="卖出",D218&gt;K217+0.000001),"卖出份额超过持仓",IF(AND(B218="卖出",F218&gt;=C218*D218),"赎回费不能达到赎回总额",IF(NOT(ISNUMBER(E218)),"自动金额未生成，请检查五项输入",IF(NOT(OR(持仓总览!$C$7="利润优先",持仓总览!$C$7="本金优先")),"请选择卖出分配模式","已计入")))))))))))))))))))</f>
        <v/>
      </c>
      <c r="J218" s="11">
        <f t="shared" si="59"/>
        <v>0</v>
      </c>
      <c r="K218" s="11">
        <f t="shared" si="64"/>
        <v>34284.43</v>
      </c>
      <c r="L218" s="11" t="str">
        <f t="shared" si="65"/>
        <v/>
      </c>
      <c r="M218" s="11" t="str">
        <f t="shared" si="66"/>
        <v/>
      </c>
      <c r="N218" s="11" t="str">
        <f>IF(I218="已计入",IF(AND(B218="卖出",持仓总览!$C$7="本金优先"),MAX(0,E218-Q217),IF(OR(B218="卖出",B218="现金分红"),MIN(E218,M218),0)),"")</f>
        <v/>
      </c>
      <c r="O218" s="11" t="str">
        <f t="shared" si="67"/>
        <v/>
      </c>
      <c r="P218" s="11" t="str">
        <f t="shared" si="68"/>
        <v/>
      </c>
      <c r="Q218" s="11">
        <f t="shared" si="69"/>
        <v>82516.01</v>
      </c>
      <c r="R218" s="11" t="str">
        <f t="shared" si="60"/>
        <v/>
      </c>
      <c r="S218" s="11" t="str">
        <f t="shared" si="61"/>
        <v/>
      </c>
      <c r="T218" s="12" t="str">
        <f t="shared" si="62"/>
        <v/>
      </c>
      <c r="U218" s="11">
        <f t="shared" si="70"/>
        <v>82516.01</v>
      </c>
      <c r="V218" s="11">
        <f t="shared" si="71"/>
        <v>0</v>
      </c>
      <c r="W218" s="11">
        <f t="shared" si="72"/>
        <v>0</v>
      </c>
      <c r="X218" s="11">
        <f t="shared" si="73"/>
        <v>0</v>
      </c>
      <c r="Y218" s="11" t="str">
        <f t="shared" si="63"/>
        <v/>
      </c>
      <c r="Z218" s="13">
        <f t="shared" si="74"/>
        <v>46247</v>
      </c>
      <c r="AA218" s="10" t="str">
        <f>IF(OR($AA$116="错误",COUNTIF($G$117:G218,"待修正")&gt;0),"错误","正常")</f>
        <v>正常</v>
      </c>
      <c r="AB218" s="14">
        <f t="shared" si="75"/>
        <v>2.7686</v>
      </c>
    </row>
    <row r="219" ht="23" customHeight="1" spans="1:28">
      <c r="A219" s="15"/>
      <c r="B219" s="16"/>
      <c r="C219" s="17"/>
      <c r="D219" s="18"/>
      <c r="E219" s="19" t="str">
        <f t="shared" si="56"/>
        <v/>
      </c>
      <c r="F219" s="18"/>
      <c r="G219" s="20" t="str">
        <f t="shared" si="57"/>
        <v/>
      </c>
      <c r="H219" s="21" t="str">
        <f t="shared" si="58"/>
        <v/>
      </c>
      <c r="I219" s="10" t="str">
        <f>IF(COUNTA(A219:D219,F219)=0,"",IF(NOT(ISNUMBER(A219)),"缺少有效净值日期",IF(OR(A219&lt;=0,A219&lt;&gt;INT(A219)),"净值日期无效",IF(OR(B219="转换转入",B219="现金分红"),"该类型需实际金额，五项录入不适用",IF(NOT(OR(OR(B219="买入",B219="定投"),B219="卖出",B219="红利再投")),"请选择交易类型",IF(NOT(ISNUMBER(C219)),"缺少成交净值",IF(C219&lt;=0,"成交净值须大于零",IF(NOT(ISNUMBER(D219)),"缺少确认份额",IF(D219&lt;=0,"确认份额须大于零",IF(NOT(ISNUMBER(F219)),"缺少手续费，无费用请填 0",IF(F219&lt;0,"手续费不能为负",IF(AA218="错误","前行待修正",IF(A219&lt;Z218,"日期需按成交顺序递增",IF(AND(B219="红利再投",F219&lt;&gt;0),"红利再投手续费应填 0",IF(AND(B219="红利再投",K218&lt;=0),"红利再投前须有持仓",IF(AND(B219="卖出",D219&gt;K218+0.000001),"卖出份额超过持仓",IF(AND(B219="卖出",F219&gt;=C219*D219),"赎回费不能达到赎回总额",IF(NOT(ISNUMBER(E219)),"自动金额未生成，请检查五项输入",IF(NOT(OR(持仓总览!$C$7="利润优先",持仓总览!$C$7="本金优先")),"请选择卖出分配模式","已计入")))))))))))))))))))</f>
        <v/>
      </c>
      <c r="J219" s="11">
        <f t="shared" si="59"/>
        <v>0</v>
      </c>
      <c r="K219" s="11">
        <f t="shared" si="64"/>
        <v>34284.43</v>
      </c>
      <c r="L219" s="11" t="str">
        <f t="shared" si="65"/>
        <v/>
      </c>
      <c r="M219" s="11" t="str">
        <f t="shared" si="66"/>
        <v/>
      </c>
      <c r="N219" s="11" t="str">
        <f>IF(I219="已计入",IF(AND(B219="卖出",持仓总览!$C$7="本金优先"),MAX(0,E219-Q218),IF(OR(B219="卖出",B219="现金分红"),MIN(E219,M219),0)),"")</f>
        <v/>
      </c>
      <c r="O219" s="11" t="str">
        <f t="shared" si="67"/>
        <v/>
      </c>
      <c r="P219" s="11" t="str">
        <f t="shared" si="68"/>
        <v/>
      </c>
      <c r="Q219" s="11">
        <f t="shared" si="69"/>
        <v>82516.01</v>
      </c>
      <c r="R219" s="11" t="str">
        <f t="shared" si="60"/>
        <v/>
      </c>
      <c r="S219" s="11" t="str">
        <f t="shared" si="61"/>
        <v/>
      </c>
      <c r="T219" s="12" t="str">
        <f t="shared" si="62"/>
        <v/>
      </c>
      <c r="U219" s="11">
        <f t="shared" si="70"/>
        <v>82516.01</v>
      </c>
      <c r="V219" s="11">
        <f t="shared" si="71"/>
        <v>0</v>
      </c>
      <c r="W219" s="11">
        <f t="shared" si="72"/>
        <v>0</v>
      </c>
      <c r="X219" s="11">
        <f t="shared" si="73"/>
        <v>0</v>
      </c>
      <c r="Y219" s="11" t="str">
        <f t="shared" si="63"/>
        <v/>
      </c>
      <c r="Z219" s="13">
        <f t="shared" si="74"/>
        <v>46247</v>
      </c>
      <c r="AA219" s="10" t="str">
        <f>IF(OR($AA$116="错误",COUNTIF($G$117:G219,"待修正")&gt;0),"错误","正常")</f>
        <v>正常</v>
      </c>
      <c r="AB219" s="14">
        <f t="shared" si="75"/>
        <v>2.7686</v>
      </c>
    </row>
    <row r="220" ht="23" customHeight="1" spans="1:28">
      <c r="A220" s="15"/>
      <c r="B220" s="16"/>
      <c r="C220" s="17"/>
      <c r="D220" s="18"/>
      <c r="E220" s="19" t="str">
        <f t="shared" si="56"/>
        <v/>
      </c>
      <c r="F220" s="18"/>
      <c r="G220" s="20" t="str">
        <f t="shared" si="57"/>
        <v/>
      </c>
      <c r="H220" s="21" t="str">
        <f t="shared" si="58"/>
        <v/>
      </c>
      <c r="I220" s="10" t="str">
        <f>IF(COUNTA(A220:D220,F220)=0,"",IF(NOT(ISNUMBER(A220)),"缺少有效净值日期",IF(OR(A220&lt;=0,A220&lt;&gt;INT(A220)),"净值日期无效",IF(OR(B220="转换转入",B220="现金分红"),"该类型需实际金额，五项录入不适用",IF(NOT(OR(OR(B220="买入",B220="定投"),B220="卖出",B220="红利再投")),"请选择交易类型",IF(NOT(ISNUMBER(C220)),"缺少成交净值",IF(C220&lt;=0,"成交净值须大于零",IF(NOT(ISNUMBER(D220)),"缺少确认份额",IF(D220&lt;=0,"确认份额须大于零",IF(NOT(ISNUMBER(F220)),"缺少手续费，无费用请填 0",IF(F220&lt;0,"手续费不能为负",IF(AA219="错误","前行待修正",IF(A220&lt;Z219,"日期需按成交顺序递增",IF(AND(B220="红利再投",F220&lt;&gt;0),"红利再投手续费应填 0",IF(AND(B220="红利再投",K219&lt;=0),"红利再投前须有持仓",IF(AND(B220="卖出",D220&gt;K219+0.000001),"卖出份额超过持仓",IF(AND(B220="卖出",F220&gt;=C220*D220),"赎回费不能达到赎回总额",IF(NOT(ISNUMBER(E220)),"自动金额未生成，请检查五项输入",IF(NOT(OR(持仓总览!$C$7="利润优先",持仓总览!$C$7="本金优先")),"请选择卖出分配模式","已计入")))))))))))))))))))</f>
        <v/>
      </c>
      <c r="J220" s="11">
        <f t="shared" si="59"/>
        <v>0</v>
      </c>
      <c r="K220" s="11">
        <f t="shared" si="64"/>
        <v>34284.43</v>
      </c>
      <c r="L220" s="11" t="str">
        <f t="shared" si="65"/>
        <v/>
      </c>
      <c r="M220" s="11" t="str">
        <f t="shared" si="66"/>
        <v/>
      </c>
      <c r="N220" s="11" t="str">
        <f>IF(I220="已计入",IF(AND(B220="卖出",持仓总览!$C$7="本金优先"),MAX(0,E220-Q219),IF(OR(B220="卖出",B220="现金分红"),MIN(E220,M220),0)),"")</f>
        <v/>
      </c>
      <c r="O220" s="11" t="str">
        <f t="shared" si="67"/>
        <v/>
      </c>
      <c r="P220" s="11" t="str">
        <f t="shared" si="68"/>
        <v/>
      </c>
      <c r="Q220" s="11">
        <f t="shared" si="69"/>
        <v>82516.01</v>
      </c>
      <c r="R220" s="11" t="str">
        <f t="shared" si="60"/>
        <v/>
      </c>
      <c r="S220" s="11" t="str">
        <f t="shared" si="61"/>
        <v/>
      </c>
      <c r="T220" s="12" t="str">
        <f t="shared" si="62"/>
        <v/>
      </c>
      <c r="U220" s="11">
        <f t="shared" si="70"/>
        <v>82516.01</v>
      </c>
      <c r="V220" s="11">
        <f t="shared" si="71"/>
        <v>0</v>
      </c>
      <c r="W220" s="11">
        <f t="shared" si="72"/>
        <v>0</v>
      </c>
      <c r="X220" s="11">
        <f t="shared" si="73"/>
        <v>0</v>
      </c>
      <c r="Y220" s="11" t="str">
        <f t="shared" si="63"/>
        <v/>
      </c>
      <c r="Z220" s="13">
        <f t="shared" si="74"/>
        <v>46247</v>
      </c>
      <c r="AA220" s="10" t="str">
        <f>IF(OR($AA$116="错误",COUNTIF($G$117:G220,"待修正")&gt;0),"错误","正常")</f>
        <v>正常</v>
      </c>
      <c r="AB220" s="14">
        <f t="shared" si="75"/>
        <v>2.7686</v>
      </c>
    </row>
    <row r="221" ht="23" customHeight="1" spans="1:28">
      <c r="A221" s="15"/>
      <c r="B221" s="16"/>
      <c r="C221" s="17"/>
      <c r="D221" s="18"/>
      <c r="E221" s="19" t="str">
        <f t="shared" si="56"/>
        <v/>
      </c>
      <c r="F221" s="18"/>
      <c r="G221" s="20" t="str">
        <f t="shared" si="57"/>
        <v/>
      </c>
      <c r="H221" s="21" t="str">
        <f t="shared" si="58"/>
        <v/>
      </c>
      <c r="I221" s="10" t="str">
        <f>IF(COUNTA(A221:D221,F221)=0,"",IF(NOT(ISNUMBER(A221)),"缺少有效净值日期",IF(OR(A221&lt;=0,A221&lt;&gt;INT(A221)),"净值日期无效",IF(OR(B221="转换转入",B221="现金分红"),"该类型需实际金额，五项录入不适用",IF(NOT(OR(OR(B221="买入",B221="定投"),B221="卖出",B221="红利再投")),"请选择交易类型",IF(NOT(ISNUMBER(C221)),"缺少成交净值",IF(C221&lt;=0,"成交净值须大于零",IF(NOT(ISNUMBER(D221)),"缺少确认份额",IF(D221&lt;=0,"确认份额须大于零",IF(NOT(ISNUMBER(F221)),"缺少手续费，无费用请填 0",IF(F221&lt;0,"手续费不能为负",IF(AA220="错误","前行待修正",IF(A221&lt;Z220,"日期需按成交顺序递增",IF(AND(B221="红利再投",F221&lt;&gt;0),"红利再投手续费应填 0",IF(AND(B221="红利再投",K220&lt;=0),"红利再投前须有持仓",IF(AND(B221="卖出",D221&gt;K220+0.000001),"卖出份额超过持仓",IF(AND(B221="卖出",F221&gt;=C221*D221),"赎回费不能达到赎回总额",IF(NOT(ISNUMBER(E221)),"自动金额未生成，请检查五项输入",IF(NOT(OR(持仓总览!$C$7="利润优先",持仓总览!$C$7="本金优先")),"请选择卖出分配模式","已计入")))))))))))))))))))</f>
        <v/>
      </c>
      <c r="J221" s="11">
        <f t="shared" si="59"/>
        <v>0</v>
      </c>
      <c r="K221" s="11">
        <f t="shared" si="64"/>
        <v>34284.43</v>
      </c>
      <c r="L221" s="11" t="str">
        <f t="shared" si="65"/>
        <v/>
      </c>
      <c r="M221" s="11" t="str">
        <f t="shared" si="66"/>
        <v/>
      </c>
      <c r="N221" s="11" t="str">
        <f>IF(I221="已计入",IF(AND(B221="卖出",持仓总览!$C$7="本金优先"),MAX(0,E221-Q220),IF(OR(B221="卖出",B221="现金分红"),MIN(E221,M221),0)),"")</f>
        <v/>
      </c>
      <c r="O221" s="11" t="str">
        <f t="shared" si="67"/>
        <v/>
      </c>
      <c r="P221" s="11" t="str">
        <f t="shared" si="68"/>
        <v/>
      </c>
      <c r="Q221" s="11">
        <f t="shared" si="69"/>
        <v>82516.01</v>
      </c>
      <c r="R221" s="11" t="str">
        <f t="shared" si="60"/>
        <v/>
      </c>
      <c r="S221" s="11" t="str">
        <f t="shared" si="61"/>
        <v/>
      </c>
      <c r="T221" s="12" t="str">
        <f t="shared" si="62"/>
        <v/>
      </c>
      <c r="U221" s="11">
        <f t="shared" si="70"/>
        <v>82516.01</v>
      </c>
      <c r="V221" s="11">
        <f t="shared" si="71"/>
        <v>0</v>
      </c>
      <c r="W221" s="11">
        <f t="shared" si="72"/>
        <v>0</v>
      </c>
      <c r="X221" s="11">
        <f t="shared" si="73"/>
        <v>0</v>
      </c>
      <c r="Y221" s="11" t="str">
        <f t="shared" si="63"/>
        <v/>
      </c>
      <c r="Z221" s="13">
        <f t="shared" si="74"/>
        <v>46247</v>
      </c>
      <c r="AA221" s="10" t="str">
        <f>IF(OR($AA$116="错误",COUNTIF($G$117:G221,"待修正")&gt;0),"错误","正常")</f>
        <v>正常</v>
      </c>
      <c r="AB221" s="14">
        <f t="shared" si="75"/>
        <v>2.7686</v>
      </c>
    </row>
    <row r="222" ht="23" customHeight="1" spans="1:28">
      <c r="A222" s="15"/>
      <c r="B222" s="16"/>
      <c r="C222" s="17"/>
      <c r="D222" s="18"/>
      <c r="E222" s="19" t="str">
        <f t="shared" si="56"/>
        <v/>
      </c>
      <c r="F222" s="18"/>
      <c r="G222" s="20" t="str">
        <f t="shared" si="57"/>
        <v/>
      </c>
      <c r="H222" s="21" t="str">
        <f t="shared" si="58"/>
        <v/>
      </c>
      <c r="I222" s="10" t="str">
        <f>IF(COUNTA(A222:D222,F222)=0,"",IF(NOT(ISNUMBER(A222)),"缺少有效净值日期",IF(OR(A222&lt;=0,A222&lt;&gt;INT(A222)),"净值日期无效",IF(OR(B222="转换转入",B222="现金分红"),"该类型需实际金额，五项录入不适用",IF(NOT(OR(OR(B222="买入",B222="定投"),B222="卖出",B222="红利再投")),"请选择交易类型",IF(NOT(ISNUMBER(C222)),"缺少成交净值",IF(C222&lt;=0,"成交净值须大于零",IF(NOT(ISNUMBER(D222)),"缺少确认份额",IF(D222&lt;=0,"确认份额须大于零",IF(NOT(ISNUMBER(F222)),"缺少手续费，无费用请填 0",IF(F222&lt;0,"手续费不能为负",IF(AA221="错误","前行待修正",IF(A222&lt;Z221,"日期需按成交顺序递增",IF(AND(B222="红利再投",F222&lt;&gt;0),"红利再投手续费应填 0",IF(AND(B222="红利再投",K221&lt;=0),"红利再投前须有持仓",IF(AND(B222="卖出",D222&gt;K221+0.000001),"卖出份额超过持仓",IF(AND(B222="卖出",F222&gt;=C222*D222),"赎回费不能达到赎回总额",IF(NOT(ISNUMBER(E222)),"自动金额未生成，请检查五项输入",IF(NOT(OR(持仓总览!$C$7="利润优先",持仓总览!$C$7="本金优先")),"请选择卖出分配模式","已计入")))))))))))))))))))</f>
        <v/>
      </c>
      <c r="J222" s="11">
        <f t="shared" si="59"/>
        <v>0</v>
      </c>
      <c r="K222" s="11">
        <f t="shared" si="64"/>
        <v>34284.43</v>
      </c>
      <c r="L222" s="11" t="str">
        <f t="shared" si="65"/>
        <v/>
      </c>
      <c r="M222" s="11" t="str">
        <f t="shared" si="66"/>
        <v/>
      </c>
      <c r="N222" s="11" t="str">
        <f>IF(I222="已计入",IF(AND(B222="卖出",持仓总览!$C$7="本金优先"),MAX(0,E222-Q221),IF(OR(B222="卖出",B222="现金分红"),MIN(E222,M222),0)),"")</f>
        <v/>
      </c>
      <c r="O222" s="11" t="str">
        <f t="shared" si="67"/>
        <v/>
      </c>
      <c r="P222" s="11" t="str">
        <f t="shared" si="68"/>
        <v/>
      </c>
      <c r="Q222" s="11">
        <f t="shared" si="69"/>
        <v>82516.01</v>
      </c>
      <c r="R222" s="11" t="str">
        <f t="shared" si="60"/>
        <v/>
      </c>
      <c r="S222" s="11" t="str">
        <f t="shared" si="61"/>
        <v/>
      </c>
      <c r="T222" s="12" t="str">
        <f t="shared" si="62"/>
        <v/>
      </c>
      <c r="U222" s="11">
        <f t="shared" si="70"/>
        <v>82516.01</v>
      </c>
      <c r="V222" s="11">
        <f t="shared" si="71"/>
        <v>0</v>
      </c>
      <c r="W222" s="11">
        <f t="shared" si="72"/>
        <v>0</v>
      </c>
      <c r="X222" s="11">
        <f t="shared" si="73"/>
        <v>0</v>
      </c>
      <c r="Y222" s="11" t="str">
        <f t="shared" si="63"/>
        <v/>
      </c>
      <c r="Z222" s="13">
        <f t="shared" si="74"/>
        <v>46247</v>
      </c>
      <c r="AA222" s="10" t="str">
        <f>IF(OR($AA$116="错误",COUNTIF($G$117:G222,"待修正")&gt;0),"错误","正常")</f>
        <v>正常</v>
      </c>
      <c r="AB222" s="14">
        <f t="shared" si="75"/>
        <v>2.7686</v>
      </c>
    </row>
    <row r="223" ht="23" customHeight="1" spans="1:28">
      <c r="A223" s="15"/>
      <c r="B223" s="16"/>
      <c r="C223" s="17"/>
      <c r="D223" s="18"/>
      <c r="E223" s="19" t="str">
        <f t="shared" si="56"/>
        <v/>
      </c>
      <c r="F223" s="18"/>
      <c r="G223" s="20" t="str">
        <f t="shared" si="57"/>
        <v/>
      </c>
      <c r="H223" s="21" t="str">
        <f t="shared" si="58"/>
        <v/>
      </c>
      <c r="I223" s="10" t="str">
        <f>IF(COUNTA(A223:D223,F223)=0,"",IF(NOT(ISNUMBER(A223)),"缺少有效净值日期",IF(OR(A223&lt;=0,A223&lt;&gt;INT(A223)),"净值日期无效",IF(OR(B223="转换转入",B223="现金分红"),"该类型需实际金额，五项录入不适用",IF(NOT(OR(OR(B223="买入",B223="定投"),B223="卖出",B223="红利再投")),"请选择交易类型",IF(NOT(ISNUMBER(C223)),"缺少成交净值",IF(C223&lt;=0,"成交净值须大于零",IF(NOT(ISNUMBER(D223)),"缺少确认份额",IF(D223&lt;=0,"确认份额须大于零",IF(NOT(ISNUMBER(F223)),"缺少手续费，无费用请填 0",IF(F223&lt;0,"手续费不能为负",IF(AA222="错误","前行待修正",IF(A223&lt;Z222,"日期需按成交顺序递增",IF(AND(B223="红利再投",F223&lt;&gt;0),"红利再投手续费应填 0",IF(AND(B223="红利再投",K222&lt;=0),"红利再投前须有持仓",IF(AND(B223="卖出",D223&gt;K222+0.000001),"卖出份额超过持仓",IF(AND(B223="卖出",F223&gt;=C223*D223),"赎回费不能达到赎回总额",IF(NOT(ISNUMBER(E223)),"自动金额未生成，请检查五项输入",IF(NOT(OR(持仓总览!$C$7="利润优先",持仓总览!$C$7="本金优先")),"请选择卖出分配模式","已计入")))))))))))))))))))</f>
        <v/>
      </c>
      <c r="J223" s="11">
        <f t="shared" si="59"/>
        <v>0</v>
      </c>
      <c r="K223" s="11">
        <f t="shared" si="64"/>
        <v>34284.43</v>
      </c>
      <c r="L223" s="11" t="str">
        <f t="shared" si="65"/>
        <v/>
      </c>
      <c r="M223" s="11" t="str">
        <f t="shared" si="66"/>
        <v/>
      </c>
      <c r="N223" s="11" t="str">
        <f>IF(I223="已计入",IF(AND(B223="卖出",持仓总览!$C$7="本金优先"),MAX(0,E223-Q222),IF(OR(B223="卖出",B223="现金分红"),MIN(E223,M223),0)),"")</f>
        <v/>
      </c>
      <c r="O223" s="11" t="str">
        <f t="shared" si="67"/>
        <v/>
      </c>
      <c r="P223" s="11" t="str">
        <f t="shared" si="68"/>
        <v/>
      </c>
      <c r="Q223" s="11">
        <f t="shared" si="69"/>
        <v>82516.01</v>
      </c>
      <c r="R223" s="11" t="str">
        <f t="shared" si="60"/>
        <v/>
      </c>
      <c r="S223" s="11" t="str">
        <f t="shared" si="61"/>
        <v/>
      </c>
      <c r="T223" s="12" t="str">
        <f t="shared" si="62"/>
        <v/>
      </c>
      <c r="U223" s="11">
        <f t="shared" si="70"/>
        <v>82516.01</v>
      </c>
      <c r="V223" s="11">
        <f t="shared" si="71"/>
        <v>0</v>
      </c>
      <c r="W223" s="11">
        <f t="shared" si="72"/>
        <v>0</v>
      </c>
      <c r="X223" s="11">
        <f t="shared" si="73"/>
        <v>0</v>
      </c>
      <c r="Y223" s="11" t="str">
        <f t="shared" si="63"/>
        <v/>
      </c>
      <c r="Z223" s="13">
        <f t="shared" si="74"/>
        <v>46247</v>
      </c>
      <c r="AA223" s="10" t="str">
        <f>IF(OR($AA$116="错误",COUNTIF($G$117:G223,"待修正")&gt;0),"错误","正常")</f>
        <v>正常</v>
      </c>
      <c r="AB223" s="14">
        <f t="shared" si="75"/>
        <v>2.7686</v>
      </c>
    </row>
    <row r="224" ht="23" customHeight="1" spans="1:28">
      <c r="A224" s="15"/>
      <c r="B224" s="16"/>
      <c r="C224" s="17"/>
      <c r="D224" s="18"/>
      <c r="E224" s="19" t="str">
        <f t="shared" si="56"/>
        <v/>
      </c>
      <c r="F224" s="18"/>
      <c r="G224" s="20" t="str">
        <f t="shared" si="57"/>
        <v/>
      </c>
      <c r="H224" s="21" t="str">
        <f t="shared" si="58"/>
        <v/>
      </c>
      <c r="I224" s="10" t="str">
        <f>IF(COUNTA(A224:D224,F224)=0,"",IF(NOT(ISNUMBER(A224)),"缺少有效净值日期",IF(OR(A224&lt;=0,A224&lt;&gt;INT(A224)),"净值日期无效",IF(OR(B224="转换转入",B224="现金分红"),"该类型需实际金额，五项录入不适用",IF(NOT(OR(OR(B224="买入",B224="定投"),B224="卖出",B224="红利再投")),"请选择交易类型",IF(NOT(ISNUMBER(C224)),"缺少成交净值",IF(C224&lt;=0,"成交净值须大于零",IF(NOT(ISNUMBER(D224)),"缺少确认份额",IF(D224&lt;=0,"确认份额须大于零",IF(NOT(ISNUMBER(F224)),"缺少手续费，无费用请填 0",IF(F224&lt;0,"手续费不能为负",IF(AA223="错误","前行待修正",IF(A224&lt;Z223,"日期需按成交顺序递增",IF(AND(B224="红利再投",F224&lt;&gt;0),"红利再投手续费应填 0",IF(AND(B224="红利再投",K223&lt;=0),"红利再投前须有持仓",IF(AND(B224="卖出",D224&gt;K223+0.000001),"卖出份额超过持仓",IF(AND(B224="卖出",F224&gt;=C224*D224),"赎回费不能达到赎回总额",IF(NOT(ISNUMBER(E224)),"自动金额未生成，请检查五项输入",IF(NOT(OR(持仓总览!$C$7="利润优先",持仓总览!$C$7="本金优先")),"请选择卖出分配模式","已计入")))))))))))))))))))</f>
        <v/>
      </c>
      <c r="J224" s="11">
        <f t="shared" si="59"/>
        <v>0</v>
      </c>
      <c r="K224" s="11">
        <f t="shared" si="64"/>
        <v>34284.43</v>
      </c>
      <c r="L224" s="11" t="str">
        <f t="shared" si="65"/>
        <v/>
      </c>
      <c r="M224" s="11" t="str">
        <f t="shared" si="66"/>
        <v/>
      </c>
      <c r="N224" s="11" t="str">
        <f>IF(I224="已计入",IF(AND(B224="卖出",持仓总览!$C$7="本金优先"),MAX(0,E224-Q223),IF(OR(B224="卖出",B224="现金分红"),MIN(E224,M224),0)),"")</f>
        <v/>
      </c>
      <c r="O224" s="11" t="str">
        <f t="shared" si="67"/>
        <v/>
      </c>
      <c r="P224" s="11" t="str">
        <f t="shared" si="68"/>
        <v/>
      </c>
      <c r="Q224" s="11">
        <f t="shared" si="69"/>
        <v>82516.01</v>
      </c>
      <c r="R224" s="11" t="str">
        <f t="shared" si="60"/>
        <v/>
      </c>
      <c r="S224" s="11" t="str">
        <f t="shared" si="61"/>
        <v/>
      </c>
      <c r="T224" s="12" t="str">
        <f t="shared" si="62"/>
        <v/>
      </c>
      <c r="U224" s="11">
        <f t="shared" si="70"/>
        <v>82516.01</v>
      </c>
      <c r="V224" s="11">
        <f t="shared" si="71"/>
        <v>0</v>
      </c>
      <c r="W224" s="11">
        <f t="shared" si="72"/>
        <v>0</v>
      </c>
      <c r="X224" s="11">
        <f t="shared" si="73"/>
        <v>0</v>
      </c>
      <c r="Y224" s="11" t="str">
        <f t="shared" si="63"/>
        <v/>
      </c>
      <c r="Z224" s="13">
        <f t="shared" si="74"/>
        <v>46247</v>
      </c>
      <c r="AA224" s="10" t="str">
        <f>IF(OR($AA$116="错误",COUNTIF($G$117:G224,"待修正")&gt;0),"错误","正常")</f>
        <v>正常</v>
      </c>
      <c r="AB224" s="14">
        <f t="shared" si="75"/>
        <v>2.7686</v>
      </c>
    </row>
    <row r="225" ht="23" customHeight="1" spans="1:28">
      <c r="A225" s="15"/>
      <c r="B225" s="16"/>
      <c r="C225" s="17"/>
      <c r="D225" s="18"/>
      <c r="E225" s="19" t="str">
        <f t="shared" si="56"/>
        <v/>
      </c>
      <c r="F225" s="18"/>
      <c r="G225" s="20" t="str">
        <f t="shared" si="57"/>
        <v/>
      </c>
      <c r="H225" s="21" t="str">
        <f t="shared" si="58"/>
        <v/>
      </c>
      <c r="I225" s="10" t="str">
        <f>IF(COUNTA(A225:D225,F225)=0,"",IF(NOT(ISNUMBER(A225)),"缺少有效净值日期",IF(OR(A225&lt;=0,A225&lt;&gt;INT(A225)),"净值日期无效",IF(OR(B225="转换转入",B225="现金分红"),"该类型需实际金额，五项录入不适用",IF(NOT(OR(OR(B225="买入",B225="定投"),B225="卖出",B225="红利再投")),"请选择交易类型",IF(NOT(ISNUMBER(C225)),"缺少成交净值",IF(C225&lt;=0,"成交净值须大于零",IF(NOT(ISNUMBER(D225)),"缺少确认份额",IF(D225&lt;=0,"确认份额须大于零",IF(NOT(ISNUMBER(F225)),"缺少手续费，无费用请填 0",IF(F225&lt;0,"手续费不能为负",IF(AA224="错误","前行待修正",IF(A225&lt;Z224,"日期需按成交顺序递增",IF(AND(B225="红利再投",F225&lt;&gt;0),"红利再投手续费应填 0",IF(AND(B225="红利再投",K224&lt;=0),"红利再投前须有持仓",IF(AND(B225="卖出",D225&gt;K224+0.000001),"卖出份额超过持仓",IF(AND(B225="卖出",F225&gt;=C225*D225),"赎回费不能达到赎回总额",IF(NOT(ISNUMBER(E225)),"自动金额未生成，请检查五项输入",IF(NOT(OR(持仓总览!$C$7="利润优先",持仓总览!$C$7="本金优先")),"请选择卖出分配模式","已计入")))))))))))))))))))</f>
        <v/>
      </c>
      <c r="J225" s="11">
        <f t="shared" si="59"/>
        <v>0</v>
      </c>
      <c r="K225" s="11">
        <f t="shared" si="64"/>
        <v>34284.43</v>
      </c>
      <c r="L225" s="11" t="str">
        <f t="shared" si="65"/>
        <v/>
      </c>
      <c r="M225" s="11" t="str">
        <f t="shared" si="66"/>
        <v/>
      </c>
      <c r="N225" s="11" t="str">
        <f>IF(I225="已计入",IF(AND(B225="卖出",持仓总览!$C$7="本金优先"),MAX(0,E225-Q224),IF(OR(B225="卖出",B225="现金分红"),MIN(E225,M225),0)),"")</f>
        <v/>
      </c>
      <c r="O225" s="11" t="str">
        <f t="shared" si="67"/>
        <v/>
      </c>
      <c r="P225" s="11" t="str">
        <f t="shared" si="68"/>
        <v/>
      </c>
      <c r="Q225" s="11">
        <f t="shared" si="69"/>
        <v>82516.01</v>
      </c>
      <c r="R225" s="11" t="str">
        <f t="shared" si="60"/>
        <v/>
      </c>
      <c r="S225" s="11" t="str">
        <f t="shared" si="61"/>
        <v/>
      </c>
      <c r="T225" s="12" t="str">
        <f t="shared" si="62"/>
        <v/>
      </c>
      <c r="U225" s="11">
        <f t="shared" si="70"/>
        <v>82516.01</v>
      </c>
      <c r="V225" s="11">
        <f t="shared" si="71"/>
        <v>0</v>
      </c>
      <c r="W225" s="11">
        <f t="shared" si="72"/>
        <v>0</v>
      </c>
      <c r="X225" s="11">
        <f t="shared" si="73"/>
        <v>0</v>
      </c>
      <c r="Y225" s="11" t="str">
        <f t="shared" si="63"/>
        <v/>
      </c>
      <c r="Z225" s="13">
        <f t="shared" si="74"/>
        <v>46247</v>
      </c>
      <c r="AA225" s="10" t="str">
        <f>IF(OR($AA$116="错误",COUNTIF($G$117:G225,"待修正")&gt;0),"错误","正常")</f>
        <v>正常</v>
      </c>
      <c r="AB225" s="14">
        <f t="shared" si="75"/>
        <v>2.7686</v>
      </c>
    </row>
    <row r="226" ht="23" customHeight="1" spans="1:28">
      <c r="A226" s="15"/>
      <c r="B226" s="16"/>
      <c r="C226" s="17"/>
      <c r="D226" s="18"/>
      <c r="E226" s="19" t="str">
        <f t="shared" si="56"/>
        <v/>
      </c>
      <c r="F226" s="18"/>
      <c r="G226" s="20" t="str">
        <f t="shared" si="57"/>
        <v/>
      </c>
      <c r="H226" s="21" t="str">
        <f t="shared" si="58"/>
        <v/>
      </c>
      <c r="I226" s="10" t="str">
        <f>IF(COUNTA(A226:D226,F226)=0,"",IF(NOT(ISNUMBER(A226)),"缺少有效净值日期",IF(OR(A226&lt;=0,A226&lt;&gt;INT(A226)),"净值日期无效",IF(OR(B226="转换转入",B226="现金分红"),"该类型需实际金额，五项录入不适用",IF(NOT(OR(OR(B226="买入",B226="定投"),B226="卖出",B226="红利再投")),"请选择交易类型",IF(NOT(ISNUMBER(C226)),"缺少成交净值",IF(C226&lt;=0,"成交净值须大于零",IF(NOT(ISNUMBER(D226)),"缺少确认份额",IF(D226&lt;=0,"确认份额须大于零",IF(NOT(ISNUMBER(F226)),"缺少手续费，无费用请填 0",IF(F226&lt;0,"手续费不能为负",IF(AA225="错误","前行待修正",IF(A226&lt;Z225,"日期需按成交顺序递增",IF(AND(B226="红利再投",F226&lt;&gt;0),"红利再投手续费应填 0",IF(AND(B226="红利再投",K225&lt;=0),"红利再投前须有持仓",IF(AND(B226="卖出",D226&gt;K225+0.000001),"卖出份额超过持仓",IF(AND(B226="卖出",F226&gt;=C226*D226),"赎回费不能达到赎回总额",IF(NOT(ISNUMBER(E226)),"自动金额未生成，请检查五项输入",IF(NOT(OR(持仓总览!$C$7="利润优先",持仓总览!$C$7="本金优先")),"请选择卖出分配模式","已计入")))))))))))))))))))</f>
        <v/>
      </c>
      <c r="J226" s="11">
        <f t="shared" si="59"/>
        <v>0</v>
      </c>
      <c r="K226" s="11">
        <f t="shared" si="64"/>
        <v>34284.43</v>
      </c>
      <c r="L226" s="11" t="str">
        <f t="shared" si="65"/>
        <v/>
      </c>
      <c r="M226" s="11" t="str">
        <f t="shared" si="66"/>
        <v/>
      </c>
      <c r="N226" s="11" t="str">
        <f>IF(I226="已计入",IF(AND(B226="卖出",持仓总览!$C$7="本金优先"),MAX(0,E226-Q225),IF(OR(B226="卖出",B226="现金分红"),MIN(E226,M226),0)),"")</f>
        <v/>
      </c>
      <c r="O226" s="11" t="str">
        <f t="shared" si="67"/>
        <v/>
      </c>
      <c r="P226" s="11" t="str">
        <f t="shared" si="68"/>
        <v/>
      </c>
      <c r="Q226" s="11">
        <f t="shared" si="69"/>
        <v>82516.01</v>
      </c>
      <c r="R226" s="11" t="str">
        <f t="shared" si="60"/>
        <v/>
      </c>
      <c r="S226" s="11" t="str">
        <f t="shared" si="61"/>
        <v/>
      </c>
      <c r="T226" s="12" t="str">
        <f t="shared" si="62"/>
        <v/>
      </c>
      <c r="U226" s="11">
        <f t="shared" si="70"/>
        <v>82516.01</v>
      </c>
      <c r="V226" s="11">
        <f t="shared" si="71"/>
        <v>0</v>
      </c>
      <c r="W226" s="11">
        <f t="shared" si="72"/>
        <v>0</v>
      </c>
      <c r="X226" s="11">
        <f t="shared" si="73"/>
        <v>0</v>
      </c>
      <c r="Y226" s="11" t="str">
        <f t="shared" si="63"/>
        <v/>
      </c>
      <c r="Z226" s="13">
        <f t="shared" si="74"/>
        <v>46247</v>
      </c>
      <c r="AA226" s="10" t="str">
        <f>IF(OR($AA$116="错误",COUNTIF($G$117:G226,"待修正")&gt;0),"错误","正常")</f>
        <v>正常</v>
      </c>
      <c r="AB226" s="14">
        <f t="shared" si="75"/>
        <v>2.7686</v>
      </c>
    </row>
    <row r="227" ht="23" customHeight="1" spans="1:28">
      <c r="A227" s="15"/>
      <c r="B227" s="16"/>
      <c r="C227" s="17"/>
      <c r="D227" s="18"/>
      <c r="E227" s="19" t="str">
        <f t="shared" si="56"/>
        <v/>
      </c>
      <c r="F227" s="18"/>
      <c r="G227" s="20" t="str">
        <f t="shared" si="57"/>
        <v/>
      </c>
      <c r="H227" s="21" t="str">
        <f t="shared" si="58"/>
        <v/>
      </c>
      <c r="I227" s="10" t="str">
        <f>IF(COUNTA(A227:D227,F227)=0,"",IF(NOT(ISNUMBER(A227)),"缺少有效净值日期",IF(OR(A227&lt;=0,A227&lt;&gt;INT(A227)),"净值日期无效",IF(OR(B227="转换转入",B227="现金分红"),"该类型需实际金额，五项录入不适用",IF(NOT(OR(OR(B227="买入",B227="定投"),B227="卖出",B227="红利再投")),"请选择交易类型",IF(NOT(ISNUMBER(C227)),"缺少成交净值",IF(C227&lt;=0,"成交净值须大于零",IF(NOT(ISNUMBER(D227)),"缺少确认份额",IF(D227&lt;=0,"确认份额须大于零",IF(NOT(ISNUMBER(F227)),"缺少手续费，无费用请填 0",IF(F227&lt;0,"手续费不能为负",IF(AA226="错误","前行待修正",IF(A227&lt;Z226,"日期需按成交顺序递增",IF(AND(B227="红利再投",F227&lt;&gt;0),"红利再投手续费应填 0",IF(AND(B227="红利再投",K226&lt;=0),"红利再投前须有持仓",IF(AND(B227="卖出",D227&gt;K226+0.000001),"卖出份额超过持仓",IF(AND(B227="卖出",F227&gt;=C227*D227),"赎回费不能达到赎回总额",IF(NOT(ISNUMBER(E227)),"自动金额未生成，请检查五项输入",IF(NOT(OR(持仓总览!$C$7="利润优先",持仓总览!$C$7="本金优先")),"请选择卖出分配模式","已计入")))))))))))))))))))</f>
        <v/>
      </c>
      <c r="J227" s="11">
        <f t="shared" si="59"/>
        <v>0</v>
      </c>
      <c r="K227" s="11">
        <f t="shared" si="64"/>
        <v>34284.43</v>
      </c>
      <c r="L227" s="11" t="str">
        <f t="shared" si="65"/>
        <v/>
      </c>
      <c r="M227" s="11" t="str">
        <f t="shared" si="66"/>
        <v/>
      </c>
      <c r="N227" s="11" t="str">
        <f>IF(I227="已计入",IF(AND(B227="卖出",持仓总览!$C$7="本金优先"),MAX(0,E227-Q226),IF(OR(B227="卖出",B227="现金分红"),MIN(E227,M227),0)),"")</f>
        <v/>
      </c>
      <c r="O227" s="11" t="str">
        <f t="shared" si="67"/>
        <v/>
      </c>
      <c r="P227" s="11" t="str">
        <f t="shared" si="68"/>
        <v/>
      </c>
      <c r="Q227" s="11">
        <f t="shared" si="69"/>
        <v>82516.01</v>
      </c>
      <c r="R227" s="11" t="str">
        <f t="shared" si="60"/>
        <v/>
      </c>
      <c r="S227" s="11" t="str">
        <f t="shared" si="61"/>
        <v/>
      </c>
      <c r="T227" s="12" t="str">
        <f t="shared" si="62"/>
        <v/>
      </c>
      <c r="U227" s="11">
        <f t="shared" si="70"/>
        <v>82516.01</v>
      </c>
      <c r="V227" s="11">
        <f t="shared" si="71"/>
        <v>0</v>
      </c>
      <c r="W227" s="11">
        <f t="shared" si="72"/>
        <v>0</v>
      </c>
      <c r="X227" s="11">
        <f t="shared" si="73"/>
        <v>0</v>
      </c>
      <c r="Y227" s="11" t="str">
        <f t="shared" si="63"/>
        <v/>
      </c>
      <c r="Z227" s="13">
        <f t="shared" si="74"/>
        <v>46247</v>
      </c>
      <c r="AA227" s="10" t="str">
        <f>IF(OR($AA$116="错误",COUNTIF($G$117:G227,"待修正")&gt;0),"错误","正常")</f>
        <v>正常</v>
      </c>
      <c r="AB227" s="14">
        <f t="shared" si="75"/>
        <v>2.7686</v>
      </c>
    </row>
    <row r="228" ht="23" customHeight="1" spans="1:28">
      <c r="A228" s="15"/>
      <c r="B228" s="16"/>
      <c r="C228" s="17"/>
      <c r="D228" s="18"/>
      <c r="E228" s="19" t="str">
        <f t="shared" si="56"/>
        <v/>
      </c>
      <c r="F228" s="18"/>
      <c r="G228" s="20" t="str">
        <f t="shared" si="57"/>
        <v/>
      </c>
      <c r="H228" s="21" t="str">
        <f t="shared" si="58"/>
        <v/>
      </c>
      <c r="I228" s="10" t="str">
        <f>IF(COUNTA(A228:D228,F228)=0,"",IF(NOT(ISNUMBER(A228)),"缺少有效净值日期",IF(OR(A228&lt;=0,A228&lt;&gt;INT(A228)),"净值日期无效",IF(OR(B228="转换转入",B228="现金分红"),"该类型需实际金额，五项录入不适用",IF(NOT(OR(OR(B228="买入",B228="定投"),B228="卖出",B228="红利再投")),"请选择交易类型",IF(NOT(ISNUMBER(C228)),"缺少成交净值",IF(C228&lt;=0,"成交净值须大于零",IF(NOT(ISNUMBER(D228)),"缺少确认份额",IF(D228&lt;=0,"确认份额须大于零",IF(NOT(ISNUMBER(F228)),"缺少手续费，无费用请填 0",IF(F228&lt;0,"手续费不能为负",IF(AA227="错误","前行待修正",IF(A228&lt;Z227,"日期需按成交顺序递增",IF(AND(B228="红利再投",F228&lt;&gt;0),"红利再投手续费应填 0",IF(AND(B228="红利再投",K227&lt;=0),"红利再投前须有持仓",IF(AND(B228="卖出",D228&gt;K227+0.000001),"卖出份额超过持仓",IF(AND(B228="卖出",F228&gt;=C228*D228),"赎回费不能达到赎回总额",IF(NOT(ISNUMBER(E228)),"自动金额未生成，请检查五项输入",IF(NOT(OR(持仓总览!$C$7="利润优先",持仓总览!$C$7="本金优先")),"请选择卖出分配模式","已计入")))))))))))))))))))</f>
        <v/>
      </c>
      <c r="J228" s="11">
        <f t="shared" si="59"/>
        <v>0</v>
      </c>
      <c r="K228" s="11">
        <f t="shared" si="64"/>
        <v>34284.43</v>
      </c>
      <c r="L228" s="11" t="str">
        <f t="shared" si="65"/>
        <v/>
      </c>
      <c r="M228" s="11" t="str">
        <f t="shared" si="66"/>
        <v/>
      </c>
      <c r="N228" s="11" t="str">
        <f>IF(I228="已计入",IF(AND(B228="卖出",持仓总览!$C$7="本金优先"),MAX(0,E228-Q227),IF(OR(B228="卖出",B228="现金分红"),MIN(E228,M228),0)),"")</f>
        <v/>
      </c>
      <c r="O228" s="11" t="str">
        <f t="shared" si="67"/>
        <v/>
      </c>
      <c r="P228" s="11" t="str">
        <f t="shared" si="68"/>
        <v/>
      </c>
      <c r="Q228" s="11">
        <f t="shared" si="69"/>
        <v>82516.01</v>
      </c>
      <c r="R228" s="11" t="str">
        <f t="shared" si="60"/>
        <v/>
      </c>
      <c r="S228" s="11" t="str">
        <f t="shared" si="61"/>
        <v/>
      </c>
      <c r="T228" s="12" t="str">
        <f t="shared" si="62"/>
        <v/>
      </c>
      <c r="U228" s="11">
        <f t="shared" si="70"/>
        <v>82516.01</v>
      </c>
      <c r="V228" s="11">
        <f t="shared" si="71"/>
        <v>0</v>
      </c>
      <c r="W228" s="11">
        <f t="shared" si="72"/>
        <v>0</v>
      </c>
      <c r="X228" s="11">
        <f t="shared" si="73"/>
        <v>0</v>
      </c>
      <c r="Y228" s="11" t="str">
        <f t="shared" si="63"/>
        <v/>
      </c>
      <c r="Z228" s="13">
        <f t="shared" si="74"/>
        <v>46247</v>
      </c>
      <c r="AA228" s="10" t="str">
        <f>IF(OR($AA$116="错误",COUNTIF($G$117:G228,"待修正")&gt;0),"错误","正常")</f>
        <v>正常</v>
      </c>
      <c r="AB228" s="14">
        <f t="shared" si="75"/>
        <v>2.7686</v>
      </c>
    </row>
    <row r="229" ht="23" customHeight="1" spans="1:28">
      <c r="A229" s="15"/>
      <c r="B229" s="16"/>
      <c r="C229" s="17"/>
      <c r="D229" s="18"/>
      <c r="E229" s="19" t="str">
        <f t="shared" si="56"/>
        <v/>
      </c>
      <c r="F229" s="18"/>
      <c r="G229" s="20" t="str">
        <f t="shared" si="57"/>
        <v/>
      </c>
      <c r="H229" s="21" t="str">
        <f t="shared" si="58"/>
        <v/>
      </c>
      <c r="I229" s="10" t="str">
        <f>IF(COUNTA(A229:D229,F229)=0,"",IF(NOT(ISNUMBER(A229)),"缺少有效净值日期",IF(OR(A229&lt;=0,A229&lt;&gt;INT(A229)),"净值日期无效",IF(OR(B229="转换转入",B229="现金分红"),"该类型需实际金额，五项录入不适用",IF(NOT(OR(OR(B229="买入",B229="定投"),B229="卖出",B229="红利再投")),"请选择交易类型",IF(NOT(ISNUMBER(C229)),"缺少成交净值",IF(C229&lt;=0,"成交净值须大于零",IF(NOT(ISNUMBER(D229)),"缺少确认份额",IF(D229&lt;=0,"确认份额须大于零",IF(NOT(ISNUMBER(F229)),"缺少手续费，无费用请填 0",IF(F229&lt;0,"手续费不能为负",IF(AA228="错误","前行待修正",IF(A229&lt;Z228,"日期需按成交顺序递增",IF(AND(B229="红利再投",F229&lt;&gt;0),"红利再投手续费应填 0",IF(AND(B229="红利再投",K228&lt;=0),"红利再投前须有持仓",IF(AND(B229="卖出",D229&gt;K228+0.000001),"卖出份额超过持仓",IF(AND(B229="卖出",F229&gt;=C229*D229),"赎回费不能达到赎回总额",IF(NOT(ISNUMBER(E229)),"自动金额未生成，请检查五项输入",IF(NOT(OR(持仓总览!$C$7="利润优先",持仓总览!$C$7="本金优先")),"请选择卖出分配模式","已计入")))))))))))))))))))</f>
        <v/>
      </c>
      <c r="J229" s="11">
        <f t="shared" si="59"/>
        <v>0</v>
      </c>
      <c r="K229" s="11">
        <f t="shared" si="64"/>
        <v>34284.43</v>
      </c>
      <c r="L229" s="11" t="str">
        <f t="shared" si="65"/>
        <v/>
      </c>
      <c r="M229" s="11" t="str">
        <f t="shared" si="66"/>
        <v/>
      </c>
      <c r="N229" s="11" t="str">
        <f>IF(I229="已计入",IF(AND(B229="卖出",持仓总览!$C$7="本金优先"),MAX(0,E229-Q228),IF(OR(B229="卖出",B229="现金分红"),MIN(E229,M229),0)),"")</f>
        <v/>
      </c>
      <c r="O229" s="11" t="str">
        <f t="shared" si="67"/>
        <v/>
      </c>
      <c r="P229" s="11" t="str">
        <f t="shared" si="68"/>
        <v/>
      </c>
      <c r="Q229" s="11">
        <f t="shared" si="69"/>
        <v>82516.01</v>
      </c>
      <c r="R229" s="11" t="str">
        <f t="shared" si="60"/>
        <v/>
      </c>
      <c r="S229" s="11" t="str">
        <f t="shared" si="61"/>
        <v/>
      </c>
      <c r="T229" s="12" t="str">
        <f t="shared" si="62"/>
        <v/>
      </c>
      <c r="U229" s="11">
        <f t="shared" si="70"/>
        <v>82516.01</v>
      </c>
      <c r="V229" s="11">
        <f t="shared" si="71"/>
        <v>0</v>
      </c>
      <c r="W229" s="11">
        <f t="shared" si="72"/>
        <v>0</v>
      </c>
      <c r="X229" s="11">
        <f t="shared" si="73"/>
        <v>0</v>
      </c>
      <c r="Y229" s="11" t="str">
        <f t="shared" si="63"/>
        <v/>
      </c>
      <c r="Z229" s="13">
        <f t="shared" si="74"/>
        <v>46247</v>
      </c>
      <c r="AA229" s="10" t="str">
        <f>IF(OR($AA$116="错误",COUNTIF($G$117:G229,"待修正")&gt;0),"错误","正常")</f>
        <v>正常</v>
      </c>
      <c r="AB229" s="14">
        <f t="shared" si="75"/>
        <v>2.7686</v>
      </c>
    </row>
    <row r="230" ht="23" customHeight="1" spans="1:28">
      <c r="A230" s="15"/>
      <c r="B230" s="16"/>
      <c r="C230" s="17"/>
      <c r="D230" s="18"/>
      <c r="E230" s="19" t="str">
        <f t="shared" si="56"/>
        <v/>
      </c>
      <c r="F230" s="18"/>
      <c r="G230" s="20" t="str">
        <f t="shared" si="57"/>
        <v/>
      </c>
      <c r="H230" s="21" t="str">
        <f t="shared" si="58"/>
        <v/>
      </c>
      <c r="I230" s="10" t="str">
        <f>IF(COUNTA(A230:D230,F230)=0,"",IF(NOT(ISNUMBER(A230)),"缺少有效净值日期",IF(OR(A230&lt;=0,A230&lt;&gt;INT(A230)),"净值日期无效",IF(OR(B230="转换转入",B230="现金分红"),"该类型需实际金额，五项录入不适用",IF(NOT(OR(OR(B230="买入",B230="定投"),B230="卖出",B230="红利再投")),"请选择交易类型",IF(NOT(ISNUMBER(C230)),"缺少成交净值",IF(C230&lt;=0,"成交净值须大于零",IF(NOT(ISNUMBER(D230)),"缺少确认份额",IF(D230&lt;=0,"确认份额须大于零",IF(NOT(ISNUMBER(F230)),"缺少手续费，无费用请填 0",IF(F230&lt;0,"手续费不能为负",IF(AA229="错误","前行待修正",IF(A230&lt;Z229,"日期需按成交顺序递增",IF(AND(B230="红利再投",F230&lt;&gt;0),"红利再投手续费应填 0",IF(AND(B230="红利再投",K229&lt;=0),"红利再投前须有持仓",IF(AND(B230="卖出",D230&gt;K229+0.000001),"卖出份额超过持仓",IF(AND(B230="卖出",F230&gt;=C230*D230),"赎回费不能达到赎回总额",IF(NOT(ISNUMBER(E230)),"自动金额未生成，请检查五项输入",IF(NOT(OR(持仓总览!$C$7="利润优先",持仓总览!$C$7="本金优先")),"请选择卖出分配模式","已计入")))))))))))))))))))</f>
        <v/>
      </c>
      <c r="J230" s="11">
        <f t="shared" si="59"/>
        <v>0</v>
      </c>
      <c r="K230" s="11">
        <f t="shared" si="64"/>
        <v>34284.43</v>
      </c>
      <c r="L230" s="11" t="str">
        <f t="shared" si="65"/>
        <v/>
      </c>
      <c r="M230" s="11" t="str">
        <f t="shared" si="66"/>
        <v/>
      </c>
      <c r="N230" s="11" t="str">
        <f>IF(I230="已计入",IF(AND(B230="卖出",持仓总览!$C$7="本金优先"),MAX(0,E230-Q229),IF(OR(B230="卖出",B230="现金分红"),MIN(E230,M230),0)),"")</f>
        <v/>
      </c>
      <c r="O230" s="11" t="str">
        <f t="shared" si="67"/>
        <v/>
      </c>
      <c r="P230" s="11" t="str">
        <f t="shared" si="68"/>
        <v/>
      </c>
      <c r="Q230" s="11">
        <f t="shared" si="69"/>
        <v>82516.01</v>
      </c>
      <c r="R230" s="11" t="str">
        <f t="shared" si="60"/>
        <v/>
      </c>
      <c r="S230" s="11" t="str">
        <f t="shared" si="61"/>
        <v/>
      </c>
      <c r="T230" s="12" t="str">
        <f t="shared" si="62"/>
        <v/>
      </c>
      <c r="U230" s="11">
        <f t="shared" si="70"/>
        <v>82516.01</v>
      </c>
      <c r="V230" s="11">
        <f t="shared" si="71"/>
        <v>0</v>
      </c>
      <c r="W230" s="11">
        <f t="shared" si="72"/>
        <v>0</v>
      </c>
      <c r="X230" s="11">
        <f t="shared" si="73"/>
        <v>0</v>
      </c>
      <c r="Y230" s="11" t="str">
        <f t="shared" si="63"/>
        <v/>
      </c>
      <c r="Z230" s="13">
        <f t="shared" si="74"/>
        <v>46247</v>
      </c>
      <c r="AA230" s="10" t="str">
        <f>IF(OR($AA$116="错误",COUNTIF($G$117:G230,"待修正")&gt;0),"错误","正常")</f>
        <v>正常</v>
      </c>
      <c r="AB230" s="14">
        <f t="shared" si="75"/>
        <v>2.7686</v>
      </c>
    </row>
    <row r="231" ht="23" customHeight="1" spans="1:28">
      <c r="A231" s="15"/>
      <c r="B231" s="16"/>
      <c r="C231" s="17"/>
      <c r="D231" s="18"/>
      <c r="E231" s="19" t="str">
        <f t="shared" si="56"/>
        <v/>
      </c>
      <c r="F231" s="18"/>
      <c r="G231" s="20" t="str">
        <f t="shared" si="57"/>
        <v/>
      </c>
      <c r="H231" s="21" t="str">
        <f t="shared" si="58"/>
        <v/>
      </c>
      <c r="I231" s="10" t="str">
        <f>IF(COUNTA(A231:D231,F231)=0,"",IF(NOT(ISNUMBER(A231)),"缺少有效净值日期",IF(OR(A231&lt;=0,A231&lt;&gt;INT(A231)),"净值日期无效",IF(OR(B231="转换转入",B231="现金分红"),"该类型需实际金额，五项录入不适用",IF(NOT(OR(OR(B231="买入",B231="定投"),B231="卖出",B231="红利再投")),"请选择交易类型",IF(NOT(ISNUMBER(C231)),"缺少成交净值",IF(C231&lt;=0,"成交净值须大于零",IF(NOT(ISNUMBER(D231)),"缺少确认份额",IF(D231&lt;=0,"确认份额须大于零",IF(NOT(ISNUMBER(F231)),"缺少手续费，无费用请填 0",IF(F231&lt;0,"手续费不能为负",IF(AA230="错误","前行待修正",IF(A231&lt;Z230,"日期需按成交顺序递增",IF(AND(B231="红利再投",F231&lt;&gt;0),"红利再投手续费应填 0",IF(AND(B231="红利再投",K230&lt;=0),"红利再投前须有持仓",IF(AND(B231="卖出",D231&gt;K230+0.000001),"卖出份额超过持仓",IF(AND(B231="卖出",F231&gt;=C231*D231),"赎回费不能达到赎回总额",IF(NOT(ISNUMBER(E231)),"自动金额未生成，请检查五项输入",IF(NOT(OR(持仓总览!$C$7="利润优先",持仓总览!$C$7="本金优先")),"请选择卖出分配模式","已计入")))))))))))))))))))</f>
        <v/>
      </c>
      <c r="J231" s="11">
        <f t="shared" si="59"/>
        <v>0</v>
      </c>
      <c r="K231" s="11">
        <f t="shared" si="64"/>
        <v>34284.43</v>
      </c>
      <c r="L231" s="11" t="str">
        <f t="shared" si="65"/>
        <v/>
      </c>
      <c r="M231" s="11" t="str">
        <f t="shared" si="66"/>
        <v/>
      </c>
      <c r="N231" s="11" t="str">
        <f>IF(I231="已计入",IF(AND(B231="卖出",持仓总览!$C$7="本金优先"),MAX(0,E231-Q230),IF(OR(B231="卖出",B231="现金分红"),MIN(E231,M231),0)),"")</f>
        <v/>
      </c>
      <c r="O231" s="11" t="str">
        <f t="shared" si="67"/>
        <v/>
      </c>
      <c r="P231" s="11" t="str">
        <f t="shared" si="68"/>
        <v/>
      </c>
      <c r="Q231" s="11">
        <f t="shared" si="69"/>
        <v>82516.01</v>
      </c>
      <c r="R231" s="11" t="str">
        <f t="shared" si="60"/>
        <v/>
      </c>
      <c r="S231" s="11" t="str">
        <f t="shared" si="61"/>
        <v/>
      </c>
      <c r="T231" s="12" t="str">
        <f t="shared" si="62"/>
        <v/>
      </c>
      <c r="U231" s="11">
        <f t="shared" si="70"/>
        <v>82516.01</v>
      </c>
      <c r="V231" s="11">
        <f t="shared" si="71"/>
        <v>0</v>
      </c>
      <c r="W231" s="11">
        <f t="shared" si="72"/>
        <v>0</v>
      </c>
      <c r="X231" s="11">
        <f t="shared" si="73"/>
        <v>0</v>
      </c>
      <c r="Y231" s="11" t="str">
        <f t="shared" si="63"/>
        <v/>
      </c>
      <c r="Z231" s="13">
        <f t="shared" si="74"/>
        <v>46247</v>
      </c>
      <c r="AA231" s="10" t="str">
        <f>IF(OR($AA$116="错误",COUNTIF($G$117:G231,"待修正")&gt;0),"错误","正常")</f>
        <v>正常</v>
      </c>
      <c r="AB231" s="14">
        <f t="shared" si="75"/>
        <v>2.7686</v>
      </c>
    </row>
    <row r="232" ht="23" customHeight="1" spans="1:28">
      <c r="A232" s="15"/>
      <c r="B232" s="16"/>
      <c r="C232" s="17"/>
      <c r="D232" s="18"/>
      <c r="E232" s="19" t="str">
        <f t="shared" si="56"/>
        <v/>
      </c>
      <c r="F232" s="18"/>
      <c r="G232" s="20" t="str">
        <f t="shared" si="57"/>
        <v/>
      </c>
      <c r="H232" s="21" t="str">
        <f t="shared" si="58"/>
        <v/>
      </c>
      <c r="I232" s="10" t="str">
        <f>IF(COUNTA(A232:D232,F232)=0,"",IF(NOT(ISNUMBER(A232)),"缺少有效净值日期",IF(OR(A232&lt;=0,A232&lt;&gt;INT(A232)),"净值日期无效",IF(OR(B232="转换转入",B232="现金分红"),"该类型需实际金额，五项录入不适用",IF(NOT(OR(OR(B232="买入",B232="定投"),B232="卖出",B232="红利再投")),"请选择交易类型",IF(NOT(ISNUMBER(C232)),"缺少成交净值",IF(C232&lt;=0,"成交净值须大于零",IF(NOT(ISNUMBER(D232)),"缺少确认份额",IF(D232&lt;=0,"确认份额须大于零",IF(NOT(ISNUMBER(F232)),"缺少手续费，无费用请填 0",IF(F232&lt;0,"手续费不能为负",IF(AA231="错误","前行待修正",IF(A232&lt;Z231,"日期需按成交顺序递增",IF(AND(B232="红利再投",F232&lt;&gt;0),"红利再投手续费应填 0",IF(AND(B232="红利再投",K231&lt;=0),"红利再投前须有持仓",IF(AND(B232="卖出",D232&gt;K231+0.000001),"卖出份额超过持仓",IF(AND(B232="卖出",F232&gt;=C232*D232),"赎回费不能达到赎回总额",IF(NOT(ISNUMBER(E232)),"自动金额未生成，请检查五项输入",IF(NOT(OR(持仓总览!$C$7="利润优先",持仓总览!$C$7="本金优先")),"请选择卖出分配模式","已计入")))))))))))))))))))</f>
        <v/>
      </c>
      <c r="J232" s="11">
        <f t="shared" si="59"/>
        <v>0</v>
      </c>
      <c r="K232" s="11">
        <f t="shared" si="64"/>
        <v>34284.43</v>
      </c>
      <c r="L232" s="11" t="str">
        <f t="shared" si="65"/>
        <v/>
      </c>
      <c r="M232" s="11" t="str">
        <f t="shared" si="66"/>
        <v/>
      </c>
      <c r="N232" s="11" t="str">
        <f>IF(I232="已计入",IF(AND(B232="卖出",持仓总览!$C$7="本金优先"),MAX(0,E232-Q231),IF(OR(B232="卖出",B232="现金分红"),MIN(E232,M232),0)),"")</f>
        <v/>
      </c>
      <c r="O232" s="11" t="str">
        <f t="shared" si="67"/>
        <v/>
      </c>
      <c r="P232" s="11" t="str">
        <f t="shared" si="68"/>
        <v/>
      </c>
      <c r="Q232" s="11">
        <f t="shared" si="69"/>
        <v>82516.01</v>
      </c>
      <c r="R232" s="11" t="str">
        <f t="shared" si="60"/>
        <v/>
      </c>
      <c r="S232" s="11" t="str">
        <f t="shared" si="61"/>
        <v/>
      </c>
      <c r="T232" s="12" t="str">
        <f t="shared" si="62"/>
        <v/>
      </c>
      <c r="U232" s="11">
        <f t="shared" si="70"/>
        <v>82516.01</v>
      </c>
      <c r="V232" s="11">
        <f t="shared" si="71"/>
        <v>0</v>
      </c>
      <c r="W232" s="11">
        <f t="shared" si="72"/>
        <v>0</v>
      </c>
      <c r="X232" s="11">
        <f t="shared" si="73"/>
        <v>0</v>
      </c>
      <c r="Y232" s="11" t="str">
        <f t="shared" si="63"/>
        <v/>
      </c>
      <c r="Z232" s="13">
        <f t="shared" si="74"/>
        <v>46247</v>
      </c>
      <c r="AA232" s="10" t="str">
        <f>IF(OR($AA$116="错误",COUNTIF($G$117:G232,"待修正")&gt;0),"错误","正常")</f>
        <v>正常</v>
      </c>
      <c r="AB232" s="14">
        <f t="shared" si="75"/>
        <v>2.7686</v>
      </c>
    </row>
    <row r="233" ht="23" customHeight="1" spans="1:28">
      <c r="A233" s="15"/>
      <c r="B233" s="16"/>
      <c r="C233" s="17"/>
      <c r="D233" s="18"/>
      <c r="E233" s="19" t="str">
        <f t="shared" si="56"/>
        <v/>
      </c>
      <c r="F233" s="18"/>
      <c r="G233" s="20" t="str">
        <f t="shared" si="57"/>
        <v/>
      </c>
      <c r="H233" s="21" t="str">
        <f t="shared" si="58"/>
        <v/>
      </c>
      <c r="I233" s="10" t="str">
        <f>IF(COUNTA(A233:D233,F233)=0,"",IF(NOT(ISNUMBER(A233)),"缺少有效净值日期",IF(OR(A233&lt;=0,A233&lt;&gt;INT(A233)),"净值日期无效",IF(OR(B233="转换转入",B233="现金分红"),"该类型需实际金额，五项录入不适用",IF(NOT(OR(OR(B233="买入",B233="定投"),B233="卖出",B233="红利再投")),"请选择交易类型",IF(NOT(ISNUMBER(C233)),"缺少成交净值",IF(C233&lt;=0,"成交净值须大于零",IF(NOT(ISNUMBER(D233)),"缺少确认份额",IF(D233&lt;=0,"确认份额须大于零",IF(NOT(ISNUMBER(F233)),"缺少手续费，无费用请填 0",IF(F233&lt;0,"手续费不能为负",IF(AA232="错误","前行待修正",IF(A233&lt;Z232,"日期需按成交顺序递增",IF(AND(B233="红利再投",F233&lt;&gt;0),"红利再投手续费应填 0",IF(AND(B233="红利再投",K232&lt;=0),"红利再投前须有持仓",IF(AND(B233="卖出",D233&gt;K232+0.000001),"卖出份额超过持仓",IF(AND(B233="卖出",F233&gt;=C233*D233),"赎回费不能达到赎回总额",IF(NOT(ISNUMBER(E233)),"自动金额未生成，请检查五项输入",IF(NOT(OR(持仓总览!$C$7="利润优先",持仓总览!$C$7="本金优先")),"请选择卖出分配模式","已计入")))))))))))))))))))</f>
        <v/>
      </c>
      <c r="J233" s="11">
        <f t="shared" si="59"/>
        <v>0</v>
      </c>
      <c r="K233" s="11">
        <f t="shared" si="64"/>
        <v>34284.43</v>
      </c>
      <c r="L233" s="11" t="str">
        <f t="shared" si="65"/>
        <v/>
      </c>
      <c r="M233" s="11" t="str">
        <f t="shared" si="66"/>
        <v/>
      </c>
      <c r="N233" s="11" t="str">
        <f>IF(I233="已计入",IF(AND(B233="卖出",持仓总览!$C$7="本金优先"),MAX(0,E233-Q232),IF(OR(B233="卖出",B233="现金分红"),MIN(E233,M233),0)),"")</f>
        <v/>
      </c>
      <c r="O233" s="11" t="str">
        <f t="shared" si="67"/>
        <v/>
      </c>
      <c r="P233" s="11" t="str">
        <f t="shared" si="68"/>
        <v/>
      </c>
      <c r="Q233" s="11">
        <f t="shared" si="69"/>
        <v>82516.01</v>
      </c>
      <c r="R233" s="11" t="str">
        <f t="shared" si="60"/>
        <v/>
      </c>
      <c r="S233" s="11" t="str">
        <f t="shared" si="61"/>
        <v/>
      </c>
      <c r="T233" s="12" t="str">
        <f t="shared" si="62"/>
        <v/>
      </c>
      <c r="U233" s="11">
        <f t="shared" si="70"/>
        <v>82516.01</v>
      </c>
      <c r="V233" s="11">
        <f t="shared" si="71"/>
        <v>0</v>
      </c>
      <c r="W233" s="11">
        <f t="shared" si="72"/>
        <v>0</v>
      </c>
      <c r="X233" s="11">
        <f t="shared" si="73"/>
        <v>0</v>
      </c>
      <c r="Y233" s="11" t="str">
        <f t="shared" si="63"/>
        <v/>
      </c>
      <c r="Z233" s="13">
        <f t="shared" si="74"/>
        <v>46247</v>
      </c>
      <c r="AA233" s="10" t="str">
        <f>IF(OR($AA$116="错误",COUNTIF($G$117:G233,"待修正")&gt;0),"错误","正常")</f>
        <v>正常</v>
      </c>
      <c r="AB233" s="14">
        <f t="shared" si="75"/>
        <v>2.7686</v>
      </c>
    </row>
    <row r="234" ht="23" customHeight="1" spans="1:28">
      <c r="A234" s="15"/>
      <c r="B234" s="16"/>
      <c r="C234" s="17"/>
      <c r="D234" s="18"/>
      <c r="E234" s="19" t="str">
        <f t="shared" si="56"/>
        <v/>
      </c>
      <c r="F234" s="18"/>
      <c r="G234" s="20" t="str">
        <f t="shared" si="57"/>
        <v/>
      </c>
      <c r="H234" s="21" t="str">
        <f t="shared" si="58"/>
        <v/>
      </c>
      <c r="I234" s="10" t="str">
        <f>IF(COUNTA(A234:D234,F234)=0,"",IF(NOT(ISNUMBER(A234)),"缺少有效净值日期",IF(OR(A234&lt;=0,A234&lt;&gt;INT(A234)),"净值日期无效",IF(OR(B234="转换转入",B234="现金分红"),"该类型需实际金额，五项录入不适用",IF(NOT(OR(OR(B234="买入",B234="定投"),B234="卖出",B234="红利再投")),"请选择交易类型",IF(NOT(ISNUMBER(C234)),"缺少成交净值",IF(C234&lt;=0,"成交净值须大于零",IF(NOT(ISNUMBER(D234)),"缺少确认份额",IF(D234&lt;=0,"确认份额须大于零",IF(NOT(ISNUMBER(F234)),"缺少手续费，无费用请填 0",IF(F234&lt;0,"手续费不能为负",IF(AA233="错误","前行待修正",IF(A234&lt;Z233,"日期需按成交顺序递增",IF(AND(B234="红利再投",F234&lt;&gt;0),"红利再投手续费应填 0",IF(AND(B234="红利再投",K233&lt;=0),"红利再投前须有持仓",IF(AND(B234="卖出",D234&gt;K233+0.000001),"卖出份额超过持仓",IF(AND(B234="卖出",F234&gt;=C234*D234),"赎回费不能达到赎回总额",IF(NOT(ISNUMBER(E234)),"自动金额未生成，请检查五项输入",IF(NOT(OR(持仓总览!$C$7="利润优先",持仓总览!$C$7="本金优先")),"请选择卖出分配模式","已计入")))))))))))))))))))</f>
        <v/>
      </c>
      <c r="J234" s="11">
        <f t="shared" si="59"/>
        <v>0</v>
      </c>
      <c r="K234" s="11">
        <f t="shared" si="64"/>
        <v>34284.43</v>
      </c>
      <c r="L234" s="11" t="str">
        <f t="shared" si="65"/>
        <v/>
      </c>
      <c r="M234" s="11" t="str">
        <f t="shared" si="66"/>
        <v/>
      </c>
      <c r="N234" s="11" t="str">
        <f>IF(I234="已计入",IF(AND(B234="卖出",持仓总览!$C$7="本金优先"),MAX(0,E234-Q233),IF(OR(B234="卖出",B234="现金分红"),MIN(E234,M234),0)),"")</f>
        <v/>
      </c>
      <c r="O234" s="11" t="str">
        <f t="shared" si="67"/>
        <v/>
      </c>
      <c r="P234" s="11" t="str">
        <f t="shared" si="68"/>
        <v/>
      </c>
      <c r="Q234" s="11">
        <f t="shared" si="69"/>
        <v>82516.01</v>
      </c>
      <c r="R234" s="11" t="str">
        <f t="shared" si="60"/>
        <v/>
      </c>
      <c r="S234" s="11" t="str">
        <f t="shared" si="61"/>
        <v/>
      </c>
      <c r="T234" s="12" t="str">
        <f t="shared" si="62"/>
        <v/>
      </c>
      <c r="U234" s="11">
        <f t="shared" si="70"/>
        <v>82516.01</v>
      </c>
      <c r="V234" s="11">
        <f t="shared" si="71"/>
        <v>0</v>
      </c>
      <c r="W234" s="11">
        <f t="shared" si="72"/>
        <v>0</v>
      </c>
      <c r="X234" s="11">
        <f t="shared" si="73"/>
        <v>0</v>
      </c>
      <c r="Y234" s="11" t="str">
        <f t="shared" si="63"/>
        <v/>
      </c>
      <c r="Z234" s="13">
        <f t="shared" si="74"/>
        <v>46247</v>
      </c>
      <c r="AA234" s="10" t="str">
        <f>IF(OR($AA$116="错误",COUNTIF($G$117:G234,"待修正")&gt;0),"错误","正常")</f>
        <v>正常</v>
      </c>
      <c r="AB234" s="14">
        <f t="shared" si="75"/>
        <v>2.7686</v>
      </c>
    </row>
    <row r="235" ht="23" customHeight="1" spans="1:28">
      <c r="A235" s="15"/>
      <c r="B235" s="16"/>
      <c r="C235" s="17"/>
      <c r="D235" s="18"/>
      <c r="E235" s="19" t="str">
        <f t="shared" si="56"/>
        <v/>
      </c>
      <c r="F235" s="18"/>
      <c r="G235" s="20" t="str">
        <f t="shared" si="57"/>
        <v/>
      </c>
      <c r="H235" s="21" t="str">
        <f t="shared" si="58"/>
        <v/>
      </c>
      <c r="I235" s="10" t="str">
        <f>IF(COUNTA(A235:D235,F235)=0,"",IF(NOT(ISNUMBER(A235)),"缺少有效净值日期",IF(OR(A235&lt;=0,A235&lt;&gt;INT(A235)),"净值日期无效",IF(OR(B235="转换转入",B235="现金分红"),"该类型需实际金额，五项录入不适用",IF(NOT(OR(OR(B235="买入",B235="定投"),B235="卖出",B235="红利再投")),"请选择交易类型",IF(NOT(ISNUMBER(C235)),"缺少成交净值",IF(C235&lt;=0,"成交净值须大于零",IF(NOT(ISNUMBER(D235)),"缺少确认份额",IF(D235&lt;=0,"确认份额须大于零",IF(NOT(ISNUMBER(F235)),"缺少手续费，无费用请填 0",IF(F235&lt;0,"手续费不能为负",IF(AA234="错误","前行待修正",IF(A235&lt;Z234,"日期需按成交顺序递增",IF(AND(B235="红利再投",F235&lt;&gt;0),"红利再投手续费应填 0",IF(AND(B235="红利再投",K234&lt;=0),"红利再投前须有持仓",IF(AND(B235="卖出",D235&gt;K234+0.000001),"卖出份额超过持仓",IF(AND(B235="卖出",F235&gt;=C235*D235),"赎回费不能达到赎回总额",IF(NOT(ISNUMBER(E235)),"自动金额未生成，请检查五项输入",IF(NOT(OR(持仓总览!$C$7="利润优先",持仓总览!$C$7="本金优先")),"请选择卖出分配模式","已计入")))))))))))))))))))</f>
        <v/>
      </c>
      <c r="J235" s="11">
        <f t="shared" si="59"/>
        <v>0</v>
      </c>
      <c r="K235" s="11">
        <f t="shared" si="64"/>
        <v>34284.43</v>
      </c>
      <c r="L235" s="11" t="str">
        <f t="shared" si="65"/>
        <v/>
      </c>
      <c r="M235" s="11" t="str">
        <f t="shared" si="66"/>
        <v/>
      </c>
      <c r="N235" s="11" t="str">
        <f>IF(I235="已计入",IF(AND(B235="卖出",持仓总览!$C$7="本金优先"),MAX(0,E235-Q234),IF(OR(B235="卖出",B235="现金分红"),MIN(E235,M235),0)),"")</f>
        <v/>
      </c>
      <c r="O235" s="11" t="str">
        <f t="shared" si="67"/>
        <v/>
      </c>
      <c r="P235" s="11" t="str">
        <f t="shared" si="68"/>
        <v/>
      </c>
      <c r="Q235" s="11">
        <f t="shared" si="69"/>
        <v>82516.01</v>
      </c>
      <c r="R235" s="11" t="str">
        <f t="shared" si="60"/>
        <v/>
      </c>
      <c r="S235" s="11" t="str">
        <f t="shared" si="61"/>
        <v/>
      </c>
      <c r="T235" s="12" t="str">
        <f t="shared" si="62"/>
        <v/>
      </c>
      <c r="U235" s="11">
        <f t="shared" si="70"/>
        <v>82516.01</v>
      </c>
      <c r="V235" s="11">
        <f t="shared" si="71"/>
        <v>0</v>
      </c>
      <c r="W235" s="11">
        <f t="shared" si="72"/>
        <v>0</v>
      </c>
      <c r="X235" s="11">
        <f t="shared" si="73"/>
        <v>0</v>
      </c>
      <c r="Y235" s="11" t="str">
        <f t="shared" si="63"/>
        <v/>
      </c>
      <c r="Z235" s="13">
        <f t="shared" si="74"/>
        <v>46247</v>
      </c>
      <c r="AA235" s="10" t="str">
        <f>IF(OR($AA$116="错误",COUNTIF($G$117:G235,"待修正")&gt;0),"错误","正常")</f>
        <v>正常</v>
      </c>
      <c r="AB235" s="14">
        <f t="shared" si="75"/>
        <v>2.7686</v>
      </c>
    </row>
    <row r="236" ht="23" customHeight="1" spans="1:28">
      <c r="A236" s="15"/>
      <c r="B236" s="16"/>
      <c r="C236" s="17"/>
      <c r="D236" s="18"/>
      <c r="E236" s="19" t="str">
        <f t="shared" si="56"/>
        <v/>
      </c>
      <c r="F236" s="18"/>
      <c r="G236" s="20" t="str">
        <f t="shared" si="57"/>
        <v/>
      </c>
      <c r="H236" s="21" t="str">
        <f t="shared" si="58"/>
        <v/>
      </c>
      <c r="I236" s="10" t="str">
        <f>IF(COUNTA(A236:D236,F236)=0,"",IF(NOT(ISNUMBER(A236)),"缺少有效净值日期",IF(OR(A236&lt;=0,A236&lt;&gt;INT(A236)),"净值日期无效",IF(OR(B236="转换转入",B236="现金分红"),"该类型需实际金额，五项录入不适用",IF(NOT(OR(OR(B236="买入",B236="定投"),B236="卖出",B236="红利再投")),"请选择交易类型",IF(NOT(ISNUMBER(C236)),"缺少成交净值",IF(C236&lt;=0,"成交净值须大于零",IF(NOT(ISNUMBER(D236)),"缺少确认份额",IF(D236&lt;=0,"确认份额须大于零",IF(NOT(ISNUMBER(F236)),"缺少手续费，无费用请填 0",IF(F236&lt;0,"手续费不能为负",IF(AA235="错误","前行待修正",IF(A236&lt;Z235,"日期需按成交顺序递增",IF(AND(B236="红利再投",F236&lt;&gt;0),"红利再投手续费应填 0",IF(AND(B236="红利再投",K235&lt;=0),"红利再投前须有持仓",IF(AND(B236="卖出",D236&gt;K235+0.000001),"卖出份额超过持仓",IF(AND(B236="卖出",F236&gt;=C236*D236),"赎回费不能达到赎回总额",IF(NOT(ISNUMBER(E236)),"自动金额未生成，请检查五项输入",IF(NOT(OR(持仓总览!$C$7="利润优先",持仓总览!$C$7="本金优先")),"请选择卖出分配模式","已计入")))))))))))))))))))</f>
        <v/>
      </c>
      <c r="J236" s="11">
        <f t="shared" si="59"/>
        <v>0</v>
      </c>
      <c r="K236" s="11">
        <f t="shared" si="64"/>
        <v>34284.43</v>
      </c>
      <c r="L236" s="11" t="str">
        <f t="shared" si="65"/>
        <v/>
      </c>
      <c r="M236" s="11" t="str">
        <f t="shared" si="66"/>
        <v/>
      </c>
      <c r="N236" s="11" t="str">
        <f>IF(I236="已计入",IF(AND(B236="卖出",持仓总览!$C$7="本金优先"),MAX(0,E236-Q235),IF(OR(B236="卖出",B236="现金分红"),MIN(E236,M236),0)),"")</f>
        <v/>
      </c>
      <c r="O236" s="11" t="str">
        <f t="shared" si="67"/>
        <v/>
      </c>
      <c r="P236" s="11" t="str">
        <f t="shared" si="68"/>
        <v/>
      </c>
      <c r="Q236" s="11">
        <f t="shared" si="69"/>
        <v>82516.01</v>
      </c>
      <c r="R236" s="11" t="str">
        <f t="shared" si="60"/>
        <v/>
      </c>
      <c r="S236" s="11" t="str">
        <f t="shared" si="61"/>
        <v/>
      </c>
      <c r="T236" s="12" t="str">
        <f t="shared" si="62"/>
        <v/>
      </c>
      <c r="U236" s="11">
        <f t="shared" si="70"/>
        <v>82516.01</v>
      </c>
      <c r="V236" s="11">
        <f t="shared" si="71"/>
        <v>0</v>
      </c>
      <c r="W236" s="11">
        <f t="shared" si="72"/>
        <v>0</v>
      </c>
      <c r="X236" s="11">
        <f t="shared" si="73"/>
        <v>0</v>
      </c>
      <c r="Y236" s="11" t="str">
        <f t="shared" si="63"/>
        <v/>
      </c>
      <c r="Z236" s="13">
        <f t="shared" si="74"/>
        <v>46247</v>
      </c>
      <c r="AA236" s="10" t="str">
        <f>IF(OR($AA$116="错误",COUNTIF($G$117:G236,"待修正")&gt;0),"错误","正常")</f>
        <v>正常</v>
      </c>
      <c r="AB236" s="14">
        <f t="shared" si="75"/>
        <v>2.7686</v>
      </c>
    </row>
    <row r="237" ht="23" customHeight="1" spans="1:28">
      <c r="A237" s="15"/>
      <c r="B237" s="16"/>
      <c r="C237" s="17"/>
      <c r="D237" s="18"/>
      <c r="E237" s="19" t="str">
        <f t="shared" si="56"/>
        <v/>
      </c>
      <c r="F237" s="18"/>
      <c r="G237" s="20" t="str">
        <f t="shared" si="57"/>
        <v/>
      </c>
      <c r="H237" s="21" t="str">
        <f t="shared" si="58"/>
        <v/>
      </c>
      <c r="I237" s="10" t="str">
        <f>IF(COUNTA(A237:D237,F237)=0,"",IF(NOT(ISNUMBER(A237)),"缺少有效净值日期",IF(OR(A237&lt;=0,A237&lt;&gt;INT(A237)),"净值日期无效",IF(OR(B237="转换转入",B237="现金分红"),"该类型需实际金额，五项录入不适用",IF(NOT(OR(OR(B237="买入",B237="定投"),B237="卖出",B237="红利再投")),"请选择交易类型",IF(NOT(ISNUMBER(C237)),"缺少成交净值",IF(C237&lt;=0,"成交净值须大于零",IF(NOT(ISNUMBER(D237)),"缺少确认份额",IF(D237&lt;=0,"确认份额须大于零",IF(NOT(ISNUMBER(F237)),"缺少手续费，无费用请填 0",IF(F237&lt;0,"手续费不能为负",IF(AA236="错误","前行待修正",IF(A237&lt;Z236,"日期需按成交顺序递增",IF(AND(B237="红利再投",F237&lt;&gt;0),"红利再投手续费应填 0",IF(AND(B237="红利再投",K236&lt;=0),"红利再投前须有持仓",IF(AND(B237="卖出",D237&gt;K236+0.000001),"卖出份额超过持仓",IF(AND(B237="卖出",F237&gt;=C237*D237),"赎回费不能达到赎回总额",IF(NOT(ISNUMBER(E237)),"自动金额未生成，请检查五项输入",IF(NOT(OR(持仓总览!$C$7="利润优先",持仓总览!$C$7="本金优先")),"请选择卖出分配模式","已计入")))))))))))))))))))</f>
        <v/>
      </c>
      <c r="J237" s="11">
        <f t="shared" si="59"/>
        <v>0</v>
      </c>
      <c r="K237" s="11">
        <f t="shared" si="64"/>
        <v>34284.43</v>
      </c>
      <c r="L237" s="11" t="str">
        <f t="shared" si="65"/>
        <v/>
      </c>
      <c r="M237" s="11" t="str">
        <f t="shared" si="66"/>
        <v/>
      </c>
      <c r="N237" s="11" t="str">
        <f>IF(I237="已计入",IF(AND(B237="卖出",持仓总览!$C$7="本金优先"),MAX(0,E237-Q236),IF(OR(B237="卖出",B237="现金分红"),MIN(E237,M237),0)),"")</f>
        <v/>
      </c>
      <c r="O237" s="11" t="str">
        <f t="shared" si="67"/>
        <v/>
      </c>
      <c r="P237" s="11" t="str">
        <f t="shared" si="68"/>
        <v/>
      </c>
      <c r="Q237" s="11">
        <f t="shared" si="69"/>
        <v>82516.01</v>
      </c>
      <c r="R237" s="11" t="str">
        <f t="shared" si="60"/>
        <v/>
      </c>
      <c r="S237" s="11" t="str">
        <f t="shared" si="61"/>
        <v/>
      </c>
      <c r="T237" s="12" t="str">
        <f t="shared" si="62"/>
        <v/>
      </c>
      <c r="U237" s="11">
        <f t="shared" si="70"/>
        <v>82516.01</v>
      </c>
      <c r="V237" s="11">
        <f t="shared" si="71"/>
        <v>0</v>
      </c>
      <c r="W237" s="11">
        <f t="shared" si="72"/>
        <v>0</v>
      </c>
      <c r="X237" s="11">
        <f t="shared" si="73"/>
        <v>0</v>
      </c>
      <c r="Y237" s="11" t="str">
        <f t="shared" si="63"/>
        <v/>
      </c>
      <c r="Z237" s="13">
        <f t="shared" si="74"/>
        <v>46247</v>
      </c>
      <c r="AA237" s="10" t="str">
        <f>IF(OR($AA$116="错误",COUNTIF($G$117:G237,"待修正")&gt;0),"错误","正常")</f>
        <v>正常</v>
      </c>
      <c r="AB237" s="14">
        <f t="shared" si="75"/>
        <v>2.7686</v>
      </c>
    </row>
    <row r="238" ht="23" customHeight="1" spans="1:28">
      <c r="A238" s="15"/>
      <c r="B238" s="16"/>
      <c r="C238" s="17"/>
      <c r="D238" s="18"/>
      <c r="E238" s="19" t="str">
        <f t="shared" si="56"/>
        <v/>
      </c>
      <c r="F238" s="18"/>
      <c r="G238" s="20" t="str">
        <f t="shared" si="57"/>
        <v/>
      </c>
      <c r="H238" s="21" t="str">
        <f t="shared" si="58"/>
        <v/>
      </c>
      <c r="I238" s="10" t="str">
        <f>IF(COUNTA(A238:D238,F238)=0,"",IF(NOT(ISNUMBER(A238)),"缺少有效净值日期",IF(OR(A238&lt;=0,A238&lt;&gt;INT(A238)),"净值日期无效",IF(OR(B238="转换转入",B238="现金分红"),"该类型需实际金额，五项录入不适用",IF(NOT(OR(OR(B238="买入",B238="定投"),B238="卖出",B238="红利再投")),"请选择交易类型",IF(NOT(ISNUMBER(C238)),"缺少成交净值",IF(C238&lt;=0,"成交净值须大于零",IF(NOT(ISNUMBER(D238)),"缺少确认份额",IF(D238&lt;=0,"确认份额须大于零",IF(NOT(ISNUMBER(F238)),"缺少手续费，无费用请填 0",IF(F238&lt;0,"手续费不能为负",IF(AA237="错误","前行待修正",IF(A238&lt;Z237,"日期需按成交顺序递增",IF(AND(B238="红利再投",F238&lt;&gt;0),"红利再投手续费应填 0",IF(AND(B238="红利再投",K237&lt;=0),"红利再投前须有持仓",IF(AND(B238="卖出",D238&gt;K237+0.000001),"卖出份额超过持仓",IF(AND(B238="卖出",F238&gt;=C238*D238),"赎回费不能达到赎回总额",IF(NOT(ISNUMBER(E238)),"自动金额未生成，请检查五项输入",IF(NOT(OR(持仓总览!$C$7="利润优先",持仓总览!$C$7="本金优先")),"请选择卖出分配模式","已计入")))))))))))))))))))</f>
        <v/>
      </c>
      <c r="J238" s="11">
        <f t="shared" si="59"/>
        <v>0</v>
      </c>
      <c r="K238" s="11">
        <f t="shared" si="64"/>
        <v>34284.43</v>
      </c>
      <c r="L238" s="11" t="str">
        <f t="shared" si="65"/>
        <v/>
      </c>
      <c r="M238" s="11" t="str">
        <f t="shared" si="66"/>
        <v/>
      </c>
      <c r="N238" s="11" t="str">
        <f>IF(I238="已计入",IF(AND(B238="卖出",持仓总览!$C$7="本金优先"),MAX(0,E238-Q237),IF(OR(B238="卖出",B238="现金分红"),MIN(E238,M238),0)),"")</f>
        <v/>
      </c>
      <c r="O238" s="11" t="str">
        <f t="shared" si="67"/>
        <v/>
      </c>
      <c r="P238" s="11" t="str">
        <f t="shared" si="68"/>
        <v/>
      </c>
      <c r="Q238" s="11">
        <f t="shared" si="69"/>
        <v>82516.01</v>
      </c>
      <c r="R238" s="11" t="str">
        <f t="shared" si="60"/>
        <v/>
      </c>
      <c r="S238" s="11" t="str">
        <f t="shared" si="61"/>
        <v/>
      </c>
      <c r="T238" s="12" t="str">
        <f t="shared" si="62"/>
        <v/>
      </c>
      <c r="U238" s="11">
        <f t="shared" si="70"/>
        <v>82516.01</v>
      </c>
      <c r="V238" s="11">
        <f t="shared" si="71"/>
        <v>0</v>
      </c>
      <c r="W238" s="11">
        <f t="shared" si="72"/>
        <v>0</v>
      </c>
      <c r="X238" s="11">
        <f t="shared" si="73"/>
        <v>0</v>
      </c>
      <c r="Y238" s="11" t="str">
        <f t="shared" si="63"/>
        <v/>
      </c>
      <c r="Z238" s="13">
        <f t="shared" si="74"/>
        <v>46247</v>
      </c>
      <c r="AA238" s="10" t="str">
        <f>IF(OR($AA$116="错误",COUNTIF($G$117:G238,"待修正")&gt;0),"错误","正常")</f>
        <v>正常</v>
      </c>
      <c r="AB238" s="14">
        <f t="shared" si="75"/>
        <v>2.7686</v>
      </c>
    </row>
    <row r="239" ht="23" customHeight="1" spans="1:28">
      <c r="A239" s="15"/>
      <c r="B239" s="16"/>
      <c r="C239" s="17"/>
      <c r="D239" s="18"/>
      <c r="E239" s="19" t="str">
        <f t="shared" si="56"/>
        <v/>
      </c>
      <c r="F239" s="18"/>
      <c r="G239" s="20" t="str">
        <f t="shared" si="57"/>
        <v/>
      </c>
      <c r="H239" s="21" t="str">
        <f t="shared" si="58"/>
        <v/>
      </c>
      <c r="I239" s="10" t="str">
        <f>IF(COUNTA(A239:D239,F239)=0,"",IF(NOT(ISNUMBER(A239)),"缺少有效净值日期",IF(OR(A239&lt;=0,A239&lt;&gt;INT(A239)),"净值日期无效",IF(OR(B239="转换转入",B239="现金分红"),"该类型需实际金额，五项录入不适用",IF(NOT(OR(OR(B239="买入",B239="定投"),B239="卖出",B239="红利再投")),"请选择交易类型",IF(NOT(ISNUMBER(C239)),"缺少成交净值",IF(C239&lt;=0,"成交净值须大于零",IF(NOT(ISNUMBER(D239)),"缺少确认份额",IF(D239&lt;=0,"确认份额须大于零",IF(NOT(ISNUMBER(F239)),"缺少手续费，无费用请填 0",IF(F239&lt;0,"手续费不能为负",IF(AA238="错误","前行待修正",IF(A239&lt;Z238,"日期需按成交顺序递增",IF(AND(B239="红利再投",F239&lt;&gt;0),"红利再投手续费应填 0",IF(AND(B239="红利再投",K238&lt;=0),"红利再投前须有持仓",IF(AND(B239="卖出",D239&gt;K238+0.000001),"卖出份额超过持仓",IF(AND(B239="卖出",F239&gt;=C239*D239),"赎回费不能达到赎回总额",IF(NOT(ISNUMBER(E239)),"自动金额未生成，请检查五项输入",IF(NOT(OR(持仓总览!$C$7="利润优先",持仓总览!$C$7="本金优先")),"请选择卖出分配模式","已计入")))))))))))))))))))</f>
        <v/>
      </c>
      <c r="J239" s="11">
        <f t="shared" si="59"/>
        <v>0</v>
      </c>
      <c r="K239" s="11">
        <f t="shared" si="64"/>
        <v>34284.43</v>
      </c>
      <c r="L239" s="11" t="str">
        <f t="shared" si="65"/>
        <v/>
      </c>
      <c r="M239" s="11" t="str">
        <f t="shared" si="66"/>
        <v/>
      </c>
      <c r="N239" s="11" t="str">
        <f>IF(I239="已计入",IF(AND(B239="卖出",持仓总览!$C$7="本金优先"),MAX(0,E239-Q238),IF(OR(B239="卖出",B239="现金分红"),MIN(E239,M239),0)),"")</f>
        <v/>
      </c>
      <c r="O239" s="11" t="str">
        <f t="shared" si="67"/>
        <v/>
      </c>
      <c r="P239" s="11" t="str">
        <f t="shared" si="68"/>
        <v/>
      </c>
      <c r="Q239" s="11">
        <f t="shared" si="69"/>
        <v>82516.01</v>
      </c>
      <c r="R239" s="11" t="str">
        <f t="shared" si="60"/>
        <v/>
      </c>
      <c r="S239" s="11" t="str">
        <f t="shared" si="61"/>
        <v/>
      </c>
      <c r="T239" s="12" t="str">
        <f t="shared" si="62"/>
        <v/>
      </c>
      <c r="U239" s="11">
        <f t="shared" si="70"/>
        <v>82516.01</v>
      </c>
      <c r="V239" s="11">
        <f t="shared" si="71"/>
        <v>0</v>
      </c>
      <c r="W239" s="11">
        <f t="shared" si="72"/>
        <v>0</v>
      </c>
      <c r="X239" s="11">
        <f t="shared" si="73"/>
        <v>0</v>
      </c>
      <c r="Y239" s="11" t="str">
        <f t="shared" si="63"/>
        <v/>
      </c>
      <c r="Z239" s="13">
        <f t="shared" si="74"/>
        <v>46247</v>
      </c>
      <c r="AA239" s="10" t="str">
        <f>IF(OR($AA$116="错误",COUNTIF($G$117:G239,"待修正")&gt;0),"错误","正常")</f>
        <v>正常</v>
      </c>
      <c r="AB239" s="14">
        <f t="shared" si="75"/>
        <v>2.7686</v>
      </c>
    </row>
    <row r="240" ht="23" customHeight="1" spans="1:28">
      <c r="A240" s="15"/>
      <c r="B240" s="16"/>
      <c r="C240" s="17"/>
      <c r="D240" s="18"/>
      <c r="E240" s="19" t="str">
        <f t="shared" si="56"/>
        <v/>
      </c>
      <c r="F240" s="18"/>
      <c r="G240" s="20" t="str">
        <f t="shared" si="57"/>
        <v/>
      </c>
      <c r="H240" s="21" t="str">
        <f t="shared" si="58"/>
        <v/>
      </c>
      <c r="I240" s="10" t="str">
        <f>IF(COUNTA(A240:D240,F240)=0,"",IF(NOT(ISNUMBER(A240)),"缺少有效净值日期",IF(OR(A240&lt;=0,A240&lt;&gt;INT(A240)),"净值日期无效",IF(OR(B240="转换转入",B240="现金分红"),"该类型需实际金额，五项录入不适用",IF(NOT(OR(OR(B240="买入",B240="定投"),B240="卖出",B240="红利再投")),"请选择交易类型",IF(NOT(ISNUMBER(C240)),"缺少成交净值",IF(C240&lt;=0,"成交净值须大于零",IF(NOT(ISNUMBER(D240)),"缺少确认份额",IF(D240&lt;=0,"确认份额须大于零",IF(NOT(ISNUMBER(F240)),"缺少手续费，无费用请填 0",IF(F240&lt;0,"手续费不能为负",IF(AA239="错误","前行待修正",IF(A240&lt;Z239,"日期需按成交顺序递增",IF(AND(B240="红利再投",F240&lt;&gt;0),"红利再投手续费应填 0",IF(AND(B240="红利再投",K239&lt;=0),"红利再投前须有持仓",IF(AND(B240="卖出",D240&gt;K239+0.000001),"卖出份额超过持仓",IF(AND(B240="卖出",F240&gt;=C240*D240),"赎回费不能达到赎回总额",IF(NOT(ISNUMBER(E240)),"自动金额未生成，请检查五项输入",IF(NOT(OR(持仓总览!$C$7="利润优先",持仓总览!$C$7="本金优先")),"请选择卖出分配模式","已计入")))))))))))))))))))</f>
        <v/>
      </c>
      <c r="J240" s="11">
        <f t="shared" si="59"/>
        <v>0</v>
      </c>
      <c r="K240" s="11">
        <f t="shared" si="64"/>
        <v>34284.43</v>
      </c>
      <c r="L240" s="11" t="str">
        <f t="shared" si="65"/>
        <v/>
      </c>
      <c r="M240" s="11" t="str">
        <f t="shared" si="66"/>
        <v/>
      </c>
      <c r="N240" s="11" t="str">
        <f>IF(I240="已计入",IF(AND(B240="卖出",持仓总览!$C$7="本金优先"),MAX(0,E240-Q239),IF(OR(B240="卖出",B240="现金分红"),MIN(E240,M240),0)),"")</f>
        <v/>
      </c>
      <c r="O240" s="11" t="str">
        <f t="shared" si="67"/>
        <v/>
      </c>
      <c r="P240" s="11" t="str">
        <f t="shared" si="68"/>
        <v/>
      </c>
      <c r="Q240" s="11">
        <f t="shared" si="69"/>
        <v>82516.01</v>
      </c>
      <c r="R240" s="11" t="str">
        <f t="shared" si="60"/>
        <v/>
      </c>
      <c r="S240" s="11" t="str">
        <f t="shared" si="61"/>
        <v/>
      </c>
      <c r="T240" s="12" t="str">
        <f t="shared" si="62"/>
        <v/>
      </c>
      <c r="U240" s="11">
        <f t="shared" si="70"/>
        <v>82516.01</v>
      </c>
      <c r="V240" s="11">
        <f t="shared" si="71"/>
        <v>0</v>
      </c>
      <c r="W240" s="11">
        <f t="shared" si="72"/>
        <v>0</v>
      </c>
      <c r="X240" s="11">
        <f t="shared" si="73"/>
        <v>0</v>
      </c>
      <c r="Y240" s="11" t="str">
        <f t="shared" si="63"/>
        <v/>
      </c>
      <c r="Z240" s="13">
        <f t="shared" si="74"/>
        <v>46247</v>
      </c>
      <c r="AA240" s="10" t="str">
        <f>IF(OR($AA$116="错误",COUNTIF($G$117:G240,"待修正")&gt;0),"错误","正常")</f>
        <v>正常</v>
      </c>
      <c r="AB240" s="14">
        <f t="shared" si="75"/>
        <v>2.7686</v>
      </c>
    </row>
    <row r="241" ht="23" customHeight="1" spans="1:28">
      <c r="A241" s="15"/>
      <c r="B241" s="16"/>
      <c r="C241" s="17"/>
      <c r="D241" s="18"/>
      <c r="E241" s="19" t="str">
        <f t="shared" si="56"/>
        <v/>
      </c>
      <c r="F241" s="18"/>
      <c r="G241" s="20" t="str">
        <f t="shared" si="57"/>
        <v/>
      </c>
      <c r="H241" s="21" t="str">
        <f t="shared" si="58"/>
        <v/>
      </c>
      <c r="I241" s="10" t="str">
        <f>IF(COUNTA(A241:D241,F241)=0,"",IF(NOT(ISNUMBER(A241)),"缺少有效净值日期",IF(OR(A241&lt;=0,A241&lt;&gt;INT(A241)),"净值日期无效",IF(OR(B241="转换转入",B241="现金分红"),"该类型需实际金额，五项录入不适用",IF(NOT(OR(OR(B241="买入",B241="定投"),B241="卖出",B241="红利再投")),"请选择交易类型",IF(NOT(ISNUMBER(C241)),"缺少成交净值",IF(C241&lt;=0,"成交净值须大于零",IF(NOT(ISNUMBER(D241)),"缺少确认份额",IF(D241&lt;=0,"确认份额须大于零",IF(NOT(ISNUMBER(F241)),"缺少手续费，无费用请填 0",IF(F241&lt;0,"手续费不能为负",IF(AA240="错误","前行待修正",IF(A241&lt;Z240,"日期需按成交顺序递增",IF(AND(B241="红利再投",F241&lt;&gt;0),"红利再投手续费应填 0",IF(AND(B241="红利再投",K240&lt;=0),"红利再投前须有持仓",IF(AND(B241="卖出",D241&gt;K240+0.000001),"卖出份额超过持仓",IF(AND(B241="卖出",F241&gt;=C241*D241),"赎回费不能达到赎回总额",IF(NOT(ISNUMBER(E241)),"自动金额未生成，请检查五项输入",IF(NOT(OR(持仓总览!$C$7="利润优先",持仓总览!$C$7="本金优先")),"请选择卖出分配模式","已计入")))))))))))))))))))</f>
        <v/>
      </c>
      <c r="J241" s="11">
        <f t="shared" si="59"/>
        <v>0</v>
      </c>
      <c r="K241" s="11">
        <f t="shared" si="64"/>
        <v>34284.43</v>
      </c>
      <c r="L241" s="11" t="str">
        <f t="shared" si="65"/>
        <v/>
      </c>
      <c r="M241" s="11" t="str">
        <f t="shared" si="66"/>
        <v/>
      </c>
      <c r="N241" s="11" t="str">
        <f>IF(I241="已计入",IF(AND(B241="卖出",持仓总览!$C$7="本金优先"),MAX(0,E241-Q240),IF(OR(B241="卖出",B241="现金分红"),MIN(E241,M241),0)),"")</f>
        <v/>
      </c>
      <c r="O241" s="11" t="str">
        <f t="shared" si="67"/>
        <v/>
      </c>
      <c r="P241" s="11" t="str">
        <f t="shared" si="68"/>
        <v/>
      </c>
      <c r="Q241" s="11">
        <f t="shared" si="69"/>
        <v>82516.01</v>
      </c>
      <c r="R241" s="11" t="str">
        <f t="shared" si="60"/>
        <v/>
      </c>
      <c r="S241" s="11" t="str">
        <f t="shared" si="61"/>
        <v/>
      </c>
      <c r="T241" s="12" t="str">
        <f t="shared" si="62"/>
        <v/>
      </c>
      <c r="U241" s="11">
        <f t="shared" si="70"/>
        <v>82516.01</v>
      </c>
      <c r="V241" s="11">
        <f t="shared" si="71"/>
        <v>0</v>
      </c>
      <c r="W241" s="11">
        <f t="shared" si="72"/>
        <v>0</v>
      </c>
      <c r="X241" s="11">
        <f t="shared" si="73"/>
        <v>0</v>
      </c>
      <c r="Y241" s="11" t="str">
        <f t="shared" si="63"/>
        <v/>
      </c>
      <c r="Z241" s="13">
        <f t="shared" si="74"/>
        <v>46247</v>
      </c>
      <c r="AA241" s="10" t="str">
        <f>IF(OR($AA$116="错误",COUNTIF($G$117:G241,"待修正")&gt;0),"错误","正常")</f>
        <v>正常</v>
      </c>
      <c r="AB241" s="14">
        <f t="shared" si="75"/>
        <v>2.7686</v>
      </c>
    </row>
    <row r="242" ht="23" customHeight="1" spans="1:28">
      <c r="A242" s="15"/>
      <c r="B242" s="16"/>
      <c r="C242" s="17"/>
      <c r="D242" s="18"/>
      <c r="E242" s="19" t="str">
        <f t="shared" si="56"/>
        <v/>
      </c>
      <c r="F242" s="18"/>
      <c r="G242" s="20" t="str">
        <f t="shared" si="57"/>
        <v/>
      </c>
      <c r="H242" s="21" t="str">
        <f t="shared" si="58"/>
        <v/>
      </c>
      <c r="I242" s="10" t="str">
        <f>IF(COUNTA(A242:D242,F242)=0,"",IF(NOT(ISNUMBER(A242)),"缺少有效净值日期",IF(OR(A242&lt;=0,A242&lt;&gt;INT(A242)),"净值日期无效",IF(OR(B242="转换转入",B242="现金分红"),"该类型需实际金额，五项录入不适用",IF(NOT(OR(OR(B242="买入",B242="定投"),B242="卖出",B242="红利再投")),"请选择交易类型",IF(NOT(ISNUMBER(C242)),"缺少成交净值",IF(C242&lt;=0,"成交净值须大于零",IF(NOT(ISNUMBER(D242)),"缺少确认份额",IF(D242&lt;=0,"确认份额须大于零",IF(NOT(ISNUMBER(F242)),"缺少手续费，无费用请填 0",IF(F242&lt;0,"手续费不能为负",IF(AA241="错误","前行待修正",IF(A242&lt;Z241,"日期需按成交顺序递增",IF(AND(B242="红利再投",F242&lt;&gt;0),"红利再投手续费应填 0",IF(AND(B242="红利再投",K241&lt;=0),"红利再投前须有持仓",IF(AND(B242="卖出",D242&gt;K241+0.000001),"卖出份额超过持仓",IF(AND(B242="卖出",F242&gt;=C242*D242),"赎回费不能达到赎回总额",IF(NOT(ISNUMBER(E242)),"自动金额未生成，请检查五项输入",IF(NOT(OR(持仓总览!$C$7="利润优先",持仓总览!$C$7="本金优先")),"请选择卖出分配模式","已计入")))))))))))))))))))</f>
        <v/>
      </c>
      <c r="J242" s="11">
        <f t="shared" si="59"/>
        <v>0</v>
      </c>
      <c r="K242" s="11">
        <f t="shared" si="64"/>
        <v>34284.43</v>
      </c>
      <c r="L242" s="11" t="str">
        <f t="shared" si="65"/>
        <v/>
      </c>
      <c r="M242" s="11" t="str">
        <f t="shared" si="66"/>
        <v/>
      </c>
      <c r="N242" s="11" t="str">
        <f>IF(I242="已计入",IF(AND(B242="卖出",持仓总览!$C$7="本金优先"),MAX(0,E242-Q241),IF(OR(B242="卖出",B242="现金分红"),MIN(E242,M242),0)),"")</f>
        <v/>
      </c>
      <c r="O242" s="11" t="str">
        <f t="shared" si="67"/>
        <v/>
      </c>
      <c r="P242" s="11" t="str">
        <f t="shared" si="68"/>
        <v/>
      </c>
      <c r="Q242" s="11">
        <f t="shared" si="69"/>
        <v>82516.01</v>
      </c>
      <c r="R242" s="11" t="str">
        <f t="shared" si="60"/>
        <v/>
      </c>
      <c r="S242" s="11" t="str">
        <f t="shared" si="61"/>
        <v/>
      </c>
      <c r="T242" s="12" t="str">
        <f t="shared" si="62"/>
        <v/>
      </c>
      <c r="U242" s="11">
        <f t="shared" si="70"/>
        <v>82516.01</v>
      </c>
      <c r="V242" s="11">
        <f t="shared" si="71"/>
        <v>0</v>
      </c>
      <c r="W242" s="11">
        <f t="shared" si="72"/>
        <v>0</v>
      </c>
      <c r="X242" s="11">
        <f t="shared" si="73"/>
        <v>0</v>
      </c>
      <c r="Y242" s="11" t="str">
        <f t="shared" si="63"/>
        <v/>
      </c>
      <c r="Z242" s="13">
        <f t="shared" si="74"/>
        <v>46247</v>
      </c>
      <c r="AA242" s="10" t="str">
        <f>IF(OR($AA$116="错误",COUNTIF($G$117:G242,"待修正")&gt;0),"错误","正常")</f>
        <v>正常</v>
      </c>
      <c r="AB242" s="14">
        <f t="shared" si="75"/>
        <v>2.7686</v>
      </c>
    </row>
    <row r="243" ht="23" customHeight="1" spans="1:28">
      <c r="A243" s="15"/>
      <c r="B243" s="16"/>
      <c r="C243" s="17"/>
      <c r="D243" s="18"/>
      <c r="E243" s="19" t="str">
        <f t="shared" si="56"/>
        <v/>
      </c>
      <c r="F243" s="18"/>
      <c r="G243" s="20" t="str">
        <f t="shared" si="57"/>
        <v/>
      </c>
      <c r="H243" s="21" t="str">
        <f t="shared" si="58"/>
        <v/>
      </c>
      <c r="I243" s="10" t="str">
        <f>IF(COUNTA(A243:D243,F243)=0,"",IF(NOT(ISNUMBER(A243)),"缺少有效净值日期",IF(OR(A243&lt;=0,A243&lt;&gt;INT(A243)),"净值日期无效",IF(OR(B243="转换转入",B243="现金分红"),"该类型需实际金额，五项录入不适用",IF(NOT(OR(OR(B243="买入",B243="定投"),B243="卖出",B243="红利再投")),"请选择交易类型",IF(NOT(ISNUMBER(C243)),"缺少成交净值",IF(C243&lt;=0,"成交净值须大于零",IF(NOT(ISNUMBER(D243)),"缺少确认份额",IF(D243&lt;=0,"确认份额须大于零",IF(NOT(ISNUMBER(F243)),"缺少手续费，无费用请填 0",IF(F243&lt;0,"手续费不能为负",IF(AA242="错误","前行待修正",IF(A243&lt;Z242,"日期需按成交顺序递增",IF(AND(B243="红利再投",F243&lt;&gt;0),"红利再投手续费应填 0",IF(AND(B243="红利再投",K242&lt;=0),"红利再投前须有持仓",IF(AND(B243="卖出",D243&gt;K242+0.000001),"卖出份额超过持仓",IF(AND(B243="卖出",F243&gt;=C243*D243),"赎回费不能达到赎回总额",IF(NOT(ISNUMBER(E243)),"自动金额未生成，请检查五项输入",IF(NOT(OR(持仓总览!$C$7="利润优先",持仓总览!$C$7="本金优先")),"请选择卖出分配模式","已计入")))))))))))))))))))</f>
        <v/>
      </c>
      <c r="J243" s="11">
        <f t="shared" si="59"/>
        <v>0</v>
      </c>
      <c r="K243" s="11">
        <f t="shared" si="64"/>
        <v>34284.43</v>
      </c>
      <c r="L243" s="11" t="str">
        <f t="shared" si="65"/>
        <v/>
      </c>
      <c r="M243" s="11" t="str">
        <f t="shared" si="66"/>
        <v/>
      </c>
      <c r="N243" s="11" t="str">
        <f>IF(I243="已计入",IF(AND(B243="卖出",持仓总览!$C$7="本金优先"),MAX(0,E243-Q242),IF(OR(B243="卖出",B243="现金分红"),MIN(E243,M243),0)),"")</f>
        <v/>
      </c>
      <c r="O243" s="11" t="str">
        <f t="shared" si="67"/>
        <v/>
      </c>
      <c r="P243" s="11" t="str">
        <f t="shared" si="68"/>
        <v/>
      </c>
      <c r="Q243" s="11">
        <f t="shared" si="69"/>
        <v>82516.01</v>
      </c>
      <c r="R243" s="11" t="str">
        <f t="shared" si="60"/>
        <v/>
      </c>
      <c r="S243" s="11" t="str">
        <f t="shared" si="61"/>
        <v/>
      </c>
      <c r="T243" s="12" t="str">
        <f t="shared" si="62"/>
        <v/>
      </c>
      <c r="U243" s="11">
        <f t="shared" si="70"/>
        <v>82516.01</v>
      </c>
      <c r="V243" s="11">
        <f t="shared" si="71"/>
        <v>0</v>
      </c>
      <c r="W243" s="11">
        <f t="shared" si="72"/>
        <v>0</v>
      </c>
      <c r="X243" s="11">
        <f t="shared" si="73"/>
        <v>0</v>
      </c>
      <c r="Y243" s="11" t="str">
        <f t="shared" si="63"/>
        <v/>
      </c>
      <c r="Z243" s="13">
        <f t="shared" si="74"/>
        <v>46247</v>
      </c>
      <c r="AA243" s="10" t="str">
        <f>IF(OR($AA$116="错误",COUNTIF($G$117:G243,"待修正")&gt;0),"错误","正常")</f>
        <v>正常</v>
      </c>
      <c r="AB243" s="14">
        <f t="shared" si="75"/>
        <v>2.7686</v>
      </c>
    </row>
    <row r="244" ht="23" customHeight="1" spans="1:28">
      <c r="A244" s="15"/>
      <c r="B244" s="16"/>
      <c r="C244" s="17"/>
      <c r="D244" s="18"/>
      <c r="E244" s="19" t="str">
        <f t="shared" si="56"/>
        <v/>
      </c>
      <c r="F244" s="18"/>
      <c r="G244" s="20" t="str">
        <f t="shared" si="57"/>
        <v/>
      </c>
      <c r="H244" s="21" t="str">
        <f t="shared" si="58"/>
        <v/>
      </c>
      <c r="I244" s="10" t="str">
        <f>IF(COUNTA(A244:D244,F244)=0,"",IF(NOT(ISNUMBER(A244)),"缺少有效净值日期",IF(OR(A244&lt;=0,A244&lt;&gt;INT(A244)),"净值日期无效",IF(OR(B244="转换转入",B244="现金分红"),"该类型需实际金额，五项录入不适用",IF(NOT(OR(OR(B244="买入",B244="定投"),B244="卖出",B244="红利再投")),"请选择交易类型",IF(NOT(ISNUMBER(C244)),"缺少成交净值",IF(C244&lt;=0,"成交净值须大于零",IF(NOT(ISNUMBER(D244)),"缺少确认份额",IF(D244&lt;=0,"确认份额须大于零",IF(NOT(ISNUMBER(F244)),"缺少手续费，无费用请填 0",IF(F244&lt;0,"手续费不能为负",IF(AA243="错误","前行待修正",IF(A244&lt;Z243,"日期需按成交顺序递增",IF(AND(B244="红利再投",F244&lt;&gt;0),"红利再投手续费应填 0",IF(AND(B244="红利再投",K243&lt;=0),"红利再投前须有持仓",IF(AND(B244="卖出",D244&gt;K243+0.000001),"卖出份额超过持仓",IF(AND(B244="卖出",F244&gt;=C244*D244),"赎回费不能达到赎回总额",IF(NOT(ISNUMBER(E244)),"自动金额未生成，请检查五项输入",IF(NOT(OR(持仓总览!$C$7="利润优先",持仓总览!$C$7="本金优先")),"请选择卖出分配模式","已计入")))))))))))))))))))</f>
        <v/>
      </c>
      <c r="J244" s="11">
        <f t="shared" si="59"/>
        <v>0</v>
      </c>
      <c r="K244" s="11">
        <f t="shared" si="64"/>
        <v>34284.43</v>
      </c>
      <c r="L244" s="11" t="str">
        <f t="shared" si="65"/>
        <v/>
      </c>
      <c r="M244" s="11" t="str">
        <f t="shared" si="66"/>
        <v/>
      </c>
      <c r="N244" s="11" t="str">
        <f>IF(I244="已计入",IF(AND(B244="卖出",持仓总览!$C$7="本金优先"),MAX(0,E244-Q243),IF(OR(B244="卖出",B244="现金分红"),MIN(E244,M244),0)),"")</f>
        <v/>
      </c>
      <c r="O244" s="11" t="str">
        <f t="shared" si="67"/>
        <v/>
      </c>
      <c r="P244" s="11" t="str">
        <f t="shared" si="68"/>
        <v/>
      </c>
      <c r="Q244" s="11">
        <f t="shared" si="69"/>
        <v>82516.01</v>
      </c>
      <c r="R244" s="11" t="str">
        <f t="shared" si="60"/>
        <v/>
      </c>
      <c r="S244" s="11" t="str">
        <f t="shared" si="61"/>
        <v/>
      </c>
      <c r="T244" s="12" t="str">
        <f t="shared" si="62"/>
        <v/>
      </c>
      <c r="U244" s="11">
        <f t="shared" si="70"/>
        <v>82516.01</v>
      </c>
      <c r="V244" s="11">
        <f t="shared" si="71"/>
        <v>0</v>
      </c>
      <c r="W244" s="11">
        <f t="shared" si="72"/>
        <v>0</v>
      </c>
      <c r="X244" s="11">
        <f t="shared" si="73"/>
        <v>0</v>
      </c>
      <c r="Y244" s="11" t="str">
        <f t="shared" si="63"/>
        <v/>
      </c>
      <c r="Z244" s="13">
        <f t="shared" si="74"/>
        <v>46247</v>
      </c>
      <c r="AA244" s="10" t="str">
        <f>IF(OR($AA$116="错误",COUNTIF($G$117:G244,"待修正")&gt;0),"错误","正常")</f>
        <v>正常</v>
      </c>
      <c r="AB244" s="14">
        <f t="shared" si="75"/>
        <v>2.7686</v>
      </c>
    </row>
    <row r="245" ht="23" customHeight="1" spans="1:28">
      <c r="A245" s="15"/>
      <c r="B245" s="16"/>
      <c r="C245" s="17"/>
      <c r="D245" s="18"/>
      <c r="E245" s="19" t="str">
        <f t="shared" ref="E245:E308" si="76">IF(AND(ISNUMBER(C245),ISNUMBER(D245),ISNUMBER(F245)),IF(OR(B245="买入",B245="定投"),ROUND(C245*D245+F245,2),IF(B245="卖出",ROUND(C245*D245-F245,2),IF(B245="红利再投",0,""))),"")</f>
        <v/>
      </c>
      <c r="F245" s="18"/>
      <c r="G245" s="20" t="str">
        <f t="shared" ref="G245:G308" si="77">IF(COUNTA(A245:D245,F245)=0,"",IF(I245="已计入","已录入","待修正"))</f>
        <v/>
      </c>
      <c r="H245" s="21" t="str">
        <f t="shared" ref="H245:H308" si="78">IF(COUNTA(A245:D245,F245)=0,"",IF(B245="红利再投","仅增加份额，不增加现金投入","金额由份额、净值和手续费推算"))</f>
        <v/>
      </c>
      <c r="I245" s="10" t="str">
        <f>IF(COUNTA(A245:D245,F245)=0,"",IF(NOT(ISNUMBER(A245)),"缺少有效净值日期",IF(OR(A245&lt;=0,A245&lt;&gt;INT(A245)),"净值日期无效",IF(OR(B245="转换转入",B245="现金分红"),"该类型需实际金额，五项录入不适用",IF(NOT(OR(OR(B245="买入",B245="定投"),B245="卖出",B245="红利再投")),"请选择交易类型",IF(NOT(ISNUMBER(C245)),"缺少成交净值",IF(C245&lt;=0,"成交净值须大于零",IF(NOT(ISNUMBER(D245)),"缺少确认份额",IF(D245&lt;=0,"确认份额须大于零",IF(NOT(ISNUMBER(F245)),"缺少手续费，无费用请填 0",IF(F245&lt;0,"手续费不能为负",IF(AA244="错误","前行待修正",IF(A245&lt;Z244,"日期需按成交顺序递增",IF(AND(B245="红利再投",F245&lt;&gt;0),"红利再投手续费应填 0",IF(AND(B245="红利再投",K244&lt;=0),"红利再投前须有持仓",IF(AND(B245="卖出",D245&gt;K244+0.000001),"卖出份额超过持仓",IF(AND(B245="卖出",F245&gt;=C245*D245),"赎回费不能达到赎回总额",IF(NOT(ISNUMBER(E245)),"自动金额未生成，请检查五项输入",IF(NOT(OR(持仓总览!$C$7="利润优先",持仓总览!$C$7="本金优先")),"请选择卖出分配模式","已计入")))))))))))))))))))</f>
        <v/>
      </c>
      <c r="J245" s="11">
        <f t="shared" si="59"/>
        <v>0</v>
      </c>
      <c r="K245" s="11">
        <f t="shared" si="64"/>
        <v>34284.43</v>
      </c>
      <c r="L245" s="11" t="str">
        <f t="shared" si="65"/>
        <v/>
      </c>
      <c r="M245" s="11" t="str">
        <f t="shared" si="66"/>
        <v/>
      </c>
      <c r="N245" s="11" t="str">
        <f>IF(I245="已计入",IF(AND(B245="卖出",持仓总览!$C$7="本金优先"),MAX(0,E245-Q244),IF(OR(B245="卖出",B245="现金分红"),MIN(E245,M245),0)),"")</f>
        <v/>
      </c>
      <c r="O245" s="11" t="str">
        <f t="shared" si="67"/>
        <v/>
      </c>
      <c r="P245" s="11" t="str">
        <f t="shared" si="68"/>
        <v/>
      </c>
      <c r="Q245" s="11">
        <f t="shared" si="69"/>
        <v>82516.01</v>
      </c>
      <c r="R245" s="11" t="str">
        <f t="shared" si="60"/>
        <v/>
      </c>
      <c r="S245" s="11" t="str">
        <f t="shared" si="61"/>
        <v/>
      </c>
      <c r="T245" s="12" t="str">
        <f t="shared" si="62"/>
        <v/>
      </c>
      <c r="U245" s="11">
        <f t="shared" si="70"/>
        <v>82516.01</v>
      </c>
      <c r="V245" s="11">
        <f t="shared" si="71"/>
        <v>0</v>
      </c>
      <c r="W245" s="11">
        <f t="shared" si="72"/>
        <v>0</v>
      </c>
      <c r="X245" s="11">
        <f t="shared" si="73"/>
        <v>0</v>
      </c>
      <c r="Y245" s="11" t="str">
        <f t="shared" si="63"/>
        <v/>
      </c>
      <c r="Z245" s="13">
        <f t="shared" si="74"/>
        <v>46247</v>
      </c>
      <c r="AA245" s="10" t="str">
        <f>IF(OR($AA$116="错误",COUNTIF($G$117:G245,"待修正")&gt;0),"错误","正常")</f>
        <v>正常</v>
      </c>
      <c r="AB245" s="14">
        <f t="shared" si="75"/>
        <v>2.7686</v>
      </c>
    </row>
    <row r="246" ht="23" customHeight="1" spans="1:28">
      <c r="A246" s="15"/>
      <c r="B246" s="16"/>
      <c r="C246" s="17"/>
      <c r="D246" s="18"/>
      <c r="E246" s="19" t="str">
        <f t="shared" si="76"/>
        <v/>
      </c>
      <c r="F246" s="18"/>
      <c r="G246" s="20" t="str">
        <f t="shared" si="77"/>
        <v/>
      </c>
      <c r="H246" s="21" t="str">
        <f t="shared" si="78"/>
        <v/>
      </c>
      <c r="I246" s="10" t="str">
        <f>IF(COUNTA(A246:D246,F246)=0,"",IF(NOT(ISNUMBER(A246)),"缺少有效净值日期",IF(OR(A246&lt;=0,A246&lt;&gt;INT(A246)),"净值日期无效",IF(OR(B246="转换转入",B246="现金分红"),"该类型需实际金额，五项录入不适用",IF(NOT(OR(OR(B246="买入",B246="定投"),B246="卖出",B246="红利再投")),"请选择交易类型",IF(NOT(ISNUMBER(C246)),"缺少成交净值",IF(C246&lt;=0,"成交净值须大于零",IF(NOT(ISNUMBER(D246)),"缺少确认份额",IF(D246&lt;=0,"确认份额须大于零",IF(NOT(ISNUMBER(F246)),"缺少手续费，无费用请填 0",IF(F246&lt;0,"手续费不能为负",IF(AA245="错误","前行待修正",IF(A246&lt;Z245,"日期需按成交顺序递增",IF(AND(B246="红利再投",F246&lt;&gt;0),"红利再投手续费应填 0",IF(AND(B246="红利再投",K245&lt;=0),"红利再投前须有持仓",IF(AND(B246="卖出",D246&gt;K245+0.000001),"卖出份额超过持仓",IF(AND(B246="卖出",F246&gt;=C246*D246),"赎回费不能达到赎回总额",IF(NOT(ISNUMBER(E246)),"自动金额未生成，请检查五项输入",IF(NOT(OR(持仓总览!$C$7="利润优先",持仓总览!$C$7="本金优先")),"请选择卖出分配模式","已计入")))))))))))))))))))</f>
        <v/>
      </c>
      <c r="J246" s="11">
        <f t="shared" si="59"/>
        <v>0</v>
      </c>
      <c r="K246" s="11">
        <f t="shared" si="64"/>
        <v>34284.43</v>
      </c>
      <c r="L246" s="11" t="str">
        <f t="shared" si="65"/>
        <v/>
      </c>
      <c r="M246" s="11" t="str">
        <f t="shared" si="66"/>
        <v/>
      </c>
      <c r="N246" s="11" t="str">
        <f>IF(I246="已计入",IF(AND(B246="卖出",持仓总览!$C$7="本金优先"),MAX(0,E246-Q245),IF(OR(B246="卖出",B246="现金分红"),MIN(E246,M246),0)),"")</f>
        <v/>
      </c>
      <c r="O246" s="11" t="str">
        <f t="shared" si="67"/>
        <v/>
      </c>
      <c r="P246" s="11" t="str">
        <f t="shared" si="68"/>
        <v/>
      </c>
      <c r="Q246" s="11">
        <f t="shared" si="69"/>
        <v>82516.01</v>
      </c>
      <c r="R246" s="11" t="str">
        <f t="shared" si="60"/>
        <v/>
      </c>
      <c r="S246" s="11" t="str">
        <f t="shared" si="61"/>
        <v/>
      </c>
      <c r="T246" s="12" t="str">
        <f t="shared" si="62"/>
        <v/>
      </c>
      <c r="U246" s="11">
        <f t="shared" si="70"/>
        <v>82516.01</v>
      </c>
      <c r="V246" s="11">
        <f t="shared" si="71"/>
        <v>0</v>
      </c>
      <c r="W246" s="11">
        <f t="shared" si="72"/>
        <v>0</v>
      </c>
      <c r="X246" s="11">
        <f t="shared" si="73"/>
        <v>0</v>
      </c>
      <c r="Y246" s="11" t="str">
        <f t="shared" si="63"/>
        <v/>
      </c>
      <c r="Z246" s="13">
        <f t="shared" si="74"/>
        <v>46247</v>
      </c>
      <c r="AA246" s="10" t="str">
        <f>IF(OR($AA$116="错误",COUNTIF($G$117:G246,"待修正")&gt;0),"错误","正常")</f>
        <v>正常</v>
      </c>
      <c r="AB246" s="14">
        <f t="shared" si="75"/>
        <v>2.7686</v>
      </c>
    </row>
    <row r="247" ht="23" customHeight="1" spans="1:28">
      <c r="A247" s="15"/>
      <c r="B247" s="16"/>
      <c r="C247" s="17"/>
      <c r="D247" s="18"/>
      <c r="E247" s="19" t="str">
        <f t="shared" si="76"/>
        <v/>
      </c>
      <c r="F247" s="18"/>
      <c r="G247" s="20" t="str">
        <f t="shared" si="77"/>
        <v/>
      </c>
      <c r="H247" s="21" t="str">
        <f t="shared" si="78"/>
        <v/>
      </c>
      <c r="I247" s="10" t="str">
        <f>IF(COUNTA(A247:D247,F247)=0,"",IF(NOT(ISNUMBER(A247)),"缺少有效净值日期",IF(OR(A247&lt;=0,A247&lt;&gt;INT(A247)),"净值日期无效",IF(OR(B247="转换转入",B247="现金分红"),"该类型需实际金额，五项录入不适用",IF(NOT(OR(OR(B247="买入",B247="定投"),B247="卖出",B247="红利再投")),"请选择交易类型",IF(NOT(ISNUMBER(C247)),"缺少成交净值",IF(C247&lt;=0,"成交净值须大于零",IF(NOT(ISNUMBER(D247)),"缺少确认份额",IF(D247&lt;=0,"确认份额须大于零",IF(NOT(ISNUMBER(F247)),"缺少手续费，无费用请填 0",IF(F247&lt;0,"手续费不能为负",IF(AA246="错误","前行待修正",IF(A247&lt;Z246,"日期需按成交顺序递增",IF(AND(B247="红利再投",F247&lt;&gt;0),"红利再投手续费应填 0",IF(AND(B247="红利再投",K246&lt;=0),"红利再投前须有持仓",IF(AND(B247="卖出",D247&gt;K246+0.000001),"卖出份额超过持仓",IF(AND(B247="卖出",F247&gt;=C247*D247),"赎回费不能达到赎回总额",IF(NOT(ISNUMBER(E247)),"自动金额未生成，请检查五项输入",IF(NOT(OR(持仓总览!$C$7="利润优先",持仓总览!$C$7="本金优先")),"请选择卖出分配模式","已计入")))))))))))))))))))</f>
        <v/>
      </c>
      <c r="J247" s="11">
        <f t="shared" si="59"/>
        <v>0</v>
      </c>
      <c r="K247" s="11">
        <f t="shared" si="64"/>
        <v>34284.43</v>
      </c>
      <c r="L247" s="11" t="str">
        <f t="shared" si="65"/>
        <v/>
      </c>
      <c r="M247" s="11" t="str">
        <f t="shared" si="66"/>
        <v/>
      </c>
      <c r="N247" s="11" t="str">
        <f>IF(I247="已计入",IF(AND(B247="卖出",持仓总览!$C$7="本金优先"),MAX(0,E247-Q246),IF(OR(B247="卖出",B247="现金分红"),MIN(E247,M247),0)),"")</f>
        <v/>
      </c>
      <c r="O247" s="11" t="str">
        <f t="shared" si="67"/>
        <v/>
      </c>
      <c r="P247" s="11" t="str">
        <f t="shared" si="68"/>
        <v/>
      </c>
      <c r="Q247" s="11">
        <f t="shared" si="69"/>
        <v>82516.01</v>
      </c>
      <c r="R247" s="11" t="str">
        <f t="shared" si="60"/>
        <v/>
      </c>
      <c r="S247" s="11" t="str">
        <f t="shared" si="61"/>
        <v/>
      </c>
      <c r="T247" s="12" t="str">
        <f t="shared" si="62"/>
        <v/>
      </c>
      <c r="U247" s="11">
        <f t="shared" si="70"/>
        <v>82516.01</v>
      </c>
      <c r="V247" s="11">
        <f t="shared" si="71"/>
        <v>0</v>
      </c>
      <c r="W247" s="11">
        <f t="shared" si="72"/>
        <v>0</v>
      </c>
      <c r="X247" s="11">
        <f t="shared" si="73"/>
        <v>0</v>
      </c>
      <c r="Y247" s="11" t="str">
        <f t="shared" si="63"/>
        <v/>
      </c>
      <c r="Z247" s="13">
        <f t="shared" si="74"/>
        <v>46247</v>
      </c>
      <c r="AA247" s="10" t="str">
        <f>IF(OR($AA$116="错误",COUNTIF($G$117:G247,"待修正")&gt;0),"错误","正常")</f>
        <v>正常</v>
      </c>
      <c r="AB247" s="14">
        <f t="shared" si="75"/>
        <v>2.7686</v>
      </c>
    </row>
    <row r="248" ht="23" customHeight="1" spans="1:28">
      <c r="A248" s="15"/>
      <c r="B248" s="16"/>
      <c r="C248" s="17"/>
      <c r="D248" s="18"/>
      <c r="E248" s="19" t="str">
        <f t="shared" si="76"/>
        <v/>
      </c>
      <c r="F248" s="18"/>
      <c r="G248" s="20" t="str">
        <f t="shared" si="77"/>
        <v/>
      </c>
      <c r="H248" s="21" t="str">
        <f t="shared" si="78"/>
        <v/>
      </c>
      <c r="I248" s="10" t="str">
        <f>IF(COUNTA(A248:D248,F248)=0,"",IF(NOT(ISNUMBER(A248)),"缺少有效净值日期",IF(OR(A248&lt;=0,A248&lt;&gt;INT(A248)),"净值日期无效",IF(OR(B248="转换转入",B248="现金分红"),"该类型需实际金额，五项录入不适用",IF(NOT(OR(OR(B248="买入",B248="定投"),B248="卖出",B248="红利再投")),"请选择交易类型",IF(NOT(ISNUMBER(C248)),"缺少成交净值",IF(C248&lt;=0,"成交净值须大于零",IF(NOT(ISNUMBER(D248)),"缺少确认份额",IF(D248&lt;=0,"确认份额须大于零",IF(NOT(ISNUMBER(F248)),"缺少手续费，无费用请填 0",IF(F248&lt;0,"手续费不能为负",IF(AA247="错误","前行待修正",IF(A248&lt;Z247,"日期需按成交顺序递增",IF(AND(B248="红利再投",F248&lt;&gt;0),"红利再投手续费应填 0",IF(AND(B248="红利再投",K247&lt;=0),"红利再投前须有持仓",IF(AND(B248="卖出",D248&gt;K247+0.000001),"卖出份额超过持仓",IF(AND(B248="卖出",F248&gt;=C248*D248),"赎回费不能达到赎回总额",IF(NOT(ISNUMBER(E248)),"自动金额未生成，请检查五项输入",IF(NOT(OR(持仓总览!$C$7="利润优先",持仓总览!$C$7="本金优先")),"请选择卖出分配模式","已计入")))))))))))))))))))</f>
        <v/>
      </c>
      <c r="J248" s="11">
        <f t="shared" si="59"/>
        <v>0</v>
      </c>
      <c r="K248" s="11">
        <f t="shared" si="64"/>
        <v>34284.43</v>
      </c>
      <c r="L248" s="11" t="str">
        <f t="shared" si="65"/>
        <v/>
      </c>
      <c r="M248" s="11" t="str">
        <f t="shared" si="66"/>
        <v/>
      </c>
      <c r="N248" s="11" t="str">
        <f>IF(I248="已计入",IF(AND(B248="卖出",持仓总览!$C$7="本金优先"),MAX(0,E248-Q247),IF(OR(B248="卖出",B248="现金分红"),MIN(E248,M248),0)),"")</f>
        <v/>
      </c>
      <c r="O248" s="11" t="str">
        <f t="shared" si="67"/>
        <v/>
      </c>
      <c r="P248" s="11" t="str">
        <f t="shared" si="68"/>
        <v/>
      </c>
      <c r="Q248" s="11">
        <f t="shared" si="69"/>
        <v>82516.01</v>
      </c>
      <c r="R248" s="11" t="str">
        <f t="shared" si="60"/>
        <v/>
      </c>
      <c r="S248" s="11" t="str">
        <f t="shared" si="61"/>
        <v/>
      </c>
      <c r="T248" s="12" t="str">
        <f t="shared" si="62"/>
        <v/>
      </c>
      <c r="U248" s="11">
        <f t="shared" si="70"/>
        <v>82516.01</v>
      </c>
      <c r="V248" s="11">
        <f t="shared" si="71"/>
        <v>0</v>
      </c>
      <c r="W248" s="11">
        <f t="shared" si="72"/>
        <v>0</v>
      </c>
      <c r="X248" s="11">
        <f t="shared" si="73"/>
        <v>0</v>
      </c>
      <c r="Y248" s="11" t="str">
        <f t="shared" si="63"/>
        <v/>
      </c>
      <c r="Z248" s="13">
        <f t="shared" si="74"/>
        <v>46247</v>
      </c>
      <c r="AA248" s="10" t="str">
        <f>IF(OR($AA$116="错误",COUNTIF($G$117:G248,"待修正")&gt;0),"错误","正常")</f>
        <v>正常</v>
      </c>
      <c r="AB248" s="14">
        <f t="shared" si="75"/>
        <v>2.7686</v>
      </c>
    </row>
    <row r="249" ht="23" customHeight="1" spans="1:28">
      <c r="A249" s="15"/>
      <c r="B249" s="16"/>
      <c r="C249" s="17"/>
      <c r="D249" s="18"/>
      <c r="E249" s="19" t="str">
        <f t="shared" si="76"/>
        <v/>
      </c>
      <c r="F249" s="18"/>
      <c r="G249" s="20" t="str">
        <f t="shared" si="77"/>
        <v/>
      </c>
      <c r="H249" s="21" t="str">
        <f t="shared" si="78"/>
        <v/>
      </c>
      <c r="I249" s="10" t="str">
        <f>IF(COUNTA(A249:D249,F249)=0,"",IF(NOT(ISNUMBER(A249)),"缺少有效净值日期",IF(OR(A249&lt;=0,A249&lt;&gt;INT(A249)),"净值日期无效",IF(OR(B249="转换转入",B249="现金分红"),"该类型需实际金额，五项录入不适用",IF(NOT(OR(OR(B249="买入",B249="定投"),B249="卖出",B249="红利再投")),"请选择交易类型",IF(NOT(ISNUMBER(C249)),"缺少成交净值",IF(C249&lt;=0,"成交净值须大于零",IF(NOT(ISNUMBER(D249)),"缺少确认份额",IF(D249&lt;=0,"确认份额须大于零",IF(NOT(ISNUMBER(F249)),"缺少手续费，无费用请填 0",IF(F249&lt;0,"手续费不能为负",IF(AA248="错误","前行待修正",IF(A249&lt;Z248,"日期需按成交顺序递增",IF(AND(B249="红利再投",F249&lt;&gt;0),"红利再投手续费应填 0",IF(AND(B249="红利再投",K248&lt;=0),"红利再投前须有持仓",IF(AND(B249="卖出",D249&gt;K248+0.000001),"卖出份额超过持仓",IF(AND(B249="卖出",F249&gt;=C249*D249),"赎回费不能达到赎回总额",IF(NOT(ISNUMBER(E249)),"自动金额未生成，请检查五项输入",IF(NOT(OR(持仓总览!$C$7="利润优先",持仓总览!$C$7="本金优先")),"请选择卖出分配模式","已计入")))))))))))))))))))</f>
        <v/>
      </c>
      <c r="J249" s="11">
        <f t="shared" si="59"/>
        <v>0</v>
      </c>
      <c r="K249" s="11">
        <f t="shared" si="64"/>
        <v>34284.43</v>
      </c>
      <c r="L249" s="11" t="str">
        <f t="shared" si="65"/>
        <v/>
      </c>
      <c r="M249" s="11" t="str">
        <f t="shared" si="66"/>
        <v/>
      </c>
      <c r="N249" s="11" t="str">
        <f>IF(I249="已计入",IF(AND(B249="卖出",持仓总览!$C$7="本金优先"),MAX(0,E249-Q248),IF(OR(B249="卖出",B249="现金分红"),MIN(E249,M249),0)),"")</f>
        <v/>
      </c>
      <c r="O249" s="11" t="str">
        <f t="shared" si="67"/>
        <v/>
      </c>
      <c r="P249" s="11" t="str">
        <f t="shared" si="68"/>
        <v/>
      </c>
      <c r="Q249" s="11">
        <f t="shared" si="69"/>
        <v>82516.01</v>
      </c>
      <c r="R249" s="11" t="str">
        <f t="shared" si="60"/>
        <v/>
      </c>
      <c r="S249" s="11" t="str">
        <f t="shared" si="61"/>
        <v/>
      </c>
      <c r="T249" s="12" t="str">
        <f t="shared" si="62"/>
        <v/>
      </c>
      <c r="U249" s="11">
        <f t="shared" si="70"/>
        <v>82516.01</v>
      </c>
      <c r="V249" s="11">
        <f t="shared" si="71"/>
        <v>0</v>
      </c>
      <c r="W249" s="11">
        <f t="shared" si="72"/>
        <v>0</v>
      </c>
      <c r="X249" s="11">
        <f t="shared" si="73"/>
        <v>0</v>
      </c>
      <c r="Y249" s="11" t="str">
        <f t="shared" si="63"/>
        <v/>
      </c>
      <c r="Z249" s="13">
        <f t="shared" si="74"/>
        <v>46247</v>
      </c>
      <c r="AA249" s="10" t="str">
        <f>IF(OR($AA$116="错误",COUNTIF($G$117:G249,"待修正")&gt;0),"错误","正常")</f>
        <v>正常</v>
      </c>
      <c r="AB249" s="14">
        <f t="shared" si="75"/>
        <v>2.7686</v>
      </c>
    </row>
    <row r="250" ht="23" customHeight="1" spans="1:28">
      <c r="A250" s="15"/>
      <c r="B250" s="16"/>
      <c r="C250" s="17"/>
      <c r="D250" s="18"/>
      <c r="E250" s="19" t="str">
        <f t="shared" si="76"/>
        <v/>
      </c>
      <c r="F250" s="18"/>
      <c r="G250" s="20" t="str">
        <f t="shared" si="77"/>
        <v/>
      </c>
      <c r="H250" s="21" t="str">
        <f t="shared" si="78"/>
        <v/>
      </c>
      <c r="I250" s="10" t="str">
        <f>IF(COUNTA(A250:D250,F250)=0,"",IF(NOT(ISNUMBER(A250)),"缺少有效净值日期",IF(OR(A250&lt;=0,A250&lt;&gt;INT(A250)),"净值日期无效",IF(OR(B250="转换转入",B250="现金分红"),"该类型需实际金额，五项录入不适用",IF(NOT(OR(OR(B250="买入",B250="定投"),B250="卖出",B250="红利再投")),"请选择交易类型",IF(NOT(ISNUMBER(C250)),"缺少成交净值",IF(C250&lt;=0,"成交净值须大于零",IF(NOT(ISNUMBER(D250)),"缺少确认份额",IF(D250&lt;=0,"确认份额须大于零",IF(NOT(ISNUMBER(F250)),"缺少手续费，无费用请填 0",IF(F250&lt;0,"手续费不能为负",IF(AA249="错误","前行待修正",IF(A250&lt;Z249,"日期需按成交顺序递增",IF(AND(B250="红利再投",F250&lt;&gt;0),"红利再投手续费应填 0",IF(AND(B250="红利再投",K249&lt;=0),"红利再投前须有持仓",IF(AND(B250="卖出",D250&gt;K249+0.000001),"卖出份额超过持仓",IF(AND(B250="卖出",F250&gt;=C250*D250),"赎回费不能达到赎回总额",IF(NOT(ISNUMBER(E250)),"自动金额未生成，请检查五项输入",IF(NOT(OR(持仓总览!$C$7="利润优先",持仓总览!$C$7="本金优先")),"请选择卖出分配模式","已计入")))))))))))))))))))</f>
        <v/>
      </c>
      <c r="J250" s="11">
        <f t="shared" si="59"/>
        <v>0</v>
      </c>
      <c r="K250" s="11">
        <f t="shared" si="64"/>
        <v>34284.43</v>
      </c>
      <c r="L250" s="11" t="str">
        <f t="shared" si="65"/>
        <v/>
      </c>
      <c r="M250" s="11" t="str">
        <f t="shared" si="66"/>
        <v/>
      </c>
      <c r="N250" s="11" t="str">
        <f>IF(I250="已计入",IF(AND(B250="卖出",持仓总览!$C$7="本金优先"),MAX(0,E250-Q249),IF(OR(B250="卖出",B250="现金分红"),MIN(E250,M250),0)),"")</f>
        <v/>
      </c>
      <c r="O250" s="11" t="str">
        <f t="shared" si="67"/>
        <v/>
      </c>
      <c r="P250" s="11" t="str">
        <f t="shared" si="68"/>
        <v/>
      </c>
      <c r="Q250" s="11">
        <f t="shared" si="69"/>
        <v>82516.01</v>
      </c>
      <c r="R250" s="11" t="str">
        <f t="shared" si="60"/>
        <v/>
      </c>
      <c r="S250" s="11" t="str">
        <f t="shared" si="61"/>
        <v/>
      </c>
      <c r="T250" s="12" t="str">
        <f t="shared" si="62"/>
        <v/>
      </c>
      <c r="U250" s="11">
        <f t="shared" si="70"/>
        <v>82516.01</v>
      </c>
      <c r="V250" s="11">
        <f t="shared" si="71"/>
        <v>0</v>
      </c>
      <c r="W250" s="11">
        <f t="shared" si="72"/>
        <v>0</v>
      </c>
      <c r="X250" s="11">
        <f t="shared" si="73"/>
        <v>0</v>
      </c>
      <c r="Y250" s="11" t="str">
        <f t="shared" si="63"/>
        <v/>
      </c>
      <c r="Z250" s="13">
        <f t="shared" si="74"/>
        <v>46247</v>
      </c>
      <c r="AA250" s="10" t="str">
        <f>IF(OR($AA$116="错误",COUNTIF($G$117:G250,"待修正")&gt;0),"错误","正常")</f>
        <v>正常</v>
      </c>
      <c r="AB250" s="14">
        <f t="shared" si="75"/>
        <v>2.7686</v>
      </c>
    </row>
    <row r="251" ht="23" customHeight="1" spans="1:28">
      <c r="A251" s="15"/>
      <c r="B251" s="16"/>
      <c r="C251" s="17"/>
      <c r="D251" s="18"/>
      <c r="E251" s="19" t="str">
        <f t="shared" si="76"/>
        <v/>
      </c>
      <c r="F251" s="18"/>
      <c r="G251" s="20" t="str">
        <f t="shared" si="77"/>
        <v/>
      </c>
      <c r="H251" s="21" t="str">
        <f t="shared" si="78"/>
        <v/>
      </c>
      <c r="I251" s="10" t="str">
        <f>IF(COUNTA(A251:D251,F251)=0,"",IF(NOT(ISNUMBER(A251)),"缺少有效净值日期",IF(OR(A251&lt;=0,A251&lt;&gt;INT(A251)),"净值日期无效",IF(OR(B251="转换转入",B251="现金分红"),"该类型需实际金额，五项录入不适用",IF(NOT(OR(OR(B251="买入",B251="定投"),B251="卖出",B251="红利再投")),"请选择交易类型",IF(NOT(ISNUMBER(C251)),"缺少成交净值",IF(C251&lt;=0,"成交净值须大于零",IF(NOT(ISNUMBER(D251)),"缺少确认份额",IF(D251&lt;=0,"确认份额须大于零",IF(NOT(ISNUMBER(F251)),"缺少手续费，无费用请填 0",IF(F251&lt;0,"手续费不能为负",IF(AA250="错误","前行待修正",IF(A251&lt;Z250,"日期需按成交顺序递增",IF(AND(B251="红利再投",F251&lt;&gt;0),"红利再投手续费应填 0",IF(AND(B251="红利再投",K250&lt;=0),"红利再投前须有持仓",IF(AND(B251="卖出",D251&gt;K250+0.000001),"卖出份额超过持仓",IF(AND(B251="卖出",F251&gt;=C251*D251),"赎回费不能达到赎回总额",IF(NOT(ISNUMBER(E251)),"自动金额未生成，请检查五项输入",IF(NOT(OR(持仓总览!$C$7="利润优先",持仓总览!$C$7="本金优先")),"请选择卖出分配模式","已计入")))))))))))))))))))</f>
        <v/>
      </c>
      <c r="J251" s="11">
        <f t="shared" si="59"/>
        <v>0</v>
      </c>
      <c r="K251" s="11">
        <f t="shared" si="64"/>
        <v>34284.43</v>
      </c>
      <c r="L251" s="11" t="str">
        <f t="shared" si="65"/>
        <v/>
      </c>
      <c r="M251" s="11" t="str">
        <f t="shared" si="66"/>
        <v/>
      </c>
      <c r="N251" s="11" t="str">
        <f>IF(I251="已计入",IF(AND(B251="卖出",持仓总览!$C$7="本金优先"),MAX(0,E251-Q250),IF(OR(B251="卖出",B251="现金分红"),MIN(E251,M251),0)),"")</f>
        <v/>
      </c>
      <c r="O251" s="11" t="str">
        <f t="shared" si="67"/>
        <v/>
      </c>
      <c r="P251" s="11" t="str">
        <f t="shared" si="68"/>
        <v/>
      </c>
      <c r="Q251" s="11">
        <f t="shared" si="69"/>
        <v>82516.01</v>
      </c>
      <c r="R251" s="11" t="str">
        <f t="shared" si="60"/>
        <v/>
      </c>
      <c r="S251" s="11" t="str">
        <f t="shared" si="61"/>
        <v/>
      </c>
      <c r="T251" s="12" t="str">
        <f t="shared" si="62"/>
        <v/>
      </c>
      <c r="U251" s="11">
        <f t="shared" si="70"/>
        <v>82516.01</v>
      </c>
      <c r="V251" s="11">
        <f t="shared" si="71"/>
        <v>0</v>
      </c>
      <c r="W251" s="11">
        <f t="shared" si="72"/>
        <v>0</v>
      </c>
      <c r="X251" s="11">
        <f t="shared" si="73"/>
        <v>0</v>
      </c>
      <c r="Y251" s="11" t="str">
        <f t="shared" si="63"/>
        <v/>
      </c>
      <c r="Z251" s="13">
        <f t="shared" si="74"/>
        <v>46247</v>
      </c>
      <c r="AA251" s="10" t="str">
        <f>IF(OR($AA$116="错误",COUNTIF($G$117:G251,"待修正")&gt;0),"错误","正常")</f>
        <v>正常</v>
      </c>
      <c r="AB251" s="14">
        <f t="shared" si="75"/>
        <v>2.7686</v>
      </c>
    </row>
    <row r="252" ht="23" customHeight="1" spans="1:28">
      <c r="A252" s="15"/>
      <c r="B252" s="16"/>
      <c r="C252" s="17"/>
      <c r="D252" s="18"/>
      <c r="E252" s="19" t="str">
        <f t="shared" si="76"/>
        <v/>
      </c>
      <c r="F252" s="18"/>
      <c r="G252" s="20" t="str">
        <f t="shared" si="77"/>
        <v/>
      </c>
      <c r="H252" s="21" t="str">
        <f t="shared" si="78"/>
        <v/>
      </c>
      <c r="I252" s="10" t="str">
        <f>IF(COUNTA(A252:D252,F252)=0,"",IF(NOT(ISNUMBER(A252)),"缺少有效净值日期",IF(OR(A252&lt;=0,A252&lt;&gt;INT(A252)),"净值日期无效",IF(OR(B252="转换转入",B252="现金分红"),"该类型需实际金额，五项录入不适用",IF(NOT(OR(OR(B252="买入",B252="定投"),B252="卖出",B252="红利再投")),"请选择交易类型",IF(NOT(ISNUMBER(C252)),"缺少成交净值",IF(C252&lt;=0,"成交净值须大于零",IF(NOT(ISNUMBER(D252)),"缺少确认份额",IF(D252&lt;=0,"确认份额须大于零",IF(NOT(ISNUMBER(F252)),"缺少手续费，无费用请填 0",IF(F252&lt;0,"手续费不能为负",IF(AA251="错误","前行待修正",IF(A252&lt;Z251,"日期需按成交顺序递增",IF(AND(B252="红利再投",F252&lt;&gt;0),"红利再投手续费应填 0",IF(AND(B252="红利再投",K251&lt;=0),"红利再投前须有持仓",IF(AND(B252="卖出",D252&gt;K251+0.000001),"卖出份额超过持仓",IF(AND(B252="卖出",F252&gt;=C252*D252),"赎回费不能达到赎回总额",IF(NOT(ISNUMBER(E252)),"自动金额未生成，请检查五项输入",IF(NOT(OR(持仓总览!$C$7="利润优先",持仓总览!$C$7="本金优先")),"请选择卖出分配模式","已计入")))))))))))))))))))</f>
        <v/>
      </c>
      <c r="J252" s="11">
        <f t="shared" si="59"/>
        <v>0</v>
      </c>
      <c r="K252" s="11">
        <f t="shared" si="64"/>
        <v>34284.43</v>
      </c>
      <c r="L252" s="11" t="str">
        <f t="shared" si="65"/>
        <v/>
      </c>
      <c r="M252" s="11" t="str">
        <f t="shared" si="66"/>
        <v/>
      </c>
      <c r="N252" s="11" t="str">
        <f>IF(I252="已计入",IF(AND(B252="卖出",持仓总览!$C$7="本金优先"),MAX(0,E252-Q251),IF(OR(B252="卖出",B252="现金分红"),MIN(E252,M252),0)),"")</f>
        <v/>
      </c>
      <c r="O252" s="11" t="str">
        <f t="shared" si="67"/>
        <v/>
      </c>
      <c r="P252" s="11" t="str">
        <f t="shared" si="68"/>
        <v/>
      </c>
      <c r="Q252" s="11">
        <f t="shared" si="69"/>
        <v>82516.01</v>
      </c>
      <c r="R252" s="11" t="str">
        <f t="shared" si="60"/>
        <v/>
      </c>
      <c r="S252" s="11" t="str">
        <f t="shared" si="61"/>
        <v/>
      </c>
      <c r="T252" s="12" t="str">
        <f t="shared" si="62"/>
        <v/>
      </c>
      <c r="U252" s="11">
        <f t="shared" si="70"/>
        <v>82516.01</v>
      </c>
      <c r="V252" s="11">
        <f t="shared" si="71"/>
        <v>0</v>
      </c>
      <c r="W252" s="11">
        <f t="shared" si="72"/>
        <v>0</v>
      </c>
      <c r="X252" s="11">
        <f t="shared" si="73"/>
        <v>0</v>
      </c>
      <c r="Y252" s="11" t="str">
        <f t="shared" si="63"/>
        <v/>
      </c>
      <c r="Z252" s="13">
        <f t="shared" si="74"/>
        <v>46247</v>
      </c>
      <c r="AA252" s="10" t="str">
        <f>IF(OR($AA$116="错误",COUNTIF($G$117:G252,"待修正")&gt;0),"错误","正常")</f>
        <v>正常</v>
      </c>
      <c r="AB252" s="14">
        <f t="shared" si="75"/>
        <v>2.7686</v>
      </c>
    </row>
    <row r="253" ht="23" customHeight="1" spans="1:28">
      <c r="A253" s="15"/>
      <c r="B253" s="16"/>
      <c r="C253" s="17"/>
      <c r="D253" s="18"/>
      <c r="E253" s="19" t="str">
        <f t="shared" si="76"/>
        <v/>
      </c>
      <c r="F253" s="18"/>
      <c r="G253" s="20" t="str">
        <f t="shared" si="77"/>
        <v/>
      </c>
      <c r="H253" s="21" t="str">
        <f t="shared" si="78"/>
        <v/>
      </c>
      <c r="I253" s="10" t="str">
        <f>IF(COUNTA(A253:D253,F253)=0,"",IF(NOT(ISNUMBER(A253)),"缺少有效净值日期",IF(OR(A253&lt;=0,A253&lt;&gt;INT(A253)),"净值日期无效",IF(OR(B253="转换转入",B253="现金分红"),"该类型需实际金额，五项录入不适用",IF(NOT(OR(OR(B253="买入",B253="定投"),B253="卖出",B253="红利再投")),"请选择交易类型",IF(NOT(ISNUMBER(C253)),"缺少成交净值",IF(C253&lt;=0,"成交净值须大于零",IF(NOT(ISNUMBER(D253)),"缺少确认份额",IF(D253&lt;=0,"确认份额须大于零",IF(NOT(ISNUMBER(F253)),"缺少手续费，无费用请填 0",IF(F253&lt;0,"手续费不能为负",IF(AA252="错误","前行待修正",IF(A253&lt;Z252,"日期需按成交顺序递增",IF(AND(B253="红利再投",F253&lt;&gt;0),"红利再投手续费应填 0",IF(AND(B253="红利再投",K252&lt;=0),"红利再投前须有持仓",IF(AND(B253="卖出",D253&gt;K252+0.000001),"卖出份额超过持仓",IF(AND(B253="卖出",F253&gt;=C253*D253),"赎回费不能达到赎回总额",IF(NOT(ISNUMBER(E253)),"自动金额未生成，请检查五项输入",IF(NOT(OR(持仓总览!$C$7="利润优先",持仓总览!$C$7="本金优先")),"请选择卖出分配模式","已计入")))))))))))))))))))</f>
        <v/>
      </c>
      <c r="J253" s="11">
        <f t="shared" si="59"/>
        <v>0</v>
      </c>
      <c r="K253" s="11">
        <f t="shared" si="64"/>
        <v>34284.43</v>
      </c>
      <c r="L253" s="11" t="str">
        <f t="shared" si="65"/>
        <v/>
      </c>
      <c r="M253" s="11" t="str">
        <f t="shared" si="66"/>
        <v/>
      </c>
      <c r="N253" s="11" t="str">
        <f>IF(I253="已计入",IF(AND(B253="卖出",持仓总览!$C$7="本金优先"),MAX(0,E253-Q252),IF(OR(B253="卖出",B253="现金分红"),MIN(E253,M253),0)),"")</f>
        <v/>
      </c>
      <c r="O253" s="11" t="str">
        <f t="shared" si="67"/>
        <v/>
      </c>
      <c r="P253" s="11" t="str">
        <f t="shared" si="68"/>
        <v/>
      </c>
      <c r="Q253" s="11">
        <f t="shared" si="69"/>
        <v>82516.01</v>
      </c>
      <c r="R253" s="11" t="str">
        <f t="shared" si="60"/>
        <v/>
      </c>
      <c r="S253" s="11" t="str">
        <f t="shared" si="61"/>
        <v/>
      </c>
      <c r="T253" s="12" t="str">
        <f t="shared" si="62"/>
        <v/>
      </c>
      <c r="U253" s="11">
        <f t="shared" si="70"/>
        <v>82516.01</v>
      </c>
      <c r="V253" s="11">
        <f t="shared" si="71"/>
        <v>0</v>
      </c>
      <c r="W253" s="11">
        <f t="shared" si="72"/>
        <v>0</v>
      </c>
      <c r="X253" s="11">
        <f t="shared" si="73"/>
        <v>0</v>
      </c>
      <c r="Y253" s="11" t="str">
        <f t="shared" si="63"/>
        <v/>
      </c>
      <c r="Z253" s="13">
        <f t="shared" si="74"/>
        <v>46247</v>
      </c>
      <c r="AA253" s="10" t="str">
        <f>IF(OR($AA$116="错误",COUNTIF($G$117:G253,"待修正")&gt;0),"错误","正常")</f>
        <v>正常</v>
      </c>
      <c r="AB253" s="14">
        <f t="shared" si="75"/>
        <v>2.7686</v>
      </c>
    </row>
    <row r="254" ht="23" customHeight="1" spans="1:28">
      <c r="A254" s="15"/>
      <c r="B254" s="16"/>
      <c r="C254" s="17"/>
      <c r="D254" s="18"/>
      <c r="E254" s="19" t="str">
        <f t="shared" si="76"/>
        <v/>
      </c>
      <c r="F254" s="18"/>
      <c r="G254" s="20" t="str">
        <f t="shared" si="77"/>
        <v/>
      </c>
      <c r="H254" s="21" t="str">
        <f t="shared" si="78"/>
        <v/>
      </c>
      <c r="I254" s="10" t="str">
        <f>IF(COUNTA(A254:D254,F254)=0,"",IF(NOT(ISNUMBER(A254)),"缺少有效净值日期",IF(OR(A254&lt;=0,A254&lt;&gt;INT(A254)),"净值日期无效",IF(OR(B254="转换转入",B254="现金分红"),"该类型需实际金额，五项录入不适用",IF(NOT(OR(OR(B254="买入",B254="定投"),B254="卖出",B254="红利再投")),"请选择交易类型",IF(NOT(ISNUMBER(C254)),"缺少成交净值",IF(C254&lt;=0,"成交净值须大于零",IF(NOT(ISNUMBER(D254)),"缺少确认份额",IF(D254&lt;=0,"确认份额须大于零",IF(NOT(ISNUMBER(F254)),"缺少手续费，无费用请填 0",IF(F254&lt;0,"手续费不能为负",IF(AA253="错误","前行待修正",IF(A254&lt;Z253,"日期需按成交顺序递增",IF(AND(B254="红利再投",F254&lt;&gt;0),"红利再投手续费应填 0",IF(AND(B254="红利再投",K253&lt;=0),"红利再投前须有持仓",IF(AND(B254="卖出",D254&gt;K253+0.000001),"卖出份额超过持仓",IF(AND(B254="卖出",F254&gt;=C254*D254),"赎回费不能达到赎回总额",IF(NOT(ISNUMBER(E254)),"自动金额未生成，请检查五项输入",IF(NOT(OR(持仓总览!$C$7="利润优先",持仓总览!$C$7="本金优先")),"请选择卖出分配模式","已计入")))))))))))))))))))</f>
        <v/>
      </c>
      <c r="J254" s="11">
        <f t="shared" si="59"/>
        <v>0</v>
      </c>
      <c r="K254" s="11">
        <f t="shared" si="64"/>
        <v>34284.43</v>
      </c>
      <c r="L254" s="11" t="str">
        <f t="shared" si="65"/>
        <v/>
      </c>
      <c r="M254" s="11" t="str">
        <f t="shared" si="66"/>
        <v/>
      </c>
      <c r="N254" s="11" t="str">
        <f>IF(I254="已计入",IF(AND(B254="卖出",持仓总览!$C$7="本金优先"),MAX(0,E254-Q253),IF(OR(B254="卖出",B254="现金分红"),MIN(E254,M254),0)),"")</f>
        <v/>
      </c>
      <c r="O254" s="11" t="str">
        <f t="shared" si="67"/>
        <v/>
      </c>
      <c r="P254" s="11" t="str">
        <f t="shared" si="68"/>
        <v/>
      </c>
      <c r="Q254" s="11">
        <f t="shared" si="69"/>
        <v>82516.01</v>
      </c>
      <c r="R254" s="11" t="str">
        <f t="shared" si="60"/>
        <v/>
      </c>
      <c r="S254" s="11" t="str">
        <f t="shared" si="61"/>
        <v/>
      </c>
      <c r="T254" s="12" t="str">
        <f t="shared" si="62"/>
        <v/>
      </c>
      <c r="U254" s="11">
        <f t="shared" si="70"/>
        <v>82516.01</v>
      </c>
      <c r="V254" s="11">
        <f t="shared" si="71"/>
        <v>0</v>
      </c>
      <c r="W254" s="11">
        <f t="shared" si="72"/>
        <v>0</v>
      </c>
      <c r="X254" s="11">
        <f t="shared" si="73"/>
        <v>0</v>
      </c>
      <c r="Y254" s="11" t="str">
        <f t="shared" si="63"/>
        <v/>
      </c>
      <c r="Z254" s="13">
        <f t="shared" si="74"/>
        <v>46247</v>
      </c>
      <c r="AA254" s="10" t="str">
        <f>IF(OR($AA$116="错误",COUNTIF($G$117:G254,"待修正")&gt;0),"错误","正常")</f>
        <v>正常</v>
      </c>
      <c r="AB254" s="14">
        <f t="shared" si="75"/>
        <v>2.7686</v>
      </c>
    </row>
    <row r="255" ht="23" customHeight="1" spans="1:28">
      <c r="A255" s="15"/>
      <c r="B255" s="16"/>
      <c r="C255" s="17"/>
      <c r="D255" s="18"/>
      <c r="E255" s="19" t="str">
        <f t="shared" si="76"/>
        <v/>
      </c>
      <c r="F255" s="18"/>
      <c r="G255" s="20" t="str">
        <f t="shared" si="77"/>
        <v/>
      </c>
      <c r="H255" s="21" t="str">
        <f t="shared" si="78"/>
        <v/>
      </c>
      <c r="I255" s="10" t="str">
        <f>IF(COUNTA(A255:D255,F255)=0,"",IF(NOT(ISNUMBER(A255)),"缺少有效净值日期",IF(OR(A255&lt;=0,A255&lt;&gt;INT(A255)),"净值日期无效",IF(OR(B255="转换转入",B255="现金分红"),"该类型需实际金额，五项录入不适用",IF(NOT(OR(OR(B255="买入",B255="定投"),B255="卖出",B255="红利再投")),"请选择交易类型",IF(NOT(ISNUMBER(C255)),"缺少成交净值",IF(C255&lt;=0,"成交净值须大于零",IF(NOT(ISNUMBER(D255)),"缺少确认份额",IF(D255&lt;=0,"确认份额须大于零",IF(NOT(ISNUMBER(F255)),"缺少手续费，无费用请填 0",IF(F255&lt;0,"手续费不能为负",IF(AA254="错误","前行待修正",IF(A255&lt;Z254,"日期需按成交顺序递增",IF(AND(B255="红利再投",F255&lt;&gt;0),"红利再投手续费应填 0",IF(AND(B255="红利再投",K254&lt;=0),"红利再投前须有持仓",IF(AND(B255="卖出",D255&gt;K254+0.000001),"卖出份额超过持仓",IF(AND(B255="卖出",F255&gt;=C255*D255),"赎回费不能达到赎回总额",IF(NOT(ISNUMBER(E255)),"自动金额未生成，请检查五项输入",IF(NOT(OR(持仓总览!$C$7="利润优先",持仓总览!$C$7="本金优先")),"请选择卖出分配模式","已计入")))))))))))))))))))</f>
        <v/>
      </c>
      <c r="J255" s="11">
        <f t="shared" si="59"/>
        <v>0</v>
      </c>
      <c r="K255" s="11">
        <f t="shared" si="64"/>
        <v>34284.43</v>
      </c>
      <c r="L255" s="11" t="str">
        <f t="shared" si="65"/>
        <v/>
      </c>
      <c r="M255" s="11" t="str">
        <f t="shared" si="66"/>
        <v/>
      </c>
      <c r="N255" s="11" t="str">
        <f>IF(I255="已计入",IF(AND(B255="卖出",持仓总览!$C$7="本金优先"),MAX(0,E255-Q254),IF(OR(B255="卖出",B255="现金分红"),MIN(E255,M255),0)),"")</f>
        <v/>
      </c>
      <c r="O255" s="11" t="str">
        <f t="shared" si="67"/>
        <v/>
      </c>
      <c r="P255" s="11" t="str">
        <f t="shared" si="68"/>
        <v/>
      </c>
      <c r="Q255" s="11">
        <f t="shared" si="69"/>
        <v>82516.01</v>
      </c>
      <c r="R255" s="11" t="str">
        <f t="shared" si="60"/>
        <v/>
      </c>
      <c r="S255" s="11" t="str">
        <f t="shared" si="61"/>
        <v/>
      </c>
      <c r="T255" s="12" t="str">
        <f t="shared" si="62"/>
        <v/>
      </c>
      <c r="U255" s="11">
        <f t="shared" si="70"/>
        <v>82516.01</v>
      </c>
      <c r="V255" s="11">
        <f t="shared" si="71"/>
        <v>0</v>
      </c>
      <c r="W255" s="11">
        <f t="shared" si="72"/>
        <v>0</v>
      </c>
      <c r="X255" s="11">
        <f t="shared" si="73"/>
        <v>0</v>
      </c>
      <c r="Y255" s="11" t="str">
        <f t="shared" si="63"/>
        <v/>
      </c>
      <c r="Z255" s="13">
        <f t="shared" si="74"/>
        <v>46247</v>
      </c>
      <c r="AA255" s="10" t="str">
        <f>IF(OR($AA$116="错误",COUNTIF($G$117:G255,"待修正")&gt;0),"错误","正常")</f>
        <v>正常</v>
      </c>
      <c r="AB255" s="14">
        <f t="shared" si="75"/>
        <v>2.7686</v>
      </c>
    </row>
    <row r="256" ht="23" customHeight="1" spans="1:28">
      <c r="A256" s="15"/>
      <c r="B256" s="16"/>
      <c r="C256" s="17"/>
      <c r="D256" s="18"/>
      <c r="E256" s="19" t="str">
        <f t="shared" si="76"/>
        <v/>
      </c>
      <c r="F256" s="18"/>
      <c r="G256" s="20" t="str">
        <f t="shared" si="77"/>
        <v/>
      </c>
      <c r="H256" s="21" t="str">
        <f t="shared" si="78"/>
        <v/>
      </c>
      <c r="I256" s="10" t="str">
        <f>IF(COUNTA(A256:D256,F256)=0,"",IF(NOT(ISNUMBER(A256)),"缺少有效净值日期",IF(OR(A256&lt;=0,A256&lt;&gt;INT(A256)),"净值日期无效",IF(OR(B256="转换转入",B256="现金分红"),"该类型需实际金额，五项录入不适用",IF(NOT(OR(OR(B256="买入",B256="定投"),B256="卖出",B256="红利再投")),"请选择交易类型",IF(NOT(ISNUMBER(C256)),"缺少成交净值",IF(C256&lt;=0,"成交净值须大于零",IF(NOT(ISNUMBER(D256)),"缺少确认份额",IF(D256&lt;=0,"确认份额须大于零",IF(NOT(ISNUMBER(F256)),"缺少手续费，无费用请填 0",IF(F256&lt;0,"手续费不能为负",IF(AA255="错误","前行待修正",IF(A256&lt;Z255,"日期需按成交顺序递增",IF(AND(B256="红利再投",F256&lt;&gt;0),"红利再投手续费应填 0",IF(AND(B256="红利再投",K255&lt;=0),"红利再投前须有持仓",IF(AND(B256="卖出",D256&gt;K255+0.000001),"卖出份额超过持仓",IF(AND(B256="卖出",F256&gt;=C256*D256),"赎回费不能达到赎回总额",IF(NOT(ISNUMBER(E256)),"自动金额未生成，请检查五项输入",IF(NOT(OR(持仓总览!$C$7="利润优先",持仓总览!$C$7="本金优先")),"请选择卖出分配模式","已计入")))))))))))))))))))</f>
        <v/>
      </c>
      <c r="J256" s="11">
        <f t="shared" si="59"/>
        <v>0</v>
      </c>
      <c r="K256" s="11">
        <f t="shared" si="64"/>
        <v>34284.43</v>
      </c>
      <c r="L256" s="11" t="str">
        <f t="shared" si="65"/>
        <v/>
      </c>
      <c r="M256" s="11" t="str">
        <f t="shared" si="66"/>
        <v/>
      </c>
      <c r="N256" s="11" t="str">
        <f>IF(I256="已计入",IF(AND(B256="卖出",持仓总览!$C$7="本金优先"),MAX(0,E256-Q255),IF(OR(B256="卖出",B256="现金分红"),MIN(E256,M256),0)),"")</f>
        <v/>
      </c>
      <c r="O256" s="11" t="str">
        <f t="shared" si="67"/>
        <v/>
      </c>
      <c r="P256" s="11" t="str">
        <f t="shared" si="68"/>
        <v/>
      </c>
      <c r="Q256" s="11">
        <f t="shared" si="69"/>
        <v>82516.01</v>
      </c>
      <c r="R256" s="11" t="str">
        <f t="shared" si="60"/>
        <v/>
      </c>
      <c r="S256" s="11" t="str">
        <f t="shared" si="61"/>
        <v/>
      </c>
      <c r="T256" s="12" t="str">
        <f t="shared" si="62"/>
        <v/>
      </c>
      <c r="U256" s="11">
        <f t="shared" si="70"/>
        <v>82516.01</v>
      </c>
      <c r="V256" s="11">
        <f t="shared" si="71"/>
        <v>0</v>
      </c>
      <c r="W256" s="11">
        <f t="shared" si="72"/>
        <v>0</v>
      </c>
      <c r="X256" s="11">
        <f t="shared" si="73"/>
        <v>0</v>
      </c>
      <c r="Y256" s="11" t="str">
        <f t="shared" si="63"/>
        <v/>
      </c>
      <c r="Z256" s="13">
        <f t="shared" si="74"/>
        <v>46247</v>
      </c>
      <c r="AA256" s="10" t="str">
        <f>IF(OR($AA$116="错误",COUNTIF($G$117:G256,"待修正")&gt;0),"错误","正常")</f>
        <v>正常</v>
      </c>
      <c r="AB256" s="14">
        <f t="shared" si="75"/>
        <v>2.7686</v>
      </c>
    </row>
    <row r="257" ht="23" customHeight="1" spans="1:28">
      <c r="A257" s="15"/>
      <c r="B257" s="16"/>
      <c r="C257" s="17"/>
      <c r="D257" s="18"/>
      <c r="E257" s="19" t="str">
        <f t="shared" si="76"/>
        <v/>
      </c>
      <c r="F257" s="18"/>
      <c r="G257" s="20" t="str">
        <f t="shared" si="77"/>
        <v/>
      </c>
      <c r="H257" s="21" t="str">
        <f t="shared" si="78"/>
        <v/>
      </c>
      <c r="I257" s="10" t="str">
        <f>IF(COUNTA(A257:D257,F257)=0,"",IF(NOT(ISNUMBER(A257)),"缺少有效净值日期",IF(OR(A257&lt;=0,A257&lt;&gt;INT(A257)),"净值日期无效",IF(OR(B257="转换转入",B257="现金分红"),"该类型需实际金额，五项录入不适用",IF(NOT(OR(OR(B257="买入",B257="定投"),B257="卖出",B257="红利再投")),"请选择交易类型",IF(NOT(ISNUMBER(C257)),"缺少成交净值",IF(C257&lt;=0,"成交净值须大于零",IF(NOT(ISNUMBER(D257)),"缺少确认份额",IF(D257&lt;=0,"确认份额须大于零",IF(NOT(ISNUMBER(F257)),"缺少手续费，无费用请填 0",IF(F257&lt;0,"手续费不能为负",IF(AA256="错误","前行待修正",IF(A257&lt;Z256,"日期需按成交顺序递增",IF(AND(B257="红利再投",F257&lt;&gt;0),"红利再投手续费应填 0",IF(AND(B257="红利再投",K256&lt;=0),"红利再投前须有持仓",IF(AND(B257="卖出",D257&gt;K256+0.000001),"卖出份额超过持仓",IF(AND(B257="卖出",F257&gt;=C257*D257),"赎回费不能达到赎回总额",IF(NOT(ISNUMBER(E257)),"自动金额未生成，请检查五项输入",IF(NOT(OR(持仓总览!$C$7="利润优先",持仓总览!$C$7="本金优先")),"请选择卖出分配模式","已计入")))))))))))))))))))</f>
        <v/>
      </c>
      <c r="J257" s="11">
        <f t="shared" si="59"/>
        <v>0</v>
      </c>
      <c r="K257" s="11">
        <f t="shared" si="64"/>
        <v>34284.43</v>
      </c>
      <c r="L257" s="11" t="str">
        <f t="shared" si="65"/>
        <v/>
      </c>
      <c r="M257" s="11" t="str">
        <f t="shared" si="66"/>
        <v/>
      </c>
      <c r="N257" s="11" t="str">
        <f>IF(I257="已计入",IF(AND(B257="卖出",持仓总览!$C$7="本金优先"),MAX(0,E257-Q256),IF(OR(B257="卖出",B257="现金分红"),MIN(E257,M257),0)),"")</f>
        <v/>
      </c>
      <c r="O257" s="11" t="str">
        <f t="shared" si="67"/>
        <v/>
      </c>
      <c r="P257" s="11" t="str">
        <f t="shared" si="68"/>
        <v/>
      </c>
      <c r="Q257" s="11">
        <f t="shared" si="69"/>
        <v>82516.01</v>
      </c>
      <c r="R257" s="11" t="str">
        <f t="shared" si="60"/>
        <v/>
      </c>
      <c r="S257" s="11" t="str">
        <f t="shared" si="61"/>
        <v/>
      </c>
      <c r="T257" s="12" t="str">
        <f t="shared" si="62"/>
        <v/>
      </c>
      <c r="U257" s="11">
        <f t="shared" si="70"/>
        <v>82516.01</v>
      </c>
      <c r="V257" s="11">
        <f t="shared" si="71"/>
        <v>0</v>
      </c>
      <c r="W257" s="11">
        <f t="shared" si="72"/>
        <v>0</v>
      </c>
      <c r="X257" s="11">
        <f t="shared" si="73"/>
        <v>0</v>
      </c>
      <c r="Y257" s="11" t="str">
        <f t="shared" si="63"/>
        <v/>
      </c>
      <c r="Z257" s="13">
        <f t="shared" si="74"/>
        <v>46247</v>
      </c>
      <c r="AA257" s="10" t="str">
        <f>IF(OR($AA$116="错误",COUNTIF($G$117:G257,"待修正")&gt;0),"错误","正常")</f>
        <v>正常</v>
      </c>
      <c r="AB257" s="14">
        <f t="shared" si="75"/>
        <v>2.7686</v>
      </c>
    </row>
    <row r="258" ht="23" customHeight="1" spans="1:28">
      <c r="A258" s="15"/>
      <c r="B258" s="16"/>
      <c r="C258" s="17"/>
      <c r="D258" s="18"/>
      <c r="E258" s="19" t="str">
        <f t="shared" si="76"/>
        <v/>
      </c>
      <c r="F258" s="18"/>
      <c r="G258" s="20" t="str">
        <f t="shared" si="77"/>
        <v/>
      </c>
      <c r="H258" s="21" t="str">
        <f t="shared" si="78"/>
        <v/>
      </c>
      <c r="I258" s="10" t="str">
        <f>IF(COUNTA(A258:D258,F258)=0,"",IF(NOT(ISNUMBER(A258)),"缺少有效净值日期",IF(OR(A258&lt;=0,A258&lt;&gt;INT(A258)),"净值日期无效",IF(OR(B258="转换转入",B258="现金分红"),"该类型需实际金额，五项录入不适用",IF(NOT(OR(OR(B258="买入",B258="定投"),B258="卖出",B258="红利再投")),"请选择交易类型",IF(NOT(ISNUMBER(C258)),"缺少成交净值",IF(C258&lt;=0,"成交净值须大于零",IF(NOT(ISNUMBER(D258)),"缺少确认份额",IF(D258&lt;=0,"确认份额须大于零",IF(NOT(ISNUMBER(F258)),"缺少手续费，无费用请填 0",IF(F258&lt;0,"手续费不能为负",IF(AA257="错误","前行待修正",IF(A258&lt;Z257,"日期需按成交顺序递增",IF(AND(B258="红利再投",F258&lt;&gt;0),"红利再投手续费应填 0",IF(AND(B258="红利再投",K257&lt;=0),"红利再投前须有持仓",IF(AND(B258="卖出",D258&gt;K257+0.000001),"卖出份额超过持仓",IF(AND(B258="卖出",F258&gt;=C258*D258),"赎回费不能达到赎回总额",IF(NOT(ISNUMBER(E258)),"自动金额未生成，请检查五项输入",IF(NOT(OR(持仓总览!$C$7="利润优先",持仓总览!$C$7="本金优先")),"请选择卖出分配模式","已计入")))))))))))))))))))</f>
        <v/>
      </c>
      <c r="J258" s="11">
        <f t="shared" si="59"/>
        <v>0</v>
      </c>
      <c r="K258" s="11">
        <f t="shared" si="64"/>
        <v>34284.43</v>
      </c>
      <c r="L258" s="11" t="str">
        <f t="shared" si="65"/>
        <v/>
      </c>
      <c r="M258" s="11" t="str">
        <f t="shared" si="66"/>
        <v/>
      </c>
      <c r="N258" s="11" t="str">
        <f>IF(I258="已计入",IF(AND(B258="卖出",持仓总览!$C$7="本金优先"),MAX(0,E258-Q257),IF(OR(B258="卖出",B258="现金分红"),MIN(E258,M258),0)),"")</f>
        <v/>
      </c>
      <c r="O258" s="11" t="str">
        <f t="shared" si="67"/>
        <v/>
      </c>
      <c r="P258" s="11" t="str">
        <f t="shared" si="68"/>
        <v/>
      </c>
      <c r="Q258" s="11">
        <f t="shared" si="69"/>
        <v>82516.01</v>
      </c>
      <c r="R258" s="11" t="str">
        <f t="shared" si="60"/>
        <v/>
      </c>
      <c r="S258" s="11" t="str">
        <f t="shared" si="61"/>
        <v/>
      </c>
      <c r="T258" s="12" t="str">
        <f t="shared" si="62"/>
        <v/>
      </c>
      <c r="U258" s="11">
        <f t="shared" si="70"/>
        <v>82516.01</v>
      </c>
      <c r="V258" s="11">
        <f t="shared" si="71"/>
        <v>0</v>
      </c>
      <c r="W258" s="11">
        <f t="shared" si="72"/>
        <v>0</v>
      </c>
      <c r="X258" s="11">
        <f t="shared" si="73"/>
        <v>0</v>
      </c>
      <c r="Y258" s="11" t="str">
        <f t="shared" si="63"/>
        <v/>
      </c>
      <c r="Z258" s="13">
        <f t="shared" si="74"/>
        <v>46247</v>
      </c>
      <c r="AA258" s="10" t="str">
        <f>IF(OR($AA$116="错误",COUNTIF($G$117:G258,"待修正")&gt;0),"错误","正常")</f>
        <v>正常</v>
      </c>
      <c r="AB258" s="14">
        <f t="shared" si="75"/>
        <v>2.7686</v>
      </c>
    </row>
    <row r="259" ht="23" customHeight="1" spans="1:28">
      <c r="A259" s="15"/>
      <c r="B259" s="16"/>
      <c r="C259" s="17"/>
      <c r="D259" s="18"/>
      <c r="E259" s="19" t="str">
        <f t="shared" si="76"/>
        <v/>
      </c>
      <c r="F259" s="18"/>
      <c r="G259" s="20" t="str">
        <f t="shared" si="77"/>
        <v/>
      </c>
      <c r="H259" s="21" t="str">
        <f t="shared" si="78"/>
        <v/>
      </c>
      <c r="I259" s="10" t="str">
        <f>IF(COUNTA(A259:D259,F259)=0,"",IF(NOT(ISNUMBER(A259)),"缺少有效净值日期",IF(OR(A259&lt;=0,A259&lt;&gt;INT(A259)),"净值日期无效",IF(OR(B259="转换转入",B259="现金分红"),"该类型需实际金额，五项录入不适用",IF(NOT(OR(OR(B259="买入",B259="定投"),B259="卖出",B259="红利再投")),"请选择交易类型",IF(NOT(ISNUMBER(C259)),"缺少成交净值",IF(C259&lt;=0,"成交净值须大于零",IF(NOT(ISNUMBER(D259)),"缺少确认份额",IF(D259&lt;=0,"确认份额须大于零",IF(NOT(ISNUMBER(F259)),"缺少手续费，无费用请填 0",IF(F259&lt;0,"手续费不能为负",IF(AA258="错误","前行待修正",IF(A259&lt;Z258,"日期需按成交顺序递增",IF(AND(B259="红利再投",F259&lt;&gt;0),"红利再投手续费应填 0",IF(AND(B259="红利再投",K258&lt;=0),"红利再投前须有持仓",IF(AND(B259="卖出",D259&gt;K258+0.000001),"卖出份额超过持仓",IF(AND(B259="卖出",F259&gt;=C259*D259),"赎回费不能达到赎回总额",IF(NOT(ISNUMBER(E259)),"自动金额未生成，请检查五项输入",IF(NOT(OR(持仓总览!$C$7="利润优先",持仓总览!$C$7="本金优先")),"请选择卖出分配模式","已计入")))))))))))))))))))</f>
        <v/>
      </c>
      <c r="J259" s="11">
        <f t="shared" si="59"/>
        <v>0</v>
      </c>
      <c r="K259" s="11">
        <f t="shared" si="64"/>
        <v>34284.43</v>
      </c>
      <c r="L259" s="11" t="str">
        <f t="shared" si="65"/>
        <v/>
      </c>
      <c r="M259" s="11" t="str">
        <f t="shared" si="66"/>
        <v/>
      </c>
      <c r="N259" s="11" t="str">
        <f>IF(I259="已计入",IF(AND(B259="卖出",持仓总览!$C$7="本金优先"),MAX(0,E259-Q258),IF(OR(B259="卖出",B259="现金分红"),MIN(E259,M259),0)),"")</f>
        <v/>
      </c>
      <c r="O259" s="11" t="str">
        <f t="shared" si="67"/>
        <v/>
      </c>
      <c r="P259" s="11" t="str">
        <f t="shared" si="68"/>
        <v/>
      </c>
      <c r="Q259" s="11">
        <f t="shared" si="69"/>
        <v>82516.01</v>
      </c>
      <c r="R259" s="11" t="str">
        <f t="shared" si="60"/>
        <v/>
      </c>
      <c r="S259" s="11" t="str">
        <f t="shared" si="61"/>
        <v/>
      </c>
      <c r="T259" s="12" t="str">
        <f t="shared" si="62"/>
        <v/>
      </c>
      <c r="U259" s="11">
        <f t="shared" si="70"/>
        <v>82516.01</v>
      </c>
      <c r="V259" s="11">
        <f t="shared" si="71"/>
        <v>0</v>
      </c>
      <c r="W259" s="11">
        <f t="shared" si="72"/>
        <v>0</v>
      </c>
      <c r="X259" s="11">
        <f t="shared" si="73"/>
        <v>0</v>
      </c>
      <c r="Y259" s="11" t="str">
        <f t="shared" si="63"/>
        <v/>
      </c>
      <c r="Z259" s="13">
        <f t="shared" si="74"/>
        <v>46247</v>
      </c>
      <c r="AA259" s="10" t="str">
        <f>IF(OR($AA$116="错误",COUNTIF($G$117:G259,"待修正")&gt;0),"错误","正常")</f>
        <v>正常</v>
      </c>
      <c r="AB259" s="14">
        <f t="shared" si="75"/>
        <v>2.7686</v>
      </c>
    </row>
    <row r="260" ht="23" customHeight="1" spans="1:28">
      <c r="A260" s="15"/>
      <c r="B260" s="16"/>
      <c r="C260" s="17"/>
      <c r="D260" s="18"/>
      <c r="E260" s="19" t="str">
        <f t="shared" si="76"/>
        <v/>
      </c>
      <c r="F260" s="18"/>
      <c r="G260" s="20" t="str">
        <f t="shared" si="77"/>
        <v/>
      </c>
      <c r="H260" s="21" t="str">
        <f t="shared" si="78"/>
        <v/>
      </c>
      <c r="I260" s="10" t="str">
        <f>IF(COUNTA(A260:D260,F260)=0,"",IF(NOT(ISNUMBER(A260)),"缺少有效净值日期",IF(OR(A260&lt;=0,A260&lt;&gt;INT(A260)),"净值日期无效",IF(OR(B260="转换转入",B260="现金分红"),"该类型需实际金额，五项录入不适用",IF(NOT(OR(OR(B260="买入",B260="定投"),B260="卖出",B260="红利再投")),"请选择交易类型",IF(NOT(ISNUMBER(C260)),"缺少成交净值",IF(C260&lt;=0,"成交净值须大于零",IF(NOT(ISNUMBER(D260)),"缺少确认份额",IF(D260&lt;=0,"确认份额须大于零",IF(NOT(ISNUMBER(F260)),"缺少手续费，无费用请填 0",IF(F260&lt;0,"手续费不能为负",IF(AA259="错误","前行待修正",IF(A260&lt;Z259,"日期需按成交顺序递增",IF(AND(B260="红利再投",F260&lt;&gt;0),"红利再投手续费应填 0",IF(AND(B260="红利再投",K259&lt;=0),"红利再投前须有持仓",IF(AND(B260="卖出",D260&gt;K259+0.000001),"卖出份额超过持仓",IF(AND(B260="卖出",F260&gt;=C260*D260),"赎回费不能达到赎回总额",IF(NOT(ISNUMBER(E260)),"自动金额未生成，请检查五项输入",IF(NOT(OR(持仓总览!$C$7="利润优先",持仓总览!$C$7="本金优先")),"请选择卖出分配模式","已计入")))))))))))))))))))</f>
        <v/>
      </c>
      <c r="J260" s="11">
        <f t="shared" si="59"/>
        <v>0</v>
      </c>
      <c r="K260" s="11">
        <f t="shared" si="64"/>
        <v>34284.43</v>
      </c>
      <c r="L260" s="11" t="str">
        <f t="shared" si="65"/>
        <v/>
      </c>
      <c r="M260" s="11" t="str">
        <f t="shared" si="66"/>
        <v/>
      </c>
      <c r="N260" s="11" t="str">
        <f>IF(I260="已计入",IF(AND(B260="卖出",持仓总览!$C$7="本金优先"),MAX(0,E260-Q259),IF(OR(B260="卖出",B260="现金分红"),MIN(E260,M260),0)),"")</f>
        <v/>
      </c>
      <c r="O260" s="11" t="str">
        <f t="shared" si="67"/>
        <v/>
      </c>
      <c r="P260" s="11" t="str">
        <f t="shared" si="68"/>
        <v/>
      </c>
      <c r="Q260" s="11">
        <f t="shared" si="69"/>
        <v>82516.01</v>
      </c>
      <c r="R260" s="11" t="str">
        <f t="shared" si="60"/>
        <v/>
      </c>
      <c r="S260" s="11" t="str">
        <f t="shared" si="61"/>
        <v/>
      </c>
      <c r="T260" s="12" t="str">
        <f t="shared" si="62"/>
        <v/>
      </c>
      <c r="U260" s="11">
        <f t="shared" si="70"/>
        <v>82516.01</v>
      </c>
      <c r="V260" s="11">
        <f t="shared" si="71"/>
        <v>0</v>
      </c>
      <c r="W260" s="11">
        <f t="shared" si="72"/>
        <v>0</v>
      </c>
      <c r="X260" s="11">
        <f t="shared" si="73"/>
        <v>0</v>
      </c>
      <c r="Y260" s="11" t="str">
        <f t="shared" si="63"/>
        <v/>
      </c>
      <c r="Z260" s="13">
        <f t="shared" si="74"/>
        <v>46247</v>
      </c>
      <c r="AA260" s="10" t="str">
        <f>IF(OR($AA$116="错误",COUNTIF($G$117:G260,"待修正")&gt;0),"错误","正常")</f>
        <v>正常</v>
      </c>
      <c r="AB260" s="14">
        <f t="shared" si="75"/>
        <v>2.7686</v>
      </c>
    </row>
    <row r="261" ht="23" customHeight="1" spans="1:28">
      <c r="A261" s="15"/>
      <c r="B261" s="16"/>
      <c r="C261" s="17"/>
      <c r="D261" s="18"/>
      <c r="E261" s="19" t="str">
        <f t="shared" si="76"/>
        <v/>
      </c>
      <c r="F261" s="18"/>
      <c r="G261" s="20" t="str">
        <f t="shared" si="77"/>
        <v/>
      </c>
      <c r="H261" s="21" t="str">
        <f t="shared" si="78"/>
        <v/>
      </c>
      <c r="I261" s="10" t="str">
        <f>IF(COUNTA(A261:D261,F261)=0,"",IF(NOT(ISNUMBER(A261)),"缺少有效净值日期",IF(OR(A261&lt;=0,A261&lt;&gt;INT(A261)),"净值日期无效",IF(OR(B261="转换转入",B261="现金分红"),"该类型需实际金额，五项录入不适用",IF(NOT(OR(OR(B261="买入",B261="定投"),B261="卖出",B261="红利再投")),"请选择交易类型",IF(NOT(ISNUMBER(C261)),"缺少成交净值",IF(C261&lt;=0,"成交净值须大于零",IF(NOT(ISNUMBER(D261)),"缺少确认份额",IF(D261&lt;=0,"确认份额须大于零",IF(NOT(ISNUMBER(F261)),"缺少手续费，无费用请填 0",IF(F261&lt;0,"手续费不能为负",IF(AA260="错误","前行待修正",IF(A261&lt;Z260,"日期需按成交顺序递增",IF(AND(B261="红利再投",F261&lt;&gt;0),"红利再投手续费应填 0",IF(AND(B261="红利再投",K260&lt;=0),"红利再投前须有持仓",IF(AND(B261="卖出",D261&gt;K260+0.000001),"卖出份额超过持仓",IF(AND(B261="卖出",F261&gt;=C261*D261),"赎回费不能达到赎回总额",IF(NOT(ISNUMBER(E261)),"自动金额未生成，请检查五项输入",IF(NOT(OR(持仓总览!$C$7="利润优先",持仓总览!$C$7="本金优先")),"请选择卖出分配模式","已计入")))))))))))))))))))</f>
        <v/>
      </c>
      <c r="J261" s="11">
        <f t="shared" si="59"/>
        <v>0</v>
      </c>
      <c r="K261" s="11">
        <f t="shared" si="64"/>
        <v>34284.43</v>
      </c>
      <c r="L261" s="11" t="str">
        <f t="shared" si="65"/>
        <v/>
      </c>
      <c r="M261" s="11" t="str">
        <f t="shared" si="66"/>
        <v/>
      </c>
      <c r="N261" s="11" t="str">
        <f>IF(I261="已计入",IF(AND(B261="卖出",持仓总览!$C$7="本金优先"),MAX(0,E261-Q260),IF(OR(B261="卖出",B261="现金分红"),MIN(E261,M261),0)),"")</f>
        <v/>
      </c>
      <c r="O261" s="11" t="str">
        <f t="shared" si="67"/>
        <v/>
      </c>
      <c r="P261" s="11" t="str">
        <f t="shared" si="68"/>
        <v/>
      </c>
      <c r="Q261" s="11">
        <f t="shared" si="69"/>
        <v>82516.01</v>
      </c>
      <c r="R261" s="11" t="str">
        <f t="shared" si="60"/>
        <v/>
      </c>
      <c r="S261" s="11" t="str">
        <f t="shared" si="61"/>
        <v/>
      </c>
      <c r="T261" s="12" t="str">
        <f t="shared" si="62"/>
        <v/>
      </c>
      <c r="U261" s="11">
        <f t="shared" si="70"/>
        <v>82516.01</v>
      </c>
      <c r="V261" s="11">
        <f t="shared" si="71"/>
        <v>0</v>
      </c>
      <c r="W261" s="11">
        <f t="shared" si="72"/>
        <v>0</v>
      </c>
      <c r="X261" s="11">
        <f t="shared" si="73"/>
        <v>0</v>
      </c>
      <c r="Y261" s="11" t="str">
        <f t="shared" si="63"/>
        <v/>
      </c>
      <c r="Z261" s="13">
        <f t="shared" si="74"/>
        <v>46247</v>
      </c>
      <c r="AA261" s="10" t="str">
        <f>IF(OR($AA$116="错误",COUNTIF($G$117:G261,"待修正")&gt;0),"错误","正常")</f>
        <v>正常</v>
      </c>
      <c r="AB261" s="14">
        <f t="shared" si="75"/>
        <v>2.7686</v>
      </c>
    </row>
    <row r="262" ht="23" customHeight="1" spans="1:28">
      <c r="A262" s="15"/>
      <c r="B262" s="16"/>
      <c r="C262" s="17"/>
      <c r="D262" s="18"/>
      <c r="E262" s="19" t="str">
        <f t="shared" si="76"/>
        <v/>
      </c>
      <c r="F262" s="18"/>
      <c r="G262" s="20" t="str">
        <f t="shared" si="77"/>
        <v/>
      </c>
      <c r="H262" s="21" t="str">
        <f t="shared" si="78"/>
        <v/>
      </c>
      <c r="I262" s="10" t="str">
        <f>IF(COUNTA(A262:D262,F262)=0,"",IF(NOT(ISNUMBER(A262)),"缺少有效净值日期",IF(OR(A262&lt;=0,A262&lt;&gt;INT(A262)),"净值日期无效",IF(OR(B262="转换转入",B262="现金分红"),"该类型需实际金额，五项录入不适用",IF(NOT(OR(OR(B262="买入",B262="定投"),B262="卖出",B262="红利再投")),"请选择交易类型",IF(NOT(ISNUMBER(C262)),"缺少成交净值",IF(C262&lt;=0,"成交净值须大于零",IF(NOT(ISNUMBER(D262)),"缺少确认份额",IF(D262&lt;=0,"确认份额须大于零",IF(NOT(ISNUMBER(F262)),"缺少手续费，无费用请填 0",IF(F262&lt;0,"手续费不能为负",IF(AA261="错误","前行待修正",IF(A262&lt;Z261,"日期需按成交顺序递增",IF(AND(B262="红利再投",F262&lt;&gt;0),"红利再投手续费应填 0",IF(AND(B262="红利再投",K261&lt;=0),"红利再投前须有持仓",IF(AND(B262="卖出",D262&gt;K261+0.000001),"卖出份额超过持仓",IF(AND(B262="卖出",F262&gt;=C262*D262),"赎回费不能达到赎回总额",IF(NOT(ISNUMBER(E262)),"自动金额未生成，请检查五项输入",IF(NOT(OR(持仓总览!$C$7="利润优先",持仓总览!$C$7="本金优先")),"请选择卖出分配模式","已计入")))))))))))))))))))</f>
        <v/>
      </c>
      <c r="J262" s="11">
        <f t="shared" si="59"/>
        <v>0</v>
      </c>
      <c r="K262" s="11">
        <f t="shared" si="64"/>
        <v>34284.43</v>
      </c>
      <c r="L262" s="11" t="str">
        <f t="shared" si="65"/>
        <v/>
      </c>
      <c r="M262" s="11" t="str">
        <f t="shared" si="66"/>
        <v/>
      </c>
      <c r="N262" s="11" t="str">
        <f>IF(I262="已计入",IF(AND(B262="卖出",持仓总览!$C$7="本金优先"),MAX(0,E262-Q261),IF(OR(B262="卖出",B262="现金分红"),MIN(E262,M262),0)),"")</f>
        <v/>
      </c>
      <c r="O262" s="11" t="str">
        <f t="shared" si="67"/>
        <v/>
      </c>
      <c r="P262" s="11" t="str">
        <f t="shared" si="68"/>
        <v/>
      </c>
      <c r="Q262" s="11">
        <f t="shared" si="69"/>
        <v>82516.01</v>
      </c>
      <c r="R262" s="11" t="str">
        <f t="shared" si="60"/>
        <v/>
      </c>
      <c r="S262" s="11" t="str">
        <f t="shared" si="61"/>
        <v/>
      </c>
      <c r="T262" s="12" t="str">
        <f t="shared" si="62"/>
        <v/>
      </c>
      <c r="U262" s="11">
        <f t="shared" si="70"/>
        <v>82516.01</v>
      </c>
      <c r="V262" s="11">
        <f t="shared" si="71"/>
        <v>0</v>
      </c>
      <c r="W262" s="11">
        <f t="shared" si="72"/>
        <v>0</v>
      </c>
      <c r="X262" s="11">
        <f t="shared" si="73"/>
        <v>0</v>
      </c>
      <c r="Y262" s="11" t="str">
        <f t="shared" si="63"/>
        <v/>
      </c>
      <c r="Z262" s="13">
        <f t="shared" si="74"/>
        <v>46247</v>
      </c>
      <c r="AA262" s="10" t="str">
        <f>IF(OR($AA$116="错误",COUNTIF($G$117:G262,"待修正")&gt;0),"错误","正常")</f>
        <v>正常</v>
      </c>
      <c r="AB262" s="14">
        <f t="shared" si="75"/>
        <v>2.7686</v>
      </c>
    </row>
    <row r="263" ht="23" customHeight="1" spans="1:28">
      <c r="A263" s="15"/>
      <c r="B263" s="16"/>
      <c r="C263" s="17"/>
      <c r="D263" s="18"/>
      <c r="E263" s="19" t="str">
        <f t="shared" si="76"/>
        <v/>
      </c>
      <c r="F263" s="18"/>
      <c r="G263" s="20" t="str">
        <f t="shared" si="77"/>
        <v/>
      </c>
      <c r="H263" s="21" t="str">
        <f t="shared" si="78"/>
        <v/>
      </c>
      <c r="I263" s="10" t="str">
        <f>IF(COUNTA(A263:D263,F263)=0,"",IF(NOT(ISNUMBER(A263)),"缺少有效净值日期",IF(OR(A263&lt;=0,A263&lt;&gt;INT(A263)),"净值日期无效",IF(OR(B263="转换转入",B263="现金分红"),"该类型需实际金额，五项录入不适用",IF(NOT(OR(OR(B263="买入",B263="定投"),B263="卖出",B263="红利再投")),"请选择交易类型",IF(NOT(ISNUMBER(C263)),"缺少成交净值",IF(C263&lt;=0,"成交净值须大于零",IF(NOT(ISNUMBER(D263)),"缺少确认份额",IF(D263&lt;=0,"确认份额须大于零",IF(NOT(ISNUMBER(F263)),"缺少手续费，无费用请填 0",IF(F263&lt;0,"手续费不能为负",IF(AA262="错误","前行待修正",IF(A263&lt;Z262,"日期需按成交顺序递增",IF(AND(B263="红利再投",F263&lt;&gt;0),"红利再投手续费应填 0",IF(AND(B263="红利再投",K262&lt;=0),"红利再投前须有持仓",IF(AND(B263="卖出",D263&gt;K262+0.000001),"卖出份额超过持仓",IF(AND(B263="卖出",F263&gt;=C263*D263),"赎回费不能达到赎回总额",IF(NOT(ISNUMBER(E263)),"自动金额未生成，请检查五项输入",IF(NOT(OR(持仓总览!$C$7="利润优先",持仓总览!$C$7="本金优先")),"请选择卖出分配模式","已计入")))))))))))))))))))</f>
        <v/>
      </c>
      <c r="J263" s="11">
        <f t="shared" ref="J263:J326" si="79">IF(AA263="正常",IF(I263="已计入",IF(OR(OR(B263="买入",B263="定投",B263="转换转入"),B263="红利再投"),D263,IF(B263="卖出",-D263,0)),0),"")</f>
        <v>0</v>
      </c>
      <c r="K263" s="11">
        <f t="shared" si="64"/>
        <v>34284.43</v>
      </c>
      <c r="L263" s="11" t="str">
        <f t="shared" si="65"/>
        <v/>
      </c>
      <c r="M263" s="11" t="str">
        <f t="shared" si="66"/>
        <v/>
      </c>
      <c r="N263" s="11" t="str">
        <f>IF(I263="已计入",IF(AND(B263="卖出",持仓总览!$C$7="本金优先"),MAX(0,E263-Q262),IF(OR(B263="卖出",B263="现金分红"),MIN(E263,M263),0)),"")</f>
        <v/>
      </c>
      <c r="O263" s="11" t="str">
        <f t="shared" si="67"/>
        <v/>
      </c>
      <c r="P263" s="11" t="str">
        <f t="shared" si="68"/>
        <v/>
      </c>
      <c r="Q263" s="11">
        <f t="shared" si="69"/>
        <v>82516.01</v>
      </c>
      <c r="R263" s="11" t="str">
        <f t="shared" ref="R263:R326" si="80">IF(I263="已计入",ROUND(K263*C263,2),"")</f>
        <v/>
      </c>
      <c r="S263" s="11" t="str">
        <f t="shared" ref="S263:S326" si="81">IF(I263="已计入",ROUND(R263-Q263,2),"")</f>
        <v/>
      </c>
      <c r="T263" s="12" t="str">
        <f t="shared" ref="T263:T326" si="82">IF(I263="已计入",IF(Q263=0,"",S263/Q263),"")</f>
        <v/>
      </c>
      <c r="U263" s="11">
        <f t="shared" si="70"/>
        <v>82516.01</v>
      </c>
      <c r="V263" s="11">
        <f t="shared" si="71"/>
        <v>0</v>
      </c>
      <c r="W263" s="11">
        <f t="shared" si="72"/>
        <v>0</v>
      </c>
      <c r="X263" s="11">
        <f t="shared" si="73"/>
        <v>0</v>
      </c>
      <c r="Y263" s="11" t="str">
        <f t="shared" ref="Y263:Y326" si="83">IF(I263="已计入",ROUND(R263+V263-U263,2),"")</f>
        <v/>
      </c>
      <c r="Z263" s="13">
        <f t="shared" si="74"/>
        <v>46247</v>
      </c>
      <c r="AA263" s="10" t="str">
        <f>IF(OR($AA$116="错误",COUNTIF($G$117:G263,"待修正")&gt;0),"错误","正常")</f>
        <v>正常</v>
      </c>
      <c r="AB263" s="14">
        <f t="shared" si="75"/>
        <v>2.7686</v>
      </c>
    </row>
    <row r="264" ht="23" customHeight="1" spans="1:28">
      <c r="A264" s="15"/>
      <c r="B264" s="16"/>
      <c r="C264" s="17"/>
      <c r="D264" s="18"/>
      <c r="E264" s="19" t="str">
        <f t="shared" si="76"/>
        <v/>
      </c>
      <c r="F264" s="18"/>
      <c r="G264" s="20" t="str">
        <f t="shared" si="77"/>
        <v/>
      </c>
      <c r="H264" s="21" t="str">
        <f t="shared" si="78"/>
        <v/>
      </c>
      <c r="I264" s="10" t="str">
        <f>IF(COUNTA(A264:D264,F264)=0,"",IF(NOT(ISNUMBER(A264)),"缺少有效净值日期",IF(OR(A264&lt;=0,A264&lt;&gt;INT(A264)),"净值日期无效",IF(OR(B264="转换转入",B264="现金分红"),"该类型需实际金额，五项录入不适用",IF(NOT(OR(OR(B264="买入",B264="定投"),B264="卖出",B264="红利再投")),"请选择交易类型",IF(NOT(ISNUMBER(C264)),"缺少成交净值",IF(C264&lt;=0,"成交净值须大于零",IF(NOT(ISNUMBER(D264)),"缺少确认份额",IF(D264&lt;=0,"确认份额须大于零",IF(NOT(ISNUMBER(F264)),"缺少手续费，无费用请填 0",IF(F264&lt;0,"手续费不能为负",IF(AA263="错误","前行待修正",IF(A264&lt;Z263,"日期需按成交顺序递增",IF(AND(B264="红利再投",F264&lt;&gt;0),"红利再投手续费应填 0",IF(AND(B264="红利再投",K263&lt;=0),"红利再投前须有持仓",IF(AND(B264="卖出",D264&gt;K263+0.000001),"卖出份额超过持仓",IF(AND(B264="卖出",F264&gt;=C264*D264),"赎回费不能达到赎回总额",IF(NOT(ISNUMBER(E264)),"自动金额未生成，请检查五项输入",IF(NOT(OR(持仓总览!$C$7="利润优先",持仓总览!$C$7="本金优先")),"请选择卖出分配模式","已计入")))))))))))))))))))</f>
        <v/>
      </c>
      <c r="J264" s="11">
        <f t="shared" si="79"/>
        <v>0</v>
      </c>
      <c r="K264" s="11">
        <f t="shared" ref="K264:K327" si="84">IF(AA264="正常",ROUND(K263+J264,6),"")</f>
        <v>34284.43</v>
      </c>
      <c r="L264" s="11" t="str">
        <f t="shared" ref="L264:L327" si="85">IF(I264="已计入",ROUND(K263*C264,2),"")</f>
        <v/>
      </c>
      <c r="M264" s="11" t="str">
        <f t="shared" ref="M264:M327" si="86">IF(I264="已计入",IF(B264="卖出",MAX(0,L264-Q263-F264),IF(B264="现金分红",MAX(0,L264+E264-Q263),0)),"")</f>
        <v/>
      </c>
      <c r="N264" s="11" t="str">
        <f>IF(I264="已计入",IF(AND(B264="卖出",持仓总览!$C$7="本金优先"),MAX(0,E264-Q263),IF(OR(B264="卖出",B264="现金分红"),MIN(E264,M264),0)),"")</f>
        <v/>
      </c>
      <c r="O264" s="11" t="str">
        <f t="shared" ref="O264:O327" si="87">IF(I264="已计入",IF(OR(B264="卖出",B264="现金分红"),MIN(Q263,MAX(0,E264-N264)),0),"")</f>
        <v/>
      </c>
      <c r="P264" s="11" t="str">
        <f t="shared" ref="P264:P327" si="88">IF(I264="已计入",IF(AND(B264="卖出",K264=0),MAX(0,Q263-O264),0),"")</f>
        <v/>
      </c>
      <c r="Q264" s="11">
        <f t="shared" ref="Q264:Q327" si="89">IF(AA264="正常",IF(I264="已计入",ROUND(Q263+IF(OR(B264="买入",B264="定投",B264="转换转入"),E264,0)-O264-P264,2),Q263),"")</f>
        <v>82516.01</v>
      </c>
      <c r="R264" s="11" t="str">
        <f t="shared" si="80"/>
        <v/>
      </c>
      <c r="S264" s="11" t="str">
        <f t="shared" si="81"/>
        <v/>
      </c>
      <c r="T264" s="12" t="str">
        <f t="shared" si="82"/>
        <v/>
      </c>
      <c r="U264" s="11">
        <f t="shared" ref="U264:U327" si="90">IF(AA264="正常",U263+IF(AND(I264="已计入",OR(B264="买入",B264="定投",B264="转换转入")),E264,0),"")</f>
        <v>82516.01</v>
      </c>
      <c r="V264" s="11">
        <f t="shared" ref="V264:V327" si="91">IF(AA264="正常",V263+IF(AND(I264="已计入",OR(B264="卖出",B264="现金分红")),E264,0),"")</f>
        <v>0</v>
      </c>
      <c r="W264" s="11">
        <f t="shared" ref="W264:W327" si="92">IF(AA264="正常",W263+IF(I264="已计入",N264,0),"")</f>
        <v>0</v>
      </c>
      <c r="X264" s="11">
        <f t="shared" ref="X264:X327" si="93">IF(AA264="正常",X263+IF(I264="已计入",P264,0),"")</f>
        <v>0</v>
      </c>
      <c r="Y264" s="11" t="str">
        <f t="shared" si="83"/>
        <v/>
      </c>
      <c r="Z264" s="13">
        <f t="shared" ref="Z264:Z327" si="94">IF(AA264="正常",IF(I264="已计入",A264,Z263),"")</f>
        <v>46247</v>
      </c>
      <c r="AA264" s="10" t="str">
        <f>IF(OR($AA$116="错误",COUNTIF($G$117:G264,"待修正")&gt;0),"错误","正常")</f>
        <v>正常</v>
      </c>
      <c r="AB264" s="14">
        <f t="shared" ref="AB264:AB327" si="95">IF(AA264="正常",IF(I264="已计入",C264,AB263),"")</f>
        <v>2.7686</v>
      </c>
    </row>
    <row r="265" ht="23" customHeight="1" spans="1:28">
      <c r="A265" s="15"/>
      <c r="B265" s="16"/>
      <c r="C265" s="17"/>
      <c r="D265" s="18"/>
      <c r="E265" s="19" t="str">
        <f t="shared" si="76"/>
        <v/>
      </c>
      <c r="F265" s="18"/>
      <c r="G265" s="20" t="str">
        <f t="shared" si="77"/>
        <v/>
      </c>
      <c r="H265" s="21" t="str">
        <f t="shared" si="78"/>
        <v/>
      </c>
      <c r="I265" s="10" t="str">
        <f>IF(COUNTA(A265:D265,F265)=0,"",IF(NOT(ISNUMBER(A265)),"缺少有效净值日期",IF(OR(A265&lt;=0,A265&lt;&gt;INT(A265)),"净值日期无效",IF(OR(B265="转换转入",B265="现金分红"),"该类型需实际金额，五项录入不适用",IF(NOT(OR(OR(B265="买入",B265="定投"),B265="卖出",B265="红利再投")),"请选择交易类型",IF(NOT(ISNUMBER(C265)),"缺少成交净值",IF(C265&lt;=0,"成交净值须大于零",IF(NOT(ISNUMBER(D265)),"缺少确认份额",IF(D265&lt;=0,"确认份额须大于零",IF(NOT(ISNUMBER(F265)),"缺少手续费，无费用请填 0",IF(F265&lt;0,"手续费不能为负",IF(AA264="错误","前行待修正",IF(A265&lt;Z264,"日期需按成交顺序递增",IF(AND(B265="红利再投",F265&lt;&gt;0),"红利再投手续费应填 0",IF(AND(B265="红利再投",K264&lt;=0),"红利再投前须有持仓",IF(AND(B265="卖出",D265&gt;K264+0.000001),"卖出份额超过持仓",IF(AND(B265="卖出",F265&gt;=C265*D265),"赎回费不能达到赎回总额",IF(NOT(ISNUMBER(E265)),"自动金额未生成，请检查五项输入",IF(NOT(OR(持仓总览!$C$7="利润优先",持仓总览!$C$7="本金优先")),"请选择卖出分配模式","已计入")))))))))))))))))))</f>
        <v/>
      </c>
      <c r="J265" s="11">
        <f t="shared" si="79"/>
        <v>0</v>
      </c>
      <c r="K265" s="11">
        <f t="shared" si="84"/>
        <v>34284.43</v>
      </c>
      <c r="L265" s="11" t="str">
        <f t="shared" si="85"/>
        <v/>
      </c>
      <c r="M265" s="11" t="str">
        <f t="shared" si="86"/>
        <v/>
      </c>
      <c r="N265" s="11" t="str">
        <f>IF(I265="已计入",IF(AND(B265="卖出",持仓总览!$C$7="本金优先"),MAX(0,E265-Q264),IF(OR(B265="卖出",B265="现金分红"),MIN(E265,M265),0)),"")</f>
        <v/>
      </c>
      <c r="O265" s="11" t="str">
        <f t="shared" si="87"/>
        <v/>
      </c>
      <c r="P265" s="11" t="str">
        <f t="shared" si="88"/>
        <v/>
      </c>
      <c r="Q265" s="11">
        <f t="shared" si="89"/>
        <v>82516.01</v>
      </c>
      <c r="R265" s="11" t="str">
        <f t="shared" si="80"/>
        <v/>
      </c>
      <c r="S265" s="11" t="str">
        <f t="shared" si="81"/>
        <v/>
      </c>
      <c r="T265" s="12" t="str">
        <f t="shared" si="82"/>
        <v/>
      </c>
      <c r="U265" s="11">
        <f t="shared" si="90"/>
        <v>82516.01</v>
      </c>
      <c r="V265" s="11">
        <f t="shared" si="91"/>
        <v>0</v>
      </c>
      <c r="W265" s="11">
        <f t="shared" si="92"/>
        <v>0</v>
      </c>
      <c r="X265" s="11">
        <f t="shared" si="93"/>
        <v>0</v>
      </c>
      <c r="Y265" s="11" t="str">
        <f t="shared" si="83"/>
        <v/>
      </c>
      <c r="Z265" s="13">
        <f t="shared" si="94"/>
        <v>46247</v>
      </c>
      <c r="AA265" s="10" t="str">
        <f>IF(OR($AA$116="错误",COUNTIF($G$117:G265,"待修正")&gt;0),"错误","正常")</f>
        <v>正常</v>
      </c>
      <c r="AB265" s="14">
        <f t="shared" si="95"/>
        <v>2.7686</v>
      </c>
    </row>
    <row r="266" ht="23" customHeight="1" spans="1:28">
      <c r="A266" s="15"/>
      <c r="B266" s="16"/>
      <c r="C266" s="17"/>
      <c r="D266" s="18"/>
      <c r="E266" s="19" t="str">
        <f t="shared" si="76"/>
        <v/>
      </c>
      <c r="F266" s="18"/>
      <c r="G266" s="20" t="str">
        <f t="shared" si="77"/>
        <v/>
      </c>
      <c r="H266" s="21" t="str">
        <f t="shared" si="78"/>
        <v/>
      </c>
      <c r="I266" s="10" t="str">
        <f>IF(COUNTA(A266:D266,F266)=0,"",IF(NOT(ISNUMBER(A266)),"缺少有效净值日期",IF(OR(A266&lt;=0,A266&lt;&gt;INT(A266)),"净值日期无效",IF(OR(B266="转换转入",B266="现金分红"),"该类型需实际金额，五项录入不适用",IF(NOT(OR(OR(B266="买入",B266="定投"),B266="卖出",B266="红利再投")),"请选择交易类型",IF(NOT(ISNUMBER(C266)),"缺少成交净值",IF(C266&lt;=0,"成交净值须大于零",IF(NOT(ISNUMBER(D266)),"缺少确认份额",IF(D266&lt;=0,"确认份额须大于零",IF(NOT(ISNUMBER(F266)),"缺少手续费，无费用请填 0",IF(F266&lt;0,"手续费不能为负",IF(AA265="错误","前行待修正",IF(A266&lt;Z265,"日期需按成交顺序递增",IF(AND(B266="红利再投",F266&lt;&gt;0),"红利再投手续费应填 0",IF(AND(B266="红利再投",K265&lt;=0),"红利再投前须有持仓",IF(AND(B266="卖出",D266&gt;K265+0.000001),"卖出份额超过持仓",IF(AND(B266="卖出",F266&gt;=C266*D266),"赎回费不能达到赎回总额",IF(NOT(ISNUMBER(E266)),"自动金额未生成，请检查五项输入",IF(NOT(OR(持仓总览!$C$7="利润优先",持仓总览!$C$7="本金优先")),"请选择卖出分配模式","已计入")))))))))))))))))))</f>
        <v/>
      </c>
      <c r="J266" s="11">
        <f t="shared" si="79"/>
        <v>0</v>
      </c>
      <c r="K266" s="11">
        <f t="shared" si="84"/>
        <v>34284.43</v>
      </c>
      <c r="L266" s="11" t="str">
        <f t="shared" si="85"/>
        <v/>
      </c>
      <c r="M266" s="11" t="str">
        <f t="shared" si="86"/>
        <v/>
      </c>
      <c r="N266" s="11" t="str">
        <f>IF(I266="已计入",IF(AND(B266="卖出",持仓总览!$C$7="本金优先"),MAX(0,E266-Q265),IF(OR(B266="卖出",B266="现金分红"),MIN(E266,M266),0)),"")</f>
        <v/>
      </c>
      <c r="O266" s="11" t="str">
        <f t="shared" si="87"/>
        <v/>
      </c>
      <c r="P266" s="11" t="str">
        <f t="shared" si="88"/>
        <v/>
      </c>
      <c r="Q266" s="11">
        <f t="shared" si="89"/>
        <v>82516.01</v>
      </c>
      <c r="R266" s="11" t="str">
        <f t="shared" si="80"/>
        <v/>
      </c>
      <c r="S266" s="11" t="str">
        <f t="shared" si="81"/>
        <v/>
      </c>
      <c r="T266" s="12" t="str">
        <f t="shared" si="82"/>
        <v/>
      </c>
      <c r="U266" s="11">
        <f t="shared" si="90"/>
        <v>82516.01</v>
      </c>
      <c r="V266" s="11">
        <f t="shared" si="91"/>
        <v>0</v>
      </c>
      <c r="W266" s="11">
        <f t="shared" si="92"/>
        <v>0</v>
      </c>
      <c r="X266" s="11">
        <f t="shared" si="93"/>
        <v>0</v>
      </c>
      <c r="Y266" s="11" t="str">
        <f t="shared" si="83"/>
        <v/>
      </c>
      <c r="Z266" s="13">
        <f t="shared" si="94"/>
        <v>46247</v>
      </c>
      <c r="AA266" s="10" t="str">
        <f>IF(OR($AA$116="错误",COUNTIF($G$117:G266,"待修正")&gt;0),"错误","正常")</f>
        <v>正常</v>
      </c>
      <c r="AB266" s="14">
        <f t="shared" si="95"/>
        <v>2.7686</v>
      </c>
    </row>
    <row r="267" ht="23" customHeight="1" spans="1:28">
      <c r="A267" s="15"/>
      <c r="B267" s="16"/>
      <c r="C267" s="17"/>
      <c r="D267" s="18"/>
      <c r="E267" s="19" t="str">
        <f t="shared" si="76"/>
        <v/>
      </c>
      <c r="F267" s="18"/>
      <c r="G267" s="20" t="str">
        <f t="shared" si="77"/>
        <v/>
      </c>
      <c r="H267" s="21" t="str">
        <f t="shared" si="78"/>
        <v/>
      </c>
      <c r="I267" s="10" t="str">
        <f>IF(COUNTA(A267:D267,F267)=0,"",IF(NOT(ISNUMBER(A267)),"缺少有效净值日期",IF(OR(A267&lt;=0,A267&lt;&gt;INT(A267)),"净值日期无效",IF(OR(B267="转换转入",B267="现金分红"),"该类型需实际金额，五项录入不适用",IF(NOT(OR(OR(B267="买入",B267="定投"),B267="卖出",B267="红利再投")),"请选择交易类型",IF(NOT(ISNUMBER(C267)),"缺少成交净值",IF(C267&lt;=0,"成交净值须大于零",IF(NOT(ISNUMBER(D267)),"缺少确认份额",IF(D267&lt;=0,"确认份额须大于零",IF(NOT(ISNUMBER(F267)),"缺少手续费，无费用请填 0",IF(F267&lt;0,"手续费不能为负",IF(AA266="错误","前行待修正",IF(A267&lt;Z266,"日期需按成交顺序递增",IF(AND(B267="红利再投",F267&lt;&gt;0),"红利再投手续费应填 0",IF(AND(B267="红利再投",K266&lt;=0),"红利再投前须有持仓",IF(AND(B267="卖出",D267&gt;K266+0.000001),"卖出份额超过持仓",IF(AND(B267="卖出",F267&gt;=C267*D267),"赎回费不能达到赎回总额",IF(NOT(ISNUMBER(E267)),"自动金额未生成，请检查五项输入",IF(NOT(OR(持仓总览!$C$7="利润优先",持仓总览!$C$7="本金优先")),"请选择卖出分配模式","已计入")))))))))))))))))))</f>
        <v/>
      </c>
      <c r="J267" s="11">
        <f t="shared" si="79"/>
        <v>0</v>
      </c>
      <c r="K267" s="11">
        <f t="shared" si="84"/>
        <v>34284.43</v>
      </c>
      <c r="L267" s="11" t="str">
        <f t="shared" si="85"/>
        <v/>
      </c>
      <c r="M267" s="11" t="str">
        <f t="shared" si="86"/>
        <v/>
      </c>
      <c r="N267" s="11" t="str">
        <f>IF(I267="已计入",IF(AND(B267="卖出",持仓总览!$C$7="本金优先"),MAX(0,E267-Q266),IF(OR(B267="卖出",B267="现金分红"),MIN(E267,M267),0)),"")</f>
        <v/>
      </c>
      <c r="O267" s="11" t="str">
        <f t="shared" si="87"/>
        <v/>
      </c>
      <c r="P267" s="11" t="str">
        <f t="shared" si="88"/>
        <v/>
      </c>
      <c r="Q267" s="11">
        <f t="shared" si="89"/>
        <v>82516.01</v>
      </c>
      <c r="R267" s="11" t="str">
        <f t="shared" si="80"/>
        <v/>
      </c>
      <c r="S267" s="11" t="str">
        <f t="shared" si="81"/>
        <v/>
      </c>
      <c r="T267" s="12" t="str">
        <f t="shared" si="82"/>
        <v/>
      </c>
      <c r="U267" s="11">
        <f t="shared" si="90"/>
        <v>82516.01</v>
      </c>
      <c r="V267" s="11">
        <f t="shared" si="91"/>
        <v>0</v>
      </c>
      <c r="W267" s="11">
        <f t="shared" si="92"/>
        <v>0</v>
      </c>
      <c r="X267" s="11">
        <f t="shared" si="93"/>
        <v>0</v>
      </c>
      <c r="Y267" s="11" t="str">
        <f t="shared" si="83"/>
        <v/>
      </c>
      <c r="Z267" s="13">
        <f t="shared" si="94"/>
        <v>46247</v>
      </c>
      <c r="AA267" s="10" t="str">
        <f>IF(OR($AA$116="错误",COUNTIF($G$117:G267,"待修正")&gt;0),"错误","正常")</f>
        <v>正常</v>
      </c>
      <c r="AB267" s="14">
        <f t="shared" si="95"/>
        <v>2.7686</v>
      </c>
    </row>
    <row r="268" ht="23" customHeight="1" spans="1:28">
      <c r="A268" s="15"/>
      <c r="B268" s="16"/>
      <c r="C268" s="17"/>
      <c r="D268" s="18"/>
      <c r="E268" s="19" t="str">
        <f t="shared" si="76"/>
        <v/>
      </c>
      <c r="F268" s="18"/>
      <c r="G268" s="20" t="str">
        <f t="shared" si="77"/>
        <v/>
      </c>
      <c r="H268" s="21" t="str">
        <f t="shared" si="78"/>
        <v/>
      </c>
      <c r="I268" s="10" t="str">
        <f>IF(COUNTA(A268:D268,F268)=0,"",IF(NOT(ISNUMBER(A268)),"缺少有效净值日期",IF(OR(A268&lt;=0,A268&lt;&gt;INT(A268)),"净值日期无效",IF(OR(B268="转换转入",B268="现金分红"),"该类型需实际金额，五项录入不适用",IF(NOT(OR(OR(B268="买入",B268="定投"),B268="卖出",B268="红利再投")),"请选择交易类型",IF(NOT(ISNUMBER(C268)),"缺少成交净值",IF(C268&lt;=0,"成交净值须大于零",IF(NOT(ISNUMBER(D268)),"缺少确认份额",IF(D268&lt;=0,"确认份额须大于零",IF(NOT(ISNUMBER(F268)),"缺少手续费，无费用请填 0",IF(F268&lt;0,"手续费不能为负",IF(AA267="错误","前行待修正",IF(A268&lt;Z267,"日期需按成交顺序递增",IF(AND(B268="红利再投",F268&lt;&gt;0),"红利再投手续费应填 0",IF(AND(B268="红利再投",K267&lt;=0),"红利再投前须有持仓",IF(AND(B268="卖出",D268&gt;K267+0.000001),"卖出份额超过持仓",IF(AND(B268="卖出",F268&gt;=C268*D268),"赎回费不能达到赎回总额",IF(NOT(ISNUMBER(E268)),"自动金额未生成，请检查五项输入",IF(NOT(OR(持仓总览!$C$7="利润优先",持仓总览!$C$7="本金优先")),"请选择卖出分配模式","已计入")))))))))))))))))))</f>
        <v/>
      </c>
      <c r="J268" s="11">
        <f t="shared" si="79"/>
        <v>0</v>
      </c>
      <c r="K268" s="11">
        <f t="shared" si="84"/>
        <v>34284.43</v>
      </c>
      <c r="L268" s="11" t="str">
        <f t="shared" si="85"/>
        <v/>
      </c>
      <c r="M268" s="11" t="str">
        <f t="shared" si="86"/>
        <v/>
      </c>
      <c r="N268" s="11" t="str">
        <f>IF(I268="已计入",IF(AND(B268="卖出",持仓总览!$C$7="本金优先"),MAX(0,E268-Q267),IF(OR(B268="卖出",B268="现金分红"),MIN(E268,M268),0)),"")</f>
        <v/>
      </c>
      <c r="O268" s="11" t="str">
        <f t="shared" si="87"/>
        <v/>
      </c>
      <c r="P268" s="11" t="str">
        <f t="shared" si="88"/>
        <v/>
      </c>
      <c r="Q268" s="11">
        <f t="shared" si="89"/>
        <v>82516.01</v>
      </c>
      <c r="R268" s="11" t="str">
        <f t="shared" si="80"/>
        <v/>
      </c>
      <c r="S268" s="11" t="str">
        <f t="shared" si="81"/>
        <v/>
      </c>
      <c r="T268" s="12" t="str">
        <f t="shared" si="82"/>
        <v/>
      </c>
      <c r="U268" s="11">
        <f t="shared" si="90"/>
        <v>82516.01</v>
      </c>
      <c r="V268" s="11">
        <f t="shared" si="91"/>
        <v>0</v>
      </c>
      <c r="W268" s="11">
        <f t="shared" si="92"/>
        <v>0</v>
      </c>
      <c r="X268" s="11">
        <f t="shared" si="93"/>
        <v>0</v>
      </c>
      <c r="Y268" s="11" t="str">
        <f t="shared" si="83"/>
        <v/>
      </c>
      <c r="Z268" s="13">
        <f t="shared" si="94"/>
        <v>46247</v>
      </c>
      <c r="AA268" s="10" t="str">
        <f>IF(OR($AA$116="错误",COUNTIF($G$117:G268,"待修正")&gt;0),"错误","正常")</f>
        <v>正常</v>
      </c>
      <c r="AB268" s="14">
        <f t="shared" si="95"/>
        <v>2.7686</v>
      </c>
    </row>
    <row r="269" ht="23" customHeight="1" spans="1:28">
      <c r="A269" s="15"/>
      <c r="B269" s="16"/>
      <c r="C269" s="17"/>
      <c r="D269" s="18"/>
      <c r="E269" s="19" t="str">
        <f t="shared" si="76"/>
        <v/>
      </c>
      <c r="F269" s="18"/>
      <c r="G269" s="20" t="str">
        <f t="shared" si="77"/>
        <v/>
      </c>
      <c r="H269" s="21" t="str">
        <f t="shared" si="78"/>
        <v/>
      </c>
      <c r="I269" s="10" t="str">
        <f>IF(COUNTA(A269:D269,F269)=0,"",IF(NOT(ISNUMBER(A269)),"缺少有效净值日期",IF(OR(A269&lt;=0,A269&lt;&gt;INT(A269)),"净值日期无效",IF(OR(B269="转换转入",B269="现金分红"),"该类型需实际金额，五项录入不适用",IF(NOT(OR(OR(B269="买入",B269="定投"),B269="卖出",B269="红利再投")),"请选择交易类型",IF(NOT(ISNUMBER(C269)),"缺少成交净值",IF(C269&lt;=0,"成交净值须大于零",IF(NOT(ISNUMBER(D269)),"缺少确认份额",IF(D269&lt;=0,"确认份额须大于零",IF(NOT(ISNUMBER(F269)),"缺少手续费，无费用请填 0",IF(F269&lt;0,"手续费不能为负",IF(AA268="错误","前行待修正",IF(A269&lt;Z268,"日期需按成交顺序递增",IF(AND(B269="红利再投",F269&lt;&gt;0),"红利再投手续费应填 0",IF(AND(B269="红利再投",K268&lt;=0),"红利再投前须有持仓",IF(AND(B269="卖出",D269&gt;K268+0.000001),"卖出份额超过持仓",IF(AND(B269="卖出",F269&gt;=C269*D269),"赎回费不能达到赎回总额",IF(NOT(ISNUMBER(E269)),"自动金额未生成，请检查五项输入",IF(NOT(OR(持仓总览!$C$7="利润优先",持仓总览!$C$7="本金优先")),"请选择卖出分配模式","已计入")))))))))))))))))))</f>
        <v/>
      </c>
      <c r="J269" s="11">
        <f t="shared" si="79"/>
        <v>0</v>
      </c>
      <c r="K269" s="11">
        <f t="shared" si="84"/>
        <v>34284.43</v>
      </c>
      <c r="L269" s="11" t="str">
        <f t="shared" si="85"/>
        <v/>
      </c>
      <c r="M269" s="11" t="str">
        <f t="shared" si="86"/>
        <v/>
      </c>
      <c r="N269" s="11" t="str">
        <f>IF(I269="已计入",IF(AND(B269="卖出",持仓总览!$C$7="本金优先"),MAX(0,E269-Q268),IF(OR(B269="卖出",B269="现金分红"),MIN(E269,M269),0)),"")</f>
        <v/>
      </c>
      <c r="O269" s="11" t="str">
        <f t="shared" si="87"/>
        <v/>
      </c>
      <c r="P269" s="11" t="str">
        <f t="shared" si="88"/>
        <v/>
      </c>
      <c r="Q269" s="11">
        <f t="shared" si="89"/>
        <v>82516.01</v>
      </c>
      <c r="R269" s="11" t="str">
        <f t="shared" si="80"/>
        <v/>
      </c>
      <c r="S269" s="11" t="str">
        <f t="shared" si="81"/>
        <v/>
      </c>
      <c r="T269" s="12" t="str">
        <f t="shared" si="82"/>
        <v/>
      </c>
      <c r="U269" s="11">
        <f t="shared" si="90"/>
        <v>82516.01</v>
      </c>
      <c r="V269" s="11">
        <f t="shared" si="91"/>
        <v>0</v>
      </c>
      <c r="W269" s="11">
        <f t="shared" si="92"/>
        <v>0</v>
      </c>
      <c r="X269" s="11">
        <f t="shared" si="93"/>
        <v>0</v>
      </c>
      <c r="Y269" s="11" t="str">
        <f t="shared" si="83"/>
        <v/>
      </c>
      <c r="Z269" s="13">
        <f t="shared" si="94"/>
        <v>46247</v>
      </c>
      <c r="AA269" s="10" t="str">
        <f>IF(OR($AA$116="错误",COUNTIF($G$117:G269,"待修正")&gt;0),"错误","正常")</f>
        <v>正常</v>
      </c>
      <c r="AB269" s="14">
        <f t="shared" si="95"/>
        <v>2.7686</v>
      </c>
    </row>
    <row r="270" ht="23" customHeight="1" spans="1:28">
      <c r="A270" s="15"/>
      <c r="B270" s="16"/>
      <c r="C270" s="17"/>
      <c r="D270" s="18"/>
      <c r="E270" s="19" t="str">
        <f t="shared" si="76"/>
        <v/>
      </c>
      <c r="F270" s="18"/>
      <c r="G270" s="20" t="str">
        <f t="shared" si="77"/>
        <v/>
      </c>
      <c r="H270" s="21" t="str">
        <f t="shared" si="78"/>
        <v/>
      </c>
      <c r="I270" s="10" t="str">
        <f>IF(COUNTA(A270:D270,F270)=0,"",IF(NOT(ISNUMBER(A270)),"缺少有效净值日期",IF(OR(A270&lt;=0,A270&lt;&gt;INT(A270)),"净值日期无效",IF(OR(B270="转换转入",B270="现金分红"),"该类型需实际金额，五项录入不适用",IF(NOT(OR(OR(B270="买入",B270="定投"),B270="卖出",B270="红利再投")),"请选择交易类型",IF(NOT(ISNUMBER(C270)),"缺少成交净值",IF(C270&lt;=0,"成交净值须大于零",IF(NOT(ISNUMBER(D270)),"缺少确认份额",IF(D270&lt;=0,"确认份额须大于零",IF(NOT(ISNUMBER(F270)),"缺少手续费，无费用请填 0",IF(F270&lt;0,"手续费不能为负",IF(AA269="错误","前行待修正",IF(A270&lt;Z269,"日期需按成交顺序递增",IF(AND(B270="红利再投",F270&lt;&gt;0),"红利再投手续费应填 0",IF(AND(B270="红利再投",K269&lt;=0),"红利再投前须有持仓",IF(AND(B270="卖出",D270&gt;K269+0.000001),"卖出份额超过持仓",IF(AND(B270="卖出",F270&gt;=C270*D270),"赎回费不能达到赎回总额",IF(NOT(ISNUMBER(E270)),"自动金额未生成，请检查五项输入",IF(NOT(OR(持仓总览!$C$7="利润优先",持仓总览!$C$7="本金优先")),"请选择卖出分配模式","已计入")))))))))))))))))))</f>
        <v/>
      </c>
      <c r="J270" s="11">
        <f t="shared" si="79"/>
        <v>0</v>
      </c>
      <c r="K270" s="11">
        <f t="shared" si="84"/>
        <v>34284.43</v>
      </c>
      <c r="L270" s="11" t="str">
        <f t="shared" si="85"/>
        <v/>
      </c>
      <c r="M270" s="11" t="str">
        <f t="shared" si="86"/>
        <v/>
      </c>
      <c r="N270" s="11" t="str">
        <f>IF(I270="已计入",IF(AND(B270="卖出",持仓总览!$C$7="本金优先"),MAX(0,E270-Q269),IF(OR(B270="卖出",B270="现金分红"),MIN(E270,M270),0)),"")</f>
        <v/>
      </c>
      <c r="O270" s="11" t="str">
        <f t="shared" si="87"/>
        <v/>
      </c>
      <c r="P270" s="11" t="str">
        <f t="shared" si="88"/>
        <v/>
      </c>
      <c r="Q270" s="11">
        <f t="shared" si="89"/>
        <v>82516.01</v>
      </c>
      <c r="R270" s="11" t="str">
        <f t="shared" si="80"/>
        <v/>
      </c>
      <c r="S270" s="11" t="str">
        <f t="shared" si="81"/>
        <v/>
      </c>
      <c r="T270" s="12" t="str">
        <f t="shared" si="82"/>
        <v/>
      </c>
      <c r="U270" s="11">
        <f t="shared" si="90"/>
        <v>82516.01</v>
      </c>
      <c r="V270" s="11">
        <f t="shared" si="91"/>
        <v>0</v>
      </c>
      <c r="W270" s="11">
        <f t="shared" si="92"/>
        <v>0</v>
      </c>
      <c r="X270" s="11">
        <f t="shared" si="93"/>
        <v>0</v>
      </c>
      <c r="Y270" s="11" t="str">
        <f t="shared" si="83"/>
        <v/>
      </c>
      <c r="Z270" s="13">
        <f t="shared" si="94"/>
        <v>46247</v>
      </c>
      <c r="AA270" s="10" t="str">
        <f>IF(OR($AA$116="错误",COUNTIF($G$117:G270,"待修正")&gt;0),"错误","正常")</f>
        <v>正常</v>
      </c>
      <c r="AB270" s="14">
        <f t="shared" si="95"/>
        <v>2.7686</v>
      </c>
    </row>
    <row r="271" ht="23" customHeight="1" spans="1:28">
      <c r="A271" s="15"/>
      <c r="B271" s="16"/>
      <c r="C271" s="17"/>
      <c r="D271" s="18"/>
      <c r="E271" s="19" t="str">
        <f t="shared" si="76"/>
        <v/>
      </c>
      <c r="F271" s="18"/>
      <c r="G271" s="20" t="str">
        <f t="shared" si="77"/>
        <v/>
      </c>
      <c r="H271" s="21" t="str">
        <f t="shared" si="78"/>
        <v/>
      </c>
      <c r="I271" s="10" t="str">
        <f>IF(COUNTA(A271:D271,F271)=0,"",IF(NOT(ISNUMBER(A271)),"缺少有效净值日期",IF(OR(A271&lt;=0,A271&lt;&gt;INT(A271)),"净值日期无效",IF(OR(B271="转换转入",B271="现金分红"),"该类型需实际金额，五项录入不适用",IF(NOT(OR(OR(B271="买入",B271="定投"),B271="卖出",B271="红利再投")),"请选择交易类型",IF(NOT(ISNUMBER(C271)),"缺少成交净值",IF(C271&lt;=0,"成交净值须大于零",IF(NOT(ISNUMBER(D271)),"缺少确认份额",IF(D271&lt;=0,"确认份额须大于零",IF(NOT(ISNUMBER(F271)),"缺少手续费，无费用请填 0",IF(F271&lt;0,"手续费不能为负",IF(AA270="错误","前行待修正",IF(A271&lt;Z270,"日期需按成交顺序递增",IF(AND(B271="红利再投",F271&lt;&gt;0),"红利再投手续费应填 0",IF(AND(B271="红利再投",K270&lt;=0),"红利再投前须有持仓",IF(AND(B271="卖出",D271&gt;K270+0.000001),"卖出份额超过持仓",IF(AND(B271="卖出",F271&gt;=C271*D271),"赎回费不能达到赎回总额",IF(NOT(ISNUMBER(E271)),"自动金额未生成，请检查五项输入",IF(NOT(OR(持仓总览!$C$7="利润优先",持仓总览!$C$7="本金优先")),"请选择卖出分配模式","已计入")))))))))))))))))))</f>
        <v/>
      </c>
      <c r="J271" s="11">
        <f t="shared" si="79"/>
        <v>0</v>
      </c>
      <c r="K271" s="11">
        <f t="shared" si="84"/>
        <v>34284.43</v>
      </c>
      <c r="L271" s="11" t="str">
        <f t="shared" si="85"/>
        <v/>
      </c>
      <c r="M271" s="11" t="str">
        <f t="shared" si="86"/>
        <v/>
      </c>
      <c r="N271" s="11" t="str">
        <f>IF(I271="已计入",IF(AND(B271="卖出",持仓总览!$C$7="本金优先"),MAX(0,E271-Q270),IF(OR(B271="卖出",B271="现金分红"),MIN(E271,M271),0)),"")</f>
        <v/>
      </c>
      <c r="O271" s="11" t="str">
        <f t="shared" si="87"/>
        <v/>
      </c>
      <c r="P271" s="11" t="str">
        <f t="shared" si="88"/>
        <v/>
      </c>
      <c r="Q271" s="11">
        <f t="shared" si="89"/>
        <v>82516.01</v>
      </c>
      <c r="R271" s="11" t="str">
        <f t="shared" si="80"/>
        <v/>
      </c>
      <c r="S271" s="11" t="str">
        <f t="shared" si="81"/>
        <v/>
      </c>
      <c r="T271" s="12" t="str">
        <f t="shared" si="82"/>
        <v/>
      </c>
      <c r="U271" s="11">
        <f t="shared" si="90"/>
        <v>82516.01</v>
      </c>
      <c r="V271" s="11">
        <f t="shared" si="91"/>
        <v>0</v>
      </c>
      <c r="W271" s="11">
        <f t="shared" si="92"/>
        <v>0</v>
      </c>
      <c r="X271" s="11">
        <f t="shared" si="93"/>
        <v>0</v>
      </c>
      <c r="Y271" s="11" t="str">
        <f t="shared" si="83"/>
        <v/>
      </c>
      <c r="Z271" s="13">
        <f t="shared" si="94"/>
        <v>46247</v>
      </c>
      <c r="AA271" s="10" t="str">
        <f>IF(OR($AA$116="错误",COUNTIF($G$117:G271,"待修正")&gt;0),"错误","正常")</f>
        <v>正常</v>
      </c>
      <c r="AB271" s="14">
        <f t="shared" si="95"/>
        <v>2.7686</v>
      </c>
    </row>
    <row r="272" ht="23" customHeight="1" spans="1:28">
      <c r="A272" s="15"/>
      <c r="B272" s="16"/>
      <c r="C272" s="17"/>
      <c r="D272" s="18"/>
      <c r="E272" s="19" t="str">
        <f t="shared" si="76"/>
        <v/>
      </c>
      <c r="F272" s="18"/>
      <c r="G272" s="20" t="str">
        <f t="shared" si="77"/>
        <v/>
      </c>
      <c r="H272" s="21" t="str">
        <f t="shared" si="78"/>
        <v/>
      </c>
      <c r="I272" s="10" t="str">
        <f>IF(COUNTA(A272:D272,F272)=0,"",IF(NOT(ISNUMBER(A272)),"缺少有效净值日期",IF(OR(A272&lt;=0,A272&lt;&gt;INT(A272)),"净值日期无效",IF(OR(B272="转换转入",B272="现金分红"),"该类型需实际金额，五项录入不适用",IF(NOT(OR(OR(B272="买入",B272="定投"),B272="卖出",B272="红利再投")),"请选择交易类型",IF(NOT(ISNUMBER(C272)),"缺少成交净值",IF(C272&lt;=0,"成交净值须大于零",IF(NOT(ISNUMBER(D272)),"缺少确认份额",IF(D272&lt;=0,"确认份额须大于零",IF(NOT(ISNUMBER(F272)),"缺少手续费，无费用请填 0",IF(F272&lt;0,"手续费不能为负",IF(AA271="错误","前行待修正",IF(A272&lt;Z271,"日期需按成交顺序递增",IF(AND(B272="红利再投",F272&lt;&gt;0),"红利再投手续费应填 0",IF(AND(B272="红利再投",K271&lt;=0),"红利再投前须有持仓",IF(AND(B272="卖出",D272&gt;K271+0.000001),"卖出份额超过持仓",IF(AND(B272="卖出",F272&gt;=C272*D272),"赎回费不能达到赎回总额",IF(NOT(ISNUMBER(E272)),"自动金额未生成，请检查五项输入",IF(NOT(OR(持仓总览!$C$7="利润优先",持仓总览!$C$7="本金优先")),"请选择卖出分配模式","已计入")))))))))))))))))))</f>
        <v/>
      </c>
      <c r="J272" s="11">
        <f t="shared" si="79"/>
        <v>0</v>
      </c>
      <c r="K272" s="11">
        <f t="shared" si="84"/>
        <v>34284.43</v>
      </c>
      <c r="L272" s="11" t="str">
        <f t="shared" si="85"/>
        <v/>
      </c>
      <c r="M272" s="11" t="str">
        <f t="shared" si="86"/>
        <v/>
      </c>
      <c r="N272" s="11" t="str">
        <f>IF(I272="已计入",IF(AND(B272="卖出",持仓总览!$C$7="本金优先"),MAX(0,E272-Q271),IF(OR(B272="卖出",B272="现金分红"),MIN(E272,M272),0)),"")</f>
        <v/>
      </c>
      <c r="O272" s="11" t="str">
        <f t="shared" si="87"/>
        <v/>
      </c>
      <c r="P272" s="11" t="str">
        <f t="shared" si="88"/>
        <v/>
      </c>
      <c r="Q272" s="11">
        <f t="shared" si="89"/>
        <v>82516.01</v>
      </c>
      <c r="R272" s="11" t="str">
        <f t="shared" si="80"/>
        <v/>
      </c>
      <c r="S272" s="11" t="str">
        <f t="shared" si="81"/>
        <v/>
      </c>
      <c r="T272" s="12" t="str">
        <f t="shared" si="82"/>
        <v/>
      </c>
      <c r="U272" s="11">
        <f t="shared" si="90"/>
        <v>82516.01</v>
      </c>
      <c r="V272" s="11">
        <f t="shared" si="91"/>
        <v>0</v>
      </c>
      <c r="W272" s="11">
        <f t="shared" si="92"/>
        <v>0</v>
      </c>
      <c r="X272" s="11">
        <f t="shared" si="93"/>
        <v>0</v>
      </c>
      <c r="Y272" s="11" t="str">
        <f t="shared" si="83"/>
        <v/>
      </c>
      <c r="Z272" s="13">
        <f t="shared" si="94"/>
        <v>46247</v>
      </c>
      <c r="AA272" s="10" t="str">
        <f>IF(OR($AA$116="错误",COUNTIF($G$117:G272,"待修正")&gt;0),"错误","正常")</f>
        <v>正常</v>
      </c>
      <c r="AB272" s="14">
        <f t="shared" si="95"/>
        <v>2.7686</v>
      </c>
    </row>
    <row r="273" ht="23" customHeight="1" spans="1:28">
      <c r="A273" s="15"/>
      <c r="B273" s="16"/>
      <c r="C273" s="17"/>
      <c r="D273" s="18"/>
      <c r="E273" s="19" t="str">
        <f t="shared" si="76"/>
        <v/>
      </c>
      <c r="F273" s="18"/>
      <c r="G273" s="20" t="str">
        <f t="shared" si="77"/>
        <v/>
      </c>
      <c r="H273" s="21" t="str">
        <f t="shared" si="78"/>
        <v/>
      </c>
      <c r="I273" s="10" t="str">
        <f>IF(COUNTA(A273:D273,F273)=0,"",IF(NOT(ISNUMBER(A273)),"缺少有效净值日期",IF(OR(A273&lt;=0,A273&lt;&gt;INT(A273)),"净值日期无效",IF(OR(B273="转换转入",B273="现金分红"),"该类型需实际金额，五项录入不适用",IF(NOT(OR(OR(B273="买入",B273="定投"),B273="卖出",B273="红利再投")),"请选择交易类型",IF(NOT(ISNUMBER(C273)),"缺少成交净值",IF(C273&lt;=0,"成交净值须大于零",IF(NOT(ISNUMBER(D273)),"缺少确认份额",IF(D273&lt;=0,"确认份额须大于零",IF(NOT(ISNUMBER(F273)),"缺少手续费，无费用请填 0",IF(F273&lt;0,"手续费不能为负",IF(AA272="错误","前行待修正",IF(A273&lt;Z272,"日期需按成交顺序递增",IF(AND(B273="红利再投",F273&lt;&gt;0),"红利再投手续费应填 0",IF(AND(B273="红利再投",K272&lt;=0),"红利再投前须有持仓",IF(AND(B273="卖出",D273&gt;K272+0.000001),"卖出份额超过持仓",IF(AND(B273="卖出",F273&gt;=C273*D273),"赎回费不能达到赎回总额",IF(NOT(ISNUMBER(E273)),"自动金额未生成，请检查五项输入",IF(NOT(OR(持仓总览!$C$7="利润优先",持仓总览!$C$7="本金优先")),"请选择卖出分配模式","已计入")))))))))))))))))))</f>
        <v/>
      </c>
      <c r="J273" s="11">
        <f t="shared" si="79"/>
        <v>0</v>
      </c>
      <c r="K273" s="11">
        <f t="shared" si="84"/>
        <v>34284.43</v>
      </c>
      <c r="L273" s="11" t="str">
        <f t="shared" si="85"/>
        <v/>
      </c>
      <c r="M273" s="11" t="str">
        <f t="shared" si="86"/>
        <v/>
      </c>
      <c r="N273" s="11" t="str">
        <f>IF(I273="已计入",IF(AND(B273="卖出",持仓总览!$C$7="本金优先"),MAX(0,E273-Q272),IF(OR(B273="卖出",B273="现金分红"),MIN(E273,M273),0)),"")</f>
        <v/>
      </c>
      <c r="O273" s="11" t="str">
        <f t="shared" si="87"/>
        <v/>
      </c>
      <c r="P273" s="11" t="str">
        <f t="shared" si="88"/>
        <v/>
      </c>
      <c r="Q273" s="11">
        <f t="shared" si="89"/>
        <v>82516.01</v>
      </c>
      <c r="R273" s="11" t="str">
        <f t="shared" si="80"/>
        <v/>
      </c>
      <c r="S273" s="11" t="str">
        <f t="shared" si="81"/>
        <v/>
      </c>
      <c r="T273" s="12" t="str">
        <f t="shared" si="82"/>
        <v/>
      </c>
      <c r="U273" s="11">
        <f t="shared" si="90"/>
        <v>82516.01</v>
      </c>
      <c r="V273" s="11">
        <f t="shared" si="91"/>
        <v>0</v>
      </c>
      <c r="W273" s="11">
        <f t="shared" si="92"/>
        <v>0</v>
      </c>
      <c r="X273" s="11">
        <f t="shared" si="93"/>
        <v>0</v>
      </c>
      <c r="Y273" s="11" t="str">
        <f t="shared" si="83"/>
        <v/>
      </c>
      <c r="Z273" s="13">
        <f t="shared" si="94"/>
        <v>46247</v>
      </c>
      <c r="AA273" s="10" t="str">
        <f>IF(OR($AA$116="错误",COUNTIF($G$117:G273,"待修正")&gt;0),"错误","正常")</f>
        <v>正常</v>
      </c>
      <c r="AB273" s="14">
        <f t="shared" si="95"/>
        <v>2.7686</v>
      </c>
    </row>
    <row r="274" ht="23" customHeight="1" spans="1:28">
      <c r="A274" s="15"/>
      <c r="B274" s="16"/>
      <c r="C274" s="17"/>
      <c r="D274" s="18"/>
      <c r="E274" s="19" t="str">
        <f t="shared" si="76"/>
        <v/>
      </c>
      <c r="F274" s="18"/>
      <c r="G274" s="20" t="str">
        <f t="shared" si="77"/>
        <v/>
      </c>
      <c r="H274" s="21" t="str">
        <f t="shared" si="78"/>
        <v/>
      </c>
      <c r="I274" s="10" t="str">
        <f>IF(COUNTA(A274:D274,F274)=0,"",IF(NOT(ISNUMBER(A274)),"缺少有效净值日期",IF(OR(A274&lt;=0,A274&lt;&gt;INT(A274)),"净值日期无效",IF(OR(B274="转换转入",B274="现金分红"),"该类型需实际金额，五项录入不适用",IF(NOT(OR(OR(B274="买入",B274="定投"),B274="卖出",B274="红利再投")),"请选择交易类型",IF(NOT(ISNUMBER(C274)),"缺少成交净值",IF(C274&lt;=0,"成交净值须大于零",IF(NOT(ISNUMBER(D274)),"缺少确认份额",IF(D274&lt;=0,"确认份额须大于零",IF(NOT(ISNUMBER(F274)),"缺少手续费，无费用请填 0",IF(F274&lt;0,"手续费不能为负",IF(AA273="错误","前行待修正",IF(A274&lt;Z273,"日期需按成交顺序递增",IF(AND(B274="红利再投",F274&lt;&gt;0),"红利再投手续费应填 0",IF(AND(B274="红利再投",K273&lt;=0),"红利再投前须有持仓",IF(AND(B274="卖出",D274&gt;K273+0.000001),"卖出份额超过持仓",IF(AND(B274="卖出",F274&gt;=C274*D274),"赎回费不能达到赎回总额",IF(NOT(ISNUMBER(E274)),"自动金额未生成，请检查五项输入",IF(NOT(OR(持仓总览!$C$7="利润优先",持仓总览!$C$7="本金优先")),"请选择卖出分配模式","已计入")))))))))))))))))))</f>
        <v/>
      </c>
      <c r="J274" s="11">
        <f t="shared" si="79"/>
        <v>0</v>
      </c>
      <c r="K274" s="11">
        <f t="shared" si="84"/>
        <v>34284.43</v>
      </c>
      <c r="L274" s="11" t="str">
        <f t="shared" si="85"/>
        <v/>
      </c>
      <c r="M274" s="11" t="str">
        <f t="shared" si="86"/>
        <v/>
      </c>
      <c r="N274" s="11" t="str">
        <f>IF(I274="已计入",IF(AND(B274="卖出",持仓总览!$C$7="本金优先"),MAX(0,E274-Q273),IF(OR(B274="卖出",B274="现金分红"),MIN(E274,M274),0)),"")</f>
        <v/>
      </c>
      <c r="O274" s="11" t="str">
        <f t="shared" si="87"/>
        <v/>
      </c>
      <c r="P274" s="11" t="str">
        <f t="shared" si="88"/>
        <v/>
      </c>
      <c r="Q274" s="11">
        <f t="shared" si="89"/>
        <v>82516.01</v>
      </c>
      <c r="R274" s="11" t="str">
        <f t="shared" si="80"/>
        <v/>
      </c>
      <c r="S274" s="11" t="str">
        <f t="shared" si="81"/>
        <v/>
      </c>
      <c r="T274" s="12" t="str">
        <f t="shared" si="82"/>
        <v/>
      </c>
      <c r="U274" s="11">
        <f t="shared" si="90"/>
        <v>82516.01</v>
      </c>
      <c r="V274" s="11">
        <f t="shared" si="91"/>
        <v>0</v>
      </c>
      <c r="W274" s="11">
        <f t="shared" si="92"/>
        <v>0</v>
      </c>
      <c r="X274" s="11">
        <f t="shared" si="93"/>
        <v>0</v>
      </c>
      <c r="Y274" s="11" t="str">
        <f t="shared" si="83"/>
        <v/>
      </c>
      <c r="Z274" s="13">
        <f t="shared" si="94"/>
        <v>46247</v>
      </c>
      <c r="AA274" s="10" t="str">
        <f>IF(OR($AA$116="错误",COUNTIF($G$117:G274,"待修正")&gt;0),"错误","正常")</f>
        <v>正常</v>
      </c>
      <c r="AB274" s="14">
        <f t="shared" si="95"/>
        <v>2.7686</v>
      </c>
    </row>
    <row r="275" ht="23" customHeight="1" spans="1:28">
      <c r="A275" s="15"/>
      <c r="B275" s="16"/>
      <c r="C275" s="17"/>
      <c r="D275" s="18"/>
      <c r="E275" s="19" t="str">
        <f t="shared" si="76"/>
        <v/>
      </c>
      <c r="F275" s="18"/>
      <c r="G275" s="20" t="str">
        <f t="shared" si="77"/>
        <v/>
      </c>
      <c r="H275" s="21" t="str">
        <f t="shared" si="78"/>
        <v/>
      </c>
      <c r="I275" s="10" t="str">
        <f>IF(COUNTA(A275:D275,F275)=0,"",IF(NOT(ISNUMBER(A275)),"缺少有效净值日期",IF(OR(A275&lt;=0,A275&lt;&gt;INT(A275)),"净值日期无效",IF(OR(B275="转换转入",B275="现金分红"),"该类型需实际金额，五项录入不适用",IF(NOT(OR(OR(B275="买入",B275="定投"),B275="卖出",B275="红利再投")),"请选择交易类型",IF(NOT(ISNUMBER(C275)),"缺少成交净值",IF(C275&lt;=0,"成交净值须大于零",IF(NOT(ISNUMBER(D275)),"缺少确认份额",IF(D275&lt;=0,"确认份额须大于零",IF(NOT(ISNUMBER(F275)),"缺少手续费，无费用请填 0",IF(F275&lt;0,"手续费不能为负",IF(AA274="错误","前行待修正",IF(A275&lt;Z274,"日期需按成交顺序递增",IF(AND(B275="红利再投",F275&lt;&gt;0),"红利再投手续费应填 0",IF(AND(B275="红利再投",K274&lt;=0),"红利再投前须有持仓",IF(AND(B275="卖出",D275&gt;K274+0.000001),"卖出份额超过持仓",IF(AND(B275="卖出",F275&gt;=C275*D275),"赎回费不能达到赎回总额",IF(NOT(ISNUMBER(E275)),"自动金额未生成，请检查五项输入",IF(NOT(OR(持仓总览!$C$7="利润优先",持仓总览!$C$7="本金优先")),"请选择卖出分配模式","已计入")))))))))))))))))))</f>
        <v/>
      </c>
      <c r="J275" s="11">
        <f t="shared" si="79"/>
        <v>0</v>
      </c>
      <c r="K275" s="11">
        <f t="shared" si="84"/>
        <v>34284.43</v>
      </c>
      <c r="L275" s="11" t="str">
        <f t="shared" si="85"/>
        <v/>
      </c>
      <c r="M275" s="11" t="str">
        <f t="shared" si="86"/>
        <v/>
      </c>
      <c r="N275" s="11" t="str">
        <f>IF(I275="已计入",IF(AND(B275="卖出",持仓总览!$C$7="本金优先"),MAX(0,E275-Q274),IF(OR(B275="卖出",B275="现金分红"),MIN(E275,M275),0)),"")</f>
        <v/>
      </c>
      <c r="O275" s="11" t="str">
        <f t="shared" si="87"/>
        <v/>
      </c>
      <c r="P275" s="11" t="str">
        <f t="shared" si="88"/>
        <v/>
      </c>
      <c r="Q275" s="11">
        <f t="shared" si="89"/>
        <v>82516.01</v>
      </c>
      <c r="R275" s="11" t="str">
        <f t="shared" si="80"/>
        <v/>
      </c>
      <c r="S275" s="11" t="str">
        <f t="shared" si="81"/>
        <v/>
      </c>
      <c r="T275" s="12" t="str">
        <f t="shared" si="82"/>
        <v/>
      </c>
      <c r="U275" s="11">
        <f t="shared" si="90"/>
        <v>82516.01</v>
      </c>
      <c r="V275" s="11">
        <f t="shared" si="91"/>
        <v>0</v>
      </c>
      <c r="W275" s="11">
        <f t="shared" si="92"/>
        <v>0</v>
      </c>
      <c r="X275" s="11">
        <f t="shared" si="93"/>
        <v>0</v>
      </c>
      <c r="Y275" s="11" t="str">
        <f t="shared" si="83"/>
        <v/>
      </c>
      <c r="Z275" s="13">
        <f t="shared" si="94"/>
        <v>46247</v>
      </c>
      <c r="AA275" s="10" t="str">
        <f>IF(OR($AA$116="错误",COUNTIF($G$117:G275,"待修正")&gt;0),"错误","正常")</f>
        <v>正常</v>
      </c>
      <c r="AB275" s="14">
        <f t="shared" si="95"/>
        <v>2.7686</v>
      </c>
    </row>
    <row r="276" ht="23" customHeight="1" spans="1:28">
      <c r="A276" s="15"/>
      <c r="B276" s="16"/>
      <c r="C276" s="17"/>
      <c r="D276" s="18"/>
      <c r="E276" s="19" t="str">
        <f t="shared" si="76"/>
        <v/>
      </c>
      <c r="F276" s="18"/>
      <c r="G276" s="20" t="str">
        <f t="shared" si="77"/>
        <v/>
      </c>
      <c r="H276" s="21" t="str">
        <f t="shared" si="78"/>
        <v/>
      </c>
      <c r="I276" s="10" t="str">
        <f>IF(COUNTA(A276:D276,F276)=0,"",IF(NOT(ISNUMBER(A276)),"缺少有效净值日期",IF(OR(A276&lt;=0,A276&lt;&gt;INT(A276)),"净值日期无效",IF(OR(B276="转换转入",B276="现金分红"),"该类型需实际金额，五项录入不适用",IF(NOT(OR(OR(B276="买入",B276="定投"),B276="卖出",B276="红利再投")),"请选择交易类型",IF(NOT(ISNUMBER(C276)),"缺少成交净值",IF(C276&lt;=0,"成交净值须大于零",IF(NOT(ISNUMBER(D276)),"缺少确认份额",IF(D276&lt;=0,"确认份额须大于零",IF(NOT(ISNUMBER(F276)),"缺少手续费，无费用请填 0",IF(F276&lt;0,"手续费不能为负",IF(AA275="错误","前行待修正",IF(A276&lt;Z275,"日期需按成交顺序递增",IF(AND(B276="红利再投",F276&lt;&gt;0),"红利再投手续费应填 0",IF(AND(B276="红利再投",K275&lt;=0),"红利再投前须有持仓",IF(AND(B276="卖出",D276&gt;K275+0.000001),"卖出份额超过持仓",IF(AND(B276="卖出",F276&gt;=C276*D276),"赎回费不能达到赎回总额",IF(NOT(ISNUMBER(E276)),"自动金额未生成，请检查五项输入",IF(NOT(OR(持仓总览!$C$7="利润优先",持仓总览!$C$7="本金优先")),"请选择卖出分配模式","已计入")))))))))))))))))))</f>
        <v/>
      </c>
      <c r="J276" s="11">
        <f t="shared" si="79"/>
        <v>0</v>
      </c>
      <c r="K276" s="11">
        <f t="shared" si="84"/>
        <v>34284.43</v>
      </c>
      <c r="L276" s="11" t="str">
        <f t="shared" si="85"/>
        <v/>
      </c>
      <c r="M276" s="11" t="str">
        <f t="shared" si="86"/>
        <v/>
      </c>
      <c r="N276" s="11" t="str">
        <f>IF(I276="已计入",IF(AND(B276="卖出",持仓总览!$C$7="本金优先"),MAX(0,E276-Q275),IF(OR(B276="卖出",B276="现金分红"),MIN(E276,M276),0)),"")</f>
        <v/>
      </c>
      <c r="O276" s="11" t="str">
        <f t="shared" si="87"/>
        <v/>
      </c>
      <c r="P276" s="11" t="str">
        <f t="shared" si="88"/>
        <v/>
      </c>
      <c r="Q276" s="11">
        <f t="shared" si="89"/>
        <v>82516.01</v>
      </c>
      <c r="R276" s="11" t="str">
        <f t="shared" si="80"/>
        <v/>
      </c>
      <c r="S276" s="11" t="str">
        <f t="shared" si="81"/>
        <v/>
      </c>
      <c r="T276" s="12" t="str">
        <f t="shared" si="82"/>
        <v/>
      </c>
      <c r="U276" s="11">
        <f t="shared" si="90"/>
        <v>82516.01</v>
      </c>
      <c r="V276" s="11">
        <f t="shared" si="91"/>
        <v>0</v>
      </c>
      <c r="W276" s="11">
        <f t="shared" si="92"/>
        <v>0</v>
      </c>
      <c r="X276" s="11">
        <f t="shared" si="93"/>
        <v>0</v>
      </c>
      <c r="Y276" s="11" t="str">
        <f t="shared" si="83"/>
        <v/>
      </c>
      <c r="Z276" s="13">
        <f t="shared" si="94"/>
        <v>46247</v>
      </c>
      <c r="AA276" s="10" t="str">
        <f>IF(OR($AA$116="错误",COUNTIF($G$117:G276,"待修正")&gt;0),"错误","正常")</f>
        <v>正常</v>
      </c>
      <c r="AB276" s="14">
        <f t="shared" si="95"/>
        <v>2.7686</v>
      </c>
    </row>
    <row r="277" ht="23" customHeight="1" spans="1:28">
      <c r="A277" s="15"/>
      <c r="B277" s="16"/>
      <c r="C277" s="17"/>
      <c r="D277" s="18"/>
      <c r="E277" s="19" t="str">
        <f t="shared" si="76"/>
        <v/>
      </c>
      <c r="F277" s="18"/>
      <c r="G277" s="20" t="str">
        <f t="shared" si="77"/>
        <v/>
      </c>
      <c r="H277" s="21" t="str">
        <f t="shared" si="78"/>
        <v/>
      </c>
      <c r="I277" s="10" t="str">
        <f>IF(COUNTA(A277:D277,F277)=0,"",IF(NOT(ISNUMBER(A277)),"缺少有效净值日期",IF(OR(A277&lt;=0,A277&lt;&gt;INT(A277)),"净值日期无效",IF(OR(B277="转换转入",B277="现金分红"),"该类型需实际金额，五项录入不适用",IF(NOT(OR(OR(B277="买入",B277="定投"),B277="卖出",B277="红利再投")),"请选择交易类型",IF(NOT(ISNUMBER(C277)),"缺少成交净值",IF(C277&lt;=0,"成交净值须大于零",IF(NOT(ISNUMBER(D277)),"缺少确认份额",IF(D277&lt;=0,"确认份额须大于零",IF(NOT(ISNUMBER(F277)),"缺少手续费，无费用请填 0",IF(F277&lt;0,"手续费不能为负",IF(AA276="错误","前行待修正",IF(A277&lt;Z276,"日期需按成交顺序递增",IF(AND(B277="红利再投",F277&lt;&gt;0),"红利再投手续费应填 0",IF(AND(B277="红利再投",K276&lt;=0),"红利再投前须有持仓",IF(AND(B277="卖出",D277&gt;K276+0.000001),"卖出份额超过持仓",IF(AND(B277="卖出",F277&gt;=C277*D277),"赎回费不能达到赎回总额",IF(NOT(ISNUMBER(E277)),"自动金额未生成，请检查五项输入",IF(NOT(OR(持仓总览!$C$7="利润优先",持仓总览!$C$7="本金优先")),"请选择卖出分配模式","已计入")))))))))))))))))))</f>
        <v/>
      </c>
      <c r="J277" s="11">
        <f t="shared" si="79"/>
        <v>0</v>
      </c>
      <c r="K277" s="11">
        <f t="shared" si="84"/>
        <v>34284.43</v>
      </c>
      <c r="L277" s="11" t="str">
        <f t="shared" si="85"/>
        <v/>
      </c>
      <c r="M277" s="11" t="str">
        <f t="shared" si="86"/>
        <v/>
      </c>
      <c r="N277" s="11" t="str">
        <f>IF(I277="已计入",IF(AND(B277="卖出",持仓总览!$C$7="本金优先"),MAX(0,E277-Q276),IF(OR(B277="卖出",B277="现金分红"),MIN(E277,M277),0)),"")</f>
        <v/>
      </c>
      <c r="O277" s="11" t="str">
        <f t="shared" si="87"/>
        <v/>
      </c>
      <c r="P277" s="11" t="str">
        <f t="shared" si="88"/>
        <v/>
      </c>
      <c r="Q277" s="11">
        <f t="shared" si="89"/>
        <v>82516.01</v>
      </c>
      <c r="R277" s="11" t="str">
        <f t="shared" si="80"/>
        <v/>
      </c>
      <c r="S277" s="11" t="str">
        <f t="shared" si="81"/>
        <v/>
      </c>
      <c r="T277" s="12" t="str">
        <f t="shared" si="82"/>
        <v/>
      </c>
      <c r="U277" s="11">
        <f t="shared" si="90"/>
        <v>82516.01</v>
      </c>
      <c r="V277" s="11">
        <f t="shared" si="91"/>
        <v>0</v>
      </c>
      <c r="W277" s="11">
        <f t="shared" si="92"/>
        <v>0</v>
      </c>
      <c r="X277" s="11">
        <f t="shared" si="93"/>
        <v>0</v>
      </c>
      <c r="Y277" s="11" t="str">
        <f t="shared" si="83"/>
        <v/>
      </c>
      <c r="Z277" s="13">
        <f t="shared" si="94"/>
        <v>46247</v>
      </c>
      <c r="AA277" s="10" t="str">
        <f>IF(OR($AA$116="错误",COUNTIF($G$117:G277,"待修正")&gt;0),"错误","正常")</f>
        <v>正常</v>
      </c>
      <c r="AB277" s="14">
        <f t="shared" si="95"/>
        <v>2.7686</v>
      </c>
    </row>
    <row r="278" ht="23" customHeight="1" spans="1:28">
      <c r="A278" s="15"/>
      <c r="B278" s="16"/>
      <c r="C278" s="17"/>
      <c r="D278" s="18"/>
      <c r="E278" s="19" t="str">
        <f t="shared" si="76"/>
        <v/>
      </c>
      <c r="F278" s="18"/>
      <c r="G278" s="20" t="str">
        <f t="shared" si="77"/>
        <v/>
      </c>
      <c r="H278" s="21" t="str">
        <f t="shared" si="78"/>
        <v/>
      </c>
      <c r="I278" s="10" t="str">
        <f>IF(COUNTA(A278:D278,F278)=0,"",IF(NOT(ISNUMBER(A278)),"缺少有效净值日期",IF(OR(A278&lt;=0,A278&lt;&gt;INT(A278)),"净值日期无效",IF(OR(B278="转换转入",B278="现金分红"),"该类型需实际金额，五项录入不适用",IF(NOT(OR(OR(B278="买入",B278="定投"),B278="卖出",B278="红利再投")),"请选择交易类型",IF(NOT(ISNUMBER(C278)),"缺少成交净值",IF(C278&lt;=0,"成交净值须大于零",IF(NOT(ISNUMBER(D278)),"缺少确认份额",IF(D278&lt;=0,"确认份额须大于零",IF(NOT(ISNUMBER(F278)),"缺少手续费，无费用请填 0",IF(F278&lt;0,"手续费不能为负",IF(AA277="错误","前行待修正",IF(A278&lt;Z277,"日期需按成交顺序递增",IF(AND(B278="红利再投",F278&lt;&gt;0),"红利再投手续费应填 0",IF(AND(B278="红利再投",K277&lt;=0),"红利再投前须有持仓",IF(AND(B278="卖出",D278&gt;K277+0.000001),"卖出份额超过持仓",IF(AND(B278="卖出",F278&gt;=C278*D278),"赎回费不能达到赎回总额",IF(NOT(ISNUMBER(E278)),"自动金额未生成，请检查五项输入",IF(NOT(OR(持仓总览!$C$7="利润优先",持仓总览!$C$7="本金优先")),"请选择卖出分配模式","已计入")))))))))))))))))))</f>
        <v/>
      </c>
      <c r="J278" s="11">
        <f t="shared" si="79"/>
        <v>0</v>
      </c>
      <c r="K278" s="11">
        <f t="shared" si="84"/>
        <v>34284.43</v>
      </c>
      <c r="L278" s="11" t="str">
        <f t="shared" si="85"/>
        <v/>
      </c>
      <c r="M278" s="11" t="str">
        <f t="shared" si="86"/>
        <v/>
      </c>
      <c r="N278" s="11" t="str">
        <f>IF(I278="已计入",IF(AND(B278="卖出",持仓总览!$C$7="本金优先"),MAX(0,E278-Q277),IF(OR(B278="卖出",B278="现金分红"),MIN(E278,M278),0)),"")</f>
        <v/>
      </c>
      <c r="O278" s="11" t="str">
        <f t="shared" si="87"/>
        <v/>
      </c>
      <c r="P278" s="11" t="str">
        <f t="shared" si="88"/>
        <v/>
      </c>
      <c r="Q278" s="11">
        <f t="shared" si="89"/>
        <v>82516.01</v>
      </c>
      <c r="R278" s="11" t="str">
        <f t="shared" si="80"/>
        <v/>
      </c>
      <c r="S278" s="11" t="str">
        <f t="shared" si="81"/>
        <v/>
      </c>
      <c r="T278" s="12" t="str">
        <f t="shared" si="82"/>
        <v/>
      </c>
      <c r="U278" s="11">
        <f t="shared" si="90"/>
        <v>82516.01</v>
      </c>
      <c r="V278" s="11">
        <f t="shared" si="91"/>
        <v>0</v>
      </c>
      <c r="W278" s="11">
        <f t="shared" si="92"/>
        <v>0</v>
      </c>
      <c r="X278" s="11">
        <f t="shared" si="93"/>
        <v>0</v>
      </c>
      <c r="Y278" s="11" t="str">
        <f t="shared" si="83"/>
        <v/>
      </c>
      <c r="Z278" s="13">
        <f t="shared" si="94"/>
        <v>46247</v>
      </c>
      <c r="AA278" s="10" t="str">
        <f>IF(OR($AA$116="错误",COUNTIF($G$117:G278,"待修正")&gt;0),"错误","正常")</f>
        <v>正常</v>
      </c>
      <c r="AB278" s="14">
        <f t="shared" si="95"/>
        <v>2.7686</v>
      </c>
    </row>
    <row r="279" ht="23" customHeight="1" spans="1:28">
      <c r="A279" s="15"/>
      <c r="B279" s="16"/>
      <c r="C279" s="17"/>
      <c r="D279" s="18"/>
      <c r="E279" s="19" t="str">
        <f t="shared" si="76"/>
        <v/>
      </c>
      <c r="F279" s="18"/>
      <c r="G279" s="20" t="str">
        <f t="shared" si="77"/>
        <v/>
      </c>
      <c r="H279" s="21" t="str">
        <f t="shared" si="78"/>
        <v/>
      </c>
      <c r="I279" s="10" t="str">
        <f>IF(COUNTA(A279:D279,F279)=0,"",IF(NOT(ISNUMBER(A279)),"缺少有效净值日期",IF(OR(A279&lt;=0,A279&lt;&gt;INT(A279)),"净值日期无效",IF(OR(B279="转换转入",B279="现金分红"),"该类型需实际金额，五项录入不适用",IF(NOT(OR(OR(B279="买入",B279="定投"),B279="卖出",B279="红利再投")),"请选择交易类型",IF(NOT(ISNUMBER(C279)),"缺少成交净值",IF(C279&lt;=0,"成交净值须大于零",IF(NOT(ISNUMBER(D279)),"缺少确认份额",IF(D279&lt;=0,"确认份额须大于零",IF(NOT(ISNUMBER(F279)),"缺少手续费，无费用请填 0",IF(F279&lt;0,"手续费不能为负",IF(AA278="错误","前行待修正",IF(A279&lt;Z278,"日期需按成交顺序递增",IF(AND(B279="红利再投",F279&lt;&gt;0),"红利再投手续费应填 0",IF(AND(B279="红利再投",K278&lt;=0),"红利再投前须有持仓",IF(AND(B279="卖出",D279&gt;K278+0.000001),"卖出份额超过持仓",IF(AND(B279="卖出",F279&gt;=C279*D279),"赎回费不能达到赎回总额",IF(NOT(ISNUMBER(E279)),"自动金额未生成，请检查五项输入",IF(NOT(OR(持仓总览!$C$7="利润优先",持仓总览!$C$7="本金优先")),"请选择卖出分配模式","已计入")))))))))))))))))))</f>
        <v/>
      </c>
      <c r="J279" s="11">
        <f t="shared" si="79"/>
        <v>0</v>
      </c>
      <c r="K279" s="11">
        <f t="shared" si="84"/>
        <v>34284.43</v>
      </c>
      <c r="L279" s="11" t="str">
        <f t="shared" si="85"/>
        <v/>
      </c>
      <c r="M279" s="11" t="str">
        <f t="shared" si="86"/>
        <v/>
      </c>
      <c r="N279" s="11" t="str">
        <f>IF(I279="已计入",IF(AND(B279="卖出",持仓总览!$C$7="本金优先"),MAX(0,E279-Q278),IF(OR(B279="卖出",B279="现金分红"),MIN(E279,M279),0)),"")</f>
        <v/>
      </c>
      <c r="O279" s="11" t="str">
        <f t="shared" si="87"/>
        <v/>
      </c>
      <c r="P279" s="11" t="str">
        <f t="shared" si="88"/>
        <v/>
      </c>
      <c r="Q279" s="11">
        <f t="shared" si="89"/>
        <v>82516.01</v>
      </c>
      <c r="R279" s="11" t="str">
        <f t="shared" si="80"/>
        <v/>
      </c>
      <c r="S279" s="11" t="str">
        <f t="shared" si="81"/>
        <v/>
      </c>
      <c r="T279" s="12" t="str">
        <f t="shared" si="82"/>
        <v/>
      </c>
      <c r="U279" s="11">
        <f t="shared" si="90"/>
        <v>82516.01</v>
      </c>
      <c r="V279" s="11">
        <f t="shared" si="91"/>
        <v>0</v>
      </c>
      <c r="W279" s="11">
        <f t="shared" si="92"/>
        <v>0</v>
      </c>
      <c r="X279" s="11">
        <f t="shared" si="93"/>
        <v>0</v>
      </c>
      <c r="Y279" s="11" t="str">
        <f t="shared" si="83"/>
        <v/>
      </c>
      <c r="Z279" s="13">
        <f t="shared" si="94"/>
        <v>46247</v>
      </c>
      <c r="AA279" s="10" t="str">
        <f>IF(OR($AA$116="错误",COUNTIF($G$117:G279,"待修正")&gt;0),"错误","正常")</f>
        <v>正常</v>
      </c>
      <c r="AB279" s="14">
        <f t="shared" si="95"/>
        <v>2.7686</v>
      </c>
    </row>
    <row r="280" ht="23" customHeight="1" spans="1:28">
      <c r="A280" s="15"/>
      <c r="B280" s="16"/>
      <c r="C280" s="17"/>
      <c r="D280" s="18"/>
      <c r="E280" s="19" t="str">
        <f t="shared" si="76"/>
        <v/>
      </c>
      <c r="F280" s="18"/>
      <c r="G280" s="20" t="str">
        <f t="shared" si="77"/>
        <v/>
      </c>
      <c r="H280" s="21" t="str">
        <f t="shared" si="78"/>
        <v/>
      </c>
      <c r="I280" s="10" t="str">
        <f>IF(COUNTA(A280:D280,F280)=0,"",IF(NOT(ISNUMBER(A280)),"缺少有效净值日期",IF(OR(A280&lt;=0,A280&lt;&gt;INT(A280)),"净值日期无效",IF(OR(B280="转换转入",B280="现金分红"),"该类型需实际金额，五项录入不适用",IF(NOT(OR(OR(B280="买入",B280="定投"),B280="卖出",B280="红利再投")),"请选择交易类型",IF(NOT(ISNUMBER(C280)),"缺少成交净值",IF(C280&lt;=0,"成交净值须大于零",IF(NOT(ISNUMBER(D280)),"缺少确认份额",IF(D280&lt;=0,"确认份额须大于零",IF(NOT(ISNUMBER(F280)),"缺少手续费，无费用请填 0",IF(F280&lt;0,"手续费不能为负",IF(AA279="错误","前行待修正",IF(A280&lt;Z279,"日期需按成交顺序递增",IF(AND(B280="红利再投",F280&lt;&gt;0),"红利再投手续费应填 0",IF(AND(B280="红利再投",K279&lt;=0),"红利再投前须有持仓",IF(AND(B280="卖出",D280&gt;K279+0.000001),"卖出份额超过持仓",IF(AND(B280="卖出",F280&gt;=C280*D280),"赎回费不能达到赎回总额",IF(NOT(ISNUMBER(E280)),"自动金额未生成，请检查五项输入",IF(NOT(OR(持仓总览!$C$7="利润优先",持仓总览!$C$7="本金优先")),"请选择卖出分配模式","已计入")))))))))))))))))))</f>
        <v/>
      </c>
      <c r="J280" s="11">
        <f t="shared" si="79"/>
        <v>0</v>
      </c>
      <c r="K280" s="11">
        <f t="shared" si="84"/>
        <v>34284.43</v>
      </c>
      <c r="L280" s="11" t="str">
        <f t="shared" si="85"/>
        <v/>
      </c>
      <c r="M280" s="11" t="str">
        <f t="shared" si="86"/>
        <v/>
      </c>
      <c r="N280" s="11" t="str">
        <f>IF(I280="已计入",IF(AND(B280="卖出",持仓总览!$C$7="本金优先"),MAX(0,E280-Q279),IF(OR(B280="卖出",B280="现金分红"),MIN(E280,M280),0)),"")</f>
        <v/>
      </c>
      <c r="O280" s="11" t="str">
        <f t="shared" si="87"/>
        <v/>
      </c>
      <c r="P280" s="11" t="str">
        <f t="shared" si="88"/>
        <v/>
      </c>
      <c r="Q280" s="11">
        <f t="shared" si="89"/>
        <v>82516.01</v>
      </c>
      <c r="R280" s="11" t="str">
        <f t="shared" si="80"/>
        <v/>
      </c>
      <c r="S280" s="11" t="str">
        <f t="shared" si="81"/>
        <v/>
      </c>
      <c r="T280" s="12" t="str">
        <f t="shared" si="82"/>
        <v/>
      </c>
      <c r="U280" s="11">
        <f t="shared" si="90"/>
        <v>82516.01</v>
      </c>
      <c r="V280" s="11">
        <f t="shared" si="91"/>
        <v>0</v>
      </c>
      <c r="W280" s="11">
        <f t="shared" si="92"/>
        <v>0</v>
      </c>
      <c r="X280" s="11">
        <f t="shared" si="93"/>
        <v>0</v>
      </c>
      <c r="Y280" s="11" t="str">
        <f t="shared" si="83"/>
        <v/>
      </c>
      <c r="Z280" s="13">
        <f t="shared" si="94"/>
        <v>46247</v>
      </c>
      <c r="AA280" s="10" t="str">
        <f>IF(OR($AA$116="错误",COUNTIF($G$117:G280,"待修正")&gt;0),"错误","正常")</f>
        <v>正常</v>
      </c>
      <c r="AB280" s="14">
        <f t="shared" si="95"/>
        <v>2.7686</v>
      </c>
    </row>
    <row r="281" ht="23" customHeight="1" spans="1:28">
      <c r="A281" s="15"/>
      <c r="B281" s="16"/>
      <c r="C281" s="17"/>
      <c r="D281" s="18"/>
      <c r="E281" s="19" t="str">
        <f t="shared" si="76"/>
        <v/>
      </c>
      <c r="F281" s="18"/>
      <c r="G281" s="20" t="str">
        <f t="shared" si="77"/>
        <v/>
      </c>
      <c r="H281" s="21" t="str">
        <f t="shared" si="78"/>
        <v/>
      </c>
      <c r="I281" s="10" t="str">
        <f>IF(COUNTA(A281:D281,F281)=0,"",IF(NOT(ISNUMBER(A281)),"缺少有效净值日期",IF(OR(A281&lt;=0,A281&lt;&gt;INT(A281)),"净值日期无效",IF(OR(B281="转换转入",B281="现金分红"),"该类型需实际金额，五项录入不适用",IF(NOT(OR(OR(B281="买入",B281="定投"),B281="卖出",B281="红利再投")),"请选择交易类型",IF(NOT(ISNUMBER(C281)),"缺少成交净值",IF(C281&lt;=0,"成交净值须大于零",IF(NOT(ISNUMBER(D281)),"缺少确认份额",IF(D281&lt;=0,"确认份额须大于零",IF(NOT(ISNUMBER(F281)),"缺少手续费，无费用请填 0",IF(F281&lt;0,"手续费不能为负",IF(AA280="错误","前行待修正",IF(A281&lt;Z280,"日期需按成交顺序递增",IF(AND(B281="红利再投",F281&lt;&gt;0),"红利再投手续费应填 0",IF(AND(B281="红利再投",K280&lt;=0),"红利再投前须有持仓",IF(AND(B281="卖出",D281&gt;K280+0.000001),"卖出份额超过持仓",IF(AND(B281="卖出",F281&gt;=C281*D281),"赎回费不能达到赎回总额",IF(NOT(ISNUMBER(E281)),"自动金额未生成，请检查五项输入",IF(NOT(OR(持仓总览!$C$7="利润优先",持仓总览!$C$7="本金优先")),"请选择卖出分配模式","已计入")))))))))))))))))))</f>
        <v/>
      </c>
      <c r="J281" s="11">
        <f t="shared" si="79"/>
        <v>0</v>
      </c>
      <c r="K281" s="11">
        <f t="shared" si="84"/>
        <v>34284.43</v>
      </c>
      <c r="L281" s="11" t="str">
        <f t="shared" si="85"/>
        <v/>
      </c>
      <c r="M281" s="11" t="str">
        <f t="shared" si="86"/>
        <v/>
      </c>
      <c r="N281" s="11" t="str">
        <f>IF(I281="已计入",IF(AND(B281="卖出",持仓总览!$C$7="本金优先"),MAX(0,E281-Q280),IF(OR(B281="卖出",B281="现金分红"),MIN(E281,M281),0)),"")</f>
        <v/>
      </c>
      <c r="O281" s="11" t="str">
        <f t="shared" si="87"/>
        <v/>
      </c>
      <c r="P281" s="11" t="str">
        <f t="shared" si="88"/>
        <v/>
      </c>
      <c r="Q281" s="11">
        <f t="shared" si="89"/>
        <v>82516.01</v>
      </c>
      <c r="R281" s="11" t="str">
        <f t="shared" si="80"/>
        <v/>
      </c>
      <c r="S281" s="11" t="str">
        <f t="shared" si="81"/>
        <v/>
      </c>
      <c r="T281" s="12" t="str">
        <f t="shared" si="82"/>
        <v/>
      </c>
      <c r="U281" s="11">
        <f t="shared" si="90"/>
        <v>82516.01</v>
      </c>
      <c r="V281" s="11">
        <f t="shared" si="91"/>
        <v>0</v>
      </c>
      <c r="W281" s="11">
        <f t="shared" si="92"/>
        <v>0</v>
      </c>
      <c r="X281" s="11">
        <f t="shared" si="93"/>
        <v>0</v>
      </c>
      <c r="Y281" s="11" t="str">
        <f t="shared" si="83"/>
        <v/>
      </c>
      <c r="Z281" s="13">
        <f t="shared" si="94"/>
        <v>46247</v>
      </c>
      <c r="AA281" s="10" t="str">
        <f>IF(OR($AA$116="错误",COUNTIF($G$117:G281,"待修正")&gt;0),"错误","正常")</f>
        <v>正常</v>
      </c>
      <c r="AB281" s="14">
        <f t="shared" si="95"/>
        <v>2.7686</v>
      </c>
    </row>
    <row r="282" ht="23" customHeight="1" spans="1:28">
      <c r="A282" s="15"/>
      <c r="B282" s="16"/>
      <c r="C282" s="17"/>
      <c r="D282" s="18"/>
      <c r="E282" s="19" t="str">
        <f t="shared" si="76"/>
        <v/>
      </c>
      <c r="F282" s="18"/>
      <c r="G282" s="20" t="str">
        <f t="shared" si="77"/>
        <v/>
      </c>
      <c r="H282" s="21" t="str">
        <f t="shared" si="78"/>
        <v/>
      </c>
      <c r="I282" s="10" t="str">
        <f>IF(COUNTA(A282:D282,F282)=0,"",IF(NOT(ISNUMBER(A282)),"缺少有效净值日期",IF(OR(A282&lt;=0,A282&lt;&gt;INT(A282)),"净值日期无效",IF(OR(B282="转换转入",B282="现金分红"),"该类型需实际金额，五项录入不适用",IF(NOT(OR(OR(B282="买入",B282="定投"),B282="卖出",B282="红利再投")),"请选择交易类型",IF(NOT(ISNUMBER(C282)),"缺少成交净值",IF(C282&lt;=0,"成交净值须大于零",IF(NOT(ISNUMBER(D282)),"缺少确认份额",IF(D282&lt;=0,"确认份额须大于零",IF(NOT(ISNUMBER(F282)),"缺少手续费，无费用请填 0",IF(F282&lt;0,"手续费不能为负",IF(AA281="错误","前行待修正",IF(A282&lt;Z281,"日期需按成交顺序递增",IF(AND(B282="红利再投",F282&lt;&gt;0),"红利再投手续费应填 0",IF(AND(B282="红利再投",K281&lt;=0),"红利再投前须有持仓",IF(AND(B282="卖出",D282&gt;K281+0.000001),"卖出份额超过持仓",IF(AND(B282="卖出",F282&gt;=C282*D282),"赎回费不能达到赎回总额",IF(NOT(ISNUMBER(E282)),"自动金额未生成，请检查五项输入",IF(NOT(OR(持仓总览!$C$7="利润优先",持仓总览!$C$7="本金优先")),"请选择卖出分配模式","已计入")))))))))))))))))))</f>
        <v/>
      </c>
      <c r="J282" s="11">
        <f t="shared" si="79"/>
        <v>0</v>
      </c>
      <c r="K282" s="11">
        <f t="shared" si="84"/>
        <v>34284.43</v>
      </c>
      <c r="L282" s="11" t="str">
        <f t="shared" si="85"/>
        <v/>
      </c>
      <c r="M282" s="11" t="str">
        <f t="shared" si="86"/>
        <v/>
      </c>
      <c r="N282" s="11" t="str">
        <f>IF(I282="已计入",IF(AND(B282="卖出",持仓总览!$C$7="本金优先"),MAX(0,E282-Q281),IF(OR(B282="卖出",B282="现金分红"),MIN(E282,M282),0)),"")</f>
        <v/>
      </c>
      <c r="O282" s="11" t="str">
        <f t="shared" si="87"/>
        <v/>
      </c>
      <c r="P282" s="11" t="str">
        <f t="shared" si="88"/>
        <v/>
      </c>
      <c r="Q282" s="11">
        <f t="shared" si="89"/>
        <v>82516.01</v>
      </c>
      <c r="R282" s="11" t="str">
        <f t="shared" si="80"/>
        <v/>
      </c>
      <c r="S282" s="11" t="str">
        <f t="shared" si="81"/>
        <v/>
      </c>
      <c r="T282" s="12" t="str">
        <f t="shared" si="82"/>
        <v/>
      </c>
      <c r="U282" s="11">
        <f t="shared" si="90"/>
        <v>82516.01</v>
      </c>
      <c r="V282" s="11">
        <f t="shared" si="91"/>
        <v>0</v>
      </c>
      <c r="W282" s="11">
        <f t="shared" si="92"/>
        <v>0</v>
      </c>
      <c r="X282" s="11">
        <f t="shared" si="93"/>
        <v>0</v>
      </c>
      <c r="Y282" s="11" t="str">
        <f t="shared" si="83"/>
        <v/>
      </c>
      <c r="Z282" s="13">
        <f t="shared" si="94"/>
        <v>46247</v>
      </c>
      <c r="AA282" s="10" t="str">
        <f>IF(OR($AA$116="错误",COUNTIF($G$117:G282,"待修正")&gt;0),"错误","正常")</f>
        <v>正常</v>
      </c>
      <c r="AB282" s="14">
        <f t="shared" si="95"/>
        <v>2.7686</v>
      </c>
    </row>
    <row r="283" ht="23" customHeight="1" spans="1:28">
      <c r="A283" s="15"/>
      <c r="B283" s="16"/>
      <c r="C283" s="17"/>
      <c r="D283" s="18"/>
      <c r="E283" s="19" t="str">
        <f t="shared" si="76"/>
        <v/>
      </c>
      <c r="F283" s="18"/>
      <c r="G283" s="20" t="str">
        <f t="shared" si="77"/>
        <v/>
      </c>
      <c r="H283" s="21" t="str">
        <f t="shared" si="78"/>
        <v/>
      </c>
      <c r="I283" s="10" t="str">
        <f>IF(COUNTA(A283:D283,F283)=0,"",IF(NOT(ISNUMBER(A283)),"缺少有效净值日期",IF(OR(A283&lt;=0,A283&lt;&gt;INT(A283)),"净值日期无效",IF(OR(B283="转换转入",B283="现金分红"),"该类型需实际金额，五项录入不适用",IF(NOT(OR(OR(B283="买入",B283="定投"),B283="卖出",B283="红利再投")),"请选择交易类型",IF(NOT(ISNUMBER(C283)),"缺少成交净值",IF(C283&lt;=0,"成交净值须大于零",IF(NOT(ISNUMBER(D283)),"缺少确认份额",IF(D283&lt;=0,"确认份额须大于零",IF(NOT(ISNUMBER(F283)),"缺少手续费，无费用请填 0",IF(F283&lt;0,"手续费不能为负",IF(AA282="错误","前行待修正",IF(A283&lt;Z282,"日期需按成交顺序递增",IF(AND(B283="红利再投",F283&lt;&gt;0),"红利再投手续费应填 0",IF(AND(B283="红利再投",K282&lt;=0),"红利再投前须有持仓",IF(AND(B283="卖出",D283&gt;K282+0.000001),"卖出份额超过持仓",IF(AND(B283="卖出",F283&gt;=C283*D283),"赎回费不能达到赎回总额",IF(NOT(ISNUMBER(E283)),"自动金额未生成，请检查五项输入",IF(NOT(OR(持仓总览!$C$7="利润优先",持仓总览!$C$7="本金优先")),"请选择卖出分配模式","已计入")))))))))))))))))))</f>
        <v/>
      </c>
      <c r="J283" s="11">
        <f t="shared" si="79"/>
        <v>0</v>
      </c>
      <c r="K283" s="11">
        <f t="shared" si="84"/>
        <v>34284.43</v>
      </c>
      <c r="L283" s="11" t="str">
        <f t="shared" si="85"/>
        <v/>
      </c>
      <c r="M283" s="11" t="str">
        <f t="shared" si="86"/>
        <v/>
      </c>
      <c r="N283" s="11" t="str">
        <f>IF(I283="已计入",IF(AND(B283="卖出",持仓总览!$C$7="本金优先"),MAX(0,E283-Q282),IF(OR(B283="卖出",B283="现金分红"),MIN(E283,M283),0)),"")</f>
        <v/>
      </c>
      <c r="O283" s="11" t="str">
        <f t="shared" si="87"/>
        <v/>
      </c>
      <c r="P283" s="11" t="str">
        <f t="shared" si="88"/>
        <v/>
      </c>
      <c r="Q283" s="11">
        <f t="shared" si="89"/>
        <v>82516.01</v>
      </c>
      <c r="R283" s="11" t="str">
        <f t="shared" si="80"/>
        <v/>
      </c>
      <c r="S283" s="11" t="str">
        <f t="shared" si="81"/>
        <v/>
      </c>
      <c r="T283" s="12" t="str">
        <f t="shared" si="82"/>
        <v/>
      </c>
      <c r="U283" s="11">
        <f t="shared" si="90"/>
        <v>82516.01</v>
      </c>
      <c r="V283" s="11">
        <f t="shared" si="91"/>
        <v>0</v>
      </c>
      <c r="W283" s="11">
        <f t="shared" si="92"/>
        <v>0</v>
      </c>
      <c r="X283" s="11">
        <f t="shared" si="93"/>
        <v>0</v>
      </c>
      <c r="Y283" s="11" t="str">
        <f t="shared" si="83"/>
        <v/>
      </c>
      <c r="Z283" s="13">
        <f t="shared" si="94"/>
        <v>46247</v>
      </c>
      <c r="AA283" s="10" t="str">
        <f>IF(OR($AA$116="错误",COUNTIF($G$117:G283,"待修正")&gt;0),"错误","正常")</f>
        <v>正常</v>
      </c>
      <c r="AB283" s="14">
        <f t="shared" si="95"/>
        <v>2.7686</v>
      </c>
    </row>
    <row r="284" ht="23" customHeight="1" spans="1:28">
      <c r="A284" s="15"/>
      <c r="B284" s="16"/>
      <c r="C284" s="17"/>
      <c r="D284" s="18"/>
      <c r="E284" s="19" t="str">
        <f t="shared" si="76"/>
        <v/>
      </c>
      <c r="F284" s="18"/>
      <c r="G284" s="20" t="str">
        <f t="shared" si="77"/>
        <v/>
      </c>
      <c r="H284" s="21" t="str">
        <f t="shared" si="78"/>
        <v/>
      </c>
      <c r="I284" s="10" t="str">
        <f>IF(COUNTA(A284:D284,F284)=0,"",IF(NOT(ISNUMBER(A284)),"缺少有效净值日期",IF(OR(A284&lt;=0,A284&lt;&gt;INT(A284)),"净值日期无效",IF(OR(B284="转换转入",B284="现金分红"),"该类型需实际金额，五项录入不适用",IF(NOT(OR(OR(B284="买入",B284="定投"),B284="卖出",B284="红利再投")),"请选择交易类型",IF(NOT(ISNUMBER(C284)),"缺少成交净值",IF(C284&lt;=0,"成交净值须大于零",IF(NOT(ISNUMBER(D284)),"缺少确认份额",IF(D284&lt;=0,"确认份额须大于零",IF(NOT(ISNUMBER(F284)),"缺少手续费，无费用请填 0",IF(F284&lt;0,"手续费不能为负",IF(AA283="错误","前行待修正",IF(A284&lt;Z283,"日期需按成交顺序递增",IF(AND(B284="红利再投",F284&lt;&gt;0),"红利再投手续费应填 0",IF(AND(B284="红利再投",K283&lt;=0),"红利再投前须有持仓",IF(AND(B284="卖出",D284&gt;K283+0.000001),"卖出份额超过持仓",IF(AND(B284="卖出",F284&gt;=C284*D284),"赎回费不能达到赎回总额",IF(NOT(ISNUMBER(E284)),"自动金额未生成，请检查五项输入",IF(NOT(OR(持仓总览!$C$7="利润优先",持仓总览!$C$7="本金优先")),"请选择卖出分配模式","已计入")))))))))))))))))))</f>
        <v/>
      </c>
      <c r="J284" s="11">
        <f t="shared" si="79"/>
        <v>0</v>
      </c>
      <c r="K284" s="11">
        <f t="shared" si="84"/>
        <v>34284.43</v>
      </c>
      <c r="L284" s="11" t="str">
        <f t="shared" si="85"/>
        <v/>
      </c>
      <c r="M284" s="11" t="str">
        <f t="shared" si="86"/>
        <v/>
      </c>
      <c r="N284" s="11" t="str">
        <f>IF(I284="已计入",IF(AND(B284="卖出",持仓总览!$C$7="本金优先"),MAX(0,E284-Q283),IF(OR(B284="卖出",B284="现金分红"),MIN(E284,M284),0)),"")</f>
        <v/>
      </c>
      <c r="O284" s="11" t="str">
        <f t="shared" si="87"/>
        <v/>
      </c>
      <c r="P284" s="11" t="str">
        <f t="shared" si="88"/>
        <v/>
      </c>
      <c r="Q284" s="11">
        <f t="shared" si="89"/>
        <v>82516.01</v>
      </c>
      <c r="R284" s="11" t="str">
        <f t="shared" si="80"/>
        <v/>
      </c>
      <c r="S284" s="11" t="str">
        <f t="shared" si="81"/>
        <v/>
      </c>
      <c r="T284" s="12" t="str">
        <f t="shared" si="82"/>
        <v/>
      </c>
      <c r="U284" s="11">
        <f t="shared" si="90"/>
        <v>82516.01</v>
      </c>
      <c r="V284" s="11">
        <f t="shared" si="91"/>
        <v>0</v>
      </c>
      <c r="W284" s="11">
        <f t="shared" si="92"/>
        <v>0</v>
      </c>
      <c r="X284" s="11">
        <f t="shared" si="93"/>
        <v>0</v>
      </c>
      <c r="Y284" s="11" t="str">
        <f t="shared" si="83"/>
        <v/>
      </c>
      <c r="Z284" s="13">
        <f t="shared" si="94"/>
        <v>46247</v>
      </c>
      <c r="AA284" s="10" t="str">
        <f>IF(OR($AA$116="错误",COUNTIF($G$117:G284,"待修正")&gt;0),"错误","正常")</f>
        <v>正常</v>
      </c>
      <c r="AB284" s="14">
        <f t="shared" si="95"/>
        <v>2.7686</v>
      </c>
    </row>
    <row r="285" ht="23" customHeight="1" spans="1:28">
      <c r="A285" s="15"/>
      <c r="B285" s="16"/>
      <c r="C285" s="17"/>
      <c r="D285" s="18"/>
      <c r="E285" s="19" t="str">
        <f t="shared" si="76"/>
        <v/>
      </c>
      <c r="F285" s="18"/>
      <c r="G285" s="20" t="str">
        <f t="shared" si="77"/>
        <v/>
      </c>
      <c r="H285" s="21" t="str">
        <f t="shared" si="78"/>
        <v/>
      </c>
      <c r="I285" s="10" t="str">
        <f>IF(COUNTA(A285:D285,F285)=0,"",IF(NOT(ISNUMBER(A285)),"缺少有效净值日期",IF(OR(A285&lt;=0,A285&lt;&gt;INT(A285)),"净值日期无效",IF(OR(B285="转换转入",B285="现金分红"),"该类型需实际金额，五项录入不适用",IF(NOT(OR(OR(B285="买入",B285="定投"),B285="卖出",B285="红利再投")),"请选择交易类型",IF(NOT(ISNUMBER(C285)),"缺少成交净值",IF(C285&lt;=0,"成交净值须大于零",IF(NOT(ISNUMBER(D285)),"缺少确认份额",IF(D285&lt;=0,"确认份额须大于零",IF(NOT(ISNUMBER(F285)),"缺少手续费，无费用请填 0",IF(F285&lt;0,"手续费不能为负",IF(AA284="错误","前行待修正",IF(A285&lt;Z284,"日期需按成交顺序递增",IF(AND(B285="红利再投",F285&lt;&gt;0),"红利再投手续费应填 0",IF(AND(B285="红利再投",K284&lt;=0),"红利再投前须有持仓",IF(AND(B285="卖出",D285&gt;K284+0.000001),"卖出份额超过持仓",IF(AND(B285="卖出",F285&gt;=C285*D285),"赎回费不能达到赎回总额",IF(NOT(ISNUMBER(E285)),"自动金额未生成，请检查五项输入",IF(NOT(OR(持仓总览!$C$7="利润优先",持仓总览!$C$7="本金优先")),"请选择卖出分配模式","已计入")))))))))))))))))))</f>
        <v/>
      </c>
      <c r="J285" s="11">
        <f t="shared" si="79"/>
        <v>0</v>
      </c>
      <c r="K285" s="11">
        <f t="shared" si="84"/>
        <v>34284.43</v>
      </c>
      <c r="L285" s="11" t="str">
        <f t="shared" si="85"/>
        <v/>
      </c>
      <c r="M285" s="11" t="str">
        <f t="shared" si="86"/>
        <v/>
      </c>
      <c r="N285" s="11" t="str">
        <f>IF(I285="已计入",IF(AND(B285="卖出",持仓总览!$C$7="本金优先"),MAX(0,E285-Q284),IF(OR(B285="卖出",B285="现金分红"),MIN(E285,M285),0)),"")</f>
        <v/>
      </c>
      <c r="O285" s="11" t="str">
        <f t="shared" si="87"/>
        <v/>
      </c>
      <c r="P285" s="11" t="str">
        <f t="shared" si="88"/>
        <v/>
      </c>
      <c r="Q285" s="11">
        <f t="shared" si="89"/>
        <v>82516.01</v>
      </c>
      <c r="R285" s="11" t="str">
        <f t="shared" si="80"/>
        <v/>
      </c>
      <c r="S285" s="11" t="str">
        <f t="shared" si="81"/>
        <v/>
      </c>
      <c r="T285" s="12" t="str">
        <f t="shared" si="82"/>
        <v/>
      </c>
      <c r="U285" s="11">
        <f t="shared" si="90"/>
        <v>82516.01</v>
      </c>
      <c r="V285" s="11">
        <f t="shared" si="91"/>
        <v>0</v>
      </c>
      <c r="W285" s="11">
        <f t="shared" si="92"/>
        <v>0</v>
      </c>
      <c r="X285" s="11">
        <f t="shared" si="93"/>
        <v>0</v>
      </c>
      <c r="Y285" s="11" t="str">
        <f t="shared" si="83"/>
        <v/>
      </c>
      <c r="Z285" s="13">
        <f t="shared" si="94"/>
        <v>46247</v>
      </c>
      <c r="AA285" s="10" t="str">
        <f>IF(OR($AA$116="错误",COUNTIF($G$117:G285,"待修正")&gt;0),"错误","正常")</f>
        <v>正常</v>
      </c>
      <c r="AB285" s="14">
        <f t="shared" si="95"/>
        <v>2.7686</v>
      </c>
    </row>
    <row r="286" ht="23" customHeight="1" spans="1:28">
      <c r="A286" s="15"/>
      <c r="B286" s="16"/>
      <c r="C286" s="17"/>
      <c r="D286" s="18"/>
      <c r="E286" s="19" t="str">
        <f t="shared" si="76"/>
        <v/>
      </c>
      <c r="F286" s="18"/>
      <c r="G286" s="20" t="str">
        <f t="shared" si="77"/>
        <v/>
      </c>
      <c r="H286" s="21" t="str">
        <f t="shared" si="78"/>
        <v/>
      </c>
      <c r="I286" s="10" t="str">
        <f>IF(COUNTA(A286:D286,F286)=0,"",IF(NOT(ISNUMBER(A286)),"缺少有效净值日期",IF(OR(A286&lt;=0,A286&lt;&gt;INT(A286)),"净值日期无效",IF(OR(B286="转换转入",B286="现金分红"),"该类型需实际金额，五项录入不适用",IF(NOT(OR(OR(B286="买入",B286="定投"),B286="卖出",B286="红利再投")),"请选择交易类型",IF(NOT(ISNUMBER(C286)),"缺少成交净值",IF(C286&lt;=0,"成交净值须大于零",IF(NOT(ISNUMBER(D286)),"缺少确认份额",IF(D286&lt;=0,"确认份额须大于零",IF(NOT(ISNUMBER(F286)),"缺少手续费，无费用请填 0",IF(F286&lt;0,"手续费不能为负",IF(AA285="错误","前行待修正",IF(A286&lt;Z285,"日期需按成交顺序递增",IF(AND(B286="红利再投",F286&lt;&gt;0),"红利再投手续费应填 0",IF(AND(B286="红利再投",K285&lt;=0),"红利再投前须有持仓",IF(AND(B286="卖出",D286&gt;K285+0.000001),"卖出份额超过持仓",IF(AND(B286="卖出",F286&gt;=C286*D286),"赎回费不能达到赎回总额",IF(NOT(ISNUMBER(E286)),"自动金额未生成，请检查五项输入",IF(NOT(OR(持仓总览!$C$7="利润优先",持仓总览!$C$7="本金优先")),"请选择卖出分配模式","已计入")))))))))))))))))))</f>
        <v/>
      </c>
      <c r="J286" s="11">
        <f t="shared" si="79"/>
        <v>0</v>
      </c>
      <c r="K286" s="11">
        <f t="shared" si="84"/>
        <v>34284.43</v>
      </c>
      <c r="L286" s="11" t="str">
        <f t="shared" si="85"/>
        <v/>
      </c>
      <c r="M286" s="11" t="str">
        <f t="shared" si="86"/>
        <v/>
      </c>
      <c r="N286" s="11" t="str">
        <f>IF(I286="已计入",IF(AND(B286="卖出",持仓总览!$C$7="本金优先"),MAX(0,E286-Q285),IF(OR(B286="卖出",B286="现金分红"),MIN(E286,M286),0)),"")</f>
        <v/>
      </c>
      <c r="O286" s="11" t="str">
        <f t="shared" si="87"/>
        <v/>
      </c>
      <c r="P286" s="11" t="str">
        <f t="shared" si="88"/>
        <v/>
      </c>
      <c r="Q286" s="11">
        <f t="shared" si="89"/>
        <v>82516.01</v>
      </c>
      <c r="R286" s="11" t="str">
        <f t="shared" si="80"/>
        <v/>
      </c>
      <c r="S286" s="11" t="str">
        <f t="shared" si="81"/>
        <v/>
      </c>
      <c r="T286" s="12" t="str">
        <f t="shared" si="82"/>
        <v/>
      </c>
      <c r="U286" s="11">
        <f t="shared" si="90"/>
        <v>82516.01</v>
      </c>
      <c r="V286" s="11">
        <f t="shared" si="91"/>
        <v>0</v>
      </c>
      <c r="W286" s="11">
        <f t="shared" si="92"/>
        <v>0</v>
      </c>
      <c r="X286" s="11">
        <f t="shared" si="93"/>
        <v>0</v>
      </c>
      <c r="Y286" s="11" t="str">
        <f t="shared" si="83"/>
        <v/>
      </c>
      <c r="Z286" s="13">
        <f t="shared" si="94"/>
        <v>46247</v>
      </c>
      <c r="AA286" s="10" t="str">
        <f>IF(OR($AA$116="错误",COUNTIF($G$117:G286,"待修正")&gt;0),"错误","正常")</f>
        <v>正常</v>
      </c>
      <c r="AB286" s="14">
        <f t="shared" si="95"/>
        <v>2.7686</v>
      </c>
    </row>
    <row r="287" ht="23" customHeight="1" spans="1:28">
      <c r="A287" s="15"/>
      <c r="B287" s="16"/>
      <c r="C287" s="17"/>
      <c r="D287" s="18"/>
      <c r="E287" s="19" t="str">
        <f t="shared" si="76"/>
        <v/>
      </c>
      <c r="F287" s="18"/>
      <c r="G287" s="20" t="str">
        <f t="shared" si="77"/>
        <v/>
      </c>
      <c r="H287" s="21" t="str">
        <f t="shared" si="78"/>
        <v/>
      </c>
      <c r="I287" s="10" t="str">
        <f>IF(COUNTA(A287:D287,F287)=0,"",IF(NOT(ISNUMBER(A287)),"缺少有效净值日期",IF(OR(A287&lt;=0,A287&lt;&gt;INT(A287)),"净值日期无效",IF(OR(B287="转换转入",B287="现金分红"),"该类型需实际金额，五项录入不适用",IF(NOT(OR(OR(B287="买入",B287="定投"),B287="卖出",B287="红利再投")),"请选择交易类型",IF(NOT(ISNUMBER(C287)),"缺少成交净值",IF(C287&lt;=0,"成交净值须大于零",IF(NOT(ISNUMBER(D287)),"缺少确认份额",IF(D287&lt;=0,"确认份额须大于零",IF(NOT(ISNUMBER(F287)),"缺少手续费，无费用请填 0",IF(F287&lt;0,"手续费不能为负",IF(AA286="错误","前行待修正",IF(A287&lt;Z286,"日期需按成交顺序递增",IF(AND(B287="红利再投",F287&lt;&gt;0),"红利再投手续费应填 0",IF(AND(B287="红利再投",K286&lt;=0),"红利再投前须有持仓",IF(AND(B287="卖出",D287&gt;K286+0.000001),"卖出份额超过持仓",IF(AND(B287="卖出",F287&gt;=C287*D287),"赎回费不能达到赎回总额",IF(NOT(ISNUMBER(E287)),"自动金额未生成，请检查五项输入",IF(NOT(OR(持仓总览!$C$7="利润优先",持仓总览!$C$7="本金优先")),"请选择卖出分配模式","已计入")))))))))))))))))))</f>
        <v/>
      </c>
      <c r="J287" s="11">
        <f t="shared" si="79"/>
        <v>0</v>
      </c>
      <c r="K287" s="11">
        <f t="shared" si="84"/>
        <v>34284.43</v>
      </c>
      <c r="L287" s="11" t="str">
        <f t="shared" si="85"/>
        <v/>
      </c>
      <c r="M287" s="11" t="str">
        <f t="shared" si="86"/>
        <v/>
      </c>
      <c r="N287" s="11" t="str">
        <f>IF(I287="已计入",IF(AND(B287="卖出",持仓总览!$C$7="本金优先"),MAX(0,E287-Q286),IF(OR(B287="卖出",B287="现金分红"),MIN(E287,M287),0)),"")</f>
        <v/>
      </c>
      <c r="O287" s="11" t="str">
        <f t="shared" si="87"/>
        <v/>
      </c>
      <c r="P287" s="11" t="str">
        <f t="shared" si="88"/>
        <v/>
      </c>
      <c r="Q287" s="11">
        <f t="shared" si="89"/>
        <v>82516.01</v>
      </c>
      <c r="R287" s="11" t="str">
        <f t="shared" si="80"/>
        <v/>
      </c>
      <c r="S287" s="11" t="str">
        <f t="shared" si="81"/>
        <v/>
      </c>
      <c r="T287" s="12" t="str">
        <f t="shared" si="82"/>
        <v/>
      </c>
      <c r="U287" s="11">
        <f t="shared" si="90"/>
        <v>82516.01</v>
      </c>
      <c r="V287" s="11">
        <f t="shared" si="91"/>
        <v>0</v>
      </c>
      <c r="W287" s="11">
        <f t="shared" si="92"/>
        <v>0</v>
      </c>
      <c r="X287" s="11">
        <f t="shared" si="93"/>
        <v>0</v>
      </c>
      <c r="Y287" s="11" t="str">
        <f t="shared" si="83"/>
        <v/>
      </c>
      <c r="Z287" s="13">
        <f t="shared" si="94"/>
        <v>46247</v>
      </c>
      <c r="AA287" s="10" t="str">
        <f>IF(OR($AA$116="错误",COUNTIF($G$117:G287,"待修正")&gt;0),"错误","正常")</f>
        <v>正常</v>
      </c>
      <c r="AB287" s="14">
        <f t="shared" si="95"/>
        <v>2.7686</v>
      </c>
    </row>
    <row r="288" ht="23" customHeight="1" spans="1:28">
      <c r="A288" s="15"/>
      <c r="B288" s="16"/>
      <c r="C288" s="17"/>
      <c r="D288" s="18"/>
      <c r="E288" s="19" t="str">
        <f t="shared" si="76"/>
        <v/>
      </c>
      <c r="F288" s="18"/>
      <c r="G288" s="20" t="str">
        <f t="shared" si="77"/>
        <v/>
      </c>
      <c r="H288" s="21" t="str">
        <f t="shared" si="78"/>
        <v/>
      </c>
      <c r="I288" s="10" t="str">
        <f>IF(COUNTA(A288:D288,F288)=0,"",IF(NOT(ISNUMBER(A288)),"缺少有效净值日期",IF(OR(A288&lt;=0,A288&lt;&gt;INT(A288)),"净值日期无效",IF(OR(B288="转换转入",B288="现金分红"),"该类型需实际金额，五项录入不适用",IF(NOT(OR(OR(B288="买入",B288="定投"),B288="卖出",B288="红利再投")),"请选择交易类型",IF(NOT(ISNUMBER(C288)),"缺少成交净值",IF(C288&lt;=0,"成交净值须大于零",IF(NOT(ISNUMBER(D288)),"缺少确认份额",IF(D288&lt;=0,"确认份额须大于零",IF(NOT(ISNUMBER(F288)),"缺少手续费，无费用请填 0",IF(F288&lt;0,"手续费不能为负",IF(AA287="错误","前行待修正",IF(A288&lt;Z287,"日期需按成交顺序递增",IF(AND(B288="红利再投",F288&lt;&gt;0),"红利再投手续费应填 0",IF(AND(B288="红利再投",K287&lt;=0),"红利再投前须有持仓",IF(AND(B288="卖出",D288&gt;K287+0.000001),"卖出份额超过持仓",IF(AND(B288="卖出",F288&gt;=C288*D288),"赎回费不能达到赎回总额",IF(NOT(ISNUMBER(E288)),"自动金额未生成，请检查五项输入",IF(NOT(OR(持仓总览!$C$7="利润优先",持仓总览!$C$7="本金优先")),"请选择卖出分配模式","已计入")))))))))))))))))))</f>
        <v/>
      </c>
      <c r="J288" s="11">
        <f t="shared" si="79"/>
        <v>0</v>
      </c>
      <c r="K288" s="11">
        <f t="shared" si="84"/>
        <v>34284.43</v>
      </c>
      <c r="L288" s="11" t="str">
        <f t="shared" si="85"/>
        <v/>
      </c>
      <c r="M288" s="11" t="str">
        <f t="shared" si="86"/>
        <v/>
      </c>
      <c r="N288" s="11" t="str">
        <f>IF(I288="已计入",IF(AND(B288="卖出",持仓总览!$C$7="本金优先"),MAX(0,E288-Q287),IF(OR(B288="卖出",B288="现金分红"),MIN(E288,M288),0)),"")</f>
        <v/>
      </c>
      <c r="O288" s="11" t="str">
        <f t="shared" si="87"/>
        <v/>
      </c>
      <c r="P288" s="11" t="str">
        <f t="shared" si="88"/>
        <v/>
      </c>
      <c r="Q288" s="11">
        <f t="shared" si="89"/>
        <v>82516.01</v>
      </c>
      <c r="R288" s="11" t="str">
        <f t="shared" si="80"/>
        <v/>
      </c>
      <c r="S288" s="11" t="str">
        <f t="shared" si="81"/>
        <v/>
      </c>
      <c r="T288" s="12" t="str">
        <f t="shared" si="82"/>
        <v/>
      </c>
      <c r="U288" s="11">
        <f t="shared" si="90"/>
        <v>82516.01</v>
      </c>
      <c r="V288" s="11">
        <f t="shared" si="91"/>
        <v>0</v>
      </c>
      <c r="W288" s="11">
        <f t="shared" si="92"/>
        <v>0</v>
      </c>
      <c r="X288" s="11">
        <f t="shared" si="93"/>
        <v>0</v>
      </c>
      <c r="Y288" s="11" t="str">
        <f t="shared" si="83"/>
        <v/>
      </c>
      <c r="Z288" s="13">
        <f t="shared" si="94"/>
        <v>46247</v>
      </c>
      <c r="AA288" s="10" t="str">
        <f>IF(OR($AA$116="错误",COUNTIF($G$117:G288,"待修正")&gt;0),"错误","正常")</f>
        <v>正常</v>
      </c>
      <c r="AB288" s="14">
        <f t="shared" si="95"/>
        <v>2.7686</v>
      </c>
    </row>
    <row r="289" ht="23" customHeight="1" spans="1:28">
      <c r="A289" s="15"/>
      <c r="B289" s="16"/>
      <c r="C289" s="17"/>
      <c r="D289" s="18"/>
      <c r="E289" s="19" t="str">
        <f t="shared" si="76"/>
        <v/>
      </c>
      <c r="F289" s="18"/>
      <c r="G289" s="20" t="str">
        <f t="shared" si="77"/>
        <v/>
      </c>
      <c r="H289" s="21" t="str">
        <f t="shared" si="78"/>
        <v/>
      </c>
      <c r="I289" s="10" t="str">
        <f>IF(COUNTA(A289:D289,F289)=0,"",IF(NOT(ISNUMBER(A289)),"缺少有效净值日期",IF(OR(A289&lt;=0,A289&lt;&gt;INT(A289)),"净值日期无效",IF(OR(B289="转换转入",B289="现金分红"),"该类型需实际金额，五项录入不适用",IF(NOT(OR(OR(B289="买入",B289="定投"),B289="卖出",B289="红利再投")),"请选择交易类型",IF(NOT(ISNUMBER(C289)),"缺少成交净值",IF(C289&lt;=0,"成交净值须大于零",IF(NOT(ISNUMBER(D289)),"缺少确认份额",IF(D289&lt;=0,"确认份额须大于零",IF(NOT(ISNUMBER(F289)),"缺少手续费，无费用请填 0",IF(F289&lt;0,"手续费不能为负",IF(AA288="错误","前行待修正",IF(A289&lt;Z288,"日期需按成交顺序递增",IF(AND(B289="红利再投",F289&lt;&gt;0),"红利再投手续费应填 0",IF(AND(B289="红利再投",K288&lt;=0),"红利再投前须有持仓",IF(AND(B289="卖出",D289&gt;K288+0.000001),"卖出份额超过持仓",IF(AND(B289="卖出",F289&gt;=C289*D289),"赎回费不能达到赎回总额",IF(NOT(ISNUMBER(E289)),"自动金额未生成，请检查五项输入",IF(NOT(OR(持仓总览!$C$7="利润优先",持仓总览!$C$7="本金优先")),"请选择卖出分配模式","已计入")))))))))))))))))))</f>
        <v/>
      </c>
      <c r="J289" s="11">
        <f t="shared" si="79"/>
        <v>0</v>
      </c>
      <c r="K289" s="11">
        <f t="shared" si="84"/>
        <v>34284.43</v>
      </c>
      <c r="L289" s="11" t="str">
        <f t="shared" si="85"/>
        <v/>
      </c>
      <c r="M289" s="11" t="str">
        <f t="shared" si="86"/>
        <v/>
      </c>
      <c r="N289" s="11" t="str">
        <f>IF(I289="已计入",IF(AND(B289="卖出",持仓总览!$C$7="本金优先"),MAX(0,E289-Q288),IF(OR(B289="卖出",B289="现金分红"),MIN(E289,M289),0)),"")</f>
        <v/>
      </c>
      <c r="O289" s="11" t="str">
        <f t="shared" si="87"/>
        <v/>
      </c>
      <c r="P289" s="11" t="str">
        <f t="shared" si="88"/>
        <v/>
      </c>
      <c r="Q289" s="11">
        <f t="shared" si="89"/>
        <v>82516.01</v>
      </c>
      <c r="R289" s="11" t="str">
        <f t="shared" si="80"/>
        <v/>
      </c>
      <c r="S289" s="11" t="str">
        <f t="shared" si="81"/>
        <v/>
      </c>
      <c r="T289" s="12" t="str">
        <f t="shared" si="82"/>
        <v/>
      </c>
      <c r="U289" s="11">
        <f t="shared" si="90"/>
        <v>82516.01</v>
      </c>
      <c r="V289" s="11">
        <f t="shared" si="91"/>
        <v>0</v>
      </c>
      <c r="W289" s="11">
        <f t="shared" si="92"/>
        <v>0</v>
      </c>
      <c r="X289" s="11">
        <f t="shared" si="93"/>
        <v>0</v>
      </c>
      <c r="Y289" s="11" t="str">
        <f t="shared" si="83"/>
        <v/>
      </c>
      <c r="Z289" s="13">
        <f t="shared" si="94"/>
        <v>46247</v>
      </c>
      <c r="AA289" s="10" t="str">
        <f>IF(OR($AA$116="错误",COUNTIF($G$117:G289,"待修正")&gt;0),"错误","正常")</f>
        <v>正常</v>
      </c>
      <c r="AB289" s="14">
        <f t="shared" si="95"/>
        <v>2.7686</v>
      </c>
    </row>
    <row r="290" ht="23" customHeight="1" spans="1:28">
      <c r="A290" s="15"/>
      <c r="B290" s="16"/>
      <c r="C290" s="17"/>
      <c r="D290" s="18"/>
      <c r="E290" s="19" t="str">
        <f t="shared" si="76"/>
        <v/>
      </c>
      <c r="F290" s="18"/>
      <c r="G290" s="20" t="str">
        <f t="shared" si="77"/>
        <v/>
      </c>
      <c r="H290" s="21" t="str">
        <f t="shared" si="78"/>
        <v/>
      </c>
      <c r="I290" s="10" t="str">
        <f>IF(COUNTA(A290:D290,F290)=0,"",IF(NOT(ISNUMBER(A290)),"缺少有效净值日期",IF(OR(A290&lt;=0,A290&lt;&gt;INT(A290)),"净值日期无效",IF(OR(B290="转换转入",B290="现金分红"),"该类型需实际金额，五项录入不适用",IF(NOT(OR(OR(B290="买入",B290="定投"),B290="卖出",B290="红利再投")),"请选择交易类型",IF(NOT(ISNUMBER(C290)),"缺少成交净值",IF(C290&lt;=0,"成交净值须大于零",IF(NOT(ISNUMBER(D290)),"缺少确认份额",IF(D290&lt;=0,"确认份额须大于零",IF(NOT(ISNUMBER(F290)),"缺少手续费，无费用请填 0",IF(F290&lt;0,"手续费不能为负",IF(AA289="错误","前行待修正",IF(A290&lt;Z289,"日期需按成交顺序递增",IF(AND(B290="红利再投",F290&lt;&gt;0),"红利再投手续费应填 0",IF(AND(B290="红利再投",K289&lt;=0),"红利再投前须有持仓",IF(AND(B290="卖出",D290&gt;K289+0.000001),"卖出份额超过持仓",IF(AND(B290="卖出",F290&gt;=C290*D290),"赎回费不能达到赎回总额",IF(NOT(ISNUMBER(E290)),"自动金额未生成，请检查五项输入",IF(NOT(OR(持仓总览!$C$7="利润优先",持仓总览!$C$7="本金优先")),"请选择卖出分配模式","已计入")))))))))))))))))))</f>
        <v/>
      </c>
      <c r="J290" s="11">
        <f t="shared" si="79"/>
        <v>0</v>
      </c>
      <c r="K290" s="11">
        <f t="shared" si="84"/>
        <v>34284.43</v>
      </c>
      <c r="L290" s="11" t="str">
        <f t="shared" si="85"/>
        <v/>
      </c>
      <c r="M290" s="11" t="str">
        <f t="shared" si="86"/>
        <v/>
      </c>
      <c r="N290" s="11" t="str">
        <f>IF(I290="已计入",IF(AND(B290="卖出",持仓总览!$C$7="本金优先"),MAX(0,E290-Q289),IF(OR(B290="卖出",B290="现金分红"),MIN(E290,M290),0)),"")</f>
        <v/>
      </c>
      <c r="O290" s="11" t="str">
        <f t="shared" si="87"/>
        <v/>
      </c>
      <c r="P290" s="11" t="str">
        <f t="shared" si="88"/>
        <v/>
      </c>
      <c r="Q290" s="11">
        <f t="shared" si="89"/>
        <v>82516.01</v>
      </c>
      <c r="R290" s="11" t="str">
        <f t="shared" si="80"/>
        <v/>
      </c>
      <c r="S290" s="11" t="str">
        <f t="shared" si="81"/>
        <v/>
      </c>
      <c r="T290" s="12" t="str">
        <f t="shared" si="82"/>
        <v/>
      </c>
      <c r="U290" s="11">
        <f t="shared" si="90"/>
        <v>82516.01</v>
      </c>
      <c r="V290" s="11">
        <f t="shared" si="91"/>
        <v>0</v>
      </c>
      <c r="W290" s="11">
        <f t="shared" si="92"/>
        <v>0</v>
      </c>
      <c r="X290" s="11">
        <f t="shared" si="93"/>
        <v>0</v>
      </c>
      <c r="Y290" s="11" t="str">
        <f t="shared" si="83"/>
        <v/>
      </c>
      <c r="Z290" s="13">
        <f t="shared" si="94"/>
        <v>46247</v>
      </c>
      <c r="AA290" s="10" t="str">
        <f>IF(OR($AA$116="错误",COUNTIF($G$117:G290,"待修正")&gt;0),"错误","正常")</f>
        <v>正常</v>
      </c>
      <c r="AB290" s="14">
        <f t="shared" si="95"/>
        <v>2.7686</v>
      </c>
    </row>
    <row r="291" ht="23" customHeight="1" spans="1:28">
      <c r="A291" s="15"/>
      <c r="B291" s="16"/>
      <c r="C291" s="17"/>
      <c r="D291" s="18"/>
      <c r="E291" s="19" t="str">
        <f t="shared" si="76"/>
        <v/>
      </c>
      <c r="F291" s="18"/>
      <c r="G291" s="20" t="str">
        <f t="shared" si="77"/>
        <v/>
      </c>
      <c r="H291" s="21" t="str">
        <f t="shared" si="78"/>
        <v/>
      </c>
      <c r="I291" s="10" t="str">
        <f>IF(COUNTA(A291:D291,F291)=0,"",IF(NOT(ISNUMBER(A291)),"缺少有效净值日期",IF(OR(A291&lt;=0,A291&lt;&gt;INT(A291)),"净值日期无效",IF(OR(B291="转换转入",B291="现金分红"),"该类型需实际金额，五项录入不适用",IF(NOT(OR(OR(B291="买入",B291="定投"),B291="卖出",B291="红利再投")),"请选择交易类型",IF(NOT(ISNUMBER(C291)),"缺少成交净值",IF(C291&lt;=0,"成交净值须大于零",IF(NOT(ISNUMBER(D291)),"缺少确认份额",IF(D291&lt;=0,"确认份额须大于零",IF(NOT(ISNUMBER(F291)),"缺少手续费，无费用请填 0",IF(F291&lt;0,"手续费不能为负",IF(AA290="错误","前行待修正",IF(A291&lt;Z290,"日期需按成交顺序递增",IF(AND(B291="红利再投",F291&lt;&gt;0),"红利再投手续费应填 0",IF(AND(B291="红利再投",K290&lt;=0),"红利再投前须有持仓",IF(AND(B291="卖出",D291&gt;K290+0.000001),"卖出份额超过持仓",IF(AND(B291="卖出",F291&gt;=C291*D291),"赎回费不能达到赎回总额",IF(NOT(ISNUMBER(E291)),"自动金额未生成，请检查五项输入",IF(NOT(OR(持仓总览!$C$7="利润优先",持仓总览!$C$7="本金优先")),"请选择卖出分配模式","已计入")))))))))))))))))))</f>
        <v/>
      </c>
      <c r="J291" s="11">
        <f t="shared" si="79"/>
        <v>0</v>
      </c>
      <c r="K291" s="11">
        <f t="shared" si="84"/>
        <v>34284.43</v>
      </c>
      <c r="L291" s="11" t="str">
        <f t="shared" si="85"/>
        <v/>
      </c>
      <c r="M291" s="11" t="str">
        <f t="shared" si="86"/>
        <v/>
      </c>
      <c r="N291" s="11" t="str">
        <f>IF(I291="已计入",IF(AND(B291="卖出",持仓总览!$C$7="本金优先"),MAX(0,E291-Q290),IF(OR(B291="卖出",B291="现金分红"),MIN(E291,M291),0)),"")</f>
        <v/>
      </c>
      <c r="O291" s="11" t="str">
        <f t="shared" si="87"/>
        <v/>
      </c>
      <c r="P291" s="11" t="str">
        <f t="shared" si="88"/>
        <v/>
      </c>
      <c r="Q291" s="11">
        <f t="shared" si="89"/>
        <v>82516.01</v>
      </c>
      <c r="R291" s="11" t="str">
        <f t="shared" si="80"/>
        <v/>
      </c>
      <c r="S291" s="11" t="str">
        <f t="shared" si="81"/>
        <v/>
      </c>
      <c r="T291" s="12" t="str">
        <f t="shared" si="82"/>
        <v/>
      </c>
      <c r="U291" s="11">
        <f t="shared" si="90"/>
        <v>82516.01</v>
      </c>
      <c r="V291" s="11">
        <f t="shared" si="91"/>
        <v>0</v>
      </c>
      <c r="W291" s="11">
        <f t="shared" si="92"/>
        <v>0</v>
      </c>
      <c r="X291" s="11">
        <f t="shared" si="93"/>
        <v>0</v>
      </c>
      <c r="Y291" s="11" t="str">
        <f t="shared" si="83"/>
        <v/>
      </c>
      <c r="Z291" s="13">
        <f t="shared" si="94"/>
        <v>46247</v>
      </c>
      <c r="AA291" s="10" t="str">
        <f>IF(OR($AA$116="错误",COUNTIF($G$117:G291,"待修正")&gt;0),"错误","正常")</f>
        <v>正常</v>
      </c>
      <c r="AB291" s="14">
        <f t="shared" si="95"/>
        <v>2.7686</v>
      </c>
    </row>
    <row r="292" ht="23" customHeight="1" spans="1:28">
      <c r="A292" s="15"/>
      <c r="B292" s="16"/>
      <c r="C292" s="17"/>
      <c r="D292" s="18"/>
      <c r="E292" s="19" t="str">
        <f t="shared" si="76"/>
        <v/>
      </c>
      <c r="F292" s="18"/>
      <c r="G292" s="20" t="str">
        <f t="shared" si="77"/>
        <v/>
      </c>
      <c r="H292" s="21" t="str">
        <f t="shared" si="78"/>
        <v/>
      </c>
      <c r="I292" s="10" t="str">
        <f>IF(COUNTA(A292:D292,F292)=0,"",IF(NOT(ISNUMBER(A292)),"缺少有效净值日期",IF(OR(A292&lt;=0,A292&lt;&gt;INT(A292)),"净值日期无效",IF(OR(B292="转换转入",B292="现金分红"),"该类型需实际金额，五项录入不适用",IF(NOT(OR(OR(B292="买入",B292="定投"),B292="卖出",B292="红利再投")),"请选择交易类型",IF(NOT(ISNUMBER(C292)),"缺少成交净值",IF(C292&lt;=0,"成交净值须大于零",IF(NOT(ISNUMBER(D292)),"缺少确认份额",IF(D292&lt;=0,"确认份额须大于零",IF(NOT(ISNUMBER(F292)),"缺少手续费，无费用请填 0",IF(F292&lt;0,"手续费不能为负",IF(AA291="错误","前行待修正",IF(A292&lt;Z291,"日期需按成交顺序递增",IF(AND(B292="红利再投",F292&lt;&gt;0),"红利再投手续费应填 0",IF(AND(B292="红利再投",K291&lt;=0),"红利再投前须有持仓",IF(AND(B292="卖出",D292&gt;K291+0.000001),"卖出份额超过持仓",IF(AND(B292="卖出",F292&gt;=C292*D292),"赎回费不能达到赎回总额",IF(NOT(ISNUMBER(E292)),"自动金额未生成，请检查五项输入",IF(NOT(OR(持仓总览!$C$7="利润优先",持仓总览!$C$7="本金优先")),"请选择卖出分配模式","已计入")))))))))))))))))))</f>
        <v/>
      </c>
      <c r="J292" s="11">
        <f t="shared" si="79"/>
        <v>0</v>
      </c>
      <c r="K292" s="11">
        <f t="shared" si="84"/>
        <v>34284.43</v>
      </c>
      <c r="L292" s="11" t="str">
        <f t="shared" si="85"/>
        <v/>
      </c>
      <c r="M292" s="11" t="str">
        <f t="shared" si="86"/>
        <v/>
      </c>
      <c r="N292" s="11" t="str">
        <f>IF(I292="已计入",IF(AND(B292="卖出",持仓总览!$C$7="本金优先"),MAX(0,E292-Q291),IF(OR(B292="卖出",B292="现金分红"),MIN(E292,M292),0)),"")</f>
        <v/>
      </c>
      <c r="O292" s="11" t="str">
        <f t="shared" si="87"/>
        <v/>
      </c>
      <c r="P292" s="11" t="str">
        <f t="shared" si="88"/>
        <v/>
      </c>
      <c r="Q292" s="11">
        <f t="shared" si="89"/>
        <v>82516.01</v>
      </c>
      <c r="R292" s="11" t="str">
        <f t="shared" si="80"/>
        <v/>
      </c>
      <c r="S292" s="11" t="str">
        <f t="shared" si="81"/>
        <v/>
      </c>
      <c r="T292" s="12" t="str">
        <f t="shared" si="82"/>
        <v/>
      </c>
      <c r="U292" s="11">
        <f t="shared" si="90"/>
        <v>82516.01</v>
      </c>
      <c r="V292" s="11">
        <f t="shared" si="91"/>
        <v>0</v>
      </c>
      <c r="W292" s="11">
        <f t="shared" si="92"/>
        <v>0</v>
      </c>
      <c r="X292" s="11">
        <f t="shared" si="93"/>
        <v>0</v>
      </c>
      <c r="Y292" s="11" t="str">
        <f t="shared" si="83"/>
        <v/>
      </c>
      <c r="Z292" s="13">
        <f t="shared" si="94"/>
        <v>46247</v>
      </c>
      <c r="AA292" s="10" t="str">
        <f>IF(OR($AA$116="错误",COUNTIF($G$117:G292,"待修正")&gt;0),"错误","正常")</f>
        <v>正常</v>
      </c>
      <c r="AB292" s="14">
        <f t="shared" si="95"/>
        <v>2.7686</v>
      </c>
    </row>
    <row r="293" ht="23" customHeight="1" spans="1:28">
      <c r="A293" s="15"/>
      <c r="B293" s="16"/>
      <c r="C293" s="17"/>
      <c r="D293" s="18"/>
      <c r="E293" s="19" t="str">
        <f t="shared" si="76"/>
        <v/>
      </c>
      <c r="F293" s="18"/>
      <c r="G293" s="20" t="str">
        <f t="shared" si="77"/>
        <v/>
      </c>
      <c r="H293" s="21" t="str">
        <f t="shared" si="78"/>
        <v/>
      </c>
      <c r="I293" s="10" t="str">
        <f>IF(COUNTA(A293:D293,F293)=0,"",IF(NOT(ISNUMBER(A293)),"缺少有效净值日期",IF(OR(A293&lt;=0,A293&lt;&gt;INT(A293)),"净值日期无效",IF(OR(B293="转换转入",B293="现金分红"),"该类型需实际金额，五项录入不适用",IF(NOT(OR(OR(B293="买入",B293="定投"),B293="卖出",B293="红利再投")),"请选择交易类型",IF(NOT(ISNUMBER(C293)),"缺少成交净值",IF(C293&lt;=0,"成交净值须大于零",IF(NOT(ISNUMBER(D293)),"缺少确认份额",IF(D293&lt;=0,"确认份额须大于零",IF(NOT(ISNUMBER(F293)),"缺少手续费，无费用请填 0",IF(F293&lt;0,"手续费不能为负",IF(AA292="错误","前行待修正",IF(A293&lt;Z292,"日期需按成交顺序递增",IF(AND(B293="红利再投",F293&lt;&gt;0),"红利再投手续费应填 0",IF(AND(B293="红利再投",K292&lt;=0),"红利再投前须有持仓",IF(AND(B293="卖出",D293&gt;K292+0.000001),"卖出份额超过持仓",IF(AND(B293="卖出",F293&gt;=C293*D293),"赎回费不能达到赎回总额",IF(NOT(ISNUMBER(E293)),"自动金额未生成，请检查五项输入",IF(NOT(OR(持仓总览!$C$7="利润优先",持仓总览!$C$7="本金优先")),"请选择卖出分配模式","已计入")))))))))))))))))))</f>
        <v/>
      </c>
      <c r="J293" s="11">
        <f t="shared" si="79"/>
        <v>0</v>
      </c>
      <c r="K293" s="11">
        <f t="shared" si="84"/>
        <v>34284.43</v>
      </c>
      <c r="L293" s="11" t="str">
        <f t="shared" si="85"/>
        <v/>
      </c>
      <c r="M293" s="11" t="str">
        <f t="shared" si="86"/>
        <v/>
      </c>
      <c r="N293" s="11" t="str">
        <f>IF(I293="已计入",IF(AND(B293="卖出",持仓总览!$C$7="本金优先"),MAX(0,E293-Q292),IF(OR(B293="卖出",B293="现金分红"),MIN(E293,M293),0)),"")</f>
        <v/>
      </c>
      <c r="O293" s="11" t="str">
        <f t="shared" si="87"/>
        <v/>
      </c>
      <c r="P293" s="11" t="str">
        <f t="shared" si="88"/>
        <v/>
      </c>
      <c r="Q293" s="11">
        <f t="shared" si="89"/>
        <v>82516.01</v>
      </c>
      <c r="R293" s="11" t="str">
        <f t="shared" si="80"/>
        <v/>
      </c>
      <c r="S293" s="11" t="str">
        <f t="shared" si="81"/>
        <v/>
      </c>
      <c r="T293" s="12" t="str">
        <f t="shared" si="82"/>
        <v/>
      </c>
      <c r="U293" s="11">
        <f t="shared" si="90"/>
        <v>82516.01</v>
      </c>
      <c r="V293" s="11">
        <f t="shared" si="91"/>
        <v>0</v>
      </c>
      <c r="W293" s="11">
        <f t="shared" si="92"/>
        <v>0</v>
      </c>
      <c r="X293" s="11">
        <f t="shared" si="93"/>
        <v>0</v>
      </c>
      <c r="Y293" s="11" t="str">
        <f t="shared" si="83"/>
        <v/>
      </c>
      <c r="Z293" s="13">
        <f t="shared" si="94"/>
        <v>46247</v>
      </c>
      <c r="AA293" s="10" t="str">
        <f>IF(OR($AA$116="错误",COUNTIF($G$117:G293,"待修正")&gt;0),"错误","正常")</f>
        <v>正常</v>
      </c>
      <c r="AB293" s="14">
        <f t="shared" si="95"/>
        <v>2.7686</v>
      </c>
    </row>
    <row r="294" ht="23" customHeight="1" spans="1:28">
      <c r="A294" s="15"/>
      <c r="B294" s="16"/>
      <c r="C294" s="17"/>
      <c r="D294" s="18"/>
      <c r="E294" s="19" t="str">
        <f t="shared" si="76"/>
        <v/>
      </c>
      <c r="F294" s="18"/>
      <c r="G294" s="20" t="str">
        <f t="shared" si="77"/>
        <v/>
      </c>
      <c r="H294" s="21" t="str">
        <f t="shared" si="78"/>
        <v/>
      </c>
      <c r="I294" s="10" t="str">
        <f>IF(COUNTA(A294:D294,F294)=0,"",IF(NOT(ISNUMBER(A294)),"缺少有效净值日期",IF(OR(A294&lt;=0,A294&lt;&gt;INT(A294)),"净值日期无效",IF(OR(B294="转换转入",B294="现金分红"),"该类型需实际金额，五项录入不适用",IF(NOT(OR(OR(B294="买入",B294="定投"),B294="卖出",B294="红利再投")),"请选择交易类型",IF(NOT(ISNUMBER(C294)),"缺少成交净值",IF(C294&lt;=0,"成交净值须大于零",IF(NOT(ISNUMBER(D294)),"缺少确认份额",IF(D294&lt;=0,"确认份额须大于零",IF(NOT(ISNUMBER(F294)),"缺少手续费，无费用请填 0",IF(F294&lt;0,"手续费不能为负",IF(AA293="错误","前行待修正",IF(A294&lt;Z293,"日期需按成交顺序递增",IF(AND(B294="红利再投",F294&lt;&gt;0),"红利再投手续费应填 0",IF(AND(B294="红利再投",K293&lt;=0),"红利再投前须有持仓",IF(AND(B294="卖出",D294&gt;K293+0.000001),"卖出份额超过持仓",IF(AND(B294="卖出",F294&gt;=C294*D294),"赎回费不能达到赎回总额",IF(NOT(ISNUMBER(E294)),"自动金额未生成，请检查五项输入",IF(NOT(OR(持仓总览!$C$7="利润优先",持仓总览!$C$7="本金优先")),"请选择卖出分配模式","已计入")))))))))))))))))))</f>
        <v/>
      </c>
      <c r="J294" s="11">
        <f t="shared" si="79"/>
        <v>0</v>
      </c>
      <c r="K294" s="11">
        <f t="shared" si="84"/>
        <v>34284.43</v>
      </c>
      <c r="L294" s="11" t="str">
        <f t="shared" si="85"/>
        <v/>
      </c>
      <c r="M294" s="11" t="str">
        <f t="shared" si="86"/>
        <v/>
      </c>
      <c r="N294" s="11" t="str">
        <f>IF(I294="已计入",IF(AND(B294="卖出",持仓总览!$C$7="本金优先"),MAX(0,E294-Q293),IF(OR(B294="卖出",B294="现金分红"),MIN(E294,M294),0)),"")</f>
        <v/>
      </c>
      <c r="O294" s="11" t="str">
        <f t="shared" si="87"/>
        <v/>
      </c>
      <c r="P294" s="11" t="str">
        <f t="shared" si="88"/>
        <v/>
      </c>
      <c r="Q294" s="11">
        <f t="shared" si="89"/>
        <v>82516.01</v>
      </c>
      <c r="R294" s="11" t="str">
        <f t="shared" si="80"/>
        <v/>
      </c>
      <c r="S294" s="11" t="str">
        <f t="shared" si="81"/>
        <v/>
      </c>
      <c r="T294" s="12" t="str">
        <f t="shared" si="82"/>
        <v/>
      </c>
      <c r="U294" s="11">
        <f t="shared" si="90"/>
        <v>82516.01</v>
      </c>
      <c r="V294" s="11">
        <f t="shared" si="91"/>
        <v>0</v>
      </c>
      <c r="W294" s="11">
        <f t="shared" si="92"/>
        <v>0</v>
      </c>
      <c r="X294" s="11">
        <f t="shared" si="93"/>
        <v>0</v>
      </c>
      <c r="Y294" s="11" t="str">
        <f t="shared" si="83"/>
        <v/>
      </c>
      <c r="Z294" s="13">
        <f t="shared" si="94"/>
        <v>46247</v>
      </c>
      <c r="AA294" s="10" t="str">
        <f>IF(OR($AA$116="错误",COUNTIF($G$117:G294,"待修正")&gt;0),"错误","正常")</f>
        <v>正常</v>
      </c>
      <c r="AB294" s="14">
        <f t="shared" si="95"/>
        <v>2.7686</v>
      </c>
    </row>
    <row r="295" ht="23" customHeight="1" spans="1:28">
      <c r="A295" s="15"/>
      <c r="B295" s="16"/>
      <c r="C295" s="17"/>
      <c r="D295" s="18"/>
      <c r="E295" s="19" t="str">
        <f t="shared" si="76"/>
        <v/>
      </c>
      <c r="F295" s="18"/>
      <c r="G295" s="20" t="str">
        <f t="shared" si="77"/>
        <v/>
      </c>
      <c r="H295" s="21" t="str">
        <f t="shared" si="78"/>
        <v/>
      </c>
      <c r="I295" s="10" t="str">
        <f>IF(COUNTA(A295:D295,F295)=0,"",IF(NOT(ISNUMBER(A295)),"缺少有效净值日期",IF(OR(A295&lt;=0,A295&lt;&gt;INT(A295)),"净值日期无效",IF(OR(B295="转换转入",B295="现金分红"),"该类型需实际金额，五项录入不适用",IF(NOT(OR(OR(B295="买入",B295="定投"),B295="卖出",B295="红利再投")),"请选择交易类型",IF(NOT(ISNUMBER(C295)),"缺少成交净值",IF(C295&lt;=0,"成交净值须大于零",IF(NOT(ISNUMBER(D295)),"缺少确认份额",IF(D295&lt;=0,"确认份额须大于零",IF(NOT(ISNUMBER(F295)),"缺少手续费，无费用请填 0",IF(F295&lt;0,"手续费不能为负",IF(AA294="错误","前行待修正",IF(A295&lt;Z294,"日期需按成交顺序递增",IF(AND(B295="红利再投",F295&lt;&gt;0),"红利再投手续费应填 0",IF(AND(B295="红利再投",K294&lt;=0),"红利再投前须有持仓",IF(AND(B295="卖出",D295&gt;K294+0.000001),"卖出份额超过持仓",IF(AND(B295="卖出",F295&gt;=C295*D295),"赎回费不能达到赎回总额",IF(NOT(ISNUMBER(E295)),"自动金额未生成，请检查五项输入",IF(NOT(OR(持仓总览!$C$7="利润优先",持仓总览!$C$7="本金优先")),"请选择卖出分配模式","已计入")))))))))))))))))))</f>
        <v/>
      </c>
      <c r="J295" s="11">
        <f t="shared" si="79"/>
        <v>0</v>
      </c>
      <c r="K295" s="11">
        <f t="shared" si="84"/>
        <v>34284.43</v>
      </c>
      <c r="L295" s="11" t="str">
        <f t="shared" si="85"/>
        <v/>
      </c>
      <c r="M295" s="11" t="str">
        <f t="shared" si="86"/>
        <v/>
      </c>
      <c r="N295" s="11" t="str">
        <f>IF(I295="已计入",IF(AND(B295="卖出",持仓总览!$C$7="本金优先"),MAX(0,E295-Q294),IF(OR(B295="卖出",B295="现金分红"),MIN(E295,M295),0)),"")</f>
        <v/>
      </c>
      <c r="O295" s="11" t="str">
        <f t="shared" si="87"/>
        <v/>
      </c>
      <c r="P295" s="11" t="str">
        <f t="shared" si="88"/>
        <v/>
      </c>
      <c r="Q295" s="11">
        <f t="shared" si="89"/>
        <v>82516.01</v>
      </c>
      <c r="R295" s="11" t="str">
        <f t="shared" si="80"/>
        <v/>
      </c>
      <c r="S295" s="11" t="str">
        <f t="shared" si="81"/>
        <v/>
      </c>
      <c r="T295" s="12" t="str">
        <f t="shared" si="82"/>
        <v/>
      </c>
      <c r="U295" s="11">
        <f t="shared" si="90"/>
        <v>82516.01</v>
      </c>
      <c r="V295" s="11">
        <f t="shared" si="91"/>
        <v>0</v>
      </c>
      <c r="W295" s="11">
        <f t="shared" si="92"/>
        <v>0</v>
      </c>
      <c r="X295" s="11">
        <f t="shared" si="93"/>
        <v>0</v>
      </c>
      <c r="Y295" s="11" t="str">
        <f t="shared" si="83"/>
        <v/>
      </c>
      <c r="Z295" s="13">
        <f t="shared" si="94"/>
        <v>46247</v>
      </c>
      <c r="AA295" s="10" t="str">
        <f>IF(OR($AA$116="错误",COUNTIF($G$117:G295,"待修正")&gt;0),"错误","正常")</f>
        <v>正常</v>
      </c>
      <c r="AB295" s="14">
        <f t="shared" si="95"/>
        <v>2.7686</v>
      </c>
    </row>
    <row r="296" ht="23" customHeight="1" spans="1:28">
      <c r="A296" s="15"/>
      <c r="B296" s="16"/>
      <c r="C296" s="17"/>
      <c r="D296" s="18"/>
      <c r="E296" s="19" t="str">
        <f t="shared" si="76"/>
        <v/>
      </c>
      <c r="F296" s="18"/>
      <c r="G296" s="20" t="str">
        <f t="shared" si="77"/>
        <v/>
      </c>
      <c r="H296" s="21" t="str">
        <f t="shared" si="78"/>
        <v/>
      </c>
      <c r="I296" s="10" t="str">
        <f>IF(COUNTA(A296:D296,F296)=0,"",IF(NOT(ISNUMBER(A296)),"缺少有效净值日期",IF(OR(A296&lt;=0,A296&lt;&gt;INT(A296)),"净值日期无效",IF(OR(B296="转换转入",B296="现金分红"),"该类型需实际金额，五项录入不适用",IF(NOT(OR(OR(B296="买入",B296="定投"),B296="卖出",B296="红利再投")),"请选择交易类型",IF(NOT(ISNUMBER(C296)),"缺少成交净值",IF(C296&lt;=0,"成交净值须大于零",IF(NOT(ISNUMBER(D296)),"缺少确认份额",IF(D296&lt;=0,"确认份额须大于零",IF(NOT(ISNUMBER(F296)),"缺少手续费，无费用请填 0",IF(F296&lt;0,"手续费不能为负",IF(AA295="错误","前行待修正",IF(A296&lt;Z295,"日期需按成交顺序递增",IF(AND(B296="红利再投",F296&lt;&gt;0),"红利再投手续费应填 0",IF(AND(B296="红利再投",K295&lt;=0),"红利再投前须有持仓",IF(AND(B296="卖出",D296&gt;K295+0.000001),"卖出份额超过持仓",IF(AND(B296="卖出",F296&gt;=C296*D296),"赎回费不能达到赎回总额",IF(NOT(ISNUMBER(E296)),"自动金额未生成，请检查五项输入",IF(NOT(OR(持仓总览!$C$7="利润优先",持仓总览!$C$7="本金优先")),"请选择卖出分配模式","已计入")))))))))))))))))))</f>
        <v/>
      </c>
      <c r="J296" s="11">
        <f t="shared" si="79"/>
        <v>0</v>
      </c>
      <c r="K296" s="11">
        <f t="shared" si="84"/>
        <v>34284.43</v>
      </c>
      <c r="L296" s="11" t="str">
        <f t="shared" si="85"/>
        <v/>
      </c>
      <c r="M296" s="11" t="str">
        <f t="shared" si="86"/>
        <v/>
      </c>
      <c r="N296" s="11" t="str">
        <f>IF(I296="已计入",IF(AND(B296="卖出",持仓总览!$C$7="本金优先"),MAX(0,E296-Q295),IF(OR(B296="卖出",B296="现金分红"),MIN(E296,M296),0)),"")</f>
        <v/>
      </c>
      <c r="O296" s="11" t="str">
        <f t="shared" si="87"/>
        <v/>
      </c>
      <c r="P296" s="11" t="str">
        <f t="shared" si="88"/>
        <v/>
      </c>
      <c r="Q296" s="11">
        <f t="shared" si="89"/>
        <v>82516.01</v>
      </c>
      <c r="R296" s="11" t="str">
        <f t="shared" si="80"/>
        <v/>
      </c>
      <c r="S296" s="11" t="str">
        <f t="shared" si="81"/>
        <v/>
      </c>
      <c r="T296" s="12" t="str">
        <f t="shared" si="82"/>
        <v/>
      </c>
      <c r="U296" s="11">
        <f t="shared" si="90"/>
        <v>82516.01</v>
      </c>
      <c r="V296" s="11">
        <f t="shared" si="91"/>
        <v>0</v>
      </c>
      <c r="W296" s="11">
        <f t="shared" si="92"/>
        <v>0</v>
      </c>
      <c r="X296" s="11">
        <f t="shared" si="93"/>
        <v>0</v>
      </c>
      <c r="Y296" s="11" t="str">
        <f t="shared" si="83"/>
        <v/>
      </c>
      <c r="Z296" s="13">
        <f t="shared" si="94"/>
        <v>46247</v>
      </c>
      <c r="AA296" s="10" t="str">
        <f>IF(OR($AA$116="错误",COUNTIF($G$117:G296,"待修正")&gt;0),"错误","正常")</f>
        <v>正常</v>
      </c>
      <c r="AB296" s="14">
        <f t="shared" si="95"/>
        <v>2.7686</v>
      </c>
    </row>
    <row r="297" ht="23" customHeight="1" spans="1:28">
      <c r="A297" s="15"/>
      <c r="B297" s="16"/>
      <c r="C297" s="17"/>
      <c r="D297" s="18"/>
      <c r="E297" s="19" t="str">
        <f t="shared" si="76"/>
        <v/>
      </c>
      <c r="F297" s="18"/>
      <c r="G297" s="20" t="str">
        <f t="shared" si="77"/>
        <v/>
      </c>
      <c r="H297" s="21" t="str">
        <f t="shared" si="78"/>
        <v/>
      </c>
      <c r="I297" s="10" t="str">
        <f>IF(COUNTA(A297:D297,F297)=0,"",IF(NOT(ISNUMBER(A297)),"缺少有效净值日期",IF(OR(A297&lt;=0,A297&lt;&gt;INT(A297)),"净值日期无效",IF(OR(B297="转换转入",B297="现金分红"),"该类型需实际金额，五项录入不适用",IF(NOT(OR(OR(B297="买入",B297="定投"),B297="卖出",B297="红利再投")),"请选择交易类型",IF(NOT(ISNUMBER(C297)),"缺少成交净值",IF(C297&lt;=0,"成交净值须大于零",IF(NOT(ISNUMBER(D297)),"缺少确认份额",IF(D297&lt;=0,"确认份额须大于零",IF(NOT(ISNUMBER(F297)),"缺少手续费，无费用请填 0",IF(F297&lt;0,"手续费不能为负",IF(AA296="错误","前行待修正",IF(A297&lt;Z296,"日期需按成交顺序递增",IF(AND(B297="红利再投",F297&lt;&gt;0),"红利再投手续费应填 0",IF(AND(B297="红利再投",K296&lt;=0),"红利再投前须有持仓",IF(AND(B297="卖出",D297&gt;K296+0.000001),"卖出份额超过持仓",IF(AND(B297="卖出",F297&gt;=C297*D297),"赎回费不能达到赎回总额",IF(NOT(ISNUMBER(E297)),"自动金额未生成，请检查五项输入",IF(NOT(OR(持仓总览!$C$7="利润优先",持仓总览!$C$7="本金优先")),"请选择卖出分配模式","已计入")))))))))))))))))))</f>
        <v/>
      </c>
      <c r="J297" s="11">
        <f t="shared" si="79"/>
        <v>0</v>
      </c>
      <c r="K297" s="11">
        <f t="shared" si="84"/>
        <v>34284.43</v>
      </c>
      <c r="L297" s="11" t="str">
        <f t="shared" si="85"/>
        <v/>
      </c>
      <c r="M297" s="11" t="str">
        <f t="shared" si="86"/>
        <v/>
      </c>
      <c r="N297" s="11" t="str">
        <f>IF(I297="已计入",IF(AND(B297="卖出",持仓总览!$C$7="本金优先"),MAX(0,E297-Q296),IF(OR(B297="卖出",B297="现金分红"),MIN(E297,M297),0)),"")</f>
        <v/>
      </c>
      <c r="O297" s="11" t="str">
        <f t="shared" si="87"/>
        <v/>
      </c>
      <c r="P297" s="11" t="str">
        <f t="shared" si="88"/>
        <v/>
      </c>
      <c r="Q297" s="11">
        <f t="shared" si="89"/>
        <v>82516.01</v>
      </c>
      <c r="R297" s="11" t="str">
        <f t="shared" si="80"/>
        <v/>
      </c>
      <c r="S297" s="11" t="str">
        <f t="shared" si="81"/>
        <v/>
      </c>
      <c r="T297" s="12" t="str">
        <f t="shared" si="82"/>
        <v/>
      </c>
      <c r="U297" s="11">
        <f t="shared" si="90"/>
        <v>82516.01</v>
      </c>
      <c r="V297" s="11">
        <f t="shared" si="91"/>
        <v>0</v>
      </c>
      <c r="W297" s="11">
        <f t="shared" si="92"/>
        <v>0</v>
      </c>
      <c r="X297" s="11">
        <f t="shared" si="93"/>
        <v>0</v>
      </c>
      <c r="Y297" s="11" t="str">
        <f t="shared" si="83"/>
        <v/>
      </c>
      <c r="Z297" s="13">
        <f t="shared" si="94"/>
        <v>46247</v>
      </c>
      <c r="AA297" s="10" t="str">
        <f>IF(OR($AA$116="错误",COUNTIF($G$117:G297,"待修正")&gt;0),"错误","正常")</f>
        <v>正常</v>
      </c>
      <c r="AB297" s="14">
        <f t="shared" si="95"/>
        <v>2.7686</v>
      </c>
    </row>
    <row r="298" ht="23" customHeight="1" spans="1:28">
      <c r="A298" s="15"/>
      <c r="B298" s="16"/>
      <c r="C298" s="17"/>
      <c r="D298" s="18"/>
      <c r="E298" s="19" t="str">
        <f t="shared" si="76"/>
        <v/>
      </c>
      <c r="F298" s="18"/>
      <c r="G298" s="20" t="str">
        <f t="shared" si="77"/>
        <v/>
      </c>
      <c r="H298" s="21" t="str">
        <f t="shared" si="78"/>
        <v/>
      </c>
      <c r="I298" s="10" t="str">
        <f>IF(COUNTA(A298:D298,F298)=0,"",IF(NOT(ISNUMBER(A298)),"缺少有效净值日期",IF(OR(A298&lt;=0,A298&lt;&gt;INT(A298)),"净值日期无效",IF(OR(B298="转换转入",B298="现金分红"),"该类型需实际金额，五项录入不适用",IF(NOT(OR(OR(B298="买入",B298="定投"),B298="卖出",B298="红利再投")),"请选择交易类型",IF(NOT(ISNUMBER(C298)),"缺少成交净值",IF(C298&lt;=0,"成交净值须大于零",IF(NOT(ISNUMBER(D298)),"缺少确认份额",IF(D298&lt;=0,"确认份额须大于零",IF(NOT(ISNUMBER(F298)),"缺少手续费，无费用请填 0",IF(F298&lt;0,"手续费不能为负",IF(AA297="错误","前行待修正",IF(A298&lt;Z297,"日期需按成交顺序递增",IF(AND(B298="红利再投",F298&lt;&gt;0),"红利再投手续费应填 0",IF(AND(B298="红利再投",K297&lt;=0),"红利再投前须有持仓",IF(AND(B298="卖出",D298&gt;K297+0.000001),"卖出份额超过持仓",IF(AND(B298="卖出",F298&gt;=C298*D298),"赎回费不能达到赎回总额",IF(NOT(ISNUMBER(E298)),"自动金额未生成，请检查五项输入",IF(NOT(OR(持仓总览!$C$7="利润优先",持仓总览!$C$7="本金优先")),"请选择卖出分配模式","已计入")))))))))))))))))))</f>
        <v/>
      </c>
      <c r="J298" s="11">
        <f t="shared" si="79"/>
        <v>0</v>
      </c>
      <c r="K298" s="11">
        <f t="shared" si="84"/>
        <v>34284.43</v>
      </c>
      <c r="L298" s="11" t="str">
        <f t="shared" si="85"/>
        <v/>
      </c>
      <c r="M298" s="11" t="str">
        <f t="shared" si="86"/>
        <v/>
      </c>
      <c r="N298" s="11" t="str">
        <f>IF(I298="已计入",IF(AND(B298="卖出",持仓总览!$C$7="本金优先"),MAX(0,E298-Q297),IF(OR(B298="卖出",B298="现金分红"),MIN(E298,M298),0)),"")</f>
        <v/>
      </c>
      <c r="O298" s="11" t="str">
        <f t="shared" si="87"/>
        <v/>
      </c>
      <c r="P298" s="11" t="str">
        <f t="shared" si="88"/>
        <v/>
      </c>
      <c r="Q298" s="11">
        <f t="shared" si="89"/>
        <v>82516.01</v>
      </c>
      <c r="R298" s="11" t="str">
        <f t="shared" si="80"/>
        <v/>
      </c>
      <c r="S298" s="11" t="str">
        <f t="shared" si="81"/>
        <v/>
      </c>
      <c r="T298" s="12" t="str">
        <f t="shared" si="82"/>
        <v/>
      </c>
      <c r="U298" s="11">
        <f t="shared" si="90"/>
        <v>82516.01</v>
      </c>
      <c r="V298" s="11">
        <f t="shared" si="91"/>
        <v>0</v>
      </c>
      <c r="W298" s="11">
        <f t="shared" si="92"/>
        <v>0</v>
      </c>
      <c r="X298" s="11">
        <f t="shared" si="93"/>
        <v>0</v>
      </c>
      <c r="Y298" s="11" t="str">
        <f t="shared" si="83"/>
        <v/>
      </c>
      <c r="Z298" s="13">
        <f t="shared" si="94"/>
        <v>46247</v>
      </c>
      <c r="AA298" s="10" t="str">
        <f>IF(OR($AA$116="错误",COUNTIF($G$117:G298,"待修正")&gt;0),"错误","正常")</f>
        <v>正常</v>
      </c>
      <c r="AB298" s="14">
        <f t="shared" si="95"/>
        <v>2.7686</v>
      </c>
    </row>
    <row r="299" ht="23" customHeight="1" spans="1:28">
      <c r="A299" s="15"/>
      <c r="B299" s="16"/>
      <c r="C299" s="17"/>
      <c r="D299" s="18"/>
      <c r="E299" s="19" t="str">
        <f t="shared" si="76"/>
        <v/>
      </c>
      <c r="F299" s="18"/>
      <c r="G299" s="20" t="str">
        <f t="shared" si="77"/>
        <v/>
      </c>
      <c r="H299" s="21" t="str">
        <f t="shared" si="78"/>
        <v/>
      </c>
      <c r="I299" s="10" t="str">
        <f>IF(COUNTA(A299:D299,F299)=0,"",IF(NOT(ISNUMBER(A299)),"缺少有效净值日期",IF(OR(A299&lt;=0,A299&lt;&gt;INT(A299)),"净值日期无效",IF(OR(B299="转换转入",B299="现金分红"),"该类型需实际金额，五项录入不适用",IF(NOT(OR(OR(B299="买入",B299="定投"),B299="卖出",B299="红利再投")),"请选择交易类型",IF(NOT(ISNUMBER(C299)),"缺少成交净值",IF(C299&lt;=0,"成交净值须大于零",IF(NOT(ISNUMBER(D299)),"缺少确认份额",IF(D299&lt;=0,"确认份额须大于零",IF(NOT(ISNUMBER(F299)),"缺少手续费，无费用请填 0",IF(F299&lt;0,"手续费不能为负",IF(AA298="错误","前行待修正",IF(A299&lt;Z298,"日期需按成交顺序递增",IF(AND(B299="红利再投",F299&lt;&gt;0),"红利再投手续费应填 0",IF(AND(B299="红利再投",K298&lt;=0),"红利再投前须有持仓",IF(AND(B299="卖出",D299&gt;K298+0.000001),"卖出份额超过持仓",IF(AND(B299="卖出",F299&gt;=C299*D299),"赎回费不能达到赎回总额",IF(NOT(ISNUMBER(E299)),"自动金额未生成，请检查五项输入",IF(NOT(OR(持仓总览!$C$7="利润优先",持仓总览!$C$7="本金优先")),"请选择卖出分配模式","已计入")))))))))))))))))))</f>
        <v/>
      </c>
      <c r="J299" s="11">
        <f t="shared" si="79"/>
        <v>0</v>
      </c>
      <c r="K299" s="11">
        <f t="shared" si="84"/>
        <v>34284.43</v>
      </c>
      <c r="L299" s="11" t="str">
        <f t="shared" si="85"/>
        <v/>
      </c>
      <c r="M299" s="11" t="str">
        <f t="shared" si="86"/>
        <v/>
      </c>
      <c r="N299" s="11" t="str">
        <f>IF(I299="已计入",IF(AND(B299="卖出",持仓总览!$C$7="本金优先"),MAX(0,E299-Q298),IF(OR(B299="卖出",B299="现金分红"),MIN(E299,M299),0)),"")</f>
        <v/>
      </c>
      <c r="O299" s="11" t="str">
        <f t="shared" si="87"/>
        <v/>
      </c>
      <c r="P299" s="11" t="str">
        <f t="shared" si="88"/>
        <v/>
      </c>
      <c r="Q299" s="11">
        <f t="shared" si="89"/>
        <v>82516.01</v>
      </c>
      <c r="R299" s="11" t="str">
        <f t="shared" si="80"/>
        <v/>
      </c>
      <c r="S299" s="11" t="str">
        <f t="shared" si="81"/>
        <v/>
      </c>
      <c r="T299" s="12" t="str">
        <f t="shared" si="82"/>
        <v/>
      </c>
      <c r="U299" s="11">
        <f t="shared" si="90"/>
        <v>82516.01</v>
      </c>
      <c r="V299" s="11">
        <f t="shared" si="91"/>
        <v>0</v>
      </c>
      <c r="W299" s="11">
        <f t="shared" si="92"/>
        <v>0</v>
      </c>
      <c r="X299" s="11">
        <f t="shared" si="93"/>
        <v>0</v>
      </c>
      <c r="Y299" s="11" t="str">
        <f t="shared" si="83"/>
        <v/>
      </c>
      <c r="Z299" s="13">
        <f t="shared" si="94"/>
        <v>46247</v>
      </c>
      <c r="AA299" s="10" t="str">
        <f>IF(OR($AA$116="错误",COUNTIF($G$117:G299,"待修正")&gt;0),"错误","正常")</f>
        <v>正常</v>
      </c>
      <c r="AB299" s="14">
        <f t="shared" si="95"/>
        <v>2.7686</v>
      </c>
    </row>
    <row r="300" ht="23" customHeight="1" spans="1:28">
      <c r="A300" s="15"/>
      <c r="B300" s="16"/>
      <c r="C300" s="17"/>
      <c r="D300" s="18"/>
      <c r="E300" s="19" t="str">
        <f t="shared" si="76"/>
        <v/>
      </c>
      <c r="F300" s="18"/>
      <c r="G300" s="20" t="str">
        <f t="shared" si="77"/>
        <v/>
      </c>
      <c r="H300" s="21" t="str">
        <f t="shared" si="78"/>
        <v/>
      </c>
      <c r="I300" s="10" t="str">
        <f>IF(COUNTA(A300:D300,F300)=0,"",IF(NOT(ISNUMBER(A300)),"缺少有效净值日期",IF(OR(A300&lt;=0,A300&lt;&gt;INT(A300)),"净值日期无效",IF(OR(B300="转换转入",B300="现金分红"),"该类型需实际金额，五项录入不适用",IF(NOT(OR(OR(B300="买入",B300="定投"),B300="卖出",B300="红利再投")),"请选择交易类型",IF(NOT(ISNUMBER(C300)),"缺少成交净值",IF(C300&lt;=0,"成交净值须大于零",IF(NOT(ISNUMBER(D300)),"缺少确认份额",IF(D300&lt;=0,"确认份额须大于零",IF(NOT(ISNUMBER(F300)),"缺少手续费，无费用请填 0",IF(F300&lt;0,"手续费不能为负",IF(AA299="错误","前行待修正",IF(A300&lt;Z299,"日期需按成交顺序递增",IF(AND(B300="红利再投",F300&lt;&gt;0),"红利再投手续费应填 0",IF(AND(B300="红利再投",K299&lt;=0),"红利再投前须有持仓",IF(AND(B300="卖出",D300&gt;K299+0.000001),"卖出份额超过持仓",IF(AND(B300="卖出",F300&gt;=C300*D300),"赎回费不能达到赎回总额",IF(NOT(ISNUMBER(E300)),"自动金额未生成，请检查五项输入",IF(NOT(OR(持仓总览!$C$7="利润优先",持仓总览!$C$7="本金优先")),"请选择卖出分配模式","已计入")))))))))))))))))))</f>
        <v/>
      </c>
      <c r="J300" s="11">
        <f t="shared" si="79"/>
        <v>0</v>
      </c>
      <c r="K300" s="11">
        <f t="shared" si="84"/>
        <v>34284.43</v>
      </c>
      <c r="L300" s="11" t="str">
        <f t="shared" si="85"/>
        <v/>
      </c>
      <c r="M300" s="11" t="str">
        <f t="shared" si="86"/>
        <v/>
      </c>
      <c r="N300" s="11" t="str">
        <f>IF(I300="已计入",IF(AND(B300="卖出",持仓总览!$C$7="本金优先"),MAX(0,E300-Q299),IF(OR(B300="卖出",B300="现金分红"),MIN(E300,M300),0)),"")</f>
        <v/>
      </c>
      <c r="O300" s="11" t="str">
        <f t="shared" si="87"/>
        <v/>
      </c>
      <c r="P300" s="11" t="str">
        <f t="shared" si="88"/>
        <v/>
      </c>
      <c r="Q300" s="11">
        <f t="shared" si="89"/>
        <v>82516.01</v>
      </c>
      <c r="R300" s="11" t="str">
        <f t="shared" si="80"/>
        <v/>
      </c>
      <c r="S300" s="11" t="str">
        <f t="shared" si="81"/>
        <v/>
      </c>
      <c r="T300" s="12" t="str">
        <f t="shared" si="82"/>
        <v/>
      </c>
      <c r="U300" s="11">
        <f t="shared" si="90"/>
        <v>82516.01</v>
      </c>
      <c r="V300" s="11">
        <f t="shared" si="91"/>
        <v>0</v>
      </c>
      <c r="W300" s="11">
        <f t="shared" si="92"/>
        <v>0</v>
      </c>
      <c r="X300" s="11">
        <f t="shared" si="93"/>
        <v>0</v>
      </c>
      <c r="Y300" s="11" t="str">
        <f t="shared" si="83"/>
        <v/>
      </c>
      <c r="Z300" s="13">
        <f t="shared" si="94"/>
        <v>46247</v>
      </c>
      <c r="AA300" s="10" t="str">
        <f>IF(OR($AA$116="错误",COUNTIF($G$117:G300,"待修正")&gt;0),"错误","正常")</f>
        <v>正常</v>
      </c>
      <c r="AB300" s="14">
        <f t="shared" si="95"/>
        <v>2.7686</v>
      </c>
    </row>
    <row r="301" ht="23" customHeight="1" spans="1:28">
      <c r="A301" s="15"/>
      <c r="B301" s="16"/>
      <c r="C301" s="17"/>
      <c r="D301" s="18"/>
      <c r="E301" s="19" t="str">
        <f t="shared" si="76"/>
        <v/>
      </c>
      <c r="F301" s="18"/>
      <c r="G301" s="20" t="str">
        <f t="shared" si="77"/>
        <v/>
      </c>
      <c r="H301" s="21" t="str">
        <f t="shared" si="78"/>
        <v/>
      </c>
      <c r="I301" s="10" t="str">
        <f>IF(COUNTA(A301:D301,F301)=0,"",IF(NOT(ISNUMBER(A301)),"缺少有效净值日期",IF(OR(A301&lt;=0,A301&lt;&gt;INT(A301)),"净值日期无效",IF(OR(B301="转换转入",B301="现金分红"),"该类型需实际金额，五项录入不适用",IF(NOT(OR(OR(B301="买入",B301="定投"),B301="卖出",B301="红利再投")),"请选择交易类型",IF(NOT(ISNUMBER(C301)),"缺少成交净值",IF(C301&lt;=0,"成交净值须大于零",IF(NOT(ISNUMBER(D301)),"缺少确认份额",IF(D301&lt;=0,"确认份额须大于零",IF(NOT(ISNUMBER(F301)),"缺少手续费，无费用请填 0",IF(F301&lt;0,"手续费不能为负",IF(AA300="错误","前行待修正",IF(A301&lt;Z300,"日期需按成交顺序递增",IF(AND(B301="红利再投",F301&lt;&gt;0),"红利再投手续费应填 0",IF(AND(B301="红利再投",K300&lt;=0),"红利再投前须有持仓",IF(AND(B301="卖出",D301&gt;K300+0.000001),"卖出份额超过持仓",IF(AND(B301="卖出",F301&gt;=C301*D301),"赎回费不能达到赎回总额",IF(NOT(ISNUMBER(E301)),"自动金额未生成，请检查五项输入",IF(NOT(OR(持仓总览!$C$7="利润优先",持仓总览!$C$7="本金优先")),"请选择卖出分配模式","已计入")))))))))))))))))))</f>
        <v/>
      </c>
      <c r="J301" s="11">
        <f t="shared" si="79"/>
        <v>0</v>
      </c>
      <c r="K301" s="11">
        <f t="shared" si="84"/>
        <v>34284.43</v>
      </c>
      <c r="L301" s="11" t="str">
        <f t="shared" si="85"/>
        <v/>
      </c>
      <c r="M301" s="11" t="str">
        <f t="shared" si="86"/>
        <v/>
      </c>
      <c r="N301" s="11" t="str">
        <f>IF(I301="已计入",IF(AND(B301="卖出",持仓总览!$C$7="本金优先"),MAX(0,E301-Q300),IF(OR(B301="卖出",B301="现金分红"),MIN(E301,M301),0)),"")</f>
        <v/>
      </c>
      <c r="O301" s="11" t="str">
        <f t="shared" si="87"/>
        <v/>
      </c>
      <c r="P301" s="11" t="str">
        <f t="shared" si="88"/>
        <v/>
      </c>
      <c r="Q301" s="11">
        <f t="shared" si="89"/>
        <v>82516.01</v>
      </c>
      <c r="R301" s="11" t="str">
        <f t="shared" si="80"/>
        <v/>
      </c>
      <c r="S301" s="11" t="str">
        <f t="shared" si="81"/>
        <v/>
      </c>
      <c r="T301" s="12" t="str">
        <f t="shared" si="82"/>
        <v/>
      </c>
      <c r="U301" s="11">
        <f t="shared" si="90"/>
        <v>82516.01</v>
      </c>
      <c r="V301" s="11">
        <f t="shared" si="91"/>
        <v>0</v>
      </c>
      <c r="W301" s="11">
        <f t="shared" si="92"/>
        <v>0</v>
      </c>
      <c r="X301" s="11">
        <f t="shared" si="93"/>
        <v>0</v>
      </c>
      <c r="Y301" s="11" t="str">
        <f t="shared" si="83"/>
        <v/>
      </c>
      <c r="Z301" s="13">
        <f t="shared" si="94"/>
        <v>46247</v>
      </c>
      <c r="AA301" s="10" t="str">
        <f>IF(OR($AA$116="错误",COUNTIF($G$117:G301,"待修正")&gt;0),"错误","正常")</f>
        <v>正常</v>
      </c>
      <c r="AB301" s="14">
        <f t="shared" si="95"/>
        <v>2.7686</v>
      </c>
    </row>
    <row r="302" ht="23" customHeight="1" spans="1:28">
      <c r="A302" s="15"/>
      <c r="B302" s="16"/>
      <c r="C302" s="17"/>
      <c r="D302" s="18"/>
      <c r="E302" s="19" t="str">
        <f t="shared" si="76"/>
        <v/>
      </c>
      <c r="F302" s="18"/>
      <c r="G302" s="20" t="str">
        <f t="shared" si="77"/>
        <v/>
      </c>
      <c r="H302" s="21" t="str">
        <f t="shared" si="78"/>
        <v/>
      </c>
      <c r="I302" s="10" t="str">
        <f>IF(COUNTA(A302:D302,F302)=0,"",IF(NOT(ISNUMBER(A302)),"缺少有效净值日期",IF(OR(A302&lt;=0,A302&lt;&gt;INT(A302)),"净值日期无效",IF(OR(B302="转换转入",B302="现金分红"),"该类型需实际金额，五项录入不适用",IF(NOT(OR(OR(B302="买入",B302="定投"),B302="卖出",B302="红利再投")),"请选择交易类型",IF(NOT(ISNUMBER(C302)),"缺少成交净值",IF(C302&lt;=0,"成交净值须大于零",IF(NOT(ISNUMBER(D302)),"缺少确认份额",IF(D302&lt;=0,"确认份额须大于零",IF(NOT(ISNUMBER(F302)),"缺少手续费，无费用请填 0",IF(F302&lt;0,"手续费不能为负",IF(AA301="错误","前行待修正",IF(A302&lt;Z301,"日期需按成交顺序递增",IF(AND(B302="红利再投",F302&lt;&gt;0),"红利再投手续费应填 0",IF(AND(B302="红利再投",K301&lt;=0),"红利再投前须有持仓",IF(AND(B302="卖出",D302&gt;K301+0.000001),"卖出份额超过持仓",IF(AND(B302="卖出",F302&gt;=C302*D302),"赎回费不能达到赎回总额",IF(NOT(ISNUMBER(E302)),"自动金额未生成，请检查五项输入",IF(NOT(OR(持仓总览!$C$7="利润优先",持仓总览!$C$7="本金优先")),"请选择卖出分配模式","已计入")))))))))))))))))))</f>
        <v/>
      </c>
      <c r="J302" s="11">
        <f t="shared" si="79"/>
        <v>0</v>
      </c>
      <c r="K302" s="11">
        <f t="shared" si="84"/>
        <v>34284.43</v>
      </c>
      <c r="L302" s="11" t="str">
        <f t="shared" si="85"/>
        <v/>
      </c>
      <c r="M302" s="11" t="str">
        <f t="shared" si="86"/>
        <v/>
      </c>
      <c r="N302" s="11" t="str">
        <f>IF(I302="已计入",IF(AND(B302="卖出",持仓总览!$C$7="本金优先"),MAX(0,E302-Q301),IF(OR(B302="卖出",B302="现金分红"),MIN(E302,M302),0)),"")</f>
        <v/>
      </c>
      <c r="O302" s="11" t="str">
        <f t="shared" si="87"/>
        <v/>
      </c>
      <c r="P302" s="11" t="str">
        <f t="shared" si="88"/>
        <v/>
      </c>
      <c r="Q302" s="11">
        <f t="shared" si="89"/>
        <v>82516.01</v>
      </c>
      <c r="R302" s="11" t="str">
        <f t="shared" si="80"/>
        <v/>
      </c>
      <c r="S302" s="11" t="str">
        <f t="shared" si="81"/>
        <v/>
      </c>
      <c r="T302" s="12" t="str">
        <f t="shared" si="82"/>
        <v/>
      </c>
      <c r="U302" s="11">
        <f t="shared" si="90"/>
        <v>82516.01</v>
      </c>
      <c r="V302" s="11">
        <f t="shared" si="91"/>
        <v>0</v>
      </c>
      <c r="W302" s="11">
        <f t="shared" si="92"/>
        <v>0</v>
      </c>
      <c r="X302" s="11">
        <f t="shared" si="93"/>
        <v>0</v>
      </c>
      <c r="Y302" s="11" t="str">
        <f t="shared" si="83"/>
        <v/>
      </c>
      <c r="Z302" s="13">
        <f t="shared" si="94"/>
        <v>46247</v>
      </c>
      <c r="AA302" s="10" t="str">
        <f>IF(OR($AA$116="错误",COUNTIF($G$117:G302,"待修正")&gt;0),"错误","正常")</f>
        <v>正常</v>
      </c>
      <c r="AB302" s="14">
        <f t="shared" si="95"/>
        <v>2.7686</v>
      </c>
    </row>
    <row r="303" ht="23" customHeight="1" spans="1:28">
      <c r="A303" s="15"/>
      <c r="B303" s="16"/>
      <c r="C303" s="17"/>
      <c r="D303" s="18"/>
      <c r="E303" s="19" t="str">
        <f t="shared" si="76"/>
        <v/>
      </c>
      <c r="F303" s="18"/>
      <c r="G303" s="20" t="str">
        <f t="shared" si="77"/>
        <v/>
      </c>
      <c r="H303" s="21" t="str">
        <f t="shared" si="78"/>
        <v/>
      </c>
      <c r="I303" s="10" t="str">
        <f>IF(COUNTA(A303:D303,F303)=0,"",IF(NOT(ISNUMBER(A303)),"缺少有效净值日期",IF(OR(A303&lt;=0,A303&lt;&gt;INT(A303)),"净值日期无效",IF(OR(B303="转换转入",B303="现金分红"),"该类型需实际金额，五项录入不适用",IF(NOT(OR(OR(B303="买入",B303="定投"),B303="卖出",B303="红利再投")),"请选择交易类型",IF(NOT(ISNUMBER(C303)),"缺少成交净值",IF(C303&lt;=0,"成交净值须大于零",IF(NOT(ISNUMBER(D303)),"缺少确认份额",IF(D303&lt;=0,"确认份额须大于零",IF(NOT(ISNUMBER(F303)),"缺少手续费，无费用请填 0",IF(F303&lt;0,"手续费不能为负",IF(AA302="错误","前行待修正",IF(A303&lt;Z302,"日期需按成交顺序递增",IF(AND(B303="红利再投",F303&lt;&gt;0),"红利再投手续费应填 0",IF(AND(B303="红利再投",K302&lt;=0),"红利再投前须有持仓",IF(AND(B303="卖出",D303&gt;K302+0.000001),"卖出份额超过持仓",IF(AND(B303="卖出",F303&gt;=C303*D303),"赎回费不能达到赎回总额",IF(NOT(ISNUMBER(E303)),"自动金额未生成，请检查五项输入",IF(NOT(OR(持仓总览!$C$7="利润优先",持仓总览!$C$7="本金优先")),"请选择卖出分配模式","已计入")))))))))))))))))))</f>
        <v/>
      </c>
      <c r="J303" s="11">
        <f t="shared" si="79"/>
        <v>0</v>
      </c>
      <c r="K303" s="11">
        <f t="shared" si="84"/>
        <v>34284.43</v>
      </c>
      <c r="L303" s="11" t="str">
        <f t="shared" si="85"/>
        <v/>
      </c>
      <c r="M303" s="11" t="str">
        <f t="shared" si="86"/>
        <v/>
      </c>
      <c r="N303" s="11" t="str">
        <f>IF(I303="已计入",IF(AND(B303="卖出",持仓总览!$C$7="本金优先"),MAX(0,E303-Q302),IF(OR(B303="卖出",B303="现金分红"),MIN(E303,M303),0)),"")</f>
        <v/>
      </c>
      <c r="O303" s="11" t="str">
        <f t="shared" si="87"/>
        <v/>
      </c>
      <c r="P303" s="11" t="str">
        <f t="shared" si="88"/>
        <v/>
      </c>
      <c r="Q303" s="11">
        <f t="shared" si="89"/>
        <v>82516.01</v>
      </c>
      <c r="R303" s="11" t="str">
        <f t="shared" si="80"/>
        <v/>
      </c>
      <c r="S303" s="11" t="str">
        <f t="shared" si="81"/>
        <v/>
      </c>
      <c r="T303" s="12" t="str">
        <f t="shared" si="82"/>
        <v/>
      </c>
      <c r="U303" s="11">
        <f t="shared" si="90"/>
        <v>82516.01</v>
      </c>
      <c r="V303" s="11">
        <f t="shared" si="91"/>
        <v>0</v>
      </c>
      <c r="W303" s="11">
        <f t="shared" si="92"/>
        <v>0</v>
      </c>
      <c r="X303" s="11">
        <f t="shared" si="93"/>
        <v>0</v>
      </c>
      <c r="Y303" s="11" t="str">
        <f t="shared" si="83"/>
        <v/>
      </c>
      <c r="Z303" s="13">
        <f t="shared" si="94"/>
        <v>46247</v>
      </c>
      <c r="AA303" s="10" t="str">
        <f>IF(OR($AA$116="错误",COUNTIF($G$117:G303,"待修正")&gt;0),"错误","正常")</f>
        <v>正常</v>
      </c>
      <c r="AB303" s="14">
        <f t="shared" si="95"/>
        <v>2.7686</v>
      </c>
    </row>
    <row r="304" ht="23" customHeight="1" spans="1:28">
      <c r="A304" s="15"/>
      <c r="B304" s="16"/>
      <c r="C304" s="17"/>
      <c r="D304" s="18"/>
      <c r="E304" s="19" t="str">
        <f t="shared" si="76"/>
        <v/>
      </c>
      <c r="F304" s="18"/>
      <c r="G304" s="20" t="str">
        <f t="shared" si="77"/>
        <v/>
      </c>
      <c r="H304" s="21" t="str">
        <f t="shared" si="78"/>
        <v/>
      </c>
      <c r="I304" s="10" t="str">
        <f>IF(COUNTA(A304:D304,F304)=0,"",IF(NOT(ISNUMBER(A304)),"缺少有效净值日期",IF(OR(A304&lt;=0,A304&lt;&gt;INT(A304)),"净值日期无效",IF(OR(B304="转换转入",B304="现金分红"),"该类型需实际金额，五项录入不适用",IF(NOT(OR(OR(B304="买入",B304="定投"),B304="卖出",B304="红利再投")),"请选择交易类型",IF(NOT(ISNUMBER(C304)),"缺少成交净值",IF(C304&lt;=0,"成交净值须大于零",IF(NOT(ISNUMBER(D304)),"缺少确认份额",IF(D304&lt;=0,"确认份额须大于零",IF(NOT(ISNUMBER(F304)),"缺少手续费，无费用请填 0",IF(F304&lt;0,"手续费不能为负",IF(AA303="错误","前行待修正",IF(A304&lt;Z303,"日期需按成交顺序递增",IF(AND(B304="红利再投",F304&lt;&gt;0),"红利再投手续费应填 0",IF(AND(B304="红利再投",K303&lt;=0),"红利再投前须有持仓",IF(AND(B304="卖出",D304&gt;K303+0.000001),"卖出份额超过持仓",IF(AND(B304="卖出",F304&gt;=C304*D304),"赎回费不能达到赎回总额",IF(NOT(ISNUMBER(E304)),"自动金额未生成，请检查五项输入",IF(NOT(OR(持仓总览!$C$7="利润优先",持仓总览!$C$7="本金优先")),"请选择卖出分配模式","已计入")))))))))))))))))))</f>
        <v/>
      </c>
      <c r="J304" s="11">
        <f t="shared" si="79"/>
        <v>0</v>
      </c>
      <c r="K304" s="11">
        <f t="shared" si="84"/>
        <v>34284.43</v>
      </c>
      <c r="L304" s="11" t="str">
        <f t="shared" si="85"/>
        <v/>
      </c>
      <c r="M304" s="11" t="str">
        <f t="shared" si="86"/>
        <v/>
      </c>
      <c r="N304" s="11" t="str">
        <f>IF(I304="已计入",IF(AND(B304="卖出",持仓总览!$C$7="本金优先"),MAX(0,E304-Q303),IF(OR(B304="卖出",B304="现金分红"),MIN(E304,M304),0)),"")</f>
        <v/>
      </c>
      <c r="O304" s="11" t="str">
        <f t="shared" si="87"/>
        <v/>
      </c>
      <c r="P304" s="11" t="str">
        <f t="shared" si="88"/>
        <v/>
      </c>
      <c r="Q304" s="11">
        <f t="shared" si="89"/>
        <v>82516.01</v>
      </c>
      <c r="R304" s="11" t="str">
        <f t="shared" si="80"/>
        <v/>
      </c>
      <c r="S304" s="11" t="str">
        <f t="shared" si="81"/>
        <v/>
      </c>
      <c r="T304" s="12" t="str">
        <f t="shared" si="82"/>
        <v/>
      </c>
      <c r="U304" s="11">
        <f t="shared" si="90"/>
        <v>82516.01</v>
      </c>
      <c r="V304" s="11">
        <f t="shared" si="91"/>
        <v>0</v>
      </c>
      <c r="W304" s="11">
        <f t="shared" si="92"/>
        <v>0</v>
      </c>
      <c r="X304" s="11">
        <f t="shared" si="93"/>
        <v>0</v>
      </c>
      <c r="Y304" s="11" t="str">
        <f t="shared" si="83"/>
        <v/>
      </c>
      <c r="Z304" s="13">
        <f t="shared" si="94"/>
        <v>46247</v>
      </c>
      <c r="AA304" s="10" t="str">
        <f>IF(OR($AA$116="错误",COUNTIF($G$117:G304,"待修正")&gt;0),"错误","正常")</f>
        <v>正常</v>
      </c>
      <c r="AB304" s="14">
        <f t="shared" si="95"/>
        <v>2.7686</v>
      </c>
    </row>
    <row r="305" ht="23" customHeight="1" spans="1:28">
      <c r="A305" s="15"/>
      <c r="B305" s="16"/>
      <c r="C305" s="17"/>
      <c r="D305" s="18"/>
      <c r="E305" s="19" t="str">
        <f t="shared" si="76"/>
        <v/>
      </c>
      <c r="F305" s="18"/>
      <c r="G305" s="20" t="str">
        <f t="shared" si="77"/>
        <v/>
      </c>
      <c r="H305" s="21" t="str">
        <f t="shared" si="78"/>
        <v/>
      </c>
      <c r="I305" s="10" t="str">
        <f>IF(COUNTA(A305:D305,F305)=0,"",IF(NOT(ISNUMBER(A305)),"缺少有效净值日期",IF(OR(A305&lt;=0,A305&lt;&gt;INT(A305)),"净值日期无效",IF(OR(B305="转换转入",B305="现金分红"),"该类型需实际金额，五项录入不适用",IF(NOT(OR(OR(B305="买入",B305="定投"),B305="卖出",B305="红利再投")),"请选择交易类型",IF(NOT(ISNUMBER(C305)),"缺少成交净值",IF(C305&lt;=0,"成交净值须大于零",IF(NOT(ISNUMBER(D305)),"缺少确认份额",IF(D305&lt;=0,"确认份额须大于零",IF(NOT(ISNUMBER(F305)),"缺少手续费，无费用请填 0",IF(F305&lt;0,"手续费不能为负",IF(AA304="错误","前行待修正",IF(A305&lt;Z304,"日期需按成交顺序递增",IF(AND(B305="红利再投",F305&lt;&gt;0),"红利再投手续费应填 0",IF(AND(B305="红利再投",K304&lt;=0),"红利再投前须有持仓",IF(AND(B305="卖出",D305&gt;K304+0.000001),"卖出份额超过持仓",IF(AND(B305="卖出",F305&gt;=C305*D305),"赎回费不能达到赎回总额",IF(NOT(ISNUMBER(E305)),"自动金额未生成，请检查五项输入",IF(NOT(OR(持仓总览!$C$7="利润优先",持仓总览!$C$7="本金优先")),"请选择卖出分配模式","已计入")))))))))))))))))))</f>
        <v/>
      </c>
      <c r="J305" s="11">
        <f t="shared" si="79"/>
        <v>0</v>
      </c>
      <c r="K305" s="11">
        <f t="shared" si="84"/>
        <v>34284.43</v>
      </c>
      <c r="L305" s="11" t="str">
        <f t="shared" si="85"/>
        <v/>
      </c>
      <c r="M305" s="11" t="str">
        <f t="shared" si="86"/>
        <v/>
      </c>
      <c r="N305" s="11" t="str">
        <f>IF(I305="已计入",IF(AND(B305="卖出",持仓总览!$C$7="本金优先"),MAX(0,E305-Q304),IF(OR(B305="卖出",B305="现金分红"),MIN(E305,M305),0)),"")</f>
        <v/>
      </c>
      <c r="O305" s="11" t="str">
        <f t="shared" si="87"/>
        <v/>
      </c>
      <c r="P305" s="11" t="str">
        <f t="shared" si="88"/>
        <v/>
      </c>
      <c r="Q305" s="11">
        <f t="shared" si="89"/>
        <v>82516.01</v>
      </c>
      <c r="R305" s="11" t="str">
        <f t="shared" si="80"/>
        <v/>
      </c>
      <c r="S305" s="11" t="str">
        <f t="shared" si="81"/>
        <v/>
      </c>
      <c r="T305" s="12" t="str">
        <f t="shared" si="82"/>
        <v/>
      </c>
      <c r="U305" s="11">
        <f t="shared" si="90"/>
        <v>82516.01</v>
      </c>
      <c r="V305" s="11">
        <f t="shared" si="91"/>
        <v>0</v>
      </c>
      <c r="W305" s="11">
        <f t="shared" si="92"/>
        <v>0</v>
      </c>
      <c r="X305" s="11">
        <f t="shared" si="93"/>
        <v>0</v>
      </c>
      <c r="Y305" s="11" t="str">
        <f t="shared" si="83"/>
        <v/>
      </c>
      <c r="Z305" s="13">
        <f t="shared" si="94"/>
        <v>46247</v>
      </c>
      <c r="AA305" s="10" t="str">
        <f>IF(OR($AA$116="错误",COUNTIF($G$117:G305,"待修正")&gt;0),"错误","正常")</f>
        <v>正常</v>
      </c>
      <c r="AB305" s="14">
        <f t="shared" si="95"/>
        <v>2.7686</v>
      </c>
    </row>
    <row r="306" ht="23" customHeight="1" spans="1:28">
      <c r="A306" s="15"/>
      <c r="B306" s="16"/>
      <c r="C306" s="17"/>
      <c r="D306" s="18"/>
      <c r="E306" s="19" t="str">
        <f t="shared" si="76"/>
        <v/>
      </c>
      <c r="F306" s="18"/>
      <c r="G306" s="20" t="str">
        <f t="shared" si="77"/>
        <v/>
      </c>
      <c r="H306" s="21" t="str">
        <f t="shared" si="78"/>
        <v/>
      </c>
      <c r="I306" s="10" t="str">
        <f>IF(COUNTA(A306:D306,F306)=0,"",IF(NOT(ISNUMBER(A306)),"缺少有效净值日期",IF(OR(A306&lt;=0,A306&lt;&gt;INT(A306)),"净值日期无效",IF(OR(B306="转换转入",B306="现金分红"),"该类型需实际金额，五项录入不适用",IF(NOT(OR(OR(B306="买入",B306="定投"),B306="卖出",B306="红利再投")),"请选择交易类型",IF(NOT(ISNUMBER(C306)),"缺少成交净值",IF(C306&lt;=0,"成交净值须大于零",IF(NOT(ISNUMBER(D306)),"缺少确认份额",IF(D306&lt;=0,"确认份额须大于零",IF(NOT(ISNUMBER(F306)),"缺少手续费，无费用请填 0",IF(F306&lt;0,"手续费不能为负",IF(AA305="错误","前行待修正",IF(A306&lt;Z305,"日期需按成交顺序递增",IF(AND(B306="红利再投",F306&lt;&gt;0),"红利再投手续费应填 0",IF(AND(B306="红利再投",K305&lt;=0),"红利再投前须有持仓",IF(AND(B306="卖出",D306&gt;K305+0.000001),"卖出份额超过持仓",IF(AND(B306="卖出",F306&gt;=C306*D306),"赎回费不能达到赎回总额",IF(NOT(ISNUMBER(E306)),"自动金额未生成，请检查五项输入",IF(NOT(OR(持仓总览!$C$7="利润优先",持仓总览!$C$7="本金优先")),"请选择卖出分配模式","已计入")))))))))))))))))))</f>
        <v/>
      </c>
      <c r="J306" s="11">
        <f t="shared" si="79"/>
        <v>0</v>
      </c>
      <c r="K306" s="11">
        <f t="shared" si="84"/>
        <v>34284.43</v>
      </c>
      <c r="L306" s="11" t="str">
        <f t="shared" si="85"/>
        <v/>
      </c>
      <c r="M306" s="11" t="str">
        <f t="shared" si="86"/>
        <v/>
      </c>
      <c r="N306" s="11" t="str">
        <f>IF(I306="已计入",IF(AND(B306="卖出",持仓总览!$C$7="本金优先"),MAX(0,E306-Q305),IF(OR(B306="卖出",B306="现金分红"),MIN(E306,M306),0)),"")</f>
        <v/>
      </c>
      <c r="O306" s="11" t="str">
        <f t="shared" si="87"/>
        <v/>
      </c>
      <c r="P306" s="11" t="str">
        <f t="shared" si="88"/>
        <v/>
      </c>
      <c r="Q306" s="11">
        <f t="shared" si="89"/>
        <v>82516.01</v>
      </c>
      <c r="R306" s="11" t="str">
        <f t="shared" si="80"/>
        <v/>
      </c>
      <c r="S306" s="11" t="str">
        <f t="shared" si="81"/>
        <v/>
      </c>
      <c r="T306" s="12" t="str">
        <f t="shared" si="82"/>
        <v/>
      </c>
      <c r="U306" s="11">
        <f t="shared" si="90"/>
        <v>82516.01</v>
      </c>
      <c r="V306" s="11">
        <f t="shared" si="91"/>
        <v>0</v>
      </c>
      <c r="W306" s="11">
        <f t="shared" si="92"/>
        <v>0</v>
      </c>
      <c r="X306" s="11">
        <f t="shared" si="93"/>
        <v>0</v>
      </c>
      <c r="Y306" s="11" t="str">
        <f t="shared" si="83"/>
        <v/>
      </c>
      <c r="Z306" s="13">
        <f t="shared" si="94"/>
        <v>46247</v>
      </c>
      <c r="AA306" s="10" t="str">
        <f>IF(OR($AA$116="错误",COUNTIF($G$117:G306,"待修正")&gt;0),"错误","正常")</f>
        <v>正常</v>
      </c>
      <c r="AB306" s="14">
        <f t="shared" si="95"/>
        <v>2.7686</v>
      </c>
    </row>
    <row r="307" ht="23" customHeight="1" spans="1:28">
      <c r="A307" s="15"/>
      <c r="B307" s="16"/>
      <c r="C307" s="17"/>
      <c r="D307" s="18"/>
      <c r="E307" s="19" t="str">
        <f t="shared" si="76"/>
        <v/>
      </c>
      <c r="F307" s="18"/>
      <c r="G307" s="20" t="str">
        <f t="shared" si="77"/>
        <v/>
      </c>
      <c r="H307" s="21" t="str">
        <f t="shared" si="78"/>
        <v/>
      </c>
      <c r="I307" s="10" t="str">
        <f>IF(COUNTA(A307:D307,F307)=0,"",IF(NOT(ISNUMBER(A307)),"缺少有效净值日期",IF(OR(A307&lt;=0,A307&lt;&gt;INT(A307)),"净值日期无效",IF(OR(B307="转换转入",B307="现金分红"),"该类型需实际金额，五项录入不适用",IF(NOT(OR(OR(B307="买入",B307="定投"),B307="卖出",B307="红利再投")),"请选择交易类型",IF(NOT(ISNUMBER(C307)),"缺少成交净值",IF(C307&lt;=0,"成交净值须大于零",IF(NOT(ISNUMBER(D307)),"缺少确认份额",IF(D307&lt;=0,"确认份额须大于零",IF(NOT(ISNUMBER(F307)),"缺少手续费，无费用请填 0",IF(F307&lt;0,"手续费不能为负",IF(AA306="错误","前行待修正",IF(A307&lt;Z306,"日期需按成交顺序递增",IF(AND(B307="红利再投",F307&lt;&gt;0),"红利再投手续费应填 0",IF(AND(B307="红利再投",K306&lt;=0),"红利再投前须有持仓",IF(AND(B307="卖出",D307&gt;K306+0.000001),"卖出份额超过持仓",IF(AND(B307="卖出",F307&gt;=C307*D307),"赎回费不能达到赎回总额",IF(NOT(ISNUMBER(E307)),"自动金额未生成，请检查五项输入",IF(NOT(OR(持仓总览!$C$7="利润优先",持仓总览!$C$7="本金优先")),"请选择卖出分配模式","已计入")))))))))))))))))))</f>
        <v/>
      </c>
      <c r="J307" s="11">
        <f t="shared" si="79"/>
        <v>0</v>
      </c>
      <c r="K307" s="11">
        <f t="shared" si="84"/>
        <v>34284.43</v>
      </c>
      <c r="L307" s="11" t="str">
        <f t="shared" si="85"/>
        <v/>
      </c>
      <c r="M307" s="11" t="str">
        <f t="shared" si="86"/>
        <v/>
      </c>
      <c r="N307" s="11" t="str">
        <f>IF(I307="已计入",IF(AND(B307="卖出",持仓总览!$C$7="本金优先"),MAX(0,E307-Q306),IF(OR(B307="卖出",B307="现金分红"),MIN(E307,M307),0)),"")</f>
        <v/>
      </c>
      <c r="O307" s="11" t="str">
        <f t="shared" si="87"/>
        <v/>
      </c>
      <c r="P307" s="11" t="str">
        <f t="shared" si="88"/>
        <v/>
      </c>
      <c r="Q307" s="11">
        <f t="shared" si="89"/>
        <v>82516.01</v>
      </c>
      <c r="R307" s="11" t="str">
        <f t="shared" si="80"/>
        <v/>
      </c>
      <c r="S307" s="11" t="str">
        <f t="shared" si="81"/>
        <v/>
      </c>
      <c r="T307" s="12" t="str">
        <f t="shared" si="82"/>
        <v/>
      </c>
      <c r="U307" s="11">
        <f t="shared" si="90"/>
        <v>82516.01</v>
      </c>
      <c r="V307" s="11">
        <f t="shared" si="91"/>
        <v>0</v>
      </c>
      <c r="W307" s="11">
        <f t="shared" si="92"/>
        <v>0</v>
      </c>
      <c r="X307" s="11">
        <f t="shared" si="93"/>
        <v>0</v>
      </c>
      <c r="Y307" s="11" t="str">
        <f t="shared" si="83"/>
        <v/>
      </c>
      <c r="Z307" s="13">
        <f t="shared" si="94"/>
        <v>46247</v>
      </c>
      <c r="AA307" s="10" t="str">
        <f>IF(OR($AA$116="错误",COUNTIF($G$117:G307,"待修正")&gt;0),"错误","正常")</f>
        <v>正常</v>
      </c>
      <c r="AB307" s="14">
        <f t="shared" si="95"/>
        <v>2.7686</v>
      </c>
    </row>
    <row r="308" ht="23" customHeight="1" spans="1:28">
      <c r="A308" s="15"/>
      <c r="B308" s="16"/>
      <c r="C308" s="17"/>
      <c r="D308" s="18"/>
      <c r="E308" s="19" t="str">
        <f t="shared" si="76"/>
        <v/>
      </c>
      <c r="F308" s="18"/>
      <c r="G308" s="20" t="str">
        <f t="shared" si="77"/>
        <v/>
      </c>
      <c r="H308" s="21" t="str">
        <f t="shared" si="78"/>
        <v/>
      </c>
      <c r="I308" s="10" t="str">
        <f>IF(COUNTA(A308:D308,F308)=0,"",IF(NOT(ISNUMBER(A308)),"缺少有效净值日期",IF(OR(A308&lt;=0,A308&lt;&gt;INT(A308)),"净值日期无效",IF(OR(B308="转换转入",B308="现金分红"),"该类型需实际金额，五项录入不适用",IF(NOT(OR(OR(B308="买入",B308="定投"),B308="卖出",B308="红利再投")),"请选择交易类型",IF(NOT(ISNUMBER(C308)),"缺少成交净值",IF(C308&lt;=0,"成交净值须大于零",IF(NOT(ISNUMBER(D308)),"缺少确认份额",IF(D308&lt;=0,"确认份额须大于零",IF(NOT(ISNUMBER(F308)),"缺少手续费，无费用请填 0",IF(F308&lt;0,"手续费不能为负",IF(AA307="错误","前行待修正",IF(A308&lt;Z307,"日期需按成交顺序递增",IF(AND(B308="红利再投",F308&lt;&gt;0),"红利再投手续费应填 0",IF(AND(B308="红利再投",K307&lt;=0),"红利再投前须有持仓",IF(AND(B308="卖出",D308&gt;K307+0.000001),"卖出份额超过持仓",IF(AND(B308="卖出",F308&gt;=C308*D308),"赎回费不能达到赎回总额",IF(NOT(ISNUMBER(E308)),"自动金额未生成，请检查五项输入",IF(NOT(OR(持仓总览!$C$7="利润优先",持仓总览!$C$7="本金优先")),"请选择卖出分配模式","已计入")))))))))))))))))))</f>
        <v/>
      </c>
      <c r="J308" s="11">
        <f t="shared" si="79"/>
        <v>0</v>
      </c>
      <c r="K308" s="11">
        <f t="shared" si="84"/>
        <v>34284.43</v>
      </c>
      <c r="L308" s="11" t="str">
        <f t="shared" si="85"/>
        <v/>
      </c>
      <c r="M308" s="11" t="str">
        <f t="shared" si="86"/>
        <v/>
      </c>
      <c r="N308" s="11" t="str">
        <f>IF(I308="已计入",IF(AND(B308="卖出",持仓总览!$C$7="本金优先"),MAX(0,E308-Q307),IF(OR(B308="卖出",B308="现金分红"),MIN(E308,M308),0)),"")</f>
        <v/>
      </c>
      <c r="O308" s="11" t="str">
        <f t="shared" si="87"/>
        <v/>
      </c>
      <c r="P308" s="11" t="str">
        <f t="shared" si="88"/>
        <v/>
      </c>
      <c r="Q308" s="11">
        <f t="shared" si="89"/>
        <v>82516.01</v>
      </c>
      <c r="R308" s="11" t="str">
        <f t="shared" si="80"/>
        <v/>
      </c>
      <c r="S308" s="11" t="str">
        <f t="shared" si="81"/>
        <v/>
      </c>
      <c r="T308" s="12" t="str">
        <f t="shared" si="82"/>
        <v/>
      </c>
      <c r="U308" s="11">
        <f t="shared" si="90"/>
        <v>82516.01</v>
      </c>
      <c r="V308" s="11">
        <f t="shared" si="91"/>
        <v>0</v>
      </c>
      <c r="W308" s="11">
        <f t="shared" si="92"/>
        <v>0</v>
      </c>
      <c r="X308" s="11">
        <f t="shared" si="93"/>
        <v>0</v>
      </c>
      <c r="Y308" s="11" t="str">
        <f t="shared" si="83"/>
        <v/>
      </c>
      <c r="Z308" s="13">
        <f t="shared" si="94"/>
        <v>46247</v>
      </c>
      <c r="AA308" s="10" t="str">
        <f>IF(OR($AA$116="错误",COUNTIF($G$117:G308,"待修正")&gt;0),"错误","正常")</f>
        <v>正常</v>
      </c>
      <c r="AB308" s="14">
        <f t="shared" si="95"/>
        <v>2.7686</v>
      </c>
    </row>
    <row r="309" ht="23" customHeight="1" spans="1:28">
      <c r="A309" s="15"/>
      <c r="B309" s="16"/>
      <c r="C309" s="17"/>
      <c r="D309" s="18"/>
      <c r="E309" s="19" t="str">
        <f t="shared" ref="E309:E372" si="96">IF(AND(ISNUMBER(C309),ISNUMBER(D309),ISNUMBER(F309)),IF(OR(B309="买入",B309="定投"),ROUND(C309*D309+F309,2),IF(B309="卖出",ROUND(C309*D309-F309,2),IF(B309="红利再投",0,""))),"")</f>
        <v/>
      </c>
      <c r="F309" s="18"/>
      <c r="G309" s="20" t="str">
        <f t="shared" ref="G309:G372" si="97">IF(COUNTA(A309:D309,F309)=0,"",IF(I309="已计入","已录入","待修正"))</f>
        <v/>
      </c>
      <c r="H309" s="21" t="str">
        <f t="shared" ref="H309:H372" si="98">IF(COUNTA(A309:D309,F309)=0,"",IF(B309="红利再投","仅增加份额，不增加现金投入","金额由份额、净值和手续费推算"))</f>
        <v/>
      </c>
      <c r="I309" s="10" t="str">
        <f>IF(COUNTA(A309:D309,F309)=0,"",IF(NOT(ISNUMBER(A309)),"缺少有效净值日期",IF(OR(A309&lt;=0,A309&lt;&gt;INT(A309)),"净值日期无效",IF(OR(B309="转换转入",B309="现金分红"),"该类型需实际金额，五项录入不适用",IF(NOT(OR(OR(B309="买入",B309="定投"),B309="卖出",B309="红利再投")),"请选择交易类型",IF(NOT(ISNUMBER(C309)),"缺少成交净值",IF(C309&lt;=0,"成交净值须大于零",IF(NOT(ISNUMBER(D309)),"缺少确认份额",IF(D309&lt;=0,"确认份额须大于零",IF(NOT(ISNUMBER(F309)),"缺少手续费，无费用请填 0",IF(F309&lt;0,"手续费不能为负",IF(AA308="错误","前行待修正",IF(A309&lt;Z308,"日期需按成交顺序递增",IF(AND(B309="红利再投",F309&lt;&gt;0),"红利再投手续费应填 0",IF(AND(B309="红利再投",K308&lt;=0),"红利再投前须有持仓",IF(AND(B309="卖出",D309&gt;K308+0.000001),"卖出份额超过持仓",IF(AND(B309="卖出",F309&gt;=C309*D309),"赎回费不能达到赎回总额",IF(NOT(ISNUMBER(E309)),"自动金额未生成，请检查五项输入",IF(NOT(OR(持仓总览!$C$7="利润优先",持仓总览!$C$7="本金优先")),"请选择卖出分配模式","已计入")))))))))))))))))))</f>
        <v/>
      </c>
      <c r="J309" s="11">
        <f t="shared" si="79"/>
        <v>0</v>
      </c>
      <c r="K309" s="11">
        <f t="shared" si="84"/>
        <v>34284.43</v>
      </c>
      <c r="L309" s="11" t="str">
        <f t="shared" si="85"/>
        <v/>
      </c>
      <c r="M309" s="11" t="str">
        <f t="shared" si="86"/>
        <v/>
      </c>
      <c r="N309" s="11" t="str">
        <f>IF(I309="已计入",IF(AND(B309="卖出",持仓总览!$C$7="本金优先"),MAX(0,E309-Q308),IF(OR(B309="卖出",B309="现金分红"),MIN(E309,M309),0)),"")</f>
        <v/>
      </c>
      <c r="O309" s="11" t="str">
        <f t="shared" si="87"/>
        <v/>
      </c>
      <c r="P309" s="11" t="str">
        <f t="shared" si="88"/>
        <v/>
      </c>
      <c r="Q309" s="11">
        <f t="shared" si="89"/>
        <v>82516.01</v>
      </c>
      <c r="R309" s="11" t="str">
        <f t="shared" si="80"/>
        <v/>
      </c>
      <c r="S309" s="11" t="str">
        <f t="shared" si="81"/>
        <v/>
      </c>
      <c r="T309" s="12" t="str">
        <f t="shared" si="82"/>
        <v/>
      </c>
      <c r="U309" s="11">
        <f t="shared" si="90"/>
        <v>82516.01</v>
      </c>
      <c r="V309" s="11">
        <f t="shared" si="91"/>
        <v>0</v>
      </c>
      <c r="W309" s="11">
        <f t="shared" si="92"/>
        <v>0</v>
      </c>
      <c r="X309" s="11">
        <f t="shared" si="93"/>
        <v>0</v>
      </c>
      <c r="Y309" s="11" t="str">
        <f t="shared" si="83"/>
        <v/>
      </c>
      <c r="Z309" s="13">
        <f t="shared" si="94"/>
        <v>46247</v>
      </c>
      <c r="AA309" s="10" t="str">
        <f>IF(OR($AA$116="错误",COUNTIF($G$117:G309,"待修正")&gt;0),"错误","正常")</f>
        <v>正常</v>
      </c>
      <c r="AB309" s="14">
        <f t="shared" si="95"/>
        <v>2.7686</v>
      </c>
    </row>
    <row r="310" ht="23" customHeight="1" spans="1:28">
      <c r="A310" s="15"/>
      <c r="B310" s="16"/>
      <c r="C310" s="17"/>
      <c r="D310" s="18"/>
      <c r="E310" s="19" t="str">
        <f t="shared" si="96"/>
        <v/>
      </c>
      <c r="F310" s="18"/>
      <c r="G310" s="20" t="str">
        <f t="shared" si="97"/>
        <v/>
      </c>
      <c r="H310" s="21" t="str">
        <f t="shared" si="98"/>
        <v/>
      </c>
      <c r="I310" s="10" t="str">
        <f>IF(COUNTA(A310:D310,F310)=0,"",IF(NOT(ISNUMBER(A310)),"缺少有效净值日期",IF(OR(A310&lt;=0,A310&lt;&gt;INT(A310)),"净值日期无效",IF(OR(B310="转换转入",B310="现金分红"),"该类型需实际金额，五项录入不适用",IF(NOT(OR(OR(B310="买入",B310="定投"),B310="卖出",B310="红利再投")),"请选择交易类型",IF(NOT(ISNUMBER(C310)),"缺少成交净值",IF(C310&lt;=0,"成交净值须大于零",IF(NOT(ISNUMBER(D310)),"缺少确认份额",IF(D310&lt;=0,"确认份额须大于零",IF(NOT(ISNUMBER(F310)),"缺少手续费，无费用请填 0",IF(F310&lt;0,"手续费不能为负",IF(AA309="错误","前行待修正",IF(A310&lt;Z309,"日期需按成交顺序递增",IF(AND(B310="红利再投",F310&lt;&gt;0),"红利再投手续费应填 0",IF(AND(B310="红利再投",K309&lt;=0),"红利再投前须有持仓",IF(AND(B310="卖出",D310&gt;K309+0.000001),"卖出份额超过持仓",IF(AND(B310="卖出",F310&gt;=C310*D310),"赎回费不能达到赎回总额",IF(NOT(ISNUMBER(E310)),"自动金额未生成，请检查五项输入",IF(NOT(OR(持仓总览!$C$7="利润优先",持仓总览!$C$7="本金优先")),"请选择卖出分配模式","已计入")))))))))))))))))))</f>
        <v/>
      </c>
      <c r="J310" s="11">
        <f t="shared" si="79"/>
        <v>0</v>
      </c>
      <c r="K310" s="11">
        <f t="shared" si="84"/>
        <v>34284.43</v>
      </c>
      <c r="L310" s="11" t="str">
        <f t="shared" si="85"/>
        <v/>
      </c>
      <c r="M310" s="11" t="str">
        <f t="shared" si="86"/>
        <v/>
      </c>
      <c r="N310" s="11" t="str">
        <f>IF(I310="已计入",IF(AND(B310="卖出",持仓总览!$C$7="本金优先"),MAX(0,E310-Q309),IF(OR(B310="卖出",B310="现金分红"),MIN(E310,M310),0)),"")</f>
        <v/>
      </c>
      <c r="O310" s="11" t="str">
        <f t="shared" si="87"/>
        <v/>
      </c>
      <c r="P310" s="11" t="str">
        <f t="shared" si="88"/>
        <v/>
      </c>
      <c r="Q310" s="11">
        <f t="shared" si="89"/>
        <v>82516.01</v>
      </c>
      <c r="R310" s="11" t="str">
        <f t="shared" si="80"/>
        <v/>
      </c>
      <c r="S310" s="11" t="str">
        <f t="shared" si="81"/>
        <v/>
      </c>
      <c r="T310" s="12" t="str">
        <f t="shared" si="82"/>
        <v/>
      </c>
      <c r="U310" s="11">
        <f t="shared" si="90"/>
        <v>82516.01</v>
      </c>
      <c r="V310" s="11">
        <f t="shared" si="91"/>
        <v>0</v>
      </c>
      <c r="W310" s="11">
        <f t="shared" si="92"/>
        <v>0</v>
      </c>
      <c r="X310" s="11">
        <f t="shared" si="93"/>
        <v>0</v>
      </c>
      <c r="Y310" s="11" t="str">
        <f t="shared" si="83"/>
        <v/>
      </c>
      <c r="Z310" s="13">
        <f t="shared" si="94"/>
        <v>46247</v>
      </c>
      <c r="AA310" s="10" t="str">
        <f>IF(OR($AA$116="错误",COUNTIF($G$117:G310,"待修正")&gt;0),"错误","正常")</f>
        <v>正常</v>
      </c>
      <c r="AB310" s="14">
        <f t="shared" si="95"/>
        <v>2.7686</v>
      </c>
    </row>
    <row r="311" ht="23" customHeight="1" spans="1:28">
      <c r="A311" s="15"/>
      <c r="B311" s="16"/>
      <c r="C311" s="17"/>
      <c r="D311" s="18"/>
      <c r="E311" s="19" t="str">
        <f t="shared" si="96"/>
        <v/>
      </c>
      <c r="F311" s="18"/>
      <c r="G311" s="20" t="str">
        <f t="shared" si="97"/>
        <v/>
      </c>
      <c r="H311" s="21" t="str">
        <f t="shared" si="98"/>
        <v/>
      </c>
      <c r="I311" s="10" t="str">
        <f>IF(COUNTA(A311:D311,F311)=0,"",IF(NOT(ISNUMBER(A311)),"缺少有效净值日期",IF(OR(A311&lt;=0,A311&lt;&gt;INT(A311)),"净值日期无效",IF(OR(B311="转换转入",B311="现金分红"),"该类型需实际金额，五项录入不适用",IF(NOT(OR(OR(B311="买入",B311="定投"),B311="卖出",B311="红利再投")),"请选择交易类型",IF(NOT(ISNUMBER(C311)),"缺少成交净值",IF(C311&lt;=0,"成交净值须大于零",IF(NOT(ISNUMBER(D311)),"缺少确认份额",IF(D311&lt;=0,"确认份额须大于零",IF(NOT(ISNUMBER(F311)),"缺少手续费，无费用请填 0",IF(F311&lt;0,"手续费不能为负",IF(AA310="错误","前行待修正",IF(A311&lt;Z310,"日期需按成交顺序递增",IF(AND(B311="红利再投",F311&lt;&gt;0),"红利再投手续费应填 0",IF(AND(B311="红利再投",K310&lt;=0),"红利再投前须有持仓",IF(AND(B311="卖出",D311&gt;K310+0.000001),"卖出份额超过持仓",IF(AND(B311="卖出",F311&gt;=C311*D311),"赎回费不能达到赎回总额",IF(NOT(ISNUMBER(E311)),"自动金额未生成，请检查五项输入",IF(NOT(OR(持仓总览!$C$7="利润优先",持仓总览!$C$7="本金优先")),"请选择卖出分配模式","已计入")))))))))))))))))))</f>
        <v/>
      </c>
      <c r="J311" s="11">
        <f t="shared" si="79"/>
        <v>0</v>
      </c>
      <c r="K311" s="11">
        <f t="shared" si="84"/>
        <v>34284.43</v>
      </c>
      <c r="L311" s="11" t="str">
        <f t="shared" si="85"/>
        <v/>
      </c>
      <c r="M311" s="11" t="str">
        <f t="shared" si="86"/>
        <v/>
      </c>
      <c r="N311" s="11" t="str">
        <f>IF(I311="已计入",IF(AND(B311="卖出",持仓总览!$C$7="本金优先"),MAX(0,E311-Q310),IF(OR(B311="卖出",B311="现金分红"),MIN(E311,M311),0)),"")</f>
        <v/>
      </c>
      <c r="O311" s="11" t="str">
        <f t="shared" si="87"/>
        <v/>
      </c>
      <c r="P311" s="11" t="str">
        <f t="shared" si="88"/>
        <v/>
      </c>
      <c r="Q311" s="11">
        <f t="shared" si="89"/>
        <v>82516.01</v>
      </c>
      <c r="R311" s="11" t="str">
        <f t="shared" si="80"/>
        <v/>
      </c>
      <c r="S311" s="11" t="str">
        <f t="shared" si="81"/>
        <v/>
      </c>
      <c r="T311" s="12" t="str">
        <f t="shared" si="82"/>
        <v/>
      </c>
      <c r="U311" s="11">
        <f t="shared" si="90"/>
        <v>82516.01</v>
      </c>
      <c r="V311" s="11">
        <f t="shared" si="91"/>
        <v>0</v>
      </c>
      <c r="W311" s="11">
        <f t="shared" si="92"/>
        <v>0</v>
      </c>
      <c r="X311" s="11">
        <f t="shared" si="93"/>
        <v>0</v>
      </c>
      <c r="Y311" s="11" t="str">
        <f t="shared" si="83"/>
        <v/>
      </c>
      <c r="Z311" s="13">
        <f t="shared" si="94"/>
        <v>46247</v>
      </c>
      <c r="AA311" s="10" t="str">
        <f>IF(OR($AA$116="错误",COUNTIF($G$117:G311,"待修正")&gt;0),"错误","正常")</f>
        <v>正常</v>
      </c>
      <c r="AB311" s="14">
        <f t="shared" si="95"/>
        <v>2.7686</v>
      </c>
    </row>
    <row r="312" ht="23" customHeight="1" spans="1:28">
      <c r="A312" s="15"/>
      <c r="B312" s="16"/>
      <c r="C312" s="17"/>
      <c r="D312" s="18"/>
      <c r="E312" s="19" t="str">
        <f t="shared" si="96"/>
        <v/>
      </c>
      <c r="F312" s="18"/>
      <c r="G312" s="20" t="str">
        <f t="shared" si="97"/>
        <v/>
      </c>
      <c r="H312" s="21" t="str">
        <f t="shared" si="98"/>
        <v/>
      </c>
      <c r="I312" s="10" t="str">
        <f>IF(COUNTA(A312:D312,F312)=0,"",IF(NOT(ISNUMBER(A312)),"缺少有效净值日期",IF(OR(A312&lt;=0,A312&lt;&gt;INT(A312)),"净值日期无效",IF(OR(B312="转换转入",B312="现金分红"),"该类型需实际金额，五项录入不适用",IF(NOT(OR(OR(B312="买入",B312="定投"),B312="卖出",B312="红利再投")),"请选择交易类型",IF(NOT(ISNUMBER(C312)),"缺少成交净值",IF(C312&lt;=0,"成交净值须大于零",IF(NOT(ISNUMBER(D312)),"缺少确认份额",IF(D312&lt;=0,"确认份额须大于零",IF(NOT(ISNUMBER(F312)),"缺少手续费，无费用请填 0",IF(F312&lt;0,"手续费不能为负",IF(AA311="错误","前行待修正",IF(A312&lt;Z311,"日期需按成交顺序递增",IF(AND(B312="红利再投",F312&lt;&gt;0),"红利再投手续费应填 0",IF(AND(B312="红利再投",K311&lt;=0),"红利再投前须有持仓",IF(AND(B312="卖出",D312&gt;K311+0.000001),"卖出份额超过持仓",IF(AND(B312="卖出",F312&gt;=C312*D312),"赎回费不能达到赎回总额",IF(NOT(ISNUMBER(E312)),"自动金额未生成，请检查五项输入",IF(NOT(OR(持仓总览!$C$7="利润优先",持仓总览!$C$7="本金优先")),"请选择卖出分配模式","已计入")))))))))))))))))))</f>
        <v/>
      </c>
      <c r="J312" s="11">
        <f t="shared" si="79"/>
        <v>0</v>
      </c>
      <c r="K312" s="11">
        <f t="shared" si="84"/>
        <v>34284.43</v>
      </c>
      <c r="L312" s="11" t="str">
        <f t="shared" si="85"/>
        <v/>
      </c>
      <c r="M312" s="11" t="str">
        <f t="shared" si="86"/>
        <v/>
      </c>
      <c r="N312" s="11" t="str">
        <f>IF(I312="已计入",IF(AND(B312="卖出",持仓总览!$C$7="本金优先"),MAX(0,E312-Q311),IF(OR(B312="卖出",B312="现金分红"),MIN(E312,M312),0)),"")</f>
        <v/>
      </c>
      <c r="O312" s="11" t="str">
        <f t="shared" si="87"/>
        <v/>
      </c>
      <c r="P312" s="11" t="str">
        <f t="shared" si="88"/>
        <v/>
      </c>
      <c r="Q312" s="11">
        <f t="shared" si="89"/>
        <v>82516.01</v>
      </c>
      <c r="R312" s="11" t="str">
        <f t="shared" si="80"/>
        <v/>
      </c>
      <c r="S312" s="11" t="str">
        <f t="shared" si="81"/>
        <v/>
      </c>
      <c r="T312" s="12" t="str">
        <f t="shared" si="82"/>
        <v/>
      </c>
      <c r="U312" s="11">
        <f t="shared" si="90"/>
        <v>82516.01</v>
      </c>
      <c r="V312" s="11">
        <f t="shared" si="91"/>
        <v>0</v>
      </c>
      <c r="W312" s="11">
        <f t="shared" si="92"/>
        <v>0</v>
      </c>
      <c r="X312" s="11">
        <f t="shared" si="93"/>
        <v>0</v>
      </c>
      <c r="Y312" s="11" t="str">
        <f t="shared" si="83"/>
        <v/>
      </c>
      <c r="Z312" s="13">
        <f t="shared" si="94"/>
        <v>46247</v>
      </c>
      <c r="AA312" s="10" t="str">
        <f>IF(OR($AA$116="错误",COUNTIF($G$117:G312,"待修正")&gt;0),"错误","正常")</f>
        <v>正常</v>
      </c>
      <c r="AB312" s="14">
        <f t="shared" si="95"/>
        <v>2.7686</v>
      </c>
    </row>
    <row r="313" ht="23" customHeight="1" spans="1:28">
      <c r="A313" s="15"/>
      <c r="B313" s="16"/>
      <c r="C313" s="17"/>
      <c r="D313" s="18"/>
      <c r="E313" s="19" t="str">
        <f t="shared" si="96"/>
        <v/>
      </c>
      <c r="F313" s="18"/>
      <c r="G313" s="20" t="str">
        <f t="shared" si="97"/>
        <v/>
      </c>
      <c r="H313" s="21" t="str">
        <f t="shared" si="98"/>
        <v/>
      </c>
      <c r="I313" s="10" t="str">
        <f>IF(COUNTA(A313:D313,F313)=0,"",IF(NOT(ISNUMBER(A313)),"缺少有效净值日期",IF(OR(A313&lt;=0,A313&lt;&gt;INT(A313)),"净值日期无效",IF(OR(B313="转换转入",B313="现金分红"),"该类型需实际金额，五项录入不适用",IF(NOT(OR(OR(B313="买入",B313="定投"),B313="卖出",B313="红利再投")),"请选择交易类型",IF(NOT(ISNUMBER(C313)),"缺少成交净值",IF(C313&lt;=0,"成交净值须大于零",IF(NOT(ISNUMBER(D313)),"缺少确认份额",IF(D313&lt;=0,"确认份额须大于零",IF(NOT(ISNUMBER(F313)),"缺少手续费，无费用请填 0",IF(F313&lt;0,"手续费不能为负",IF(AA312="错误","前行待修正",IF(A313&lt;Z312,"日期需按成交顺序递增",IF(AND(B313="红利再投",F313&lt;&gt;0),"红利再投手续费应填 0",IF(AND(B313="红利再投",K312&lt;=0),"红利再投前须有持仓",IF(AND(B313="卖出",D313&gt;K312+0.000001),"卖出份额超过持仓",IF(AND(B313="卖出",F313&gt;=C313*D313),"赎回费不能达到赎回总额",IF(NOT(ISNUMBER(E313)),"自动金额未生成，请检查五项输入",IF(NOT(OR(持仓总览!$C$7="利润优先",持仓总览!$C$7="本金优先")),"请选择卖出分配模式","已计入")))))))))))))))))))</f>
        <v/>
      </c>
      <c r="J313" s="11">
        <f t="shared" si="79"/>
        <v>0</v>
      </c>
      <c r="K313" s="11">
        <f t="shared" si="84"/>
        <v>34284.43</v>
      </c>
      <c r="L313" s="11" t="str">
        <f t="shared" si="85"/>
        <v/>
      </c>
      <c r="M313" s="11" t="str">
        <f t="shared" si="86"/>
        <v/>
      </c>
      <c r="N313" s="11" t="str">
        <f>IF(I313="已计入",IF(AND(B313="卖出",持仓总览!$C$7="本金优先"),MAX(0,E313-Q312),IF(OR(B313="卖出",B313="现金分红"),MIN(E313,M313),0)),"")</f>
        <v/>
      </c>
      <c r="O313" s="11" t="str">
        <f t="shared" si="87"/>
        <v/>
      </c>
      <c r="P313" s="11" t="str">
        <f t="shared" si="88"/>
        <v/>
      </c>
      <c r="Q313" s="11">
        <f t="shared" si="89"/>
        <v>82516.01</v>
      </c>
      <c r="R313" s="11" t="str">
        <f t="shared" si="80"/>
        <v/>
      </c>
      <c r="S313" s="11" t="str">
        <f t="shared" si="81"/>
        <v/>
      </c>
      <c r="T313" s="12" t="str">
        <f t="shared" si="82"/>
        <v/>
      </c>
      <c r="U313" s="11">
        <f t="shared" si="90"/>
        <v>82516.01</v>
      </c>
      <c r="V313" s="11">
        <f t="shared" si="91"/>
        <v>0</v>
      </c>
      <c r="W313" s="11">
        <f t="shared" si="92"/>
        <v>0</v>
      </c>
      <c r="X313" s="11">
        <f t="shared" si="93"/>
        <v>0</v>
      </c>
      <c r="Y313" s="11" t="str">
        <f t="shared" si="83"/>
        <v/>
      </c>
      <c r="Z313" s="13">
        <f t="shared" si="94"/>
        <v>46247</v>
      </c>
      <c r="AA313" s="10" t="str">
        <f>IF(OR($AA$116="错误",COUNTIF($G$117:G313,"待修正")&gt;0),"错误","正常")</f>
        <v>正常</v>
      </c>
      <c r="AB313" s="14">
        <f t="shared" si="95"/>
        <v>2.7686</v>
      </c>
    </row>
    <row r="314" ht="23" customHeight="1" spans="1:28">
      <c r="A314" s="15"/>
      <c r="B314" s="16"/>
      <c r="C314" s="17"/>
      <c r="D314" s="18"/>
      <c r="E314" s="19" t="str">
        <f t="shared" si="96"/>
        <v/>
      </c>
      <c r="F314" s="18"/>
      <c r="G314" s="20" t="str">
        <f t="shared" si="97"/>
        <v/>
      </c>
      <c r="H314" s="21" t="str">
        <f t="shared" si="98"/>
        <v/>
      </c>
      <c r="I314" s="10" t="str">
        <f>IF(COUNTA(A314:D314,F314)=0,"",IF(NOT(ISNUMBER(A314)),"缺少有效净值日期",IF(OR(A314&lt;=0,A314&lt;&gt;INT(A314)),"净值日期无效",IF(OR(B314="转换转入",B314="现金分红"),"该类型需实际金额，五项录入不适用",IF(NOT(OR(OR(B314="买入",B314="定投"),B314="卖出",B314="红利再投")),"请选择交易类型",IF(NOT(ISNUMBER(C314)),"缺少成交净值",IF(C314&lt;=0,"成交净值须大于零",IF(NOT(ISNUMBER(D314)),"缺少确认份额",IF(D314&lt;=0,"确认份额须大于零",IF(NOT(ISNUMBER(F314)),"缺少手续费，无费用请填 0",IF(F314&lt;0,"手续费不能为负",IF(AA313="错误","前行待修正",IF(A314&lt;Z313,"日期需按成交顺序递增",IF(AND(B314="红利再投",F314&lt;&gt;0),"红利再投手续费应填 0",IF(AND(B314="红利再投",K313&lt;=0),"红利再投前须有持仓",IF(AND(B314="卖出",D314&gt;K313+0.000001),"卖出份额超过持仓",IF(AND(B314="卖出",F314&gt;=C314*D314),"赎回费不能达到赎回总额",IF(NOT(ISNUMBER(E314)),"自动金额未生成，请检查五项输入",IF(NOT(OR(持仓总览!$C$7="利润优先",持仓总览!$C$7="本金优先")),"请选择卖出分配模式","已计入")))))))))))))))))))</f>
        <v/>
      </c>
      <c r="J314" s="11">
        <f t="shared" si="79"/>
        <v>0</v>
      </c>
      <c r="K314" s="11">
        <f t="shared" si="84"/>
        <v>34284.43</v>
      </c>
      <c r="L314" s="11" t="str">
        <f t="shared" si="85"/>
        <v/>
      </c>
      <c r="M314" s="11" t="str">
        <f t="shared" si="86"/>
        <v/>
      </c>
      <c r="N314" s="11" t="str">
        <f>IF(I314="已计入",IF(AND(B314="卖出",持仓总览!$C$7="本金优先"),MAX(0,E314-Q313),IF(OR(B314="卖出",B314="现金分红"),MIN(E314,M314),0)),"")</f>
        <v/>
      </c>
      <c r="O314" s="11" t="str">
        <f t="shared" si="87"/>
        <v/>
      </c>
      <c r="P314" s="11" t="str">
        <f t="shared" si="88"/>
        <v/>
      </c>
      <c r="Q314" s="11">
        <f t="shared" si="89"/>
        <v>82516.01</v>
      </c>
      <c r="R314" s="11" t="str">
        <f t="shared" si="80"/>
        <v/>
      </c>
      <c r="S314" s="11" t="str">
        <f t="shared" si="81"/>
        <v/>
      </c>
      <c r="T314" s="12" t="str">
        <f t="shared" si="82"/>
        <v/>
      </c>
      <c r="U314" s="11">
        <f t="shared" si="90"/>
        <v>82516.01</v>
      </c>
      <c r="V314" s="11">
        <f t="shared" si="91"/>
        <v>0</v>
      </c>
      <c r="W314" s="11">
        <f t="shared" si="92"/>
        <v>0</v>
      </c>
      <c r="X314" s="11">
        <f t="shared" si="93"/>
        <v>0</v>
      </c>
      <c r="Y314" s="11" t="str">
        <f t="shared" si="83"/>
        <v/>
      </c>
      <c r="Z314" s="13">
        <f t="shared" si="94"/>
        <v>46247</v>
      </c>
      <c r="AA314" s="10" t="str">
        <f>IF(OR($AA$116="错误",COUNTIF($G$117:G314,"待修正")&gt;0),"错误","正常")</f>
        <v>正常</v>
      </c>
      <c r="AB314" s="14">
        <f t="shared" si="95"/>
        <v>2.7686</v>
      </c>
    </row>
    <row r="315" ht="23" customHeight="1" spans="1:28">
      <c r="A315" s="15"/>
      <c r="B315" s="16"/>
      <c r="C315" s="17"/>
      <c r="D315" s="18"/>
      <c r="E315" s="19" t="str">
        <f t="shared" si="96"/>
        <v/>
      </c>
      <c r="F315" s="18"/>
      <c r="G315" s="20" t="str">
        <f t="shared" si="97"/>
        <v/>
      </c>
      <c r="H315" s="21" t="str">
        <f t="shared" si="98"/>
        <v/>
      </c>
      <c r="I315" s="10" t="str">
        <f>IF(COUNTA(A315:D315,F315)=0,"",IF(NOT(ISNUMBER(A315)),"缺少有效净值日期",IF(OR(A315&lt;=0,A315&lt;&gt;INT(A315)),"净值日期无效",IF(OR(B315="转换转入",B315="现金分红"),"该类型需实际金额，五项录入不适用",IF(NOT(OR(OR(B315="买入",B315="定投"),B315="卖出",B315="红利再投")),"请选择交易类型",IF(NOT(ISNUMBER(C315)),"缺少成交净值",IF(C315&lt;=0,"成交净值须大于零",IF(NOT(ISNUMBER(D315)),"缺少确认份额",IF(D315&lt;=0,"确认份额须大于零",IF(NOT(ISNUMBER(F315)),"缺少手续费，无费用请填 0",IF(F315&lt;0,"手续费不能为负",IF(AA314="错误","前行待修正",IF(A315&lt;Z314,"日期需按成交顺序递增",IF(AND(B315="红利再投",F315&lt;&gt;0),"红利再投手续费应填 0",IF(AND(B315="红利再投",K314&lt;=0),"红利再投前须有持仓",IF(AND(B315="卖出",D315&gt;K314+0.000001),"卖出份额超过持仓",IF(AND(B315="卖出",F315&gt;=C315*D315),"赎回费不能达到赎回总额",IF(NOT(ISNUMBER(E315)),"自动金额未生成，请检查五项输入",IF(NOT(OR(持仓总览!$C$7="利润优先",持仓总览!$C$7="本金优先")),"请选择卖出分配模式","已计入")))))))))))))))))))</f>
        <v/>
      </c>
      <c r="J315" s="11">
        <f t="shared" si="79"/>
        <v>0</v>
      </c>
      <c r="K315" s="11">
        <f t="shared" si="84"/>
        <v>34284.43</v>
      </c>
      <c r="L315" s="11" t="str">
        <f t="shared" si="85"/>
        <v/>
      </c>
      <c r="M315" s="11" t="str">
        <f t="shared" si="86"/>
        <v/>
      </c>
      <c r="N315" s="11" t="str">
        <f>IF(I315="已计入",IF(AND(B315="卖出",持仓总览!$C$7="本金优先"),MAX(0,E315-Q314),IF(OR(B315="卖出",B315="现金分红"),MIN(E315,M315),0)),"")</f>
        <v/>
      </c>
      <c r="O315" s="11" t="str">
        <f t="shared" si="87"/>
        <v/>
      </c>
      <c r="P315" s="11" t="str">
        <f t="shared" si="88"/>
        <v/>
      </c>
      <c r="Q315" s="11">
        <f t="shared" si="89"/>
        <v>82516.01</v>
      </c>
      <c r="R315" s="11" t="str">
        <f t="shared" si="80"/>
        <v/>
      </c>
      <c r="S315" s="11" t="str">
        <f t="shared" si="81"/>
        <v/>
      </c>
      <c r="T315" s="12" t="str">
        <f t="shared" si="82"/>
        <v/>
      </c>
      <c r="U315" s="11">
        <f t="shared" si="90"/>
        <v>82516.01</v>
      </c>
      <c r="V315" s="11">
        <f t="shared" si="91"/>
        <v>0</v>
      </c>
      <c r="W315" s="11">
        <f t="shared" si="92"/>
        <v>0</v>
      </c>
      <c r="X315" s="11">
        <f t="shared" si="93"/>
        <v>0</v>
      </c>
      <c r="Y315" s="11" t="str">
        <f t="shared" si="83"/>
        <v/>
      </c>
      <c r="Z315" s="13">
        <f t="shared" si="94"/>
        <v>46247</v>
      </c>
      <c r="AA315" s="10" t="str">
        <f>IF(OR($AA$116="错误",COUNTIF($G$117:G315,"待修正")&gt;0),"错误","正常")</f>
        <v>正常</v>
      </c>
      <c r="AB315" s="14">
        <f t="shared" si="95"/>
        <v>2.7686</v>
      </c>
    </row>
    <row r="316" ht="23" customHeight="1" spans="1:28">
      <c r="A316" s="15"/>
      <c r="B316" s="16"/>
      <c r="C316" s="17"/>
      <c r="D316" s="18"/>
      <c r="E316" s="19" t="str">
        <f t="shared" si="96"/>
        <v/>
      </c>
      <c r="F316" s="18"/>
      <c r="G316" s="20" t="str">
        <f t="shared" si="97"/>
        <v/>
      </c>
      <c r="H316" s="21" t="str">
        <f t="shared" si="98"/>
        <v/>
      </c>
      <c r="I316" s="10" t="str">
        <f>IF(COUNTA(A316:D316,F316)=0,"",IF(NOT(ISNUMBER(A316)),"缺少有效净值日期",IF(OR(A316&lt;=0,A316&lt;&gt;INT(A316)),"净值日期无效",IF(OR(B316="转换转入",B316="现金分红"),"该类型需实际金额，五项录入不适用",IF(NOT(OR(OR(B316="买入",B316="定投"),B316="卖出",B316="红利再投")),"请选择交易类型",IF(NOT(ISNUMBER(C316)),"缺少成交净值",IF(C316&lt;=0,"成交净值须大于零",IF(NOT(ISNUMBER(D316)),"缺少确认份额",IF(D316&lt;=0,"确认份额须大于零",IF(NOT(ISNUMBER(F316)),"缺少手续费，无费用请填 0",IF(F316&lt;0,"手续费不能为负",IF(AA315="错误","前行待修正",IF(A316&lt;Z315,"日期需按成交顺序递增",IF(AND(B316="红利再投",F316&lt;&gt;0),"红利再投手续费应填 0",IF(AND(B316="红利再投",K315&lt;=0),"红利再投前须有持仓",IF(AND(B316="卖出",D316&gt;K315+0.000001),"卖出份额超过持仓",IF(AND(B316="卖出",F316&gt;=C316*D316),"赎回费不能达到赎回总额",IF(NOT(ISNUMBER(E316)),"自动金额未生成，请检查五项输入",IF(NOT(OR(持仓总览!$C$7="利润优先",持仓总览!$C$7="本金优先")),"请选择卖出分配模式","已计入")))))))))))))))))))</f>
        <v/>
      </c>
      <c r="J316" s="11">
        <f t="shared" si="79"/>
        <v>0</v>
      </c>
      <c r="K316" s="11">
        <f t="shared" si="84"/>
        <v>34284.43</v>
      </c>
      <c r="L316" s="11" t="str">
        <f t="shared" si="85"/>
        <v/>
      </c>
      <c r="M316" s="11" t="str">
        <f t="shared" si="86"/>
        <v/>
      </c>
      <c r="N316" s="11" t="str">
        <f>IF(I316="已计入",IF(AND(B316="卖出",持仓总览!$C$7="本金优先"),MAX(0,E316-Q315),IF(OR(B316="卖出",B316="现金分红"),MIN(E316,M316),0)),"")</f>
        <v/>
      </c>
      <c r="O316" s="11" t="str">
        <f t="shared" si="87"/>
        <v/>
      </c>
      <c r="P316" s="11" t="str">
        <f t="shared" si="88"/>
        <v/>
      </c>
      <c r="Q316" s="11">
        <f t="shared" si="89"/>
        <v>82516.01</v>
      </c>
      <c r="R316" s="11" t="str">
        <f t="shared" si="80"/>
        <v/>
      </c>
      <c r="S316" s="11" t="str">
        <f t="shared" si="81"/>
        <v/>
      </c>
      <c r="T316" s="12" t="str">
        <f t="shared" si="82"/>
        <v/>
      </c>
      <c r="U316" s="11">
        <f t="shared" si="90"/>
        <v>82516.01</v>
      </c>
      <c r="V316" s="11">
        <f t="shared" si="91"/>
        <v>0</v>
      </c>
      <c r="W316" s="11">
        <f t="shared" si="92"/>
        <v>0</v>
      </c>
      <c r="X316" s="11">
        <f t="shared" si="93"/>
        <v>0</v>
      </c>
      <c r="Y316" s="11" t="str">
        <f t="shared" si="83"/>
        <v/>
      </c>
      <c r="Z316" s="13">
        <f t="shared" si="94"/>
        <v>46247</v>
      </c>
      <c r="AA316" s="10" t="str">
        <f>IF(OR($AA$116="错误",COUNTIF($G$117:G316,"待修正")&gt;0),"错误","正常")</f>
        <v>正常</v>
      </c>
      <c r="AB316" s="14">
        <f t="shared" si="95"/>
        <v>2.7686</v>
      </c>
    </row>
    <row r="317" ht="23" customHeight="1" spans="1:28">
      <c r="A317" s="15"/>
      <c r="B317" s="16"/>
      <c r="C317" s="17"/>
      <c r="D317" s="18"/>
      <c r="E317" s="19" t="str">
        <f t="shared" si="96"/>
        <v/>
      </c>
      <c r="F317" s="18"/>
      <c r="G317" s="20" t="str">
        <f t="shared" si="97"/>
        <v/>
      </c>
      <c r="H317" s="21" t="str">
        <f t="shared" si="98"/>
        <v/>
      </c>
      <c r="I317" s="10" t="str">
        <f>IF(COUNTA(A317:D317,F317)=0,"",IF(NOT(ISNUMBER(A317)),"缺少有效净值日期",IF(OR(A317&lt;=0,A317&lt;&gt;INT(A317)),"净值日期无效",IF(OR(B317="转换转入",B317="现金分红"),"该类型需实际金额，五项录入不适用",IF(NOT(OR(OR(B317="买入",B317="定投"),B317="卖出",B317="红利再投")),"请选择交易类型",IF(NOT(ISNUMBER(C317)),"缺少成交净值",IF(C317&lt;=0,"成交净值须大于零",IF(NOT(ISNUMBER(D317)),"缺少确认份额",IF(D317&lt;=0,"确认份额须大于零",IF(NOT(ISNUMBER(F317)),"缺少手续费，无费用请填 0",IF(F317&lt;0,"手续费不能为负",IF(AA316="错误","前行待修正",IF(A317&lt;Z316,"日期需按成交顺序递增",IF(AND(B317="红利再投",F317&lt;&gt;0),"红利再投手续费应填 0",IF(AND(B317="红利再投",K316&lt;=0),"红利再投前须有持仓",IF(AND(B317="卖出",D317&gt;K316+0.000001),"卖出份额超过持仓",IF(AND(B317="卖出",F317&gt;=C317*D317),"赎回费不能达到赎回总额",IF(NOT(ISNUMBER(E317)),"自动金额未生成，请检查五项输入",IF(NOT(OR(持仓总览!$C$7="利润优先",持仓总览!$C$7="本金优先")),"请选择卖出分配模式","已计入")))))))))))))))))))</f>
        <v/>
      </c>
      <c r="J317" s="11">
        <f t="shared" si="79"/>
        <v>0</v>
      </c>
      <c r="K317" s="11">
        <f t="shared" si="84"/>
        <v>34284.43</v>
      </c>
      <c r="L317" s="11" t="str">
        <f t="shared" si="85"/>
        <v/>
      </c>
      <c r="M317" s="11" t="str">
        <f t="shared" si="86"/>
        <v/>
      </c>
      <c r="N317" s="11" t="str">
        <f>IF(I317="已计入",IF(AND(B317="卖出",持仓总览!$C$7="本金优先"),MAX(0,E317-Q316),IF(OR(B317="卖出",B317="现金分红"),MIN(E317,M317),0)),"")</f>
        <v/>
      </c>
      <c r="O317" s="11" t="str">
        <f t="shared" si="87"/>
        <v/>
      </c>
      <c r="P317" s="11" t="str">
        <f t="shared" si="88"/>
        <v/>
      </c>
      <c r="Q317" s="11">
        <f t="shared" si="89"/>
        <v>82516.01</v>
      </c>
      <c r="R317" s="11" t="str">
        <f t="shared" si="80"/>
        <v/>
      </c>
      <c r="S317" s="11" t="str">
        <f t="shared" si="81"/>
        <v/>
      </c>
      <c r="T317" s="12" t="str">
        <f t="shared" si="82"/>
        <v/>
      </c>
      <c r="U317" s="11">
        <f t="shared" si="90"/>
        <v>82516.01</v>
      </c>
      <c r="V317" s="11">
        <f t="shared" si="91"/>
        <v>0</v>
      </c>
      <c r="W317" s="11">
        <f t="shared" si="92"/>
        <v>0</v>
      </c>
      <c r="X317" s="11">
        <f t="shared" si="93"/>
        <v>0</v>
      </c>
      <c r="Y317" s="11" t="str">
        <f t="shared" si="83"/>
        <v/>
      </c>
      <c r="Z317" s="13">
        <f t="shared" si="94"/>
        <v>46247</v>
      </c>
      <c r="AA317" s="10" t="str">
        <f>IF(OR($AA$116="错误",COUNTIF($G$117:G317,"待修正")&gt;0),"错误","正常")</f>
        <v>正常</v>
      </c>
      <c r="AB317" s="14">
        <f t="shared" si="95"/>
        <v>2.7686</v>
      </c>
    </row>
    <row r="318" ht="23" customHeight="1" spans="1:28">
      <c r="A318" s="15"/>
      <c r="B318" s="16"/>
      <c r="C318" s="17"/>
      <c r="D318" s="18"/>
      <c r="E318" s="19" t="str">
        <f t="shared" si="96"/>
        <v/>
      </c>
      <c r="F318" s="18"/>
      <c r="G318" s="20" t="str">
        <f t="shared" si="97"/>
        <v/>
      </c>
      <c r="H318" s="21" t="str">
        <f t="shared" si="98"/>
        <v/>
      </c>
      <c r="I318" s="10" t="str">
        <f>IF(COUNTA(A318:D318,F318)=0,"",IF(NOT(ISNUMBER(A318)),"缺少有效净值日期",IF(OR(A318&lt;=0,A318&lt;&gt;INT(A318)),"净值日期无效",IF(OR(B318="转换转入",B318="现金分红"),"该类型需实际金额，五项录入不适用",IF(NOT(OR(OR(B318="买入",B318="定投"),B318="卖出",B318="红利再投")),"请选择交易类型",IF(NOT(ISNUMBER(C318)),"缺少成交净值",IF(C318&lt;=0,"成交净值须大于零",IF(NOT(ISNUMBER(D318)),"缺少确认份额",IF(D318&lt;=0,"确认份额须大于零",IF(NOT(ISNUMBER(F318)),"缺少手续费，无费用请填 0",IF(F318&lt;0,"手续费不能为负",IF(AA317="错误","前行待修正",IF(A318&lt;Z317,"日期需按成交顺序递增",IF(AND(B318="红利再投",F318&lt;&gt;0),"红利再投手续费应填 0",IF(AND(B318="红利再投",K317&lt;=0),"红利再投前须有持仓",IF(AND(B318="卖出",D318&gt;K317+0.000001),"卖出份额超过持仓",IF(AND(B318="卖出",F318&gt;=C318*D318),"赎回费不能达到赎回总额",IF(NOT(ISNUMBER(E318)),"自动金额未生成，请检查五项输入",IF(NOT(OR(持仓总览!$C$7="利润优先",持仓总览!$C$7="本金优先")),"请选择卖出分配模式","已计入")))))))))))))))))))</f>
        <v/>
      </c>
      <c r="J318" s="11">
        <f t="shared" si="79"/>
        <v>0</v>
      </c>
      <c r="K318" s="11">
        <f t="shared" si="84"/>
        <v>34284.43</v>
      </c>
      <c r="L318" s="11" t="str">
        <f t="shared" si="85"/>
        <v/>
      </c>
      <c r="M318" s="11" t="str">
        <f t="shared" si="86"/>
        <v/>
      </c>
      <c r="N318" s="11" t="str">
        <f>IF(I318="已计入",IF(AND(B318="卖出",持仓总览!$C$7="本金优先"),MAX(0,E318-Q317),IF(OR(B318="卖出",B318="现金分红"),MIN(E318,M318),0)),"")</f>
        <v/>
      </c>
      <c r="O318" s="11" t="str">
        <f t="shared" si="87"/>
        <v/>
      </c>
      <c r="P318" s="11" t="str">
        <f t="shared" si="88"/>
        <v/>
      </c>
      <c r="Q318" s="11">
        <f t="shared" si="89"/>
        <v>82516.01</v>
      </c>
      <c r="R318" s="11" t="str">
        <f t="shared" si="80"/>
        <v/>
      </c>
      <c r="S318" s="11" t="str">
        <f t="shared" si="81"/>
        <v/>
      </c>
      <c r="T318" s="12" t="str">
        <f t="shared" si="82"/>
        <v/>
      </c>
      <c r="U318" s="11">
        <f t="shared" si="90"/>
        <v>82516.01</v>
      </c>
      <c r="V318" s="11">
        <f t="shared" si="91"/>
        <v>0</v>
      </c>
      <c r="W318" s="11">
        <f t="shared" si="92"/>
        <v>0</v>
      </c>
      <c r="X318" s="11">
        <f t="shared" si="93"/>
        <v>0</v>
      </c>
      <c r="Y318" s="11" t="str">
        <f t="shared" si="83"/>
        <v/>
      </c>
      <c r="Z318" s="13">
        <f t="shared" si="94"/>
        <v>46247</v>
      </c>
      <c r="AA318" s="10" t="str">
        <f>IF(OR($AA$116="错误",COUNTIF($G$117:G318,"待修正")&gt;0),"错误","正常")</f>
        <v>正常</v>
      </c>
      <c r="AB318" s="14">
        <f t="shared" si="95"/>
        <v>2.7686</v>
      </c>
    </row>
    <row r="319" ht="23" customHeight="1" spans="1:28">
      <c r="A319" s="15"/>
      <c r="B319" s="16"/>
      <c r="C319" s="17"/>
      <c r="D319" s="18"/>
      <c r="E319" s="19" t="str">
        <f t="shared" si="96"/>
        <v/>
      </c>
      <c r="F319" s="18"/>
      <c r="G319" s="20" t="str">
        <f t="shared" si="97"/>
        <v/>
      </c>
      <c r="H319" s="21" t="str">
        <f t="shared" si="98"/>
        <v/>
      </c>
      <c r="I319" s="10" t="str">
        <f>IF(COUNTA(A319:D319,F319)=0,"",IF(NOT(ISNUMBER(A319)),"缺少有效净值日期",IF(OR(A319&lt;=0,A319&lt;&gt;INT(A319)),"净值日期无效",IF(OR(B319="转换转入",B319="现金分红"),"该类型需实际金额，五项录入不适用",IF(NOT(OR(OR(B319="买入",B319="定投"),B319="卖出",B319="红利再投")),"请选择交易类型",IF(NOT(ISNUMBER(C319)),"缺少成交净值",IF(C319&lt;=0,"成交净值须大于零",IF(NOT(ISNUMBER(D319)),"缺少确认份额",IF(D319&lt;=0,"确认份额须大于零",IF(NOT(ISNUMBER(F319)),"缺少手续费，无费用请填 0",IF(F319&lt;0,"手续费不能为负",IF(AA318="错误","前行待修正",IF(A319&lt;Z318,"日期需按成交顺序递增",IF(AND(B319="红利再投",F319&lt;&gt;0),"红利再投手续费应填 0",IF(AND(B319="红利再投",K318&lt;=0),"红利再投前须有持仓",IF(AND(B319="卖出",D319&gt;K318+0.000001),"卖出份额超过持仓",IF(AND(B319="卖出",F319&gt;=C319*D319),"赎回费不能达到赎回总额",IF(NOT(ISNUMBER(E319)),"自动金额未生成，请检查五项输入",IF(NOT(OR(持仓总览!$C$7="利润优先",持仓总览!$C$7="本金优先")),"请选择卖出分配模式","已计入")))))))))))))))))))</f>
        <v/>
      </c>
      <c r="J319" s="11">
        <f t="shared" si="79"/>
        <v>0</v>
      </c>
      <c r="K319" s="11">
        <f t="shared" si="84"/>
        <v>34284.43</v>
      </c>
      <c r="L319" s="11" t="str">
        <f t="shared" si="85"/>
        <v/>
      </c>
      <c r="M319" s="11" t="str">
        <f t="shared" si="86"/>
        <v/>
      </c>
      <c r="N319" s="11" t="str">
        <f>IF(I319="已计入",IF(AND(B319="卖出",持仓总览!$C$7="本金优先"),MAX(0,E319-Q318),IF(OR(B319="卖出",B319="现金分红"),MIN(E319,M319),0)),"")</f>
        <v/>
      </c>
      <c r="O319" s="11" t="str">
        <f t="shared" si="87"/>
        <v/>
      </c>
      <c r="P319" s="11" t="str">
        <f t="shared" si="88"/>
        <v/>
      </c>
      <c r="Q319" s="11">
        <f t="shared" si="89"/>
        <v>82516.01</v>
      </c>
      <c r="R319" s="11" t="str">
        <f t="shared" si="80"/>
        <v/>
      </c>
      <c r="S319" s="11" t="str">
        <f t="shared" si="81"/>
        <v/>
      </c>
      <c r="T319" s="12" t="str">
        <f t="shared" si="82"/>
        <v/>
      </c>
      <c r="U319" s="11">
        <f t="shared" si="90"/>
        <v>82516.01</v>
      </c>
      <c r="V319" s="11">
        <f t="shared" si="91"/>
        <v>0</v>
      </c>
      <c r="W319" s="11">
        <f t="shared" si="92"/>
        <v>0</v>
      </c>
      <c r="X319" s="11">
        <f t="shared" si="93"/>
        <v>0</v>
      </c>
      <c r="Y319" s="11" t="str">
        <f t="shared" si="83"/>
        <v/>
      </c>
      <c r="Z319" s="13">
        <f t="shared" si="94"/>
        <v>46247</v>
      </c>
      <c r="AA319" s="10" t="str">
        <f>IF(OR($AA$116="错误",COUNTIF($G$117:G319,"待修正")&gt;0),"错误","正常")</f>
        <v>正常</v>
      </c>
      <c r="AB319" s="14">
        <f t="shared" si="95"/>
        <v>2.7686</v>
      </c>
    </row>
    <row r="320" ht="23" customHeight="1" spans="1:28">
      <c r="A320" s="15"/>
      <c r="B320" s="16"/>
      <c r="C320" s="17"/>
      <c r="D320" s="18"/>
      <c r="E320" s="19" t="str">
        <f t="shared" si="96"/>
        <v/>
      </c>
      <c r="F320" s="18"/>
      <c r="G320" s="20" t="str">
        <f t="shared" si="97"/>
        <v/>
      </c>
      <c r="H320" s="21" t="str">
        <f t="shared" si="98"/>
        <v/>
      </c>
      <c r="I320" s="10" t="str">
        <f>IF(COUNTA(A320:D320,F320)=0,"",IF(NOT(ISNUMBER(A320)),"缺少有效净值日期",IF(OR(A320&lt;=0,A320&lt;&gt;INT(A320)),"净值日期无效",IF(OR(B320="转换转入",B320="现金分红"),"该类型需实际金额，五项录入不适用",IF(NOT(OR(OR(B320="买入",B320="定投"),B320="卖出",B320="红利再投")),"请选择交易类型",IF(NOT(ISNUMBER(C320)),"缺少成交净值",IF(C320&lt;=0,"成交净值须大于零",IF(NOT(ISNUMBER(D320)),"缺少确认份额",IF(D320&lt;=0,"确认份额须大于零",IF(NOT(ISNUMBER(F320)),"缺少手续费，无费用请填 0",IF(F320&lt;0,"手续费不能为负",IF(AA319="错误","前行待修正",IF(A320&lt;Z319,"日期需按成交顺序递增",IF(AND(B320="红利再投",F320&lt;&gt;0),"红利再投手续费应填 0",IF(AND(B320="红利再投",K319&lt;=0),"红利再投前须有持仓",IF(AND(B320="卖出",D320&gt;K319+0.000001),"卖出份额超过持仓",IF(AND(B320="卖出",F320&gt;=C320*D320),"赎回费不能达到赎回总额",IF(NOT(ISNUMBER(E320)),"自动金额未生成，请检查五项输入",IF(NOT(OR(持仓总览!$C$7="利润优先",持仓总览!$C$7="本金优先")),"请选择卖出分配模式","已计入")))))))))))))))))))</f>
        <v/>
      </c>
      <c r="J320" s="11">
        <f t="shared" si="79"/>
        <v>0</v>
      </c>
      <c r="K320" s="11">
        <f t="shared" si="84"/>
        <v>34284.43</v>
      </c>
      <c r="L320" s="11" t="str">
        <f t="shared" si="85"/>
        <v/>
      </c>
      <c r="M320" s="11" t="str">
        <f t="shared" si="86"/>
        <v/>
      </c>
      <c r="N320" s="11" t="str">
        <f>IF(I320="已计入",IF(AND(B320="卖出",持仓总览!$C$7="本金优先"),MAX(0,E320-Q319),IF(OR(B320="卖出",B320="现金分红"),MIN(E320,M320),0)),"")</f>
        <v/>
      </c>
      <c r="O320" s="11" t="str">
        <f t="shared" si="87"/>
        <v/>
      </c>
      <c r="P320" s="11" t="str">
        <f t="shared" si="88"/>
        <v/>
      </c>
      <c r="Q320" s="11">
        <f t="shared" si="89"/>
        <v>82516.01</v>
      </c>
      <c r="R320" s="11" t="str">
        <f t="shared" si="80"/>
        <v/>
      </c>
      <c r="S320" s="11" t="str">
        <f t="shared" si="81"/>
        <v/>
      </c>
      <c r="T320" s="12" t="str">
        <f t="shared" si="82"/>
        <v/>
      </c>
      <c r="U320" s="11">
        <f t="shared" si="90"/>
        <v>82516.01</v>
      </c>
      <c r="V320" s="11">
        <f t="shared" si="91"/>
        <v>0</v>
      </c>
      <c r="W320" s="11">
        <f t="shared" si="92"/>
        <v>0</v>
      </c>
      <c r="X320" s="11">
        <f t="shared" si="93"/>
        <v>0</v>
      </c>
      <c r="Y320" s="11" t="str">
        <f t="shared" si="83"/>
        <v/>
      </c>
      <c r="Z320" s="13">
        <f t="shared" si="94"/>
        <v>46247</v>
      </c>
      <c r="AA320" s="10" t="str">
        <f>IF(OR($AA$116="错误",COUNTIF($G$117:G320,"待修正")&gt;0),"错误","正常")</f>
        <v>正常</v>
      </c>
      <c r="AB320" s="14">
        <f t="shared" si="95"/>
        <v>2.7686</v>
      </c>
    </row>
    <row r="321" ht="23" customHeight="1" spans="1:28">
      <c r="A321" s="15"/>
      <c r="B321" s="16"/>
      <c r="C321" s="17"/>
      <c r="D321" s="18"/>
      <c r="E321" s="19" t="str">
        <f t="shared" si="96"/>
        <v/>
      </c>
      <c r="F321" s="18"/>
      <c r="G321" s="20" t="str">
        <f t="shared" si="97"/>
        <v/>
      </c>
      <c r="H321" s="21" t="str">
        <f t="shared" si="98"/>
        <v/>
      </c>
      <c r="I321" s="10" t="str">
        <f>IF(COUNTA(A321:D321,F321)=0,"",IF(NOT(ISNUMBER(A321)),"缺少有效净值日期",IF(OR(A321&lt;=0,A321&lt;&gt;INT(A321)),"净值日期无效",IF(OR(B321="转换转入",B321="现金分红"),"该类型需实际金额，五项录入不适用",IF(NOT(OR(OR(B321="买入",B321="定投"),B321="卖出",B321="红利再投")),"请选择交易类型",IF(NOT(ISNUMBER(C321)),"缺少成交净值",IF(C321&lt;=0,"成交净值须大于零",IF(NOT(ISNUMBER(D321)),"缺少确认份额",IF(D321&lt;=0,"确认份额须大于零",IF(NOT(ISNUMBER(F321)),"缺少手续费，无费用请填 0",IF(F321&lt;0,"手续费不能为负",IF(AA320="错误","前行待修正",IF(A321&lt;Z320,"日期需按成交顺序递增",IF(AND(B321="红利再投",F321&lt;&gt;0),"红利再投手续费应填 0",IF(AND(B321="红利再投",K320&lt;=0),"红利再投前须有持仓",IF(AND(B321="卖出",D321&gt;K320+0.000001),"卖出份额超过持仓",IF(AND(B321="卖出",F321&gt;=C321*D321),"赎回费不能达到赎回总额",IF(NOT(ISNUMBER(E321)),"自动金额未生成，请检查五项输入",IF(NOT(OR(持仓总览!$C$7="利润优先",持仓总览!$C$7="本金优先")),"请选择卖出分配模式","已计入")))))))))))))))))))</f>
        <v/>
      </c>
      <c r="J321" s="11">
        <f t="shared" si="79"/>
        <v>0</v>
      </c>
      <c r="K321" s="11">
        <f t="shared" si="84"/>
        <v>34284.43</v>
      </c>
      <c r="L321" s="11" t="str">
        <f t="shared" si="85"/>
        <v/>
      </c>
      <c r="M321" s="11" t="str">
        <f t="shared" si="86"/>
        <v/>
      </c>
      <c r="N321" s="11" t="str">
        <f>IF(I321="已计入",IF(AND(B321="卖出",持仓总览!$C$7="本金优先"),MAX(0,E321-Q320),IF(OR(B321="卖出",B321="现金分红"),MIN(E321,M321),0)),"")</f>
        <v/>
      </c>
      <c r="O321" s="11" t="str">
        <f t="shared" si="87"/>
        <v/>
      </c>
      <c r="P321" s="11" t="str">
        <f t="shared" si="88"/>
        <v/>
      </c>
      <c r="Q321" s="11">
        <f t="shared" si="89"/>
        <v>82516.01</v>
      </c>
      <c r="R321" s="11" t="str">
        <f t="shared" si="80"/>
        <v/>
      </c>
      <c r="S321" s="11" t="str">
        <f t="shared" si="81"/>
        <v/>
      </c>
      <c r="T321" s="12" t="str">
        <f t="shared" si="82"/>
        <v/>
      </c>
      <c r="U321" s="11">
        <f t="shared" si="90"/>
        <v>82516.01</v>
      </c>
      <c r="V321" s="11">
        <f t="shared" si="91"/>
        <v>0</v>
      </c>
      <c r="W321" s="11">
        <f t="shared" si="92"/>
        <v>0</v>
      </c>
      <c r="X321" s="11">
        <f t="shared" si="93"/>
        <v>0</v>
      </c>
      <c r="Y321" s="11" t="str">
        <f t="shared" si="83"/>
        <v/>
      </c>
      <c r="Z321" s="13">
        <f t="shared" si="94"/>
        <v>46247</v>
      </c>
      <c r="AA321" s="10" t="str">
        <f>IF(OR($AA$116="错误",COUNTIF($G$117:G321,"待修正")&gt;0),"错误","正常")</f>
        <v>正常</v>
      </c>
      <c r="AB321" s="14">
        <f t="shared" si="95"/>
        <v>2.7686</v>
      </c>
    </row>
    <row r="322" ht="23" customHeight="1" spans="1:28">
      <c r="A322" s="15"/>
      <c r="B322" s="16"/>
      <c r="C322" s="17"/>
      <c r="D322" s="18"/>
      <c r="E322" s="19" t="str">
        <f t="shared" si="96"/>
        <v/>
      </c>
      <c r="F322" s="18"/>
      <c r="G322" s="20" t="str">
        <f t="shared" si="97"/>
        <v/>
      </c>
      <c r="H322" s="21" t="str">
        <f t="shared" si="98"/>
        <v/>
      </c>
      <c r="I322" s="10" t="str">
        <f>IF(COUNTA(A322:D322,F322)=0,"",IF(NOT(ISNUMBER(A322)),"缺少有效净值日期",IF(OR(A322&lt;=0,A322&lt;&gt;INT(A322)),"净值日期无效",IF(OR(B322="转换转入",B322="现金分红"),"该类型需实际金额，五项录入不适用",IF(NOT(OR(OR(B322="买入",B322="定投"),B322="卖出",B322="红利再投")),"请选择交易类型",IF(NOT(ISNUMBER(C322)),"缺少成交净值",IF(C322&lt;=0,"成交净值须大于零",IF(NOT(ISNUMBER(D322)),"缺少确认份额",IF(D322&lt;=0,"确认份额须大于零",IF(NOT(ISNUMBER(F322)),"缺少手续费，无费用请填 0",IF(F322&lt;0,"手续费不能为负",IF(AA321="错误","前行待修正",IF(A322&lt;Z321,"日期需按成交顺序递增",IF(AND(B322="红利再投",F322&lt;&gt;0),"红利再投手续费应填 0",IF(AND(B322="红利再投",K321&lt;=0),"红利再投前须有持仓",IF(AND(B322="卖出",D322&gt;K321+0.000001),"卖出份额超过持仓",IF(AND(B322="卖出",F322&gt;=C322*D322),"赎回费不能达到赎回总额",IF(NOT(ISNUMBER(E322)),"自动金额未生成，请检查五项输入",IF(NOT(OR(持仓总览!$C$7="利润优先",持仓总览!$C$7="本金优先")),"请选择卖出分配模式","已计入")))))))))))))))))))</f>
        <v/>
      </c>
      <c r="J322" s="11">
        <f t="shared" si="79"/>
        <v>0</v>
      </c>
      <c r="K322" s="11">
        <f t="shared" si="84"/>
        <v>34284.43</v>
      </c>
      <c r="L322" s="11" t="str">
        <f t="shared" si="85"/>
        <v/>
      </c>
      <c r="M322" s="11" t="str">
        <f t="shared" si="86"/>
        <v/>
      </c>
      <c r="N322" s="11" t="str">
        <f>IF(I322="已计入",IF(AND(B322="卖出",持仓总览!$C$7="本金优先"),MAX(0,E322-Q321),IF(OR(B322="卖出",B322="现金分红"),MIN(E322,M322),0)),"")</f>
        <v/>
      </c>
      <c r="O322" s="11" t="str">
        <f t="shared" si="87"/>
        <v/>
      </c>
      <c r="P322" s="11" t="str">
        <f t="shared" si="88"/>
        <v/>
      </c>
      <c r="Q322" s="11">
        <f t="shared" si="89"/>
        <v>82516.01</v>
      </c>
      <c r="R322" s="11" t="str">
        <f t="shared" si="80"/>
        <v/>
      </c>
      <c r="S322" s="11" t="str">
        <f t="shared" si="81"/>
        <v/>
      </c>
      <c r="T322" s="12" t="str">
        <f t="shared" si="82"/>
        <v/>
      </c>
      <c r="U322" s="11">
        <f t="shared" si="90"/>
        <v>82516.01</v>
      </c>
      <c r="V322" s="11">
        <f t="shared" si="91"/>
        <v>0</v>
      </c>
      <c r="W322" s="11">
        <f t="shared" si="92"/>
        <v>0</v>
      </c>
      <c r="X322" s="11">
        <f t="shared" si="93"/>
        <v>0</v>
      </c>
      <c r="Y322" s="11" t="str">
        <f t="shared" si="83"/>
        <v/>
      </c>
      <c r="Z322" s="13">
        <f t="shared" si="94"/>
        <v>46247</v>
      </c>
      <c r="AA322" s="10" t="str">
        <f>IF(OR($AA$116="错误",COUNTIF($G$117:G322,"待修正")&gt;0),"错误","正常")</f>
        <v>正常</v>
      </c>
      <c r="AB322" s="14">
        <f t="shared" si="95"/>
        <v>2.7686</v>
      </c>
    </row>
    <row r="323" ht="23" customHeight="1" spans="1:28">
      <c r="A323" s="15"/>
      <c r="B323" s="16"/>
      <c r="C323" s="17"/>
      <c r="D323" s="18"/>
      <c r="E323" s="19" t="str">
        <f t="shared" si="96"/>
        <v/>
      </c>
      <c r="F323" s="18"/>
      <c r="G323" s="20" t="str">
        <f t="shared" si="97"/>
        <v/>
      </c>
      <c r="H323" s="21" t="str">
        <f t="shared" si="98"/>
        <v/>
      </c>
      <c r="I323" s="10" t="str">
        <f>IF(COUNTA(A323:D323,F323)=0,"",IF(NOT(ISNUMBER(A323)),"缺少有效净值日期",IF(OR(A323&lt;=0,A323&lt;&gt;INT(A323)),"净值日期无效",IF(OR(B323="转换转入",B323="现金分红"),"该类型需实际金额，五项录入不适用",IF(NOT(OR(OR(B323="买入",B323="定投"),B323="卖出",B323="红利再投")),"请选择交易类型",IF(NOT(ISNUMBER(C323)),"缺少成交净值",IF(C323&lt;=0,"成交净值须大于零",IF(NOT(ISNUMBER(D323)),"缺少确认份额",IF(D323&lt;=0,"确认份额须大于零",IF(NOT(ISNUMBER(F323)),"缺少手续费，无费用请填 0",IF(F323&lt;0,"手续费不能为负",IF(AA322="错误","前行待修正",IF(A323&lt;Z322,"日期需按成交顺序递增",IF(AND(B323="红利再投",F323&lt;&gt;0),"红利再投手续费应填 0",IF(AND(B323="红利再投",K322&lt;=0),"红利再投前须有持仓",IF(AND(B323="卖出",D323&gt;K322+0.000001),"卖出份额超过持仓",IF(AND(B323="卖出",F323&gt;=C323*D323),"赎回费不能达到赎回总额",IF(NOT(ISNUMBER(E323)),"自动金额未生成，请检查五项输入",IF(NOT(OR(持仓总览!$C$7="利润优先",持仓总览!$C$7="本金优先")),"请选择卖出分配模式","已计入")))))))))))))))))))</f>
        <v/>
      </c>
      <c r="J323" s="11">
        <f t="shared" si="79"/>
        <v>0</v>
      </c>
      <c r="K323" s="11">
        <f t="shared" si="84"/>
        <v>34284.43</v>
      </c>
      <c r="L323" s="11" t="str">
        <f t="shared" si="85"/>
        <v/>
      </c>
      <c r="M323" s="11" t="str">
        <f t="shared" si="86"/>
        <v/>
      </c>
      <c r="N323" s="11" t="str">
        <f>IF(I323="已计入",IF(AND(B323="卖出",持仓总览!$C$7="本金优先"),MAX(0,E323-Q322),IF(OR(B323="卖出",B323="现金分红"),MIN(E323,M323),0)),"")</f>
        <v/>
      </c>
      <c r="O323" s="11" t="str">
        <f t="shared" si="87"/>
        <v/>
      </c>
      <c r="P323" s="11" t="str">
        <f t="shared" si="88"/>
        <v/>
      </c>
      <c r="Q323" s="11">
        <f t="shared" si="89"/>
        <v>82516.01</v>
      </c>
      <c r="R323" s="11" t="str">
        <f t="shared" si="80"/>
        <v/>
      </c>
      <c r="S323" s="11" t="str">
        <f t="shared" si="81"/>
        <v/>
      </c>
      <c r="T323" s="12" t="str">
        <f t="shared" si="82"/>
        <v/>
      </c>
      <c r="U323" s="11">
        <f t="shared" si="90"/>
        <v>82516.01</v>
      </c>
      <c r="V323" s="11">
        <f t="shared" si="91"/>
        <v>0</v>
      </c>
      <c r="W323" s="11">
        <f t="shared" si="92"/>
        <v>0</v>
      </c>
      <c r="X323" s="11">
        <f t="shared" si="93"/>
        <v>0</v>
      </c>
      <c r="Y323" s="11" t="str">
        <f t="shared" si="83"/>
        <v/>
      </c>
      <c r="Z323" s="13">
        <f t="shared" si="94"/>
        <v>46247</v>
      </c>
      <c r="AA323" s="10" t="str">
        <f>IF(OR($AA$116="错误",COUNTIF($G$117:G323,"待修正")&gt;0),"错误","正常")</f>
        <v>正常</v>
      </c>
      <c r="AB323" s="14">
        <f t="shared" si="95"/>
        <v>2.7686</v>
      </c>
    </row>
    <row r="324" ht="23" customHeight="1" spans="1:28">
      <c r="A324" s="15"/>
      <c r="B324" s="16"/>
      <c r="C324" s="17"/>
      <c r="D324" s="18"/>
      <c r="E324" s="19" t="str">
        <f t="shared" si="96"/>
        <v/>
      </c>
      <c r="F324" s="18"/>
      <c r="G324" s="20" t="str">
        <f t="shared" si="97"/>
        <v/>
      </c>
      <c r="H324" s="21" t="str">
        <f t="shared" si="98"/>
        <v/>
      </c>
      <c r="I324" s="10" t="str">
        <f>IF(COUNTA(A324:D324,F324)=0,"",IF(NOT(ISNUMBER(A324)),"缺少有效净值日期",IF(OR(A324&lt;=0,A324&lt;&gt;INT(A324)),"净值日期无效",IF(OR(B324="转换转入",B324="现金分红"),"该类型需实际金额，五项录入不适用",IF(NOT(OR(OR(B324="买入",B324="定投"),B324="卖出",B324="红利再投")),"请选择交易类型",IF(NOT(ISNUMBER(C324)),"缺少成交净值",IF(C324&lt;=0,"成交净值须大于零",IF(NOT(ISNUMBER(D324)),"缺少确认份额",IF(D324&lt;=0,"确认份额须大于零",IF(NOT(ISNUMBER(F324)),"缺少手续费，无费用请填 0",IF(F324&lt;0,"手续费不能为负",IF(AA323="错误","前行待修正",IF(A324&lt;Z323,"日期需按成交顺序递增",IF(AND(B324="红利再投",F324&lt;&gt;0),"红利再投手续费应填 0",IF(AND(B324="红利再投",K323&lt;=0),"红利再投前须有持仓",IF(AND(B324="卖出",D324&gt;K323+0.000001),"卖出份额超过持仓",IF(AND(B324="卖出",F324&gt;=C324*D324),"赎回费不能达到赎回总额",IF(NOT(ISNUMBER(E324)),"自动金额未生成，请检查五项输入",IF(NOT(OR(持仓总览!$C$7="利润优先",持仓总览!$C$7="本金优先")),"请选择卖出分配模式","已计入")))))))))))))))))))</f>
        <v/>
      </c>
      <c r="J324" s="11">
        <f t="shared" si="79"/>
        <v>0</v>
      </c>
      <c r="K324" s="11">
        <f t="shared" si="84"/>
        <v>34284.43</v>
      </c>
      <c r="L324" s="11" t="str">
        <f t="shared" si="85"/>
        <v/>
      </c>
      <c r="M324" s="11" t="str">
        <f t="shared" si="86"/>
        <v/>
      </c>
      <c r="N324" s="11" t="str">
        <f>IF(I324="已计入",IF(AND(B324="卖出",持仓总览!$C$7="本金优先"),MAX(0,E324-Q323),IF(OR(B324="卖出",B324="现金分红"),MIN(E324,M324),0)),"")</f>
        <v/>
      </c>
      <c r="O324" s="11" t="str">
        <f t="shared" si="87"/>
        <v/>
      </c>
      <c r="P324" s="11" t="str">
        <f t="shared" si="88"/>
        <v/>
      </c>
      <c r="Q324" s="11">
        <f t="shared" si="89"/>
        <v>82516.01</v>
      </c>
      <c r="R324" s="11" t="str">
        <f t="shared" si="80"/>
        <v/>
      </c>
      <c r="S324" s="11" t="str">
        <f t="shared" si="81"/>
        <v/>
      </c>
      <c r="T324" s="12" t="str">
        <f t="shared" si="82"/>
        <v/>
      </c>
      <c r="U324" s="11">
        <f t="shared" si="90"/>
        <v>82516.01</v>
      </c>
      <c r="V324" s="11">
        <f t="shared" si="91"/>
        <v>0</v>
      </c>
      <c r="W324" s="11">
        <f t="shared" si="92"/>
        <v>0</v>
      </c>
      <c r="X324" s="11">
        <f t="shared" si="93"/>
        <v>0</v>
      </c>
      <c r="Y324" s="11" t="str">
        <f t="shared" si="83"/>
        <v/>
      </c>
      <c r="Z324" s="13">
        <f t="shared" si="94"/>
        <v>46247</v>
      </c>
      <c r="AA324" s="10" t="str">
        <f>IF(OR($AA$116="错误",COUNTIF($G$117:G324,"待修正")&gt;0),"错误","正常")</f>
        <v>正常</v>
      </c>
      <c r="AB324" s="14">
        <f t="shared" si="95"/>
        <v>2.7686</v>
      </c>
    </row>
    <row r="325" ht="23" customHeight="1" spans="1:28">
      <c r="A325" s="15"/>
      <c r="B325" s="16"/>
      <c r="C325" s="17"/>
      <c r="D325" s="18"/>
      <c r="E325" s="19" t="str">
        <f t="shared" si="96"/>
        <v/>
      </c>
      <c r="F325" s="18"/>
      <c r="G325" s="20" t="str">
        <f t="shared" si="97"/>
        <v/>
      </c>
      <c r="H325" s="21" t="str">
        <f t="shared" si="98"/>
        <v/>
      </c>
      <c r="I325" s="10" t="str">
        <f>IF(COUNTA(A325:D325,F325)=0,"",IF(NOT(ISNUMBER(A325)),"缺少有效净值日期",IF(OR(A325&lt;=0,A325&lt;&gt;INT(A325)),"净值日期无效",IF(OR(B325="转换转入",B325="现金分红"),"该类型需实际金额，五项录入不适用",IF(NOT(OR(OR(B325="买入",B325="定投"),B325="卖出",B325="红利再投")),"请选择交易类型",IF(NOT(ISNUMBER(C325)),"缺少成交净值",IF(C325&lt;=0,"成交净值须大于零",IF(NOT(ISNUMBER(D325)),"缺少确认份额",IF(D325&lt;=0,"确认份额须大于零",IF(NOT(ISNUMBER(F325)),"缺少手续费，无费用请填 0",IF(F325&lt;0,"手续费不能为负",IF(AA324="错误","前行待修正",IF(A325&lt;Z324,"日期需按成交顺序递增",IF(AND(B325="红利再投",F325&lt;&gt;0),"红利再投手续费应填 0",IF(AND(B325="红利再投",K324&lt;=0),"红利再投前须有持仓",IF(AND(B325="卖出",D325&gt;K324+0.000001),"卖出份额超过持仓",IF(AND(B325="卖出",F325&gt;=C325*D325),"赎回费不能达到赎回总额",IF(NOT(ISNUMBER(E325)),"自动金额未生成，请检查五项输入",IF(NOT(OR(持仓总览!$C$7="利润优先",持仓总览!$C$7="本金优先")),"请选择卖出分配模式","已计入")))))))))))))))))))</f>
        <v/>
      </c>
      <c r="J325" s="11">
        <f t="shared" si="79"/>
        <v>0</v>
      </c>
      <c r="K325" s="11">
        <f t="shared" si="84"/>
        <v>34284.43</v>
      </c>
      <c r="L325" s="11" t="str">
        <f t="shared" si="85"/>
        <v/>
      </c>
      <c r="M325" s="11" t="str">
        <f t="shared" si="86"/>
        <v/>
      </c>
      <c r="N325" s="11" t="str">
        <f>IF(I325="已计入",IF(AND(B325="卖出",持仓总览!$C$7="本金优先"),MAX(0,E325-Q324),IF(OR(B325="卖出",B325="现金分红"),MIN(E325,M325),0)),"")</f>
        <v/>
      </c>
      <c r="O325" s="11" t="str">
        <f t="shared" si="87"/>
        <v/>
      </c>
      <c r="P325" s="11" t="str">
        <f t="shared" si="88"/>
        <v/>
      </c>
      <c r="Q325" s="11">
        <f t="shared" si="89"/>
        <v>82516.01</v>
      </c>
      <c r="R325" s="11" t="str">
        <f t="shared" si="80"/>
        <v/>
      </c>
      <c r="S325" s="11" t="str">
        <f t="shared" si="81"/>
        <v/>
      </c>
      <c r="T325" s="12" t="str">
        <f t="shared" si="82"/>
        <v/>
      </c>
      <c r="U325" s="11">
        <f t="shared" si="90"/>
        <v>82516.01</v>
      </c>
      <c r="V325" s="11">
        <f t="shared" si="91"/>
        <v>0</v>
      </c>
      <c r="W325" s="11">
        <f t="shared" si="92"/>
        <v>0</v>
      </c>
      <c r="X325" s="11">
        <f t="shared" si="93"/>
        <v>0</v>
      </c>
      <c r="Y325" s="11" t="str">
        <f t="shared" si="83"/>
        <v/>
      </c>
      <c r="Z325" s="13">
        <f t="shared" si="94"/>
        <v>46247</v>
      </c>
      <c r="AA325" s="10" t="str">
        <f>IF(OR($AA$116="错误",COUNTIF($G$117:G325,"待修正")&gt;0),"错误","正常")</f>
        <v>正常</v>
      </c>
      <c r="AB325" s="14">
        <f t="shared" si="95"/>
        <v>2.7686</v>
      </c>
    </row>
    <row r="326" ht="23" customHeight="1" spans="1:28">
      <c r="A326" s="15"/>
      <c r="B326" s="16"/>
      <c r="C326" s="17"/>
      <c r="D326" s="18"/>
      <c r="E326" s="19" t="str">
        <f t="shared" si="96"/>
        <v/>
      </c>
      <c r="F326" s="18"/>
      <c r="G326" s="20" t="str">
        <f t="shared" si="97"/>
        <v/>
      </c>
      <c r="H326" s="21" t="str">
        <f t="shared" si="98"/>
        <v/>
      </c>
      <c r="I326" s="10" t="str">
        <f>IF(COUNTA(A326:D326,F326)=0,"",IF(NOT(ISNUMBER(A326)),"缺少有效净值日期",IF(OR(A326&lt;=0,A326&lt;&gt;INT(A326)),"净值日期无效",IF(OR(B326="转换转入",B326="现金分红"),"该类型需实际金额，五项录入不适用",IF(NOT(OR(OR(B326="买入",B326="定投"),B326="卖出",B326="红利再投")),"请选择交易类型",IF(NOT(ISNUMBER(C326)),"缺少成交净值",IF(C326&lt;=0,"成交净值须大于零",IF(NOT(ISNUMBER(D326)),"缺少确认份额",IF(D326&lt;=0,"确认份额须大于零",IF(NOT(ISNUMBER(F326)),"缺少手续费，无费用请填 0",IF(F326&lt;0,"手续费不能为负",IF(AA325="错误","前行待修正",IF(A326&lt;Z325,"日期需按成交顺序递增",IF(AND(B326="红利再投",F326&lt;&gt;0),"红利再投手续费应填 0",IF(AND(B326="红利再投",K325&lt;=0),"红利再投前须有持仓",IF(AND(B326="卖出",D326&gt;K325+0.000001),"卖出份额超过持仓",IF(AND(B326="卖出",F326&gt;=C326*D326),"赎回费不能达到赎回总额",IF(NOT(ISNUMBER(E326)),"自动金额未生成，请检查五项输入",IF(NOT(OR(持仓总览!$C$7="利润优先",持仓总览!$C$7="本金优先")),"请选择卖出分配模式","已计入")))))))))))))))))))</f>
        <v/>
      </c>
      <c r="J326" s="11">
        <f t="shared" si="79"/>
        <v>0</v>
      </c>
      <c r="K326" s="11">
        <f t="shared" si="84"/>
        <v>34284.43</v>
      </c>
      <c r="L326" s="11" t="str">
        <f t="shared" si="85"/>
        <v/>
      </c>
      <c r="M326" s="11" t="str">
        <f t="shared" si="86"/>
        <v/>
      </c>
      <c r="N326" s="11" t="str">
        <f>IF(I326="已计入",IF(AND(B326="卖出",持仓总览!$C$7="本金优先"),MAX(0,E326-Q325),IF(OR(B326="卖出",B326="现金分红"),MIN(E326,M326),0)),"")</f>
        <v/>
      </c>
      <c r="O326" s="11" t="str">
        <f t="shared" si="87"/>
        <v/>
      </c>
      <c r="P326" s="11" t="str">
        <f t="shared" si="88"/>
        <v/>
      </c>
      <c r="Q326" s="11">
        <f t="shared" si="89"/>
        <v>82516.01</v>
      </c>
      <c r="R326" s="11" t="str">
        <f t="shared" si="80"/>
        <v/>
      </c>
      <c r="S326" s="11" t="str">
        <f t="shared" si="81"/>
        <v/>
      </c>
      <c r="T326" s="12" t="str">
        <f t="shared" si="82"/>
        <v/>
      </c>
      <c r="U326" s="11">
        <f t="shared" si="90"/>
        <v>82516.01</v>
      </c>
      <c r="V326" s="11">
        <f t="shared" si="91"/>
        <v>0</v>
      </c>
      <c r="W326" s="11">
        <f t="shared" si="92"/>
        <v>0</v>
      </c>
      <c r="X326" s="11">
        <f t="shared" si="93"/>
        <v>0</v>
      </c>
      <c r="Y326" s="11" t="str">
        <f t="shared" si="83"/>
        <v/>
      </c>
      <c r="Z326" s="13">
        <f t="shared" si="94"/>
        <v>46247</v>
      </c>
      <c r="AA326" s="10" t="str">
        <f>IF(OR($AA$116="错误",COUNTIF($G$117:G326,"待修正")&gt;0),"错误","正常")</f>
        <v>正常</v>
      </c>
      <c r="AB326" s="14">
        <f t="shared" si="95"/>
        <v>2.7686</v>
      </c>
    </row>
    <row r="327" ht="23" customHeight="1" spans="1:28">
      <c r="A327" s="15"/>
      <c r="B327" s="16"/>
      <c r="C327" s="17"/>
      <c r="D327" s="18"/>
      <c r="E327" s="19" t="str">
        <f t="shared" si="96"/>
        <v/>
      </c>
      <c r="F327" s="18"/>
      <c r="G327" s="20" t="str">
        <f t="shared" si="97"/>
        <v/>
      </c>
      <c r="H327" s="21" t="str">
        <f t="shared" si="98"/>
        <v/>
      </c>
      <c r="I327" s="10" t="str">
        <f>IF(COUNTA(A327:D327,F327)=0,"",IF(NOT(ISNUMBER(A327)),"缺少有效净值日期",IF(OR(A327&lt;=0,A327&lt;&gt;INT(A327)),"净值日期无效",IF(OR(B327="转换转入",B327="现金分红"),"该类型需实际金额，五项录入不适用",IF(NOT(OR(OR(B327="买入",B327="定投"),B327="卖出",B327="红利再投")),"请选择交易类型",IF(NOT(ISNUMBER(C327)),"缺少成交净值",IF(C327&lt;=0,"成交净值须大于零",IF(NOT(ISNUMBER(D327)),"缺少确认份额",IF(D327&lt;=0,"确认份额须大于零",IF(NOT(ISNUMBER(F327)),"缺少手续费，无费用请填 0",IF(F327&lt;0,"手续费不能为负",IF(AA326="错误","前行待修正",IF(A327&lt;Z326,"日期需按成交顺序递增",IF(AND(B327="红利再投",F327&lt;&gt;0),"红利再投手续费应填 0",IF(AND(B327="红利再投",K326&lt;=0),"红利再投前须有持仓",IF(AND(B327="卖出",D327&gt;K326+0.000001),"卖出份额超过持仓",IF(AND(B327="卖出",F327&gt;=C327*D327),"赎回费不能达到赎回总额",IF(NOT(ISNUMBER(E327)),"自动金额未生成，请检查五项输入",IF(NOT(OR(持仓总览!$C$7="利润优先",持仓总览!$C$7="本金优先")),"请选择卖出分配模式","已计入")))))))))))))))))))</f>
        <v/>
      </c>
      <c r="J327" s="11">
        <f t="shared" ref="J327:J390" si="99">IF(AA327="正常",IF(I327="已计入",IF(OR(OR(B327="买入",B327="定投",B327="转换转入"),B327="红利再投"),D327,IF(B327="卖出",-D327,0)),0),"")</f>
        <v>0</v>
      </c>
      <c r="K327" s="11">
        <f t="shared" si="84"/>
        <v>34284.43</v>
      </c>
      <c r="L327" s="11" t="str">
        <f t="shared" si="85"/>
        <v/>
      </c>
      <c r="M327" s="11" t="str">
        <f t="shared" si="86"/>
        <v/>
      </c>
      <c r="N327" s="11" t="str">
        <f>IF(I327="已计入",IF(AND(B327="卖出",持仓总览!$C$7="本金优先"),MAX(0,E327-Q326),IF(OR(B327="卖出",B327="现金分红"),MIN(E327,M327),0)),"")</f>
        <v/>
      </c>
      <c r="O327" s="11" t="str">
        <f t="shared" si="87"/>
        <v/>
      </c>
      <c r="P327" s="11" t="str">
        <f t="shared" si="88"/>
        <v/>
      </c>
      <c r="Q327" s="11">
        <f t="shared" si="89"/>
        <v>82516.01</v>
      </c>
      <c r="R327" s="11" t="str">
        <f t="shared" ref="R327:R390" si="100">IF(I327="已计入",ROUND(K327*C327,2),"")</f>
        <v/>
      </c>
      <c r="S327" s="11" t="str">
        <f t="shared" ref="S327:S390" si="101">IF(I327="已计入",ROUND(R327-Q327,2),"")</f>
        <v/>
      </c>
      <c r="T327" s="12" t="str">
        <f t="shared" ref="T327:T390" si="102">IF(I327="已计入",IF(Q327=0,"",S327/Q327),"")</f>
        <v/>
      </c>
      <c r="U327" s="11">
        <f t="shared" si="90"/>
        <v>82516.01</v>
      </c>
      <c r="V327" s="11">
        <f t="shared" si="91"/>
        <v>0</v>
      </c>
      <c r="W327" s="11">
        <f t="shared" si="92"/>
        <v>0</v>
      </c>
      <c r="X327" s="11">
        <f t="shared" si="93"/>
        <v>0</v>
      </c>
      <c r="Y327" s="11" t="str">
        <f t="shared" ref="Y327:Y390" si="103">IF(I327="已计入",ROUND(R327+V327-U327,2),"")</f>
        <v/>
      </c>
      <c r="Z327" s="13">
        <f t="shared" si="94"/>
        <v>46247</v>
      </c>
      <c r="AA327" s="10" t="str">
        <f>IF(OR($AA$116="错误",COUNTIF($G$117:G327,"待修正")&gt;0),"错误","正常")</f>
        <v>正常</v>
      </c>
      <c r="AB327" s="14">
        <f t="shared" si="95"/>
        <v>2.7686</v>
      </c>
    </row>
    <row r="328" ht="23" customHeight="1" spans="1:28">
      <c r="A328" s="15"/>
      <c r="B328" s="16"/>
      <c r="C328" s="17"/>
      <c r="D328" s="18"/>
      <c r="E328" s="19" t="str">
        <f t="shared" si="96"/>
        <v/>
      </c>
      <c r="F328" s="18"/>
      <c r="G328" s="20" t="str">
        <f t="shared" si="97"/>
        <v/>
      </c>
      <c r="H328" s="21" t="str">
        <f t="shared" si="98"/>
        <v/>
      </c>
      <c r="I328" s="10" t="str">
        <f>IF(COUNTA(A328:D328,F328)=0,"",IF(NOT(ISNUMBER(A328)),"缺少有效净值日期",IF(OR(A328&lt;=0,A328&lt;&gt;INT(A328)),"净值日期无效",IF(OR(B328="转换转入",B328="现金分红"),"该类型需实际金额，五项录入不适用",IF(NOT(OR(OR(B328="买入",B328="定投"),B328="卖出",B328="红利再投")),"请选择交易类型",IF(NOT(ISNUMBER(C328)),"缺少成交净值",IF(C328&lt;=0,"成交净值须大于零",IF(NOT(ISNUMBER(D328)),"缺少确认份额",IF(D328&lt;=0,"确认份额须大于零",IF(NOT(ISNUMBER(F328)),"缺少手续费，无费用请填 0",IF(F328&lt;0,"手续费不能为负",IF(AA327="错误","前行待修正",IF(A328&lt;Z327,"日期需按成交顺序递增",IF(AND(B328="红利再投",F328&lt;&gt;0),"红利再投手续费应填 0",IF(AND(B328="红利再投",K327&lt;=0),"红利再投前须有持仓",IF(AND(B328="卖出",D328&gt;K327+0.000001),"卖出份额超过持仓",IF(AND(B328="卖出",F328&gt;=C328*D328),"赎回费不能达到赎回总额",IF(NOT(ISNUMBER(E328)),"自动金额未生成，请检查五项输入",IF(NOT(OR(持仓总览!$C$7="利润优先",持仓总览!$C$7="本金优先")),"请选择卖出分配模式","已计入")))))))))))))))))))</f>
        <v/>
      </c>
      <c r="J328" s="11">
        <f t="shared" si="99"/>
        <v>0</v>
      </c>
      <c r="K328" s="11">
        <f t="shared" ref="K328:K391" si="104">IF(AA328="正常",ROUND(K327+J328,6),"")</f>
        <v>34284.43</v>
      </c>
      <c r="L328" s="11" t="str">
        <f t="shared" ref="L328:L391" si="105">IF(I328="已计入",ROUND(K327*C328,2),"")</f>
        <v/>
      </c>
      <c r="M328" s="11" t="str">
        <f t="shared" ref="M328:M391" si="106">IF(I328="已计入",IF(B328="卖出",MAX(0,L328-Q327-F328),IF(B328="现金分红",MAX(0,L328+E328-Q327),0)),"")</f>
        <v/>
      </c>
      <c r="N328" s="11" t="str">
        <f>IF(I328="已计入",IF(AND(B328="卖出",持仓总览!$C$7="本金优先"),MAX(0,E328-Q327),IF(OR(B328="卖出",B328="现金分红"),MIN(E328,M328),0)),"")</f>
        <v/>
      </c>
      <c r="O328" s="11" t="str">
        <f t="shared" ref="O328:O391" si="107">IF(I328="已计入",IF(OR(B328="卖出",B328="现金分红"),MIN(Q327,MAX(0,E328-N328)),0),"")</f>
        <v/>
      </c>
      <c r="P328" s="11" t="str">
        <f t="shared" ref="P328:P391" si="108">IF(I328="已计入",IF(AND(B328="卖出",K328=0),MAX(0,Q327-O328),0),"")</f>
        <v/>
      </c>
      <c r="Q328" s="11">
        <f t="shared" ref="Q328:Q391" si="109">IF(AA328="正常",IF(I328="已计入",ROUND(Q327+IF(OR(B328="买入",B328="定投",B328="转换转入"),E328,0)-O328-P328,2),Q327),"")</f>
        <v>82516.01</v>
      </c>
      <c r="R328" s="11" t="str">
        <f t="shared" si="100"/>
        <v/>
      </c>
      <c r="S328" s="11" t="str">
        <f t="shared" si="101"/>
        <v/>
      </c>
      <c r="T328" s="12" t="str">
        <f t="shared" si="102"/>
        <v/>
      </c>
      <c r="U328" s="11">
        <f t="shared" ref="U328:U391" si="110">IF(AA328="正常",U327+IF(AND(I328="已计入",OR(B328="买入",B328="定投",B328="转换转入")),E328,0),"")</f>
        <v>82516.01</v>
      </c>
      <c r="V328" s="11">
        <f t="shared" ref="V328:V391" si="111">IF(AA328="正常",V327+IF(AND(I328="已计入",OR(B328="卖出",B328="现金分红")),E328,0),"")</f>
        <v>0</v>
      </c>
      <c r="W328" s="11">
        <f t="shared" ref="W328:W391" si="112">IF(AA328="正常",W327+IF(I328="已计入",N328,0),"")</f>
        <v>0</v>
      </c>
      <c r="X328" s="11">
        <f t="shared" ref="X328:X391" si="113">IF(AA328="正常",X327+IF(I328="已计入",P328,0),"")</f>
        <v>0</v>
      </c>
      <c r="Y328" s="11" t="str">
        <f t="shared" si="103"/>
        <v/>
      </c>
      <c r="Z328" s="13">
        <f t="shared" ref="Z328:Z391" si="114">IF(AA328="正常",IF(I328="已计入",A328,Z327),"")</f>
        <v>46247</v>
      </c>
      <c r="AA328" s="10" t="str">
        <f>IF(OR($AA$116="错误",COUNTIF($G$117:G328,"待修正")&gt;0),"错误","正常")</f>
        <v>正常</v>
      </c>
      <c r="AB328" s="14">
        <f t="shared" ref="AB328:AB391" si="115">IF(AA328="正常",IF(I328="已计入",C328,AB327),"")</f>
        <v>2.7686</v>
      </c>
    </row>
    <row r="329" ht="23" customHeight="1" spans="1:28">
      <c r="A329" s="15"/>
      <c r="B329" s="16"/>
      <c r="C329" s="17"/>
      <c r="D329" s="18"/>
      <c r="E329" s="19" t="str">
        <f t="shared" si="96"/>
        <v/>
      </c>
      <c r="F329" s="18"/>
      <c r="G329" s="20" t="str">
        <f t="shared" si="97"/>
        <v/>
      </c>
      <c r="H329" s="21" t="str">
        <f t="shared" si="98"/>
        <v/>
      </c>
      <c r="I329" s="10" t="str">
        <f>IF(COUNTA(A329:D329,F329)=0,"",IF(NOT(ISNUMBER(A329)),"缺少有效净值日期",IF(OR(A329&lt;=0,A329&lt;&gt;INT(A329)),"净值日期无效",IF(OR(B329="转换转入",B329="现金分红"),"该类型需实际金额，五项录入不适用",IF(NOT(OR(OR(B329="买入",B329="定投"),B329="卖出",B329="红利再投")),"请选择交易类型",IF(NOT(ISNUMBER(C329)),"缺少成交净值",IF(C329&lt;=0,"成交净值须大于零",IF(NOT(ISNUMBER(D329)),"缺少确认份额",IF(D329&lt;=0,"确认份额须大于零",IF(NOT(ISNUMBER(F329)),"缺少手续费，无费用请填 0",IF(F329&lt;0,"手续费不能为负",IF(AA328="错误","前行待修正",IF(A329&lt;Z328,"日期需按成交顺序递增",IF(AND(B329="红利再投",F329&lt;&gt;0),"红利再投手续费应填 0",IF(AND(B329="红利再投",K328&lt;=0),"红利再投前须有持仓",IF(AND(B329="卖出",D329&gt;K328+0.000001),"卖出份额超过持仓",IF(AND(B329="卖出",F329&gt;=C329*D329),"赎回费不能达到赎回总额",IF(NOT(ISNUMBER(E329)),"自动金额未生成，请检查五项输入",IF(NOT(OR(持仓总览!$C$7="利润优先",持仓总览!$C$7="本金优先")),"请选择卖出分配模式","已计入")))))))))))))))))))</f>
        <v/>
      </c>
      <c r="J329" s="11">
        <f t="shared" si="99"/>
        <v>0</v>
      </c>
      <c r="K329" s="11">
        <f t="shared" si="104"/>
        <v>34284.43</v>
      </c>
      <c r="L329" s="11" t="str">
        <f t="shared" si="105"/>
        <v/>
      </c>
      <c r="M329" s="11" t="str">
        <f t="shared" si="106"/>
        <v/>
      </c>
      <c r="N329" s="11" t="str">
        <f>IF(I329="已计入",IF(AND(B329="卖出",持仓总览!$C$7="本金优先"),MAX(0,E329-Q328),IF(OR(B329="卖出",B329="现金分红"),MIN(E329,M329),0)),"")</f>
        <v/>
      </c>
      <c r="O329" s="11" t="str">
        <f t="shared" si="107"/>
        <v/>
      </c>
      <c r="P329" s="11" t="str">
        <f t="shared" si="108"/>
        <v/>
      </c>
      <c r="Q329" s="11">
        <f t="shared" si="109"/>
        <v>82516.01</v>
      </c>
      <c r="R329" s="11" t="str">
        <f t="shared" si="100"/>
        <v/>
      </c>
      <c r="S329" s="11" t="str">
        <f t="shared" si="101"/>
        <v/>
      </c>
      <c r="T329" s="12" t="str">
        <f t="shared" si="102"/>
        <v/>
      </c>
      <c r="U329" s="11">
        <f t="shared" si="110"/>
        <v>82516.01</v>
      </c>
      <c r="V329" s="11">
        <f t="shared" si="111"/>
        <v>0</v>
      </c>
      <c r="W329" s="11">
        <f t="shared" si="112"/>
        <v>0</v>
      </c>
      <c r="X329" s="11">
        <f t="shared" si="113"/>
        <v>0</v>
      </c>
      <c r="Y329" s="11" t="str">
        <f t="shared" si="103"/>
        <v/>
      </c>
      <c r="Z329" s="13">
        <f t="shared" si="114"/>
        <v>46247</v>
      </c>
      <c r="AA329" s="10" t="str">
        <f>IF(OR($AA$116="错误",COUNTIF($G$117:G329,"待修正")&gt;0),"错误","正常")</f>
        <v>正常</v>
      </c>
      <c r="AB329" s="14">
        <f t="shared" si="115"/>
        <v>2.7686</v>
      </c>
    </row>
    <row r="330" ht="23" customHeight="1" spans="1:28">
      <c r="A330" s="15"/>
      <c r="B330" s="16"/>
      <c r="C330" s="17"/>
      <c r="D330" s="18"/>
      <c r="E330" s="19" t="str">
        <f t="shared" si="96"/>
        <v/>
      </c>
      <c r="F330" s="18"/>
      <c r="G330" s="20" t="str">
        <f t="shared" si="97"/>
        <v/>
      </c>
      <c r="H330" s="21" t="str">
        <f t="shared" si="98"/>
        <v/>
      </c>
      <c r="I330" s="10" t="str">
        <f>IF(COUNTA(A330:D330,F330)=0,"",IF(NOT(ISNUMBER(A330)),"缺少有效净值日期",IF(OR(A330&lt;=0,A330&lt;&gt;INT(A330)),"净值日期无效",IF(OR(B330="转换转入",B330="现金分红"),"该类型需实际金额，五项录入不适用",IF(NOT(OR(OR(B330="买入",B330="定投"),B330="卖出",B330="红利再投")),"请选择交易类型",IF(NOT(ISNUMBER(C330)),"缺少成交净值",IF(C330&lt;=0,"成交净值须大于零",IF(NOT(ISNUMBER(D330)),"缺少确认份额",IF(D330&lt;=0,"确认份额须大于零",IF(NOT(ISNUMBER(F330)),"缺少手续费，无费用请填 0",IF(F330&lt;0,"手续费不能为负",IF(AA329="错误","前行待修正",IF(A330&lt;Z329,"日期需按成交顺序递增",IF(AND(B330="红利再投",F330&lt;&gt;0),"红利再投手续费应填 0",IF(AND(B330="红利再投",K329&lt;=0),"红利再投前须有持仓",IF(AND(B330="卖出",D330&gt;K329+0.000001),"卖出份额超过持仓",IF(AND(B330="卖出",F330&gt;=C330*D330),"赎回费不能达到赎回总额",IF(NOT(ISNUMBER(E330)),"自动金额未生成，请检查五项输入",IF(NOT(OR(持仓总览!$C$7="利润优先",持仓总览!$C$7="本金优先")),"请选择卖出分配模式","已计入")))))))))))))))))))</f>
        <v/>
      </c>
      <c r="J330" s="11">
        <f t="shared" si="99"/>
        <v>0</v>
      </c>
      <c r="K330" s="11">
        <f t="shared" si="104"/>
        <v>34284.43</v>
      </c>
      <c r="L330" s="11" t="str">
        <f t="shared" si="105"/>
        <v/>
      </c>
      <c r="M330" s="11" t="str">
        <f t="shared" si="106"/>
        <v/>
      </c>
      <c r="N330" s="11" t="str">
        <f>IF(I330="已计入",IF(AND(B330="卖出",持仓总览!$C$7="本金优先"),MAX(0,E330-Q329),IF(OR(B330="卖出",B330="现金分红"),MIN(E330,M330),0)),"")</f>
        <v/>
      </c>
      <c r="O330" s="11" t="str">
        <f t="shared" si="107"/>
        <v/>
      </c>
      <c r="P330" s="11" t="str">
        <f t="shared" si="108"/>
        <v/>
      </c>
      <c r="Q330" s="11">
        <f t="shared" si="109"/>
        <v>82516.01</v>
      </c>
      <c r="R330" s="11" t="str">
        <f t="shared" si="100"/>
        <v/>
      </c>
      <c r="S330" s="11" t="str">
        <f t="shared" si="101"/>
        <v/>
      </c>
      <c r="T330" s="12" t="str">
        <f t="shared" si="102"/>
        <v/>
      </c>
      <c r="U330" s="11">
        <f t="shared" si="110"/>
        <v>82516.01</v>
      </c>
      <c r="V330" s="11">
        <f t="shared" si="111"/>
        <v>0</v>
      </c>
      <c r="W330" s="11">
        <f t="shared" si="112"/>
        <v>0</v>
      </c>
      <c r="X330" s="11">
        <f t="shared" si="113"/>
        <v>0</v>
      </c>
      <c r="Y330" s="11" t="str">
        <f t="shared" si="103"/>
        <v/>
      </c>
      <c r="Z330" s="13">
        <f t="shared" si="114"/>
        <v>46247</v>
      </c>
      <c r="AA330" s="10" t="str">
        <f>IF(OR($AA$116="错误",COUNTIF($G$117:G330,"待修正")&gt;0),"错误","正常")</f>
        <v>正常</v>
      </c>
      <c r="AB330" s="14">
        <f t="shared" si="115"/>
        <v>2.7686</v>
      </c>
    </row>
    <row r="331" ht="23" customHeight="1" spans="1:28">
      <c r="A331" s="15"/>
      <c r="B331" s="16"/>
      <c r="C331" s="17"/>
      <c r="D331" s="18"/>
      <c r="E331" s="19" t="str">
        <f t="shared" si="96"/>
        <v/>
      </c>
      <c r="F331" s="18"/>
      <c r="G331" s="20" t="str">
        <f t="shared" si="97"/>
        <v/>
      </c>
      <c r="H331" s="21" t="str">
        <f t="shared" si="98"/>
        <v/>
      </c>
      <c r="I331" s="10" t="str">
        <f>IF(COUNTA(A331:D331,F331)=0,"",IF(NOT(ISNUMBER(A331)),"缺少有效净值日期",IF(OR(A331&lt;=0,A331&lt;&gt;INT(A331)),"净值日期无效",IF(OR(B331="转换转入",B331="现金分红"),"该类型需实际金额，五项录入不适用",IF(NOT(OR(OR(B331="买入",B331="定投"),B331="卖出",B331="红利再投")),"请选择交易类型",IF(NOT(ISNUMBER(C331)),"缺少成交净值",IF(C331&lt;=0,"成交净值须大于零",IF(NOT(ISNUMBER(D331)),"缺少确认份额",IF(D331&lt;=0,"确认份额须大于零",IF(NOT(ISNUMBER(F331)),"缺少手续费，无费用请填 0",IF(F331&lt;0,"手续费不能为负",IF(AA330="错误","前行待修正",IF(A331&lt;Z330,"日期需按成交顺序递增",IF(AND(B331="红利再投",F331&lt;&gt;0),"红利再投手续费应填 0",IF(AND(B331="红利再投",K330&lt;=0),"红利再投前须有持仓",IF(AND(B331="卖出",D331&gt;K330+0.000001),"卖出份额超过持仓",IF(AND(B331="卖出",F331&gt;=C331*D331),"赎回费不能达到赎回总额",IF(NOT(ISNUMBER(E331)),"自动金额未生成，请检查五项输入",IF(NOT(OR(持仓总览!$C$7="利润优先",持仓总览!$C$7="本金优先")),"请选择卖出分配模式","已计入")))))))))))))))))))</f>
        <v/>
      </c>
      <c r="J331" s="11">
        <f t="shared" si="99"/>
        <v>0</v>
      </c>
      <c r="K331" s="11">
        <f t="shared" si="104"/>
        <v>34284.43</v>
      </c>
      <c r="L331" s="11" t="str">
        <f t="shared" si="105"/>
        <v/>
      </c>
      <c r="M331" s="11" t="str">
        <f t="shared" si="106"/>
        <v/>
      </c>
      <c r="N331" s="11" t="str">
        <f>IF(I331="已计入",IF(AND(B331="卖出",持仓总览!$C$7="本金优先"),MAX(0,E331-Q330),IF(OR(B331="卖出",B331="现金分红"),MIN(E331,M331),0)),"")</f>
        <v/>
      </c>
      <c r="O331" s="11" t="str">
        <f t="shared" si="107"/>
        <v/>
      </c>
      <c r="P331" s="11" t="str">
        <f t="shared" si="108"/>
        <v/>
      </c>
      <c r="Q331" s="11">
        <f t="shared" si="109"/>
        <v>82516.01</v>
      </c>
      <c r="R331" s="11" t="str">
        <f t="shared" si="100"/>
        <v/>
      </c>
      <c r="S331" s="11" t="str">
        <f t="shared" si="101"/>
        <v/>
      </c>
      <c r="T331" s="12" t="str">
        <f t="shared" si="102"/>
        <v/>
      </c>
      <c r="U331" s="11">
        <f t="shared" si="110"/>
        <v>82516.01</v>
      </c>
      <c r="V331" s="11">
        <f t="shared" si="111"/>
        <v>0</v>
      </c>
      <c r="W331" s="11">
        <f t="shared" si="112"/>
        <v>0</v>
      </c>
      <c r="X331" s="11">
        <f t="shared" si="113"/>
        <v>0</v>
      </c>
      <c r="Y331" s="11" t="str">
        <f t="shared" si="103"/>
        <v/>
      </c>
      <c r="Z331" s="13">
        <f t="shared" si="114"/>
        <v>46247</v>
      </c>
      <c r="AA331" s="10" t="str">
        <f>IF(OR($AA$116="错误",COUNTIF($G$117:G331,"待修正")&gt;0),"错误","正常")</f>
        <v>正常</v>
      </c>
      <c r="AB331" s="14">
        <f t="shared" si="115"/>
        <v>2.7686</v>
      </c>
    </row>
    <row r="332" ht="23" customHeight="1" spans="1:28">
      <c r="A332" s="15"/>
      <c r="B332" s="16"/>
      <c r="C332" s="17"/>
      <c r="D332" s="18"/>
      <c r="E332" s="19" t="str">
        <f t="shared" si="96"/>
        <v/>
      </c>
      <c r="F332" s="18"/>
      <c r="G332" s="20" t="str">
        <f t="shared" si="97"/>
        <v/>
      </c>
      <c r="H332" s="21" t="str">
        <f t="shared" si="98"/>
        <v/>
      </c>
      <c r="I332" s="10" t="str">
        <f>IF(COUNTA(A332:D332,F332)=0,"",IF(NOT(ISNUMBER(A332)),"缺少有效净值日期",IF(OR(A332&lt;=0,A332&lt;&gt;INT(A332)),"净值日期无效",IF(OR(B332="转换转入",B332="现金分红"),"该类型需实际金额，五项录入不适用",IF(NOT(OR(OR(B332="买入",B332="定投"),B332="卖出",B332="红利再投")),"请选择交易类型",IF(NOT(ISNUMBER(C332)),"缺少成交净值",IF(C332&lt;=0,"成交净值须大于零",IF(NOT(ISNUMBER(D332)),"缺少确认份额",IF(D332&lt;=0,"确认份额须大于零",IF(NOT(ISNUMBER(F332)),"缺少手续费，无费用请填 0",IF(F332&lt;0,"手续费不能为负",IF(AA331="错误","前行待修正",IF(A332&lt;Z331,"日期需按成交顺序递增",IF(AND(B332="红利再投",F332&lt;&gt;0),"红利再投手续费应填 0",IF(AND(B332="红利再投",K331&lt;=0),"红利再投前须有持仓",IF(AND(B332="卖出",D332&gt;K331+0.000001),"卖出份额超过持仓",IF(AND(B332="卖出",F332&gt;=C332*D332),"赎回费不能达到赎回总额",IF(NOT(ISNUMBER(E332)),"自动金额未生成，请检查五项输入",IF(NOT(OR(持仓总览!$C$7="利润优先",持仓总览!$C$7="本金优先")),"请选择卖出分配模式","已计入")))))))))))))))))))</f>
        <v/>
      </c>
      <c r="J332" s="11">
        <f t="shared" si="99"/>
        <v>0</v>
      </c>
      <c r="K332" s="11">
        <f t="shared" si="104"/>
        <v>34284.43</v>
      </c>
      <c r="L332" s="11" t="str">
        <f t="shared" si="105"/>
        <v/>
      </c>
      <c r="M332" s="11" t="str">
        <f t="shared" si="106"/>
        <v/>
      </c>
      <c r="N332" s="11" t="str">
        <f>IF(I332="已计入",IF(AND(B332="卖出",持仓总览!$C$7="本金优先"),MAX(0,E332-Q331),IF(OR(B332="卖出",B332="现金分红"),MIN(E332,M332),0)),"")</f>
        <v/>
      </c>
      <c r="O332" s="11" t="str">
        <f t="shared" si="107"/>
        <v/>
      </c>
      <c r="P332" s="11" t="str">
        <f t="shared" si="108"/>
        <v/>
      </c>
      <c r="Q332" s="11">
        <f t="shared" si="109"/>
        <v>82516.01</v>
      </c>
      <c r="R332" s="11" t="str">
        <f t="shared" si="100"/>
        <v/>
      </c>
      <c r="S332" s="11" t="str">
        <f t="shared" si="101"/>
        <v/>
      </c>
      <c r="T332" s="12" t="str">
        <f t="shared" si="102"/>
        <v/>
      </c>
      <c r="U332" s="11">
        <f t="shared" si="110"/>
        <v>82516.01</v>
      </c>
      <c r="V332" s="11">
        <f t="shared" si="111"/>
        <v>0</v>
      </c>
      <c r="W332" s="11">
        <f t="shared" si="112"/>
        <v>0</v>
      </c>
      <c r="X332" s="11">
        <f t="shared" si="113"/>
        <v>0</v>
      </c>
      <c r="Y332" s="11" t="str">
        <f t="shared" si="103"/>
        <v/>
      </c>
      <c r="Z332" s="13">
        <f t="shared" si="114"/>
        <v>46247</v>
      </c>
      <c r="AA332" s="10" t="str">
        <f>IF(OR($AA$116="错误",COUNTIF($G$117:G332,"待修正")&gt;0),"错误","正常")</f>
        <v>正常</v>
      </c>
      <c r="AB332" s="14">
        <f t="shared" si="115"/>
        <v>2.7686</v>
      </c>
    </row>
    <row r="333" ht="23" customHeight="1" spans="1:28">
      <c r="A333" s="15"/>
      <c r="B333" s="16"/>
      <c r="C333" s="17"/>
      <c r="D333" s="18"/>
      <c r="E333" s="19" t="str">
        <f t="shared" si="96"/>
        <v/>
      </c>
      <c r="F333" s="18"/>
      <c r="G333" s="20" t="str">
        <f t="shared" si="97"/>
        <v/>
      </c>
      <c r="H333" s="21" t="str">
        <f t="shared" si="98"/>
        <v/>
      </c>
      <c r="I333" s="10" t="str">
        <f>IF(COUNTA(A333:D333,F333)=0,"",IF(NOT(ISNUMBER(A333)),"缺少有效净值日期",IF(OR(A333&lt;=0,A333&lt;&gt;INT(A333)),"净值日期无效",IF(OR(B333="转换转入",B333="现金分红"),"该类型需实际金额，五项录入不适用",IF(NOT(OR(OR(B333="买入",B333="定投"),B333="卖出",B333="红利再投")),"请选择交易类型",IF(NOT(ISNUMBER(C333)),"缺少成交净值",IF(C333&lt;=0,"成交净值须大于零",IF(NOT(ISNUMBER(D333)),"缺少确认份额",IF(D333&lt;=0,"确认份额须大于零",IF(NOT(ISNUMBER(F333)),"缺少手续费，无费用请填 0",IF(F333&lt;0,"手续费不能为负",IF(AA332="错误","前行待修正",IF(A333&lt;Z332,"日期需按成交顺序递增",IF(AND(B333="红利再投",F333&lt;&gt;0),"红利再投手续费应填 0",IF(AND(B333="红利再投",K332&lt;=0),"红利再投前须有持仓",IF(AND(B333="卖出",D333&gt;K332+0.000001),"卖出份额超过持仓",IF(AND(B333="卖出",F333&gt;=C333*D333),"赎回费不能达到赎回总额",IF(NOT(ISNUMBER(E333)),"自动金额未生成，请检查五项输入",IF(NOT(OR(持仓总览!$C$7="利润优先",持仓总览!$C$7="本金优先")),"请选择卖出分配模式","已计入")))))))))))))))))))</f>
        <v/>
      </c>
      <c r="J333" s="11">
        <f t="shared" si="99"/>
        <v>0</v>
      </c>
      <c r="K333" s="11">
        <f t="shared" si="104"/>
        <v>34284.43</v>
      </c>
      <c r="L333" s="11" t="str">
        <f t="shared" si="105"/>
        <v/>
      </c>
      <c r="M333" s="11" t="str">
        <f t="shared" si="106"/>
        <v/>
      </c>
      <c r="N333" s="11" t="str">
        <f>IF(I333="已计入",IF(AND(B333="卖出",持仓总览!$C$7="本金优先"),MAX(0,E333-Q332),IF(OR(B333="卖出",B333="现金分红"),MIN(E333,M333),0)),"")</f>
        <v/>
      </c>
      <c r="O333" s="11" t="str">
        <f t="shared" si="107"/>
        <v/>
      </c>
      <c r="P333" s="11" t="str">
        <f t="shared" si="108"/>
        <v/>
      </c>
      <c r="Q333" s="11">
        <f t="shared" si="109"/>
        <v>82516.01</v>
      </c>
      <c r="R333" s="11" t="str">
        <f t="shared" si="100"/>
        <v/>
      </c>
      <c r="S333" s="11" t="str">
        <f t="shared" si="101"/>
        <v/>
      </c>
      <c r="T333" s="12" t="str">
        <f t="shared" si="102"/>
        <v/>
      </c>
      <c r="U333" s="11">
        <f t="shared" si="110"/>
        <v>82516.01</v>
      </c>
      <c r="V333" s="11">
        <f t="shared" si="111"/>
        <v>0</v>
      </c>
      <c r="W333" s="11">
        <f t="shared" si="112"/>
        <v>0</v>
      </c>
      <c r="X333" s="11">
        <f t="shared" si="113"/>
        <v>0</v>
      </c>
      <c r="Y333" s="11" t="str">
        <f t="shared" si="103"/>
        <v/>
      </c>
      <c r="Z333" s="13">
        <f t="shared" si="114"/>
        <v>46247</v>
      </c>
      <c r="AA333" s="10" t="str">
        <f>IF(OR($AA$116="错误",COUNTIF($G$117:G333,"待修正")&gt;0),"错误","正常")</f>
        <v>正常</v>
      </c>
      <c r="AB333" s="14">
        <f t="shared" si="115"/>
        <v>2.7686</v>
      </c>
    </row>
    <row r="334" ht="23" customHeight="1" spans="1:28">
      <c r="A334" s="15"/>
      <c r="B334" s="16"/>
      <c r="C334" s="17"/>
      <c r="D334" s="18"/>
      <c r="E334" s="19" t="str">
        <f t="shared" si="96"/>
        <v/>
      </c>
      <c r="F334" s="18"/>
      <c r="G334" s="20" t="str">
        <f t="shared" si="97"/>
        <v/>
      </c>
      <c r="H334" s="21" t="str">
        <f t="shared" si="98"/>
        <v/>
      </c>
      <c r="I334" s="10" t="str">
        <f>IF(COUNTA(A334:D334,F334)=0,"",IF(NOT(ISNUMBER(A334)),"缺少有效净值日期",IF(OR(A334&lt;=0,A334&lt;&gt;INT(A334)),"净值日期无效",IF(OR(B334="转换转入",B334="现金分红"),"该类型需实际金额，五项录入不适用",IF(NOT(OR(OR(B334="买入",B334="定投"),B334="卖出",B334="红利再投")),"请选择交易类型",IF(NOT(ISNUMBER(C334)),"缺少成交净值",IF(C334&lt;=0,"成交净值须大于零",IF(NOT(ISNUMBER(D334)),"缺少确认份额",IF(D334&lt;=0,"确认份额须大于零",IF(NOT(ISNUMBER(F334)),"缺少手续费，无费用请填 0",IF(F334&lt;0,"手续费不能为负",IF(AA333="错误","前行待修正",IF(A334&lt;Z333,"日期需按成交顺序递增",IF(AND(B334="红利再投",F334&lt;&gt;0),"红利再投手续费应填 0",IF(AND(B334="红利再投",K333&lt;=0),"红利再投前须有持仓",IF(AND(B334="卖出",D334&gt;K333+0.000001),"卖出份额超过持仓",IF(AND(B334="卖出",F334&gt;=C334*D334),"赎回费不能达到赎回总额",IF(NOT(ISNUMBER(E334)),"自动金额未生成，请检查五项输入",IF(NOT(OR(持仓总览!$C$7="利润优先",持仓总览!$C$7="本金优先")),"请选择卖出分配模式","已计入")))))))))))))))))))</f>
        <v/>
      </c>
      <c r="J334" s="11">
        <f t="shared" si="99"/>
        <v>0</v>
      </c>
      <c r="K334" s="11">
        <f t="shared" si="104"/>
        <v>34284.43</v>
      </c>
      <c r="L334" s="11" t="str">
        <f t="shared" si="105"/>
        <v/>
      </c>
      <c r="M334" s="11" t="str">
        <f t="shared" si="106"/>
        <v/>
      </c>
      <c r="N334" s="11" t="str">
        <f>IF(I334="已计入",IF(AND(B334="卖出",持仓总览!$C$7="本金优先"),MAX(0,E334-Q333),IF(OR(B334="卖出",B334="现金分红"),MIN(E334,M334),0)),"")</f>
        <v/>
      </c>
      <c r="O334" s="11" t="str">
        <f t="shared" si="107"/>
        <v/>
      </c>
      <c r="P334" s="11" t="str">
        <f t="shared" si="108"/>
        <v/>
      </c>
      <c r="Q334" s="11">
        <f t="shared" si="109"/>
        <v>82516.01</v>
      </c>
      <c r="R334" s="11" t="str">
        <f t="shared" si="100"/>
        <v/>
      </c>
      <c r="S334" s="11" t="str">
        <f t="shared" si="101"/>
        <v/>
      </c>
      <c r="T334" s="12" t="str">
        <f t="shared" si="102"/>
        <v/>
      </c>
      <c r="U334" s="11">
        <f t="shared" si="110"/>
        <v>82516.01</v>
      </c>
      <c r="V334" s="11">
        <f t="shared" si="111"/>
        <v>0</v>
      </c>
      <c r="W334" s="11">
        <f t="shared" si="112"/>
        <v>0</v>
      </c>
      <c r="X334" s="11">
        <f t="shared" si="113"/>
        <v>0</v>
      </c>
      <c r="Y334" s="11" t="str">
        <f t="shared" si="103"/>
        <v/>
      </c>
      <c r="Z334" s="13">
        <f t="shared" si="114"/>
        <v>46247</v>
      </c>
      <c r="AA334" s="10" t="str">
        <f>IF(OR($AA$116="错误",COUNTIF($G$117:G334,"待修正")&gt;0),"错误","正常")</f>
        <v>正常</v>
      </c>
      <c r="AB334" s="14">
        <f t="shared" si="115"/>
        <v>2.7686</v>
      </c>
    </row>
    <row r="335" ht="23" customHeight="1" spans="1:28">
      <c r="A335" s="15"/>
      <c r="B335" s="16"/>
      <c r="C335" s="17"/>
      <c r="D335" s="18"/>
      <c r="E335" s="19" t="str">
        <f t="shared" si="96"/>
        <v/>
      </c>
      <c r="F335" s="18"/>
      <c r="G335" s="20" t="str">
        <f t="shared" si="97"/>
        <v/>
      </c>
      <c r="H335" s="21" t="str">
        <f t="shared" si="98"/>
        <v/>
      </c>
      <c r="I335" s="10" t="str">
        <f>IF(COUNTA(A335:D335,F335)=0,"",IF(NOT(ISNUMBER(A335)),"缺少有效净值日期",IF(OR(A335&lt;=0,A335&lt;&gt;INT(A335)),"净值日期无效",IF(OR(B335="转换转入",B335="现金分红"),"该类型需实际金额，五项录入不适用",IF(NOT(OR(OR(B335="买入",B335="定投"),B335="卖出",B335="红利再投")),"请选择交易类型",IF(NOT(ISNUMBER(C335)),"缺少成交净值",IF(C335&lt;=0,"成交净值须大于零",IF(NOT(ISNUMBER(D335)),"缺少确认份额",IF(D335&lt;=0,"确认份额须大于零",IF(NOT(ISNUMBER(F335)),"缺少手续费，无费用请填 0",IF(F335&lt;0,"手续费不能为负",IF(AA334="错误","前行待修正",IF(A335&lt;Z334,"日期需按成交顺序递增",IF(AND(B335="红利再投",F335&lt;&gt;0),"红利再投手续费应填 0",IF(AND(B335="红利再投",K334&lt;=0),"红利再投前须有持仓",IF(AND(B335="卖出",D335&gt;K334+0.000001),"卖出份额超过持仓",IF(AND(B335="卖出",F335&gt;=C335*D335),"赎回费不能达到赎回总额",IF(NOT(ISNUMBER(E335)),"自动金额未生成，请检查五项输入",IF(NOT(OR(持仓总览!$C$7="利润优先",持仓总览!$C$7="本金优先")),"请选择卖出分配模式","已计入")))))))))))))))))))</f>
        <v/>
      </c>
      <c r="J335" s="11">
        <f t="shared" si="99"/>
        <v>0</v>
      </c>
      <c r="K335" s="11">
        <f t="shared" si="104"/>
        <v>34284.43</v>
      </c>
      <c r="L335" s="11" t="str">
        <f t="shared" si="105"/>
        <v/>
      </c>
      <c r="M335" s="11" t="str">
        <f t="shared" si="106"/>
        <v/>
      </c>
      <c r="N335" s="11" t="str">
        <f>IF(I335="已计入",IF(AND(B335="卖出",持仓总览!$C$7="本金优先"),MAX(0,E335-Q334),IF(OR(B335="卖出",B335="现金分红"),MIN(E335,M335),0)),"")</f>
        <v/>
      </c>
      <c r="O335" s="11" t="str">
        <f t="shared" si="107"/>
        <v/>
      </c>
      <c r="P335" s="11" t="str">
        <f t="shared" si="108"/>
        <v/>
      </c>
      <c r="Q335" s="11">
        <f t="shared" si="109"/>
        <v>82516.01</v>
      </c>
      <c r="R335" s="11" t="str">
        <f t="shared" si="100"/>
        <v/>
      </c>
      <c r="S335" s="11" t="str">
        <f t="shared" si="101"/>
        <v/>
      </c>
      <c r="T335" s="12" t="str">
        <f t="shared" si="102"/>
        <v/>
      </c>
      <c r="U335" s="11">
        <f t="shared" si="110"/>
        <v>82516.01</v>
      </c>
      <c r="V335" s="11">
        <f t="shared" si="111"/>
        <v>0</v>
      </c>
      <c r="W335" s="11">
        <f t="shared" si="112"/>
        <v>0</v>
      </c>
      <c r="X335" s="11">
        <f t="shared" si="113"/>
        <v>0</v>
      </c>
      <c r="Y335" s="11" t="str">
        <f t="shared" si="103"/>
        <v/>
      </c>
      <c r="Z335" s="13">
        <f t="shared" si="114"/>
        <v>46247</v>
      </c>
      <c r="AA335" s="10" t="str">
        <f>IF(OR($AA$116="错误",COUNTIF($G$117:G335,"待修正")&gt;0),"错误","正常")</f>
        <v>正常</v>
      </c>
      <c r="AB335" s="14">
        <f t="shared" si="115"/>
        <v>2.7686</v>
      </c>
    </row>
    <row r="336" ht="23" customHeight="1" spans="1:28">
      <c r="A336" s="15"/>
      <c r="B336" s="16"/>
      <c r="C336" s="17"/>
      <c r="D336" s="18"/>
      <c r="E336" s="19" t="str">
        <f t="shared" si="96"/>
        <v/>
      </c>
      <c r="F336" s="18"/>
      <c r="G336" s="20" t="str">
        <f t="shared" si="97"/>
        <v/>
      </c>
      <c r="H336" s="21" t="str">
        <f t="shared" si="98"/>
        <v/>
      </c>
      <c r="I336" s="10" t="str">
        <f>IF(COUNTA(A336:D336,F336)=0,"",IF(NOT(ISNUMBER(A336)),"缺少有效净值日期",IF(OR(A336&lt;=0,A336&lt;&gt;INT(A336)),"净值日期无效",IF(OR(B336="转换转入",B336="现金分红"),"该类型需实际金额，五项录入不适用",IF(NOT(OR(OR(B336="买入",B336="定投"),B336="卖出",B336="红利再投")),"请选择交易类型",IF(NOT(ISNUMBER(C336)),"缺少成交净值",IF(C336&lt;=0,"成交净值须大于零",IF(NOT(ISNUMBER(D336)),"缺少确认份额",IF(D336&lt;=0,"确认份额须大于零",IF(NOT(ISNUMBER(F336)),"缺少手续费，无费用请填 0",IF(F336&lt;0,"手续费不能为负",IF(AA335="错误","前行待修正",IF(A336&lt;Z335,"日期需按成交顺序递增",IF(AND(B336="红利再投",F336&lt;&gt;0),"红利再投手续费应填 0",IF(AND(B336="红利再投",K335&lt;=0),"红利再投前须有持仓",IF(AND(B336="卖出",D336&gt;K335+0.000001),"卖出份额超过持仓",IF(AND(B336="卖出",F336&gt;=C336*D336),"赎回费不能达到赎回总额",IF(NOT(ISNUMBER(E336)),"自动金额未生成，请检查五项输入",IF(NOT(OR(持仓总览!$C$7="利润优先",持仓总览!$C$7="本金优先")),"请选择卖出分配模式","已计入")))))))))))))))))))</f>
        <v/>
      </c>
      <c r="J336" s="11">
        <f t="shared" si="99"/>
        <v>0</v>
      </c>
      <c r="K336" s="11">
        <f t="shared" si="104"/>
        <v>34284.43</v>
      </c>
      <c r="L336" s="11" t="str">
        <f t="shared" si="105"/>
        <v/>
      </c>
      <c r="M336" s="11" t="str">
        <f t="shared" si="106"/>
        <v/>
      </c>
      <c r="N336" s="11" t="str">
        <f>IF(I336="已计入",IF(AND(B336="卖出",持仓总览!$C$7="本金优先"),MAX(0,E336-Q335),IF(OR(B336="卖出",B336="现金分红"),MIN(E336,M336),0)),"")</f>
        <v/>
      </c>
      <c r="O336" s="11" t="str">
        <f t="shared" si="107"/>
        <v/>
      </c>
      <c r="P336" s="11" t="str">
        <f t="shared" si="108"/>
        <v/>
      </c>
      <c r="Q336" s="11">
        <f t="shared" si="109"/>
        <v>82516.01</v>
      </c>
      <c r="R336" s="11" t="str">
        <f t="shared" si="100"/>
        <v/>
      </c>
      <c r="S336" s="11" t="str">
        <f t="shared" si="101"/>
        <v/>
      </c>
      <c r="T336" s="12" t="str">
        <f t="shared" si="102"/>
        <v/>
      </c>
      <c r="U336" s="11">
        <f t="shared" si="110"/>
        <v>82516.01</v>
      </c>
      <c r="V336" s="11">
        <f t="shared" si="111"/>
        <v>0</v>
      </c>
      <c r="W336" s="11">
        <f t="shared" si="112"/>
        <v>0</v>
      </c>
      <c r="X336" s="11">
        <f t="shared" si="113"/>
        <v>0</v>
      </c>
      <c r="Y336" s="11" t="str">
        <f t="shared" si="103"/>
        <v/>
      </c>
      <c r="Z336" s="13">
        <f t="shared" si="114"/>
        <v>46247</v>
      </c>
      <c r="AA336" s="10" t="str">
        <f>IF(OR($AA$116="错误",COUNTIF($G$117:G336,"待修正")&gt;0),"错误","正常")</f>
        <v>正常</v>
      </c>
      <c r="AB336" s="14">
        <f t="shared" si="115"/>
        <v>2.7686</v>
      </c>
    </row>
    <row r="337" ht="23" customHeight="1" spans="1:28">
      <c r="A337" s="15"/>
      <c r="B337" s="16"/>
      <c r="C337" s="17"/>
      <c r="D337" s="18"/>
      <c r="E337" s="19" t="str">
        <f t="shared" si="96"/>
        <v/>
      </c>
      <c r="F337" s="18"/>
      <c r="G337" s="20" t="str">
        <f t="shared" si="97"/>
        <v/>
      </c>
      <c r="H337" s="21" t="str">
        <f t="shared" si="98"/>
        <v/>
      </c>
      <c r="I337" s="10" t="str">
        <f>IF(COUNTA(A337:D337,F337)=0,"",IF(NOT(ISNUMBER(A337)),"缺少有效净值日期",IF(OR(A337&lt;=0,A337&lt;&gt;INT(A337)),"净值日期无效",IF(OR(B337="转换转入",B337="现金分红"),"该类型需实际金额，五项录入不适用",IF(NOT(OR(OR(B337="买入",B337="定投"),B337="卖出",B337="红利再投")),"请选择交易类型",IF(NOT(ISNUMBER(C337)),"缺少成交净值",IF(C337&lt;=0,"成交净值须大于零",IF(NOT(ISNUMBER(D337)),"缺少确认份额",IF(D337&lt;=0,"确认份额须大于零",IF(NOT(ISNUMBER(F337)),"缺少手续费，无费用请填 0",IF(F337&lt;0,"手续费不能为负",IF(AA336="错误","前行待修正",IF(A337&lt;Z336,"日期需按成交顺序递增",IF(AND(B337="红利再投",F337&lt;&gt;0),"红利再投手续费应填 0",IF(AND(B337="红利再投",K336&lt;=0),"红利再投前须有持仓",IF(AND(B337="卖出",D337&gt;K336+0.000001),"卖出份额超过持仓",IF(AND(B337="卖出",F337&gt;=C337*D337),"赎回费不能达到赎回总额",IF(NOT(ISNUMBER(E337)),"自动金额未生成，请检查五项输入",IF(NOT(OR(持仓总览!$C$7="利润优先",持仓总览!$C$7="本金优先")),"请选择卖出分配模式","已计入")))))))))))))))))))</f>
        <v/>
      </c>
      <c r="J337" s="11">
        <f t="shared" si="99"/>
        <v>0</v>
      </c>
      <c r="K337" s="11">
        <f t="shared" si="104"/>
        <v>34284.43</v>
      </c>
      <c r="L337" s="11" t="str">
        <f t="shared" si="105"/>
        <v/>
      </c>
      <c r="M337" s="11" t="str">
        <f t="shared" si="106"/>
        <v/>
      </c>
      <c r="N337" s="11" t="str">
        <f>IF(I337="已计入",IF(AND(B337="卖出",持仓总览!$C$7="本金优先"),MAX(0,E337-Q336),IF(OR(B337="卖出",B337="现金分红"),MIN(E337,M337),0)),"")</f>
        <v/>
      </c>
      <c r="O337" s="11" t="str">
        <f t="shared" si="107"/>
        <v/>
      </c>
      <c r="P337" s="11" t="str">
        <f t="shared" si="108"/>
        <v/>
      </c>
      <c r="Q337" s="11">
        <f t="shared" si="109"/>
        <v>82516.01</v>
      </c>
      <c r="R337" s="11" t="str">
        <f t="shared" si="100"/>
        <v/>
      </c>
      <c r="S337" s="11" t="str">
        <f t="shared" si="101"/>
        <v/>
      </c>
      <c r="T337" s="12" t="str">
        <f t="shared" si="102"/>
        <v/>
      </c>
      <c r="U337" s="11">
        <f t="shared" si="110"/>
        <v>82516.01</v>
      </c>
      <c r="V337" s="11">
        <f t="shared" si="111"/>
        <v>0</v>
      </c>
      <c r="W337" s="11">
        <f t="shared" si="112"/>
        <v>0</v>
      </c>
      <c r="X337" s="11">
        <f t="shared" si="113"/>
        <v>0</v>
      </c>
      <c r="Y337" s="11" t="str">
        <f t="shared" si="103"/>
        <v/>
      </c>
      <c r="Z337" s="13">
        <f t="shared" si="114"/>
        <v>46247</v>
      </c>
      <c r="AA337" s="10" t="str">
        <f>IF(OR($AA$116="错误",COUNTIF($G$117:G337,"待修正")&gt;0),"错误","正常")</f>
        <v>正常</v>
      </c>
      <c r="AB337" s="14">
        <f t="shared" si="115"/>
        <v>2.7686</v>
      </c>
    </row>
    <row r="338" ht="23" customHeight="1" spans="1:28">
      <c r="A338" s="15"/>
      <c r="B338" s="16"/>
      <c r="C338" s="17"/>
      <c r="D338" s="18"/>
      <c r="E338" s="19" t="str">
        <f t="shared" si="96"/>
        <v/>
      </c>
      <c r="F338" s="18"/>
      <c r="G338" s="20" t="str">
        <f t="shared" si="97"/>
        <v/>
      </c>
      <c r="H338" s="21" t="str">
        <f t="shared" si="98"/>
        <v/>
      </c>
      <c r="I338" s="10" t="str">
        <f>IF(COUNTA(A338:D338,F338)=0,"",IF(NOT(ISNUMBER(A338)),"缺少有效净值日期",IF(OR(A338&lt;=0,A338&lt;&gt;INT(A338)),"净值日期无效",IF(OR(B338="转换转入",B338="现金分红"),"该类型需实际金额，五项录入不适用",IF(NOT(OR(OR(B338="买入",B338="定投"),B338="卖出",B338="红利再投")),"请选择交易类型",IF(NOT(ISNUMBER(C338)),"缺少成交净值",IF(C338&lt;=0,"成交净值须大于零",IF(NOT(ISNUMBER(D338)),"缺少确认份额",IF(D338&lt;=0,"确认份额须大于零",IF(NOT(ISNUMBER(F338)),"缺少手续费，无费用请填 0",IF(F338&lt;0,"手续费不能为负",IF(AA337="错误","前行待修正",IF(A338&lt;Z337,"日期需按成交顺序递增",IF(AND(B338="红利再投",F338&lt;&gt;0),"红利再投手续费应填 0",IF(AND(B338="红利再投",K337&lt;=0),"红利再投前须有持仓",IF(AND(B338="卖出",D338&gt;K337+0.000001),"卖出份额超过持仓",IF(AND(B338="卖出",F338&gt;=C338*D338),"赎回费不能达到赎回总额",IF(NOT(ISNUMBER(E338)),"自动金额未生成，请检查五项输入",IF(NOT(OR(持仓总览!$C$7="利润优先",持仓总览!$C$7="本金优先")),"请选择卖出分配模式","已计入")))))))))))))))))))</f>
        <v/>
      </c>
      <c r="J338" s="11">
        <f t="shared" si="99"/>
        <v>0</v>
      </c>
      <c r="K338" s="11">
        <f t="shared" si="104"/>
        <v>34284.43</v>
      </c>
      <c r="L338" s="11" t="str">
        <f t="shared" si="105"/>
        <v/>
      </c>
      <c r="M338" s="11" t="str">
        <f t="shared" si="106"/>
        <v/>
      </c>
      <c r="N338" s="11" t="str">
        <f>IF(I338="已计入",IF(AND(B338="卖出",持仓总览!$C$7="本金优先"),MAX(0,E338-Q337),IF(OR(B338="卖出",B338="现金分红"),MIN(E338,M338),0)),"")</f>
        <v/>
      </c>
      <c r="O338" s="11" t="str">
        <f t="shared" si="107"/>
        <v/>
      </c>
      <c r="P338" s="11" t="str">
        <f t="shared" si="108"/>
        <v/>
      </c>
      <c r="Q338" s="11">
        <f t="shared" si="109"/>
        <v>82516.01</v>
      </c>
      <c r="R338" s="11" t="str">
        <f t="shared" si="100"/>
        <v/>
      </c>
      <c r="S338" s="11" t="str">
        <f t="shared" si="101"/>
        <v/>
      </c>
      <c r="T338" s="12" t="str">
        <f t="shared" si="102"/>
        <v/>
      </c>
      <c r="U338" s="11">
        <f t="shared" si="110"/>
        <v>82516.01</v>
      </c>
      <c r="V338" s="11">
        <f t="shared" si="111"/>
        <v>0</v>
      </c>
      <c r="W338" s="11">
        <f t="shared" si="112"/>
        <v>0</v>
      </c>
      <c r="X338" s="11">
        <f t="shared" si="113"/>
        <v>0</v>
      </c>
      <c r="Y338" s="11" t="str">
        <f t="shared" si="103"/>
        <v/>
      </c>
      <c r="Z338" s="13">
        <f t="shared" si="114"/>
        <v>46247</v>
      </c>
      <c r="AA338" s="10" t="str">
        <f>IF(OR($AA$116="错误",COUNTIF($G$117:G338,"待修正")&gt;0),"错误","正常")</f>
        <v>正常</v>
      </c>
      <c r="AB338" s="14">
        <f t="shared" si="115"/>
        <v>2.7686</v>
      </c>
    </row>
    <row r="339" ht="23" customHeight="1" spans="1:28">
      <c r="A339" s="15"/>
      <c r="B339" s="16"/>
      <c r="C339" s="17"/>
      <c r="D339" s="18"/>
      <c r="E339" s="19" t="str">
        <f t="shared" si="96"/>
        <v/>
      </c>
      <c r="F339" s="18"/>
      <c r="G339" s="20" t="str">
        <f t="shared" si="97"/>
        <v/>
      </c>
      <c r="H339" s="21" t="str">
        <f t="shared" si="98"/>
        <v/>
      </c>
      <c r="I339" s="10" t="str">
        <f>IF(COUNTA(A339:D339,F339)=0,"",IF(NOT(ISNUMBER(A339)),"缺少有效净值日期",IF(OR(A339&lt;=0,A339&lt;&gt;INT(A339)),"净值日期无效",IF(OR(B339="转换转入",B339="现金分红"),"该类型需实际金额，五项录入不适用",IF(NOT(OR(OR(B339="买入",B339="定投"),B339="卖出",B339="红利再投")),"请选择交易类型",IF(NOT(ISNUMBER(C339)),"缺少成交净值",IF(C339&lt;=0,"成交净值须大于零",IF(NOT(ISNUMBER(D339)),"缺少确认份额",IF(D339&lt;=0,"确认份额须大于零",IF(NOT(ISNUMBER(F339)),"缺少手续费，无费用请填 0",IF(F339&lt;0,"手续费不能为负",IF(AA338="错误","前行待修正",IF(A339&lt;Z338,"日期需按成交顺序递增",IF(AND(B339="红利再投",F339&lt;&gt;0),"红利再投手续费应填 0",IF(AND(B339="红利再投",K338&lt;=0),"红利再投前须有持仓",IF(AND(B339="卖出",D339&gt;K338+0.000001),"卖出份额超过持仓",IF(AND(B339="卖出",F339&gt;=C339*D339),"赎回费不能达到赎回总额",IF(NOT(ISNUMBER(E339)),"自动金额未生成，请检查五项输入",IF(NOT(OR(持仓总览!$C$7="利润优先",持仓总览!$C$7="本金优先")),"请选择卖出分配模式","已计入")))))))))))))))))))</f>
        <v/>
      </c>
      <c r="J339" s="11">
        <f t="shared" si="99"/>
        <v>0</v>
      </c>
      <c r="K339" s="11">
        <f t="shared" si="104"/>
        <v>34284.43</v>
      </c>
      <c r="L339" s="11" t="str">
        <f t="shared" si="105"/>
        <v/>
      </c>
      <c r="M339" s="11" t="str">
        <f t="shared" si="106"/>
        <v/>
      </c>
      <c r="N339" s="11" t="str">
        <f>IF(I339="已计入",IF(AND(B339="卖出",持仓总览!$C$7="本金优先"),MAX(0,E339-Q338),IF(OR(B339="卖出",B339="现金分红"),MIN(E339,M339),0)),"")</f>
        <v/>
      </c>
      <c r="O339" s="11" t="str">
        <f t="shared" si="107"/>
        <v/>
      </c>
      <c r="P339" s="11" t="str">
        <f t="shared" si="108"/>
        <v/>
      </c>
      <c r="Q339" s="11">
        <f t="shared" si="109"/>
        <v>82516.01</v>
      </c>
      <c r="R339" s="11" t="str">
        <f t="shared" si="100"/>
        <v/>
      </c>
      <c r="S339" s="11" t="str">
        <f t="shared" si="101"/>
        <v/>
      </c>
      <c r="T339" s="12" t="str">
        <f t="shared" si="102"/>
        <v/>
      </c>
      <c r="U339" s="11">
        <f t="shared" si="110"/>
        <v>82516.01</v>
      </c>
      <c r="V339" s="11">
        <f t="shared" si="111"/>
        <v>0</v>
      </c>
      <c r="W339" s="11">
        <f t="shared" si="112"/>
        <v>0</v>
      </c>
      <c r="X339" s="11">
        <f t="shared" si="113"/>
        <v>0</v>
      </c>
      <c r="Y339" s="11" t="str">
        <f t="shared" si="103"/>
        <v/>
      </c>
      <c r="Z339" s="13">
        <f t="shared" si="114"/>
        <v>46247</v>
      </c>
      <c r="AA339" s="10" t="str">
        <f>IF(OR($AA$116="错误",COUNTIF($G$117:G339,"待修正")&gt;0),"错误","正常")</f>
        <v>正常</v>
      </c>
      <c r="AB339" s="14">
        <f t="shared" si="115"/>
        <v>2.7686</v>
      </c>
    </row>
    <row r="340" ht="23" customHeight="1" spans="1:28">
      <c r="A340" s="15"/>
      <c r="B340" s="16"/>
      <c r="C340" s="17"/>
      <c r="D340" s="18"/>
      <c r="E340" s="19" t="str">
        <f t="shared" si="96"/>
        <v/>
      </c>
      <c r="F340" s="18"/>
      <c r="G340" s="20" t="str">
        <f t="shared" si="97"/>
        <v/>
      </c>
      <c r="H340" s="21" t="str">
        <f t="shared" si="98"/>
        <v/>
      </c>
      <c r="I340" s="10" t="str">
        <f>IF(COUNTA(A340:D340,F340)=0,"",IF(NOT(ISNUMBER(A340)),"缺少有效净值日期",IF(OR(A340&lt;=0,A340&lt;&gt;INT(A340)),"净值日期无效",IF(OR(B340="转换转入",B340="现金分红"),"该类型需实际金额，五项录入不适用",IF(NOT(OR(OR(B340="买入",B340="定投"),B340="卖出",B340="红利再投")),"请选择交易类型",IF(NOT(ISNUMBER(C340)),"缺少成交净值",IF(C340&lt;=0,"成交净值须大于零",IF(NOT(ISNUMBER(D340)),"缺少确认份额",IF(D340&lt;=0,"确认份额须大于零",IF(NOT(ISNUMBER(F340)),"缺少手续费，无费用请填 0",IF(F340&lt;0,"手续费不能为负",IF(AA339="错误","前行待修正",IF(A340&lt;Z339,"日期需按成交顺序递增",IF(AND(B340="红利再投",F340&lt;&gt;0),"红利再投手续费应填 0",IF(AND(B340="红利再投",K339&lt;=0),"红利再投前须有持仓",IF(AND(B340="卖出",D340&gt;K339+0.000001),"卖出份额超过持仓",IF(AND(B340="卖出",F340&gt;=C340*D340),"赎回费不能达到赎回总额",IF(NOT(ISNUMBER(E340)),"自动金额未生成，请检查五项输入",IF(NOT(OR(持仓总览!$C$7="利润优先",持仓总览!$C$7="本金优先")),"请选择卖出分配模式","已计入")))))))))))))))))))</f>
        <v/>
      </c>
      <c r="J340" s="11">
        <f t="shared" si="99"/>
        <v>0</v>
      </c>
      <c r="K340" s="11">
        <f t="shared" si="104"/>
        <v>34284.43</v>
      </c>
      <c r="L340" s="11" t="str">
        <f t="shared" si="105"/>
        <v/>
      </c>
      <c r="M340" s="11" t="str">
        <f t="shared" si="106"/>
        <v/>
      </c>
      <c r="N340" s="11" t="str">
        <f>IF(I340="已计入",IF(AND(B340="卖出",持仓总览!$C$7="本金优先"),MAX(0,E340-Q339),IF(OR(B340="卖出",B340="现金分红"),MIN(E340,M340),0)),"")</f>
        <v/>
      </c>
      <c r="O340" s="11" t="str">
        <f t="shared" si="107"/>
        <v/>
      </c>
      <c r="P340" s="11" t="str">
        <f t="shared" si="108"/>
        <v/>
      </c>
      <c r="Q340" s="11">
        <f t="shared" si="109"/>
        <v>82516.01</v>
      </c>
      <c r="R340" s="11" t="str">
        <f t="shared" si="100"/>
        <v/>
      </c>
      <c r="S340" s="11" t="str">
        <f t="shared" si="101"/>
        <v/>
      </c>
      <c r="T340" s="12" t="str">
        <f t="shared" si="102"/>
        <v/>
      </c>
      <c r="U340" s="11">
        <f t="shared" si="110"/>
        <v>82516.01</v>
      </c>
      <c r="V340" s="11">
        <f t="shared" si="111"/>
        <v>0</v>
      </c>
      <c r="W340" s="11">
        <f t="shared" si="112"/>
        <v>0</v>
      </c>
      <c r="X340" s="11">
        <f t="shared" si="113"/>
        <v>0</v>
      </c>
      <c r="Y340" s="11" t="str">
        <f t="shared" si="103"/>
        <v/>
      </c>
      <c r="Z340" s="13">
        <f t="shared" si="114"/>
        <v>46247</v>
      </c>
      <c r="AA340" s="10" t="str">
        <f>IF(OR($AA$116="错误",COUNTIF($G$117:G340,"待修正")&gt;0),"错误","正常")</f>
        <v>正常</v>
      </c>
      <c r="AB340" s="14">
        <f t="shared" si="115"/>
        <v>2.7686</v>
      </c>
    </row>
    <row r="341" ht="23" customHeight="1" spans="1:28">
      <c r="A341" s="15"/>
      <c r="B341" s="16"/>
      <c r="C341" s="17"/>
      <c r="D341" s="18"/>
      <c r="E341" s="19" t="str">
        <f t="shared" si="96"/>
        <v/>
      </c>
      <c r="F341" s="18"/>
      <c r="G341" s="20" t="str">
        <f t="shared" si="97"/>
        <v/>
      </c>
      <c r="H341" s="21" t="str">
        <f t="shared" si="98"/>
        <v/>
      </c>
      <c r="I341" s="10" t="str">
        <f>IF(COUNTA(A341:D341,F341)=0,"",IF(NOT(ISNUMBER(A341)),"缺少有效净值日期",IF(OR(A341&lt;=0,A341&lt;&gt;INT(A341)),"净值日期无效",IF(OR(B341="转换转入",B341="现金分红"),"该类型需实际金额，五项录入不适用",IF(NOT(OR(OR(B341="买入",B341="定投"),B341="卖出",B341="红利再投")),"请选择交易类型",IF(NOT(ISNUMBER(C341)),"缺少成交净值",IF(C341&lt;=0,"成交净值须大于零",IF(NOT(ISNUMBER(D341)),"缺少确认份额",IF(D341&lt;=0,"确认份额须大于零",IF(NOT(ISNUMBER(F341)),"缺少手续费，无费用请填 0",IF(F341&lt;0,"手续费不能为负",IF(AA340="错误","前行待修正",IF(A341&lt;Z340,"日期需按成交顺序递增",IF(AND(B341="红利再投",F341&lt;&gt;0),"红利再投手续费应填 0",IF(AND(B341="红利再投",K340&lt;=0),"红利再投前须有持仓",IF(AND(B341="卖出",D341&gt;K340+0.000001),"卖出份额超过持仓",IF(AND(B341="卖出",F341&gt;=C341*D341),"赎回费不能达到赎回总额",IF(NOT(ISNUMBER(E341)),"自动金额未生成，请检查五项输入",IF(NOT(OR(持仓总览!$C$7="利润优先",持仓总览!$C$7="本金优先")),"请选择卖出分配模式","已计入")))))))))))))))))))</f>
        <v/>
      </c>
      <c r="J341" s="11">
        <f t="shared" si="99"/>
        <v>0</v>
      </c>
      <c r="K341" s="11">
        <f t="shared" si="104"/>
        <v>34284.43</v>
      </c>
      <c r="L341" s="11" t="str">
        <f t="shared" si="105"/>
        <v/>
      </c>
      <c r="M341" s="11" t="str">
        <f t="shared" si="106"/>
        <v/>
      </c>
      <c r="N341" s="11" t="str">
        <f>IF(I341="已计入",IF(AND(B341="卖出",持仓总览!$C$7="本金优先"),MAX(0,E341-Q340),IF(OR(B341="卖出",B341="现金分红"),MIN(E341,M341),0)),"")</f>
        <v/>
      </c>
      <c r="O341" s="11" t="str">
        <f t="shared" si="107"/>
        <v/>
      </c>
      <c r="P341" s="11" t="str">
        <f t="shared" si="108"/>
        <v/>
      </c>
      <c r="Q341" s="11">
        <f t="shared" si="109"/>
        <v>82516.01</v>
      </c>
      <c r="R341" s="11" t="str">
        <f t="shared" si="100"/>
        <v/>
      </c>
      <c r="S341" s="11" t="str">
        <f t="shared" si="101"/>
        <v/>
      </c>
      <c r="T341" s="12" t="str">
        <f t="shared" si="102"/>
        <v/>
      </c>
      <c r="U341" s="11">
        <f t="shared" si="110"/>
        <v>82516.01</v>
      </c>
      <c r="V341" s="11">
        <f t="shared" si="111"/>
        <v>0</v>
      </c>
      <c r="W341" s="11">
        <f t="shared" si="112"/>
        <v>0</v>
      </c>
      <c r="X341" s="11">
        <f t="shared" si="113"/>
        <v>0</v>
      </c>
      <c r="Y341" s="11" t="str">
        <f t="shared" si="103"/>
        <v/>
      </c>
      <c r="Z341" s="13">
        <f t="shared" si="114"/>
        <v>46247</v>
      </c>
      <c r="AA341" s="10" t="str">
        <f>IF(OR($AA$116="错误",COUNTIF($G$117:G341,"待修正")&gt;0),"错误","正常")</f>
        <v>正常</v>
      </c>
      <c r="AB341" s="14">
        <f t="shared" si="115"/>
        <v>2.7686</v>
      </c>
    </row>
    <row r="342" ht="23" customHeight="1" spans="1:28">
      <c r="A342" s="15"/>
      <c r="B342" s="16"/>
      <c r="C342" s="17"/>
      <c r="D342" s="18"/>
      <c r="E342" s="19" t="str">
        <f t="shared" si="96"/>
        <v/>
      </c>
      <c r="F342" s="18"/>
      <c r="G342" s="20" t="str">
        <f t="shared" si="97"/>
        <v/>
      </c>
      <c r="H342" s="21" t="str">
        <f t="shared" si="98"/>
        <v/>
      </c>
      <c r="I342" s="10" t="str">
        <f>IF(COUNTA(A342:D342,F342)=0,"",IF(NOT(ISNUMBER(A342)),"缺少有效净值日期",IF(OR(A342&lt;=0,A342&lt;&gt;INT(A342)),"净值日期无效",IF(OR(B342="转换转入",B342="现金分红"),"该类型需实际金额，五项录入不适用",IF(NOT(OR(OR(B342="买入",B342="定投"),B342="卖出",B342="红利再投")),"请选择交易类型",IF(NOT(ISNUMBER(C342)),"缺少成交净值",IF(C342&lt;=0,"成交净值须大于零",IF(NOT(ISNUMBER(D342)),"缺少确认份额",IF(D342&lt;=0,"确认份额须大于零",IF(NOT(ISNUMBER(F342)),"缺少手续费，无费用请填 0",IF(F342&lt;0,"手续费不能为负",IF(AA341="错误","前行待修正",IF(A342&lt;Z341,"日期需按成交顺序递增",IF(AND(B342="红利再投",F342&lt;&gt;0),"红利再投手续费应填 0",IF(AND(B342="红利再投",K341&lt;=0),"红利再投前须有持仓",IF(AND(B342="卖出",D342&gt;K341+0.000001),"卖出份额超过持仓",IF(AND(B342="卖出",F342&gt;=C342*D342),"赎回费不能达到赎回总额",IF(NOT(ISNUMBER(E342)),"自动金额未生成，请检查五项输入",IF(NOT(OR(持仓总览!$C$7="利润优先",持仓总览!$C$7="本金优先")),"请选择卖出分配模式","已计入")))))))))))))))))))</f>
        <v/>
      </c>
      <c r="J342" s="11">
        <f t="shared" si="99"/>
        <v>0</v>
      </c>
      <c r="K342" s="11">
        <f t="shared" si="104"/>
        <v>34284.43</v>
      </c>
      <c r="L342" s="11" t="str">
        <f t="shared" si="105"/>
        <v/>
      </c>
      <c r="M342" s="11" t="str">
        <f t="shared" si="106"/>
        <v/>
      </c>
      <c r="N342" s="11" t="str">
        <f>IF(I342="已计入",IF(AND(B342="卖出",持仓总览!$C$7="本金优先"),MAX(0,E342-Q341),IF(OR(B342="卖出",B342="现金分红"),MIN(E342,M342),0)),"")</f>
        <v/>
      </c>
      <c r="O342" s="11" t="str">
        <f t="shared" si="107"/>
        <v/>
      </c>
      <c r="P342" s="11" t="str">
        <f t="shared" si="108"/>
        <v/>
      </c>
      <c r="Q342" s="11">
        <f t="shared" si="109"/>
        <v>82516.01</v>
      </c>
      <c r="R342" s="11" t="str">
        <f t="shared" si="100"/>
        <v/>
      </c>
      <c r="S342" s="11" t="str">
        <f t="shared" si="101"/>
        <v/>
      </c>
      <c r="T342" s="12" t="str">
        <f t="shared" si="102"/>
        <v/>
      </c>
      <c r="U342" s="11">
        <f t="shared" si="110"/>
        <v>82516.01</v>
      </c>
      <c r="V342" s="11">
        <f t="shared" si="111"/>
        <v>0</v>
      </c>
      <c r="W342" s="11">
        <f t="shared" si="112"/>
        <v>0</v>
      </c>
      <c r="X342" s="11">
        <f t="shared" si="113"/>
        <v>0</v>
      </c>
      <c r="Y342" s="11" t="str">
        <f t="shared" si="103"/>
        <v/>
      </c>
      <c r="Z342" s="13">
        <f t="shared" si="114"/>
        <v>46247</v>
      </c>
      <c r="AA342" s="10" t="str">
        <f>IF(OR($AA$116="错误",COUNTIF($G$117:G342,"待修正")&gt;0),"错误","正常")</f>
        <v>正常</v>
      </c>
      <c r="AB342" s="14">
        <f t="shared" si="115"/>
        <v>2.7686</v>
      </c>
    </row>
    <row r="343" ht="23" customHeight="1" spans="1:28">
      <c r="A343" s="15"/>
      <c r="B343" s="16"/>
      <c r="C343" s="17"/>
      <c r="D343" s="18"/>
      <c r="E343" s="19" t="str">
        <f t="shared" si="96"/>
        <v/>
      </c>
      <c r="F343" s="18"/>
      <c r="G343" s="20" t="str">
        <f t="shared" si="97"/>
        <v/>
      </c>
      <c r="H343" s="21" t="str">
        <f t="shared" si="98"/>
        <v/>
      </c>
      <c r="I343" s="10" t="str">
        <f>IF(COUNTA(A343:D343,F343)=0,"",IF(NOT(ISNUMBER(A343)),"缺少有效净值日期",IF(OR(A343&lt;=0,A343&lt;&gt;INT(A343)),"净值日期无效",IF(OR(B343="转换转入",B343="现金分红"),"该类型需实际金额，五项录入不适用",IF(NOT(OR(OR(B343="买入",B343="定投"),B343="卖出",B343="红利再投")),"请选择交易类型",IF(NOT(ISNUMBER(C343)),"缺少成交净值",IF(C343&lt;=0,"成交净值须大于零",IF(NOT(ISNUMBER(D343)),"缺少确认份额",IF(D343&lt;=0,"确认份额须大于零",IF(NOT(ISNUMBER(F343)),"缺少手续费，无费用请填 0",IF(F343&lt;0,"手续费不能为负",IF(AA342="错误","前行待修正",IF(A343&lt;Z342,"日期需按成交顺序递增",IF(AND(B343="红利再投",F343&lt;&gt;0),"红利再投手续费应填 0",IF(AND(B343="红利再投",K342&lt;=0),"红利再投前须有持仓",IF(AND(B343="卖出",D343&gt;K342+0.000001),"卖出份额超过持仓",IF(AND(B343="卖出",F343&gt;=C343*D343),"赎回费不能达到赎回总额",IF(NOT(ISNUMBER(E343)),"自动金额未生成，请检查五项输入",IF(NOT(OR(持仓总览!$C$7="利润优先",持仓总览!$C$7="本金优先")),"请选择卖出分配模式","已计入")))))))))))))))))))</f>
        <v/>
      </c>
      <c r="J343" s="11">
        <f t="shared" si="99"/>
        <v>0</v>
      </c>
      <c r="K343" s="11">
        <f t="shared" si="104"/>
        <v>34284.43</v>
      </c>
      <c r="L343" s="11" t="str">
        <f t="shared" si="105"/>
        <v/>
      </c>
      <c r="M343" s="11" t="str">
        <f t="shared" si="106"/>
        <v/>
      </c>
      <c r="N343" s="11" t="str">
        <f>IF(I343="已计入",IF(AND(B343="卖出",持仓总览!$C$7="本金优先"),MAX(0,E343-Q342),IF(OR(B343="卖出",B343="现金分红"),MIN(E343,M343),0)),"")</f>
        <v/>
      </c>
      <c r="O343" s="11" t="str">
        <f t="shared" si="107"/>
        <v/>
      </c>
      <c r="P343" s="11" t="str">
        <f t="shared" si="108"/>
        <v/>
      </c>
      <c r="Q343" s="11">
        <f t="shared" si="109"/>
        <v>82516.01</v>
      </c>
      <c r="R343" s="11" t="str">
        <f t="shared" si="100"/>
        <v/>
      </c>
      <c r="S343" s="11" t="str">
        <f t="shared" si="101"/>
        <v/>
      </c>
      <c r="T343" s="12" t="str">
        <f t="shared" si="102"/>
        <v/>
      </c>
      <c r="U343" s="11">
        <f t="shared" si="110"/>
        <v>82516.01</v>
      </c>
      <c r="V343" s="11">
        <f t="shared" si="111"/>
        <v>0</v>
      </c>
      <c r="W343" s="11">
        <f t="shared" si="112"/>
        <v>0</v>
      </c>
      <c r="X343" s="11">
        <f t="shared" si="113"/>
        <v>0</v>
      </c>
      <c r="Y343" s="11" t="str">
        <f t="shared" si="103"/>
        <v/>
      </c>
      <c r="Z343" s="13">
        <f t="shared" si="114"/>
        <v>46247</v>
      </c>
      <c r="AA343" s="10" t="str">
        <f>IF(OR($AA$116="错误",COUNTIF($G$117:G343,"待修正")&gt;0),"错误","正常")</f>
        <v>正常</v>
      </c>
      <c r="AB343" s="14">
        <f t="shared" si="115"/>
        <v>2.7686</v>
      </c>
    </row>
    <row r="344" ht="23" customHeight="1" spans="1:28">
      <c r="A344" s="15"/>
      <c r="B344" s="16"/>
      <c r="C344" s="17"/>
      <c r="D344" s="18"/>
      <c r="E344" s="19" t="str">
        <f t="shared" si="96"/>
        <v/>
      </c>
      <c r="F344" s="18"/>
      <c r="G344" s="20" t="str">
        <f t="shared" si="97"/>
        <v/>
      </c>
      <c r="H344" s="21" t="str">
        <f t="shared" si="98"/>
        <v/>
      </c>
      <c r="I344" s="10" t="str">
        <f>IF(COUNTA(A344:D344,F344)=0,"",IF(NOT(ISNUMBER(A344)),"缺少有效净值日期",IF(OR(A344&lt;=0,A344&lt;&gt;INT(A344)),"净值日期无效",IF(OR(B344="转换转入",B344="现金分红"),"该类型需实际金额，五项录入不适用",IF(NOT(OR(OR(B344="买入",B344="定投"),B344="卖出",B344="红利再投")),"请选择交易类型",IF(NOT(ISNUMBER(C344)),"缺少成交净值",IF(C344&lt;=0,"成交净值须大于零",IF(NOT(ISNUMBER(D344)),"缺少确认份额",IF(D344&lt;=0,"确认份额须大于零",IF(NOT(ISNUMBER(F344)),"缺少手续费，无费用请填 0",IF(F344&lt;0,"手续费不能为负",IF(AA343="错误","前行待修正",IF(A344&lt;Z343,"日期需按成交顺序递增",IF(AND(B344="红利再投",F344&lt;&gt;0),"红利再投手续费应填 0",IF(AND(B344="红利再投",K343&lt;=0),"红利再投前须有持仓",IF(AND(B344="卖出",D344&gt;K343+0.000001),"卖出份额超过持仓",IF(AND(B344="卖出",F344&gt;=C344*D344),"赎回费不能达到赎回总额",IF(NOT(ISNUMBER(E344)),"自动金额未生成，请检查五项输入",IF(NOT(OR(持仓总览!$C$7="利润优先",持仓总览!$C$7="本金优先")),"请选择卖出分配模式","已计入")))))))))))))))))))</f>
        <v/>
      </c>
      <c r="J344" s="11">
        <f t="shared" si="99"/>
        <v>0</v>
      </c>
      <c r="K344" s="11">
        <f t="shared" si="104"/>
        <v>34284.43</v>
      </c>
      <c r="L344" s="11" t="str">
        <f t="shared" si="105"/>
        <v/>
      </c>
      <c r="M344" s="11" t="str">
        <f t="shared" si="106"/>
        <v/>
      </c>
      <c r="N344" s="11" t="str">
        <f>IF(I344="已计入",IF(AND(B344="卖出",持仓总览!$C$7="本金优先"),MAX(0,E344-Q343),IF(OR(B344="卖出",B344="现金分红"),MIN(E344,M344),0)),"")</f>
        <v/>
      </c>
      <c r="O344" s="11" t="str">
        <f t="shared" si="107"/>
        <v/>
      </c>
      <c r="P344" s="11" t="str">
        <f t="shared" si="108"/>
        <v/>
      </c>
      <c r="Q344" s="11">
        <f t="shared" si="109"/>
        <v>82516.01</v>
      </c>
      <c r="R344" s="11" t="str">
        <f t="shared" si="100"/>
        <v/>
      </c>
      <c r="S344" s="11" t="str">
        <f t="shared" si="101"/>
        <v/>
      </c>
      <c r="T344" s="12" t="str">
        <f t="shared" si="102"/>
        <v/>
      </c>
      <c r="U344" s="11">
        <f t="shared" si="110"/>
        <v>82516.01</v>
      </c>
      <c r="V344" s="11">
        <f t="shared" si="111"/>
        <v>0</v>
      </c>
      <c r="W344" s="11">
        <f t="shared" si="112"/>
        <v>0</v>
      </c>
      <c r="X344" s="11">
        <f t="shared" si="113"/>
        <v>0</v>
      </c>
      <c r="Y344" s="11" t="str">
        <f t="shared" si="103"/>
        <v/>
      </c>
      <c r="Z344" s="13">
        <f t="shared" si="114"/>
        <v>46247</v>
      </c>
      <c r="AA344" s="10" t="str">
        <f>IF(OR($AA$116="错误",COUNTIF($G$117:G344,"待修正")&gt;0),"错误","正常")</f>
        <v>正常</v>
      </c>
      <c r="AB344" s="14">
        <f t="shared" si="115"/>
        <v>2.7686</v>
      </c>
    </row>
    <row r="345" ht="23" customHeight="1" spans="1:28">
      <c r="A345" s="15"/>
      <c r="B345" s="16"/>
      <c r="C345" s="17"/>
      <c r="D345" s="18"/>
      <c r="E345" s="19" t="str">
        <f t="shared" si="96"/>
        <v/>
      </c>
      <c r="F345" s="18"/>
      <c r="G345" s="20" t="str">
        <f t="shared" si="97"/>
        <v/>
      </c>
      <c r="H345" s="21" t="str">
        <f t="shared" si="98"/>
        <v/>
      </c>
      <c r="I345" s="10" t="str">
        <f>IF(COUNTA(A345:D345,F345)=0,"",IF(NOT(ISNUMBER(A345)),"缺少有效净值日期",IF(OR(A345&lt;=0,A345&lt;&gt;INT(A345)),"净值日期无效",IF(OR(B345="转换转入",B345="现金分红"),"该类型需实际金额，五项录入不适用",IF(NOT(OR(OR(B345="买入",B345="定投"),B345="卖出",B345="红利再投")),"请选择交易类型",IF(NOT(ISNUMBER(C345)),"缺少成交净值",IF(C345&lt;=0,"成交净值须大于零",IF(NOT(ISNUMBER(D345)),"缺少确认份额",IF(D345&lt;=0,"确认份额须大于零",IF(NOT(ISNUMBER(F345)),"缺少手续费，无费用请填 0",IF(F345&lt;0,"手续费不能为负",IF(AA344="错误","前行待修正",IF(A345&lt;Z344,"日期需按成交顺序递增",IF(AND(B345="红利再投",F345&lt;&gt;0),"红利再投手续费应填 0",IF(AND(B345="红利再投",K344&lt;=0),"红利再投前须有持仓",IF(AND(B345="卖出",D345&gt;K344+0.000001),"卖出份额超过持仓",IF(AND(B345="卖出",F345&gt;=C345*D345),"赎回费不能达到赎回总额",IF(NOT(ISNUMBER(E345)),"自动金额未生成，请检查五项输入",IF(NOT(OR(持仓总览!$C$7="利润优先",持仓总览!$C$7="本金优先")),"请选择卖出分配模式","已计入")))))))))))))))))))</f>
        <v/>
      </c>
      <c r="J345" s="11">
        <f t="shared" si="99"/>
        <v>0</v>
      </c>
      <c r="K345" s="11">
        <f t="shared" si="104"/>
        <v>34284.43</v>
      </c>
      <c r="L345" s="11" t="str">
        <f t="shared" si="105"/>
        <v/>
      </c>
      <c r="M345" s="11" t="str">
        <f t="shared" si="106"/>
        <v/>
      </c>
      <c r="N345" s="11" t="str">
        <f>IF(I345="已计入",IF(AND(B345="卖出",持仓总览!$C$7="本金优先"),MAX(0,E345-Q344),IF(OR(B345="卖出",B345="现金分红"),MIN(E345,M345),0)),"")</f>
        <v/>
      </c>
      <c r="O345" s="11" t="str">
        <f t="shared" si="107"/>
        <v/>
      </c>
      <c r="P345" s="11" t="str">
        <f t="shared" si="108"/>
        <v/>
      </c>
      <c r="Q345" s="11">
        <f t="shared" si="109"/>
        <v>82516.01</v>
      </c>
      <c r="R345" s="11" t="str">
        <f t="shared" si="100"/>
        <v/>
      </c>
      <c r="S345" s="11" t="str">
        <f t="shared" si="101"/>
        <v/>
      </c>
      <c r="T345" s="12" t="str">
        <f t="shared" si="102"/>
        <v/>
      </c>
      <c r="U345" s="11">
        <f t="shared" si="110"/>
        <v>82516.01</v>
      </c>
      <c r="V345" s="11">
        <f t="shared" si="111"/>
        <v>0</v>
      </c>
      <c r="W345" s="11">
        <f t="shared" si="112"/>
        <v>0</v>
      </c>
      <c r="X345" s="11">
        <f t="shared" si="113"/>
        <v>0</v>
      </c>
      <c r="Y345" s="11" t="str">
        <f t="shared" si="103"/>
        <v/>
      </c>
      <c r="Z345" s="13">
        <f t="shared" si="114"/>
        <v>46247</v>
      </c>
      <c r="AA345" s="10" t="str">
        <f>IF(OR($AA$116="错误",COUNTIF($G$117:G345,"待修正")&gt;0),"错误","正常")</f>
        <v>正常</v>
      </c>
      <c r="AB345" s="14">
        <f t="shared" si="115"/>
        <v>2.7686</v>
      </c>
    </row>
    <row r="346" ht="23" customHeight="1" spans="1:28">
      <c r="A346" s="15"/>
      <c r="B346" s="16"/>
      <c r="C346" s="17"/>
      <c r="D346" s="18"/>
      <c r="E346" s="19" t="str">
        <f t="shared" si="96"/>
        <v/>
      </c>
      <c r="F346" s="18"/>
      <c r="G346" s="20" t="str">
        <f t="shared" si="97"/>
        <v/>
      </c>
      <c r="H346" s="21" t="str">
        <f t="shared" si="98"/>
        <v/>
      </c>
      <c r="I346" s="10" t="str">
        <f>IF(COUNTA(A346:D346,F346)=0,"",IF(NOT(ISNUMBER(A346)),"缺少有效净值日期",IF(OR(A346&lt;=0,A346&lt;&gt;INT(A346)),"净值日期无效",IF(OR(B346="转换转入",B346="现金分红"),"该类型需实际金额，五项录入不适用",IF(NOT(OR(OR(B346="买入",B346="定投"),B346="卖出",B346="红利再投")),"请选择交易类型",IF(NOT(ISNUMBER(C346)),"缺少成交净值",IF(C346&lt;=0,"成交净值须大于零",IF(NOT(ISNUMBER(D346)),"缺少确认份额",IF(D346&lt;=0,"确认份额须大于零",IF(NOT(ISNUMBER(F346)),"缺少手续费，无费用请填 0",IF(F346&lt;0,"手续费不能为负",IF(AA345="错误","前行待修正",IF(A346&lt;Z345,"日期需按成交顺序递增",IF(AND(B346="红利再投",F346&lt;&gt;0),"红利再投手续费应填 0",IF(AND(B346="红利再投",K345&lt;=0),"红利再投前须有持仓",IF(AND(B346="卖出",D346&gt;K345+0.000001),"卖出份额超过持仓",IF(AND(B346="卖出",F346&gt;=C346*D346),"赎回费不能达到赎回总额",IF(NOT(ISNUMBER(E346)),"自动金额未生成，请检查五项输入",IF(NOT(OR(持仓总览!$C$7="利润优先",持仓总览!$C$7="本金优先")),"请选择卖出分配模式","已计入")))))))))))))))))))</f>
        <v/>
      </c>
      <c r="J346" s="11">
        <f t="shared" si="99"/>
        <v>0</v>
      </c>
      <c r="K346" s="11">
        <f t="shared" si="104"/>
        <v>34284.43</v>
      </c>
      <c r="L346" s="11" t="str">
        <f t="shared" si="105"/>
        <v/>
      </c>
      <c r="M346" s="11" t="str">
        <f t="shared" si="106"/>
        <v/>
      </c>
      <c r="N346" s="11" t="str">
        <f>IF(I346="已计入",IF(AND(B346="卖出",持仓总览!$C$7="本金优先"),MAX(0,E346-Q345),IF(OR(B346="卖出",B346="现金分红"),MIN(E346,M346),0)),"")</f>
        <v/>
      </c>
      <c r="O346" s="11" t="str">
        <f t="shared" si="107"/>
        <v/>
      </c>
      <c r="P346" s="11" t="str">
        <f t="shared" si="108"/>
        <v/>
      </c>
      <c r="Q346" s="11">
        <f t="shared" si="109"/>
        <v>82516.01</v>
      </c>
      <c r="R346" s="11" t="str">
        <f t="shared" si="100"/>
        <v/>
      </c>
      <c r="S346" s="11" t="str">
        <f t="shared" si="101"/>
        <v/>
      </c>
      <c r="T346" s="12" t="str">
        <f t="shared" si="102"/>
        <v/>
      </c>
      <c r="U346" s="11">
        <f t="shared" si="110"/>
        <v>82516.01</v>
      </c>
      <c r="V346" s="11">
        <f t="shared" si="111"/>
        <v>0</v>
      </c>
      <c r="W346" s="11">
        <f t="shared" si="112"/>
        <v>0</v>
      </c>
      <c r="X346" s="11">
        <f t="shared" si="113"/>
        <v>0</v>
      </c>
      <c r="Y346" s="11" t="str">
        <f t="shared" si="103"/>
        <v/>
      </c>
      <c r="Z346" s="13">
        <f t="shared" si="114"/>
        <v>46247</v>
      </c>
      <c r="AA346" s="10" t="str">
        <f>IF(OR($AA$116="错误",COUNTIF($G$117:G346,"待修正")&gt;0),"错误","正常")</f>
        <v>正常</v>
      </c>
      <c r="AB346" s="14">
        <f t="shared" si="115"/>
        <v>2.7686</v>
      </c>
    </row>
    <row r="347" ht="23" customHeight="1" spans="1:28">
      <c r="A347" s="15"/>
      <c r="B347" s="16"/>
      <c r="C347" s="17"/>
      <c r="D347" s="18"/>
      <c r="E347" s="19" t="str">
        <f t="shared" si="96"/>
        <v/>
      </c>
      <c r="F347" s="18"/>
      <c r="G347" s="20" t="str">
        <f t="shared" si="97"/>
        <v/>
      </c>
      <c r="H347" s="21" t="str">
        <f t="shared" si="98"/>
        <v/>
      </c>
      <c r="I347" s="10" t="str">
        <f>IF(COUNTA(A347:D347,F347)=0,"",IF(NOT(ISNUMBER(A347)),"缺少有效净值日期",IF(OR(A347&lt;=0,A347&lt;&gt;INT(A347)),"净值日期无效",IF(OR(B347="转换转入",B347="现金分红"),"该类型需实际金额，五项录入不适用",IF(NOT(OR(OR(B347="买入",B347="定投"),B347="卖出",B347="红利再投")),"请选择交易类型",IF(NOT(ISNUMBER(C347)),"缺少成交净值",IF(C347&lt;=0,"成交净值须大于零",IF(NOT(ISNUMBER(D347)),"缺少确认份额",IF(D347&lt;=0,"确认份额须大于零",IF(NOT(ISNUMBER(F347)),"缺少手续费，无费用请填 0",IF(F347&lt;0,"手续费不能为负",IF(AA346="错误","前行待修正",IF(A347&lt;Z346,"日期需按成交顺序递增",IF(AND(B347="红利再投",F347&lt;&gt;0),"红利再投手续费应填 0",IF(AND(B347="红利再投",K346&lt;=0),"红利再投前须有持仓",IF(AND(B347="卖出",D347&gt;K346+0.000001),"卖出份额超过持仓",IF(AND(B347="卖出",F347&gt;=C347*D347),"赎回费不能达到赎回总额",IF(NOT(ISNUMBER(E347)),"自动金额未生成，请检查五项输入",IF(NOT(OR(持仓总览!$C$7="利润优先",持仓总览!$C$7="本金优先")),"请选择卖出分配模式","已计入")))))))))))))))))))</f>
        <v/>
      </c>
      <c r="J347" s="11">
        <f t="shared" si="99"/>
        <v>0</v>
      </c>
      <c r="K347" s="11">
        <f t="shared" si="104"/>
        <v>34284.43</v>
      </c>
      <c r="L347" s="11" t="str">
        <f t="shared" si="105"/>
        <v/>
      </c>
      <c r="M347" s="11" t="str">
        <f t="shared" si="106"/>
        <v/>
      </c>
      <c r="N347" s="11" t="str">
        <f>IF(I347="已计入",IF(AND(B347="卖出",持仓总览!$C$7="本金优先"),MAX(0,E347-Q346),IF(OR(B347="卖出",B347="现金分红"),MIN(E347,M347),0)),"")</f>
        <v/>
      </c>
      <c r="O347" s="11" t="str">
        <f t="shared" si="107"/>
        <v/>
      </c>
      <c r="P347" s="11" t="str">
        <f t="shared" si="108"/>
        <v/>
      </c>
      <c r="Q347" s="11">
        <f t="shared" si="109"/>
        <v>82516.01</v>
      </c>
      <c r="R347" s="11" t="str">
        <f t="shared" si="100"/>
        <v/>
      </c>
      <c r="S347" s="11" t="str">
        <f t="shared" si="101"/>
        <v/>
      </c>
      <c r="T347" s="12" t="str">
        <f t="shared" si="102"/>
        <v/>
      </c>
      <c r="U347" s="11">
        <f t="shared" si="110"/>
        <v>82516.01</v>
      </c>
      <c r="V347" s="11">
        <f t="shared" si="111"/>
        <v>0</v>
      </c>
      <c r="W347" s="11">
        <f t="shared" si="112"/>
        <v>0</v>
      </c>
      <c r="X347" s="11">
        <f t="shared" si="113"/>
        <v>0</v>
      </c>
      <c r="Y347" s="11" t="str">
        <f t="shared" si="103"/>
        <v/>
      </c>
      <c r="Z347" s="13">
        <f t="shared" si="114"/>
        <v>46247</v>
      </c>
      <c r="AA347" s="10" t="str">
        <f>IF(OR($AA$116="错误",COUNTIF($G$117:G347,"待修正")&gt;0),"错误","正常")</f>
        <v>正常</v>
      </c>
      <c r="AB347" s="14">
        <f t="shared" si="115"/>
        <v>2.7686</v>
      </c>
    </row>
    <row r="348" ht="23" customHeight="1" spans="1:28">
      <c r="A348" s="15"/>
      <c r="B348" s="16"/>
      <c r="C348" s="17"/>
      <c r="D348" s="18"/>
      <c r="E348" s="19" t="str">
        <f t="shared" si="96"/>
        <v/>
      </c>
      <c r="F348" s="18"/>
      <c r="G348" s="20" t="str">
        <f t="shared" si="97"/>
        <v/>
      </c>
      <c r="H348" s="21" t="str">
        <f t="shared" si="98"/>
        <v/>
      </c>
      <c r="I348" s="10" t="str">
        <f>IF(COUNTA(A348:D348,F348)=0,"",IF(NOT(ISNUMBER(A348)),"缺少有效净值日期",IF(OR(A348&lt;=0,A348&lt;&gt;INT(A348)),"净值日期无效",IF(OR(B348="转换转入",B348="现金分红"),"该类型需实际金额，五项录入不适用",IF(NOT(OR(OR(B348="买入",B348="定投"),B348="卖出",B348="红利再投")),"请选择交易类型",IF(NOT(ISNUMBER(C348)),"缺少成交净值",IF(C348&lt;=0,"成交净值须大于零",IF(NOT(ISNUMBER(D348)),"缺少确认份额",IF(D348&lt;=0,"确认份额须大于零",IF(NOT(ISNUMBER(F348)),"缺少手续费，无费用请填 0",IF(F348&lt;0,"手续费不能为负",IF(AA347="错误","前行待修正",IF(A348&lt;Z347,"日期需按成交顺序递增",IF(AND(B348="红利再投",F348&lt;&gt;0),"红利再投手续费应填 0",IF(AND(B348="红利再投",K347&lt;=0),"红利再投前须有持仓",IF(AND(B348="卖出",D348&gt;K347+0.000001),"卖出份额超过持仓",IF(AND(B348="卖出",F348&gt;=C348*D348),"赎回费不能达到赎回总额",IF(NOT(ISNUMBER(E348)),"自动金额未生成，请检查五项输入",IF(NOT(OR(持仓总览!$C$7="利润优先",持仓总览!$C$7="本金优先")),"请选择卖出分配模式","已计入")))))))))))))))))))</f>
        <v/>
      </c>
      <c r="J348" s="11">
        <f t="shared" si="99"/>
        <v>0</v>
      </c>
      <c r="K348" s="11">
        <f t="shared" si="104"/>
        <v>34284.43</v>
      </c>
      <c r="L348" s="11" t="str">
        <f t="shared" si="105"/>
        <v/>
      </c>
      <c r="M348" s="11" t="str">
        <f t="shared" si="106"/>
        <v/>
      </c>
      <c r="N348" s="11" t="str">
        <f>IF(I348="已计入",IF(AND(B348="卖出",持仓总览!$C$7="本金优先"),MAX(0,E348-Q347),IF(OR(B348="卖出",B348="现金分红"),MIN(E348,M348),0)),"")</f>
        <v/>
      </c>
      <c r="O348" s="11" t="str">
        <f t="shared" si="107"/>
        <v/>
      </c>
      <c r="P348" s="11" t="str">
        <f t="shared" si="108"/>
        <v/>
      </c>
      <c r="Q348" s="11">
        <f t="shared" si="109"/>
        <v>82516.01</v>
      </c>
      <c r="R348" s="11" t="str">
        <f t="shared" si="100"/>
        <v/>
      </c>
      <c r="S348" s="11" t="str">
        <f t="shared" si="101"/>
        <v/>
      </c>
      <c r="T348" s="12" t="str">
        <f t="shared" si="102"/>
        <v/>
      </c>
      <c r="U348" s="11">
        <f t="shared" si="110"/>
        <v>82516.01</v>
      </c>
      <c r="V348" s="11">
        <f t="shared" si="111"/>
        <v>0</v>
      </c>
      <c r="W348" s="11">
        <f t="shared" si="112"/>
        <v>0</v>
      </c>
      <c r="X348" s="11">
        <f t="shared" si="113"/>
        <v>0</v>
      </c>
      <c r="Y348" s="11" t="str">
        <f t="shared" si="103"/>
        <v/>
      </c>
      <c r="Z348" s="13">
        <f t="shared" si="114"/>
        <v>46247</v>
      </c>
      <c r="AA348" s="10" t="str">
        <f>IF(OR($AA$116="错误",COUNTIF($G$117:G348,"待修正")&gt;0),"错误","正常")</f>
        <v>正常</v>
      </c>
      <c r="AB348" s="14">
        <f t="shared" si="115"/>
        <v>2.7686</v>
      </c>
    </row>
    <row r="349" ht="23" customHeight="1" spans="1:28">
      <c r="A349" s="15"/>
      <c r="B349" s="16"/>
      <c r="C349" s="17"/>
      <c r="D349" s="18"/>
      <c r="E349" s="19" t="str">
        <f t="shared" si="96"/>
        <v/>
      </c>
      <c r="F349" s="18"/>
      <c r="G349" s="20" t="str">
        <f t="shared" si="97"/>
        <v/>
      </c>
      <c r="H349" s="21" t="str">
        <f t="shared" si="98"/>
        <v/>
      </c>
      <c r="I349" s="10" t="str">
        <f>IF(COUNTA(A349:D349,F349)=0,"",IF(NOT(ISNUMBER(A349)),"缺少有效净值日期",IF(OR(A349&lt;=0,A349&lt;&gt;INT(A349)),"净值日期无效",IF(OR(B349="转换转入",B349="现金分红"),"该类型需实际金额，五项录入不适用",IF(NOT(OR(OR(B349="买入",B349="定投"),B349="卖出",B349="红利再投")),"请选择交易类型",IF(NOT(ISNUMBER(C349)),"缺少成交净值",IF(C349&lt;=0,"成交净值须大于零",IF(NOT(ISNUMBER(D349)),"缺少确认份额",IF(D349&lt;=0,"确认份额须大于零",IF(NOT(ISNUMBER(F349)),"缺少手续费，无费用请填 0",IF(F349&lt;0,"手续费不能为负",IF(AA348="错误","前行待修正",IF(A349&lt;Z348,"日期需按成交顺序递增",IF(AND(B349="红利再投",F349&lt;&gt;0),"红利再投手续费应填 0",IF(AND(B349="红利再投",K348&lt;=0),"红利再投前须有持仓",IF(AND(B349="卖出",D349&gt;K348+0.000001),"卖出份额超过持仓",IF(AND(B349="卖出",F349&gt;=C349*D349),"赎回费不能达到赎回总额",IF(NOT(ISNUMBER(E349)),"自动金额未生成，请检查五项输入",IF(NOT(OR(持仓总览!$C$7="利润优先",持仓总览!$C$7="本金优先")),"请选择卖出分配模式","已计入")))))))))))))))))))</f>
        <v/>
      </c>
      <c r="J349" s="11">
        <f t="shared" si="99"/>
        <v>0</v>
      </c>
      <c r="K349" s="11">
        <f t="shared" si="104"/>
        <v>34284.43</v>
      </c>
      <c r="L349" s="11" t="str">
        <f t="shared" si="105"/>
        <v/>
      </c>
      <c r="M349" s="11" t="str">
        <f t="shared" si="106"/>
        <v/>
      </c>
      <c r="N349" s="11" t="str">
        <f>IF(I349="已计入",IF(AND(B349="卖出",持仓总览!$C$7="本金优先"),MAX(0,E349-Q348),IF(OR(B349="卖出",B349="现金分红"),MIN(E349,M349),0)),"")</f>
        <v/>
      </c>
      <c r="O349" s="11" t="str">
        <f t="shared" si="107"/>
        <v/>
      </c>
      <c r="P349" s="11" t="str">
        <f t="shared" si="108"/>
        <v/>
      </c>
      <c r="Q349" s="11">
        <f t="shared" si="109"/>
        <v>82516.01</v>
      </c>
      <c r="R349" s="11" t="str">
        <f t="shared" si="100"/>
        <v/>
      </c>
      <c r="S349" s="11" t="str">
        <f t="shared" si="101"/>
        <v/>
      </c>
      <c r="T349" s="12" t="str">
        <f t="shared" si="102"/>
        <v/>
      </c>
      <c r="U349" s="11">
        <f t="shared" si="110"/>
        <v>82516.01</v>
      </c>
      <c r="V349" s="11">
        <f t="shared" si="111"/>
        <v>0</v>
      </c>
      <c r="W349" s="11">
        <f t="shared" si="112"/>
        <v>0</v>
      </c>
      <c r="X349" s="11">
        <f t="shared" si="113"/>
        <v>0</v>
      </c>
      <c r="Y349" s="11" t="str">
        <f t="shared" si="103"/>
        <v/>
      </c>
      <c r="Z349" s="13">
        <f t="shared" si="114"/>
        <v>46247</v>
      </c>
      <c r="AA349" s="10" t="str">
        <f>IF(OR($AA$116="错误",COUNTIF($G$117:G349,"待修正")&gt;0),"错误","正常")</f>
        <v>正常</v>
      </c>
      <c r="AB349" s="14">
        <f t="shared" si="115"/>
        <v>2.7686</v>
      </c>
    </row>
    <row r="350" ht="23" customHeight="1" spans="1:28">
      <c r="A350" s="15"/>
      <c r="B350" s="16"/>
      <c r="C350" s="17"/>
      <c r="D350" s="18"/>
      <c r="E350" s="19" t="str">
        <f t="shared" si="96"/>
        <v/>
      </c>
      <c r="F350" s="18"/>
      <c r="G350" s="20" t="str">
        <f t="shared" si="97"/>
        <v/>
      </c>
      <c r="H350" s="21" t="str">
        <f t="shared" si="98"/>
        <v/>
      </c>
      <c r="I350" s="10" t="str">
        <f>IF(COUNTA(A350:D350,F350)=0,"",IF(NOT(ISNUMBER(A350)),"缺少有效净值日期",IF(OR(A350&lt;=0,A350&lt;&gt;INT(A350)),"净值日期无效",IF(OR(B350="转换转入",B350="现金分红"),"该类型需实际金额，五项录入不适用",IF(NOT(OR(OR(B350="买入",B350="定投"),B350="卖出",B350="红利再投")),"请选择交易类型",IF(NOT(ISNUMBER(C350)),"缺少成交净值",IF(C350&lt;=0,"成交净值须大于零",IF(NOT(ISNUMBER(D350)),"缺少确认份额",IF(D350&lt;=0,"确认份额须大于零",IF(NOT(ISNUMBER(F350)),"缺少手续费，无费用请填 0",IF(F350&lt;0,"手续费不能为负",IF(AA349="错误","前行待修正",IF(A350&lt;Z349,"日期需按成交顺序递增",IF(AND(B350="红利再投",F350&lt;&gt;0),"红利再投手续费应填 0",IF(AND(B350="红利再投",K349&lt;=0),"红利再投前须有持仓",IF(AND(B350="卖出",D350&gt;K349+0.000001),"卖出份额超过持仓",IF(AND(B350="卖出",F350&gt;=C350*D350),"赎回费不能达到赎回总额",IF(NOT(ISNUMBER(E350)),"自动金额未生成，请检查五项输入",IF(NOT(OR(持仓总览!$C$7="利润优先",持仓总览!$C$7="本金优先")),"请选择卖出分配模式","已计入")))))))))))))))))))</f>
        <v/>
      </c>
      <c r="J350" s="11">
        <f t="shared" si="99"/>
        <v>0</v>
      </c>
      <c r="K350" s="11">
        <f t="shared" si="104"/>
        <v>34284.43</v>
      </c>
      <c r="L350" s="11" t="str">
        <f t="shared" si="105"/>
        <v/>
      </c>
      <c r="M350" s="11" t="str">
        <f t="shared" si="106"/>
        <v/>
      </c>
      <c r="N350" s="11" t="str">
        <f>IF(I350="已计入",IF(AND(B350="卖出",持仓总览!$C$7="本金优先"),MAX(0,E350-Q349),IF(OR(B350="卖出",B350="现金分红"),MIN(E350,M350),0)),"")</f>
        <v/>
      </c>
      <c r="O350" s="11" t="str">
        <f t="shared" si="107"/>
        <v/>
      </c>
      <c r="P350" s="11" t="str">
        <f t="shared" si="108"/>
        <v/>
      </c>
      <c r="Q350" s="11">
        <f t="shared" si="109"/>
        <v>82516.01</v>
      </c>
      <c r="R350" s="11" t="str">
        <f t="shared" si="100"/>
        <v/>
      </c>
      <c r="S350" s="11" t="str">
        <f t="shared" si="101"/>
        <v/>
      </c>
      <c r="T350" s="12" t="str">
        <f t="shared" si="102"/>
        <v/>
      </c>
      <c r="U350" s="11">
        <f t="shared" si="110"/>
        <v>82516.01</v>
      </c>
      <c r="V350" s="11">
        <f t="shared" si="111"/>
        <v>0</v>
      </c>
      <c r="W350" s="11">
        <f t="shared" si="112"/>
        <v>0</v>
      </c>
      <c r="X350" s="11">
        <f t="shared" si="113"/>
        <v>0</v>
      </c>
      <c r="Y350" s="11" t="str">
        <f t="shared" si="103"/>
        <v/>
      </c>
      <c r="Z350" s="13">
        <f t="shared" si="114"/>
        <v>46247</v>
      </c>
      <c r="AA350" s="10" t="str">
        <f>IF(OR($AA$116="错误",COUNTIF($G$117:G350,"待修正")&gt;0),"错误","正常")</f>
        <v>正常</v>
      </c>
      <c r="AB350" s="14">
        <f t="shared" si="115"/>
        <v>2.7686</v>
      </c>
    </row>
    <row r="351" ht="23" customHeight="1" spans="1:28">
      <c r="A351" s="15"/>
      <c r="B351" s="16"/>
      <c r="C351" s="17"/>
      <c r="D351" s="18"/>
      <c r="E351" s="19" t="str">
        <f t="shared" si="96"/>
        <v/>
      </c>
      <c r="F351" s="18"/>
      <c r="G351" s="20" t="str">
        <f t="shared" si="97"/>
        <v/>
      </c>
      <c r="H351" s="21" t="str">
        <f t="shared" si="98"/>
        <v/>
      </c>
      <c r="I351" s="10" t="str">
        <f>IF(COUNTA(A351:D351,F351)=0,"",IF(NOT(ISNUMBER(A351)),"缺少有效净值日期",IF(OR(A351&lt;=0,A351&lt;&gt;INT(A351)),"净值日期无效",IF(OR(B351="转换转入",B351="现金分红"),"该类型需实际金额，五项录入不适用",IF(NOT(OR(OR(B351="买入",B351="定投"),B351="卖出",B351="红利再投")),"请选择交易类型",IF(NOT(ISNUMBER(C351)),"缺少成交净值",IF(C351&lt;=0,"成交净值须大于零",IF(NOT(ISNUMBER(D351)),"缺少确认份额",IF(D351&lt;=0,"确认份额须大于零",IF(NOT(ISNUMBER(F351)),"缺少手续费，无费用请填 0",IF(F351&lt;0,"手续费不能为负",IF(AA350="错误","前行待修正",IF(A351&lt;Z350,"日期需按成交顺序递增",IF(AND(B351="红利再投",F351&lt;&gt;0),"红利再投手续费应填 0",IF(AND(B351="红利再投",K350&lt;=0),"红利再投前须有持仓",IF(AND(B351="卖出",D351&gt;K350+0.000001),"卖出份额超过持仓",IF(AND(B351="卖出",F351&gt;=C351*D351),"赎回费不能达到赎回总额",IF(NOT(ISNUMBER(E351)),"自动金额未生成，请检查五项输入",IF(NOT(OR(持仓总览!$C$7="利润优先",持仓总览!$C$7="本金优先")),"请选择卖出分配模式","已计入")))))))))))))))))))</f>
        <v/>
      </c>
      <c r="J351" s="11">
        <f t="shared" si="99"/>
        <v>0</v>
      </c>
      <c r="K351" s="11">
        <f t="shared" si="104"/>
        <v>34284.43</v>
      </c>
      <c r="L351" s="11" t="str">
        <f t="shared" si="105"/>
        <v/>
      </c>
      <c r="M351" s="11" t="str">
        <f t="shared" si="106"/>
        <v/>
      </c>
      <c r="N351" s="11" t="str">
        <f>IF(I351="已计入",IF(AND(B351="卖出",持仓总览!$C$7="本金优先"),MAX(0,E351-Q350),IF(OR(B351="卖出",B351="现金分红"),MIN(E351,M351),0)),"")</f>
        <v/>
      </c>
      <c r="O351" s="11" t="str">
        <f t="shared" si="107"/>
        <v/>
      </c>
      <c r="P351" s="11" t="str">
        <f t="shared" si="108"/>
        <v/>
      </c>
      <c r="Q351" s="11">
        <f t="shared" si="109"/>
        <v>82516.01</v>
      </c>
      <c r="R351" s="11" t="str">
        <f t="shared" si="100"/>
        <v/>
      </c>
      <c r="S351" s="11" t="str">
        <f t="shared" si="101"/>
        <v/>
      </c>
      <c r="T351" s="12" t="str">
        <f t="shared" si="102"/>
        <v/>
      </c>
      <c r="U351" s="11">
        <f t="shared" si="110"/>
        <v>82516.01</v>
      </c>
      <c r="V351" s="11">
        <f t="shared" si="111"/>
        <v>0</v>
      </c>
      <c r="W351" s="11">
        <f t="shared" si="112"/>
        <v>0</v>
      </c>
      <c r="X351" s="11">
        <f t="shared" si="113"/>
        <v>0</v>
      </c>
      <c r="Y351" s="11" t="str">
        <f t="shared" si="103"/>
        <v/>
      </c>
      <c r="Z351" s="13">
        <f t="shared" si="114"/>
        <v>46247</v>
      </c>
      <c r="AA351" s="10" t="str">
        <f>IF(OR($AA$116="错误",COUNTIF($G$117:G351,"待修正")&gt;0),"错误","正常")</f>
        <v>正常</v>
      </c>
      <c r="AB351" s="14">
        <f t="shared" si="115"/>
        <v>2.7686</v>
      </c>
    </row>
    <row r="352" ht="23" customHeight="1" spans="1:28">
      <c r="A352" s="15"/>
      <c r="B352" s="16"/>
      <c r="C352" s="17"/>
      <c r="D352" s="18"/>
      <c r="E352" s="19" t="str">
        <f t="shared" si="96"/>
        <v/>
      </c>
      <c r="F352" s="18"/>
      <c r="G352" s="20" t="str">
        <f t="shared" si="97"/>
        <v/>
      </c>
      <c r="H352" s="21" t="str">
        <f t="shared" si="98"/>
        <v/>
      </c>
      <c r="I352" s="10" t="str">
        <f>IF(COUNTA(A352:D352,F352)=0,"",IF(NOT(ISNUMBER(A352)),"缺少有效净值日期",IF(OR(A352&lt;=0,A352&lt;&gt;INT(A352)),"净值日期无效",IF(OR(B352="转换转入",B352="现金分红"),"该类型需实际金额，五项录入不适用",IF(NOT(OR(OR(B352="买入",B352="定投"),B352="卖出",B352="红利再投")),"请选择交易类型",IF(NOT(ISNUMBER(C352)),"缺少成交净值",IF(C352&lt;=0,"成交净值须大于零",IF(NOT(ISNUMBER(D352)),"缺少确认份额",IF(D352&lt;=0,"确认份额须大于零",IF(NOT(ISNUMBER(F352)),"缺少手续费，无费用请填 0",IF(F352&lt;0,"手续费不能为负",IF(AA351="错误","前行待修正",IF(A352&lt;Z351,"日期需按成交顺序递增",IF(AND(B352="红利再投",F352&lt;&gt;0),"红利再投手续费应填 0",IF(AND(B352="红利再投",K351&lt;=0),"红利再投前须有持仓",IF(AND(B352="卖出",D352&gt;K351+0.000001),"卖出份额超过持仓",IF(AND(B352="卖出",F352&gt;=C352*D352),"赎回费不能达到赎回总额",IF(NOT(ISNUMBER(E352)),"自动金额未生成，请检查五项输入",IF(NOT(OR(持仓总览!$C$7="利润优先",持仓总览!$C$7="本金优先")),"请选择卖出分配模式","已计入")))))))))))))))))))</f>
        <v/>
      </c>
      <c r="J352" s="11">
        <f t="shared" si="99"/>
        <v>0</v>
      </c>
      <c r="K352" s="11">
        <f t="shared" si="104"/>
        <v>34284.43</v>
      </c>
      <c r="L352" s="11" t="str">
        <f t="shared" si="105"/>
        <v/>
      </c>
      <c r="M352" s="11" t="str">
        <f t="shared" si="106"/>
        <v/>
      </c>
      <c r="N352" s="11" t="str">
        <f>IF(I352="已计入",IF(AND(B352="卖出",持仓总览!$C$7="本金优先"),MAX(0,E352-Q351),IF(OR(B352="卖出",B352="现金分红"),MIN(E352,M352),0)),"")</f>
        <v/>
      </c>
      <c r="O352" s="11" t="str">
        <f t="shared" si="107"/>
        <v/>
      </c>
      <c r="P352" s="11" t="str">
        <f t="shared" si="108"/>
        <v/>
      </c>
      <c r="Q352" s="11">
        <f t="shared" si="109"/>
        <v>82516.01</v>
      </c>
      <c r="R352" s="11" t="str">
        <f t="shared" si="100"/>
        <v/>
      </c>
      <c r="S352" s="11" t="str">
        <f t="shared" si="101"/>
        <v/>
      </c>
      <c r="T352" s="12" t="str">
        <f t="shared" si="102"/>
        <v/>
      </c>
      <c r="U352" s="11">
        <f t="shared" si="110"/>
        <v>82516.01</v>
      </c>
      <c r="V352" s="11">
        <f t="shared" si="111"/>
        <v>0</v>
      </c>
      <c r="W352" s="11">
        <f t="shared" si="112"/>
        <v>0</v>
      </c>
      <c r="X352" s="11">
        <f t="shared" si="113"/>
        <v>0</v>
      </c>
      <c r="Y352" s="11" t="str">
        <f t="shared" si="103"/>
        <v/>
      </c>
      <c r="Z352" s="13">
        <f t="shared" si="114"/>
        <v>46247</v>
      </c>
      <c r="AA352" s="10" t="str">
        <f>IF(OR($AA$116="错误",COUNTIF($G$117:G352,"待修正")&gt;0),"错误","正常")</f>
        <v>正常</v>
      </c>
      <c r="AB352" s="14">
        <f t="shared" si="115"/>
        <v>2.7686</v>
      </c>
    </row>
    <row r="353" ht="23" customHeight="1" spans="1:28">
      <c r="A353" s="15"/>
      <c r="B353" s="16"/>
      <c r="C353" s="17"/>
      <c r="D353" s="18"/>
      <c r="E353" s="19" t="str">
        <f t="shared" si="96"/>
        <v/>
      </c>
      <c r="F353" s="18"/>
      <c r="G353" s="20" t="str">
        <f t="shared" si="97"/>
        <v/>
      </c>
      <c r="H353" s="21" t="str">
        <f t="shared" si="98"/>
        <v/>
      </c>
      <c r="I353" s="10" t="str">
        <f>IF(COUNTA(A353:D353,F353)=0,"",IF(NOT(ISNUMBER(A353)),"缺少有效净值日期",IF(OR(A353&lt;=0,A353&lt;&gt;INT(A353)),"净值日期无效",IF(OR(B353="转换转入",B353="现金分红"),"该类型需实际金额，五项录入不适用",IF(NOT(OR(OR(B353="买入",B353="定投"),B353="卖出",B353="红利再投")),"请选择交易类型",IF(NOT(ISNUMBER(C353)),"缺少成交净值",IF(C353&lt;=0,"成交净值须大于零",IF(NOT(ISNUMBER(D353)),"缺少确认份额",IF(D353&lt;=0,"确认份额须大于零",IF(NOT(ISNUMBER(F353)),"缺少手续费，无费用请填 0",IF(F353&lt;0,"手续费不能为负",IF(AA352="错误","前行待修正",IF(A353&lt;Z352,"日期需按成交顺序递增",IF(AND(B353="红利再投",F353&lt;&gt;0),"红利再投手续费应填 0",IF(AND(B353="红利再投",K352&lt;=0),"红利再投前须有持仓",IF(AND(B353="卖出",D353&gt;K352+0.000001),"卖出份额超过持仓",IF(AND(B353="卖出",F353&gt;=C353*D353),"赎回费不能达到赎回总额",IF(NOT(ISNUMBER(E353)),"自动金额未生成，请检查五项输入",IF(NOT(OR(持仓总览!$C$7="利润优先",持仓总览!$C$7="本金优先")),"请选择卖出分配模式","已计入")))))))))))))))))))</f>
        <v/>
      </c>
      <c r="J353" s="11">
        <f t="shared" si="99"/>
        <v>0</v>
      </c>
      <c r="K353" s="11">
        <f t="shared" si="104"/>
        <v>34284.43</v>
      </c>
      <c r="L353" s="11" t="str">
        <f t="shared" si="105"/>
        <v/>
      </c>
      <c r="M353" s="11" t="str">
        <f t="shared" si="106"/>
        <v/>
      </c>
      <c r="N353" s="11" t="str">
        <f>IF(I353="已计入",IF(AND(B353="卖出",持仓总览!$C$7="本金优先"),MAX(0,E353-Q352),IF(OR(B353="卖出",B353="现金分红"),MIN(E353,M353),0)),"")</f>
        <v/>
      </c>
      <c r="O353" s="11" t="str">
        <f t="shared" si="107"/>
        <v/>
      </c>
      <c r="P353" s="11" t="str">
        <f t="shared" si="108"/>
        <v/>
      </c>
      <c r="Q353" s="11">
        <f t="shared" si="109"/>
        <v>82516.01</v>
      </c>
      <c r="R353" s="11" t="str">
        <f t="shared" si="100"/>
        <v/>
      </c>
      <c r="S353" s="11" t="str">
        <f t="shared" si="101"/>
        <v/>
      </c>
      <c r="T353" s="12" t="str">
        <f t="shared" si="102"/>
        <v/>
      </c>
      <c r="U353" s="11">
        <f t="shared" si="110"/>
        <v>82516.01</v>
      </c>
      <c r="V353" s="11">
        <f t="shared" si="111"/>
        <v>0</v>
      </c>
      <c r="W353" s="11">
        <f t="shared" si="112"/>
        <v>0</v>
      </c>
      <c r="X353" s="11">
        <f t="shared" si="113"/>
        <v>0</v>
      </c>
      <c r="Y353" s="11" t="str">
        <f t="shared" si="103"/>
        <v/>
      </c>
      <c r="Z353" s="13">
        <f t="shared" si="114"/>
        <v>46247</v>
      </c>
      <c r="AA353" s="10" t="str">
        <f>IF(OR($AA$116="错误",COUNTIF($G$117:G353,"待修正")&gt;0),"错误","正常")</f>
        <v>正常</v>
      </c>
      <c r="AB353" s="14">
        <f t="shared" si="115"/>
        <v>2.7686</v>
      </c>
    </row>
    <row r="354" ht="23" customHeight="1" spans="1:28">
      <c r="A354" s="15"/>
      <c r="B354" s="16"/>
      <c r="C354" s="17"/>
      <c r="D354" s="18"/>
      <c r="E354" s="19" t="str">
        <f t="shared" si="96"/>
        <v/>
      </c>
      <c r="F354" s="18"/>
      <c r="G354" s="20" t="str">
        <f t="shared" si="97"/>
        <v/>
      </c>
      <c r="H354" s="21" t="str">
        <f t="shared" si="98"/>
        <v/>
      </c>
      <c r="I354" s="10" t="str">
        <f>IF(COUNTA(A354:D354,F354)=0,"",IF(NOT(ISNUMBER(A354)),"缺少有效净值日期",IF(OR(A354&lt;=0,A354&lt;&gt;INT(A354)),"净值日期无效",IF(OR(B354="转换转入",B354="现金分红"),"该类型需实际金额，五项录入不适用",IF(NOT(OR(OR(B354="买入",B354="定投"),B354="卖出",B354="红利再投")),"请选择交易类型",IF(NOT(ISNUMBER(C354)),"缺少成交净值",IF(C354&lt;=0,"成交净值须大于零",IF(NOT(ISNUMBER(D354)),"缺少确认份额",IF(D354&lt;=0,"确认份额须大于零",IF(NOT(ISNUMBER(F354)),"缺少手续费，无费用请填 0",IF(F354&lt;0,"手续费不能为负",IF(AA353="错误","前行待修正",IF(A354&lt;Z353,"日期需按成交顺序递增",IF(AND(B354="红利再投",F354&lt;&gt;0),"红利再投手续费应填 0",IF(AND(B354="红利再投",K353&lt;=0),"红利再投前须有持仓",IF(AND(B354="卖出",D354&gt;K353+0.000001),"卖出份额超过持仓",IF(AND(B354="卖出",F354&gt;=C354*D354),"赎回费不能达到赎回总额",IF(NOT(ISNUMBER(E354)),"自动金额未生成，请检查五项输入",IF(NOT(OR(持仓总览!$C$7="利润优先",持仓总览!$C$7="本金优先")),"请选择卖出分配模式","已计入")))))))))))))))))))</f>
        <v/>
      </c>
      <c r="J354" s="11">
        <f t="shared" si="99"/>
        <v>0</v>
      </c>
      <c r="K354" s="11">
        <f t="shared" si="104"/>
        <v>34284.43</v>
      </c>
      <c r="L354" s="11" t="str">
        <f t="shared" si="105"/>
        <v/>
      </c>
      <c r="M354" s="11" t="str">
        <f t="shared" si="106"/>
        <v/>
      </c>
      <c r="N354" s="11" t="str">
        <f>IF(I354="已计入",IF(AND(B354="卖出",持仓总览!$C$7="本金优先"),MAX(0,E354-Q353),IF(OR(B354="卖出",B354="现金分红"),MIN(E354,M354),0)),"")</f>
        <v/>
      </c>
      <c r="O354" s="11" t="str">
        <f t="shared" si="107"/>
        <v/>
      </c>
      <c r="P354" s="11" t="str">
        <f t="shared" si="108"/>
        <v/>
      </c>
      <c r="Q354" s="11">
        <f t="shared" si="109"/>
        <v>82516.01</v>
      </c>
      <c r="R354" s="11" t="str">
        <f t="shared" si="100"/>
        <v/>
      </c>
      <c r="S354" s="11" t="str">
        <f t="shared" si="101"/>
        <v/>
      </c>
      <c r="T354" s="12" t="str">
        <f t="shared" si="102"/>
        <v/>
      </c>
      <c r="U354" s="11">
        <f t="shared" si="110"/>
        <v>82516.01</v>
      </c>
      <c r="V354" s="11">
        <f t="shared" si="111"/>
        <v>0</v>
      </c>
      <c r="W354" s="11">
        <f t="shared" si="112"/>
        <v>0</v>
      </c>
      <c r="X354" s="11">
        <f t="shared" si="113"/>
        <v>0</v>
      </c>
      <c r="Y354" s="11" t="str">
        <f t="shared" si="103"/>
        <v/>
      </c>
      <c r="Z354" s="13">
        <f t="shared" si="114"/>
        <v>46247</v>
      </c>
      <c r="AA354" s="10" t="str">
        <f>IF(OR($AA$116="错误",COUNTIF($G$117:G354,"待修正")&gt;0),"错误","正常")</f>
        <v>正常</v>
      </c>
      <c r="AB354" s="14">
        <f t="shared" si="115"/>
        <v>2.7686</v>
      </c>
    </row>
    <row r="355" ht="23" customHeight="1" spans="1:28">
      <c r="A355" s="15"/>
      <c r="B355" s="16"/>
      <c r="C355" s="17"/>
      <c r="D355" s="18"/>
      <c r="E355" s="19" t="str">
        <f t="shared" si="96"/>
        <v/>
      </c>
      <c r="F355" s="18"/>
      <c r="G355" s="20" t="str">
        <f t="shared" si="97"/>
        <v/>
      </c>
      <c r="H355" s="21" t="str">
        <f t="shared" si="98"/>
        <v/>
      </c>
      <c r="I355" s="10" t="str">
        <f>IF(COUNTA(A355:D355,F355)=0,"",IF(NOT(ISNUMBER(A355)),"缺少有效净值日期",IF(OR(A355&lt;=0,A355&lt;&gt;INT(A355)),"净值日期无效",IF(OR(B355="转换转入",B355="现金分红"),"该类型需实际金额，五项录入不适用",IF(NOT(OR(OR(B355="买入",B355="定投"),B355="卖出",B355="红利再投")),"请选择交易类型",IF(NOT(ISNUMBER(C355)),"缺少成交净值",IF(C355&lt;=0,"成交净值须大于零",IF(NOT(ISNUMBER(D355)),"缺少确认份额",IF(D355&lt;=0,"确认份额须大于零",IF(NOT(ISNUMBER(F355)),"缺少手续费，无费用请填 0",IF(F355&lt;0,"手续费不能为负",IF(AA354="错误","前行待修正",IF(A355&lt;Z354,"日期需按成交顺序递增",IF(AND(B355="红利再投",F355&lt;&gt;0),"红利再投手续费应填 0",IF(AND(B355="红利再投",K354&lt;=0),"红利再投前须有持仓",IF(AND(B355="卖出",D355&gt;K354+0.000001),"卖出份额超过持仓",IF(AND(B355="卖出",F355&gt;=C355*D355),"赎回费不能达到赎回总额",IF(NOT(ISNUMBER(E355)),"自动金额未生成，请检查五项输入",IF(NOT(OR(持仓总览!$C$7="利润优先",持仓总览!$C$7="本金优先")),"请选择卖出分配模式","已计入")))))))))))))))))))</f>
        <v/>
      </c>
      <c r="J355" s="11">
        <f t="shared" si="99"/>
        <v>0</v>
      </c>
      <c r="K355" s="11">
        <f t="shared" si="104"/>
        <v>34284.43</v>
      </c>
      <c r="L355" s="11" t="str">
        <f t="shared" si="105"/>
        <v/>
      </c>
      <c r="M355" s="11" t="str">
        <f t="shared" si="106"/>
        <v/>
      </c>
      <c r="N355" s="11" t="str">
        <f>IF(I355="已计入",IF(AND(B355="卖出",持仓总览!$C$7="本金优先"),MAX(0,E355-Q354),IF(OR(B355="卖出",B355="现金分红"),MIN(E355,M355),0)),"")</f>
        <v/>
      </c>
      <c r="O355" s="11" t="str">
        <f t="shared" si="107"/>
        <v/>
      </c>
      <c r="P355" s="11" t="str">
        <f t="shared" si="108"/>
        <v/>
      </c>
      <c r="Q355" s="11">
        <f t="shared" si="109"/>
        <v>82516.01</v>
      </c>
      <c r="R355" s="11" t="str">
        <f t="shared" si="100"/>
        <v/>
      </c>
      <c r="S355" s="11" t="str">
        <f t="shared" si="101"/>
        <v/>
      </c>
      <c r="T355" s="12" t="str">
        <f t="shared" si="102"/>
        <v/>
      </c>
      <c r="U355" s="11">
        <f t="shared" si="110"/>
        <v>82516.01</v>
      </c>
      <c r="V355" s="11">
        <f t="shared" si="111"/>
        <v>0</v>
      </c>
      <c r="W355" s="11">
        <f t="shared" si="112"/>
        <v>0</v>
      </c>
      <c r="X355" s="11">
        <f t="shared" si="113"/>
        <v>0</v>
      </c>
      <c r="Y355" s="11" t="str">
        <f t="shared" si="103"/>
        <v/>
      </c>
      <c r="Z355" s="13">
        <f t="shared" si="114"/>
        <v>46247</v>
      </c>
      <c r="AA355" s="10" t="str">
        <f>IF(OR($AA$116="错误",COUNTIF($G$117:G355,"待修正")&gt;0),"错误","正常")</f>
        <v>正常</v>
      </c>
      <c r="AB355" s="14">
        <f t="shared" si="115"/>
        <v>2.7686</v>
      </c>
    </row>
    <row r="356" ht="23" customHeight="1" spans="1:28">
      <c r="A356" s="15"/>
      <c r="B356" s="16"/>
      <c r="C356" s="17"/>
      <c r="D356" s="18"/>
      <c r="E356" s="19" t="str">
        <f t="shared" si="96"/>
        <v/>
      </c>
      <c r="F356" s="18"/>
      <c r="G356" s="20" t="str">
        <f t="shared" si="97"/>
        <v/>
      </c>
      <c r="H356" s="21" t="str">
        <f t="shared" si="98"/>
        <v/>
      </c>
      <c r="I356" s="10" t="str">
        <f>IF(COUNTA(A356:D356,F356)=0,"",IF(NOT(ISNUMBER(A356)),"缺少有效净值日期",IF(OR(A356&lt;=0,A356&lt;&gt;INT(A356)),"净值日期无效",IF(OR(B356="转换转入",B356="现金分红"),"该类型需实际金额，五项录入不适用",IF(NOT(OR(OR(B356="买入",B356="定投"),B356="卖出",B356="红利再投")),"请选择交易类型",IF(NOT(ISNUMBER(C356)),"缺少成交净值",IF(C356&lt;=0,"成交净值须大于零",IF(NOT(ISNUMBER(D356)),"缺少确认份额",IF(D356&lt;=0,"确认份额须大于零",IF(NOT(ISNUMBER(F356)),"缺少手续费，无费用请填 0",IF(F356&lt;0,"手续费不能为负",IF(AA355="错误","前行待修正",IF(A356&lt;Z355,"日期需按成交顺序递增",IF(AND(B356="红利再投",F356&lt;&gt;0),"红利再投手续费应填 0",IF(AND(B356="红利再投",K355&lt;=0),"红利再投前须有持仓",IF(AND(B356="卖出",D356&gt;K355+0.000001),"卖出份额超过持仓",IF(AND(B356="卖出",F356&gt;=C356*D356),"赎回费不能达到赎回总额",IF(NOT(ISNUMBER(E356)),"自动金额未生成，请检查五项输入",IF(NOT(OR(持仓总览!$C$7="利润优先",持仓总览!$C$7="本金优先")),"请选择卖出分配模式","已计入")))))))))))))))))))</f>
        <v/>
      </c>
      <c r="J356" s="11">
        <f t="shared" si="99"/>
        <v>0</v>
      </c>
      <c r="K356" s="11">
        <f t="shared" si="104"/>
        <v>34284.43</v>
      </c>
      <c r="L356" s="11" t="str">
        <f t="shared" si="105"/>
        <v/>
      </c>
      <c r="M356" s="11" t="str">
        <f t="shared" si="106"/>
        <v/>
      </c>
      <c r="N356" s="11" t="str">
        <f>IF(I356="已计入",IF(AND(B356="卖出",持仓总览!$C$7="本金优先"),MAX(0,E356-Q355),IF(OR(B356="卖出",B356="现金分红"),MIN(E356,M356),0)),"")</f>
        <v/>
      </c>
      <c r="O356" s="11" t="str">
        <f t="shared" si="107"/>
        <v/>
      </c>
      <c r="P356" s="11" t="str">
        <f t="shared" si="108"/>
        <v/>
      </c>
      <c r="Q356" s="11">
        <f t="shared" si="109"/>
        <v>82516.01</v>
      </c>
      <c r="R356" s="11" t="str">
        <f t="shared" si="100"/>
        <v/>
      </c>
      <c r="S356" s="11" t="str">
        <f t="shared" si="101"/>
        <v/>
      </c>
      <c r="T356" s="12" t="str">
        <f t="shared" si="102"/>
        <v/>
      </c>
      <c r="U356" s="11">
        <f t="shared" si="110"/>
        <v>82516.01</v>
      </c>
      <c r="V356" s="11">
        <f t="shared" si="111"/>
        <v>0</v>
      </c>
      <c r="W356" s="11">
        <f t="shared" si="112"/>
        <v>0</v>
      </c>
      <c r="X356" s="11">
        <f t="shared" si="113"/>
        <v>0</v>
      </c>
      <c r="Y356" s="11" t="str">
        <f t="shared" si="103"/>
        <v/>
      </c>
      <c r="Z356" s="13">
        <f t="shared" si="114"/>
        <v>46247</v>
      </c>
      <c r="AA356" s="10" t="str">
        <f>IF(OR($AA$116="错误",COUNTIF($G$117:G356,"待修正")&gt;0),"错误","正常")</f>
        <v>正常</v>
      </c>
      <c r="AB356" s="14">
        <f t="shared" si="115"/>
        <v>2.7686</v>
      </c>
    </row>
    <row r="357" ht="23" customHeight="1" spans="1:28">
      <c r="A357" s="15"/>
      <c r="B357" s="16"/>
      <c r="C357" s="17"/>
      <c r="D357" s="18"/>
      <c r="E357" s="19" t="str">
        <f t="shared" si="96"/>
        <v/>
      </c>
      <c r="F357" s="18"/>
      <c r="G357" s="20" t="str">
        <f t="shared" si="97"/>
        <v/>
      </c>
      <c r="H357" s="21" t="str">
        <f t="shared" si="98"/>
        <v/>
      </c>
      <c r="I357" s="10" t="str">
        <f>IF(COUNTA(A357:D357,F357)=0,"",IF(NOT(ISNUMBER(A357)),"缺少有效净值日期",IF(OR(A357&lt;=0,A357&lt;&gt;INT(A357)),"净值日期无效",IF(OR(B357="转换转入",B357="现金分红"),"该类型需实际金额，五项录入不适用",IF(NOT(OR(OR(B357="买入",B357="定投"),B357="卖出",B357="红利再投")),"请选择交易类型",IF(NOT(ISNUMBER(C357)),"缺少成交净值",IF(C357&lt;=0,"成交净值须大于零",IF(NOT(ISNUMBER(D357)),"缺少确认份额",IF(D357&lt;=0,"确认份额须大于零",IF(NOT(ISNUMBER(F357)),"缺少手续费，无费用请填 0",IF(F357&lt;0,"手续费不能为负",IF(AA356="错误","前行待修正",IF(A357&lt;Z356,"日期需按成交顺序递增",IF(AND(B357="红利再投",F357&lt;&gt;0),"红利再投手续费应填 0",IF(AND(B357="红利再投",K356&lt;=0),"红利再投前须有持仓",IF(AND(B357="卖出",D357&gt;K356+0.000001),"卖出份额超过持仓",IF(AND(B357="卖出",F357&gt;=C357*D357),"赎回费不能达到赎回总额",IF(NOT(ISNUMBER(E357)),"自动金额未生成，请检查五项输入",IF(NOT(OR(持仓总览!$C$7="利润优先",持仓总览!$C$7="本金优先")),"请选择卖出分配模式","已计入")))))))))))))))))))</f>
        <v/>
      </c>
      <c r="J357" s="11">
        <f t="shared" si="99"/>
        <v>0</v>
      </c>
      <c r="K357" s="11">
        <f t="shared" si="104"/>
        <v>34284.43</v>
      </c>
      <c r="L357" s="11" t="str">
        <f t="shared" si="105"/>
        <v/>
      </c>
      <c r="M357" s="11" t="str">
        <f t="shared" si="106"/>
        <v/>
      </c>
      <c r="N357" s="11" t="str">
        <f>IF(I357="已计入",IF(AND(B357="卖出",持仓总览!$C$7="本金优先"),MAX(0,E357-Q356),IF(OR(B357="卖出",B357="现金分红"),MIN(E357,M357),0)),"")</f>
        <v/>
      </c>
      <c r="O357" s="11" t="str">
        <f t="shared" si="107"/>
        <v/>
      </c>
      <c r="P357" s="11" t="str">
        <f t="shared" si="108"/>
        <v/>
      </c>
      <c r="Q357" s="11">
        <f t="shared" si="109"/>
        <v>82516.01</v>
      </c>
      <c r="R357" s="11" t="str">
        <f t="shared" si="100"/>
        <v/>
      </c>
      <c r="S357" s="11" t="str">
        <f t="shared" si="101"/>
        <v/>
      </c>
      <c r="T357" s="12" t="str">
        <f t="shared" si="102"/>
        <v/>
      </c>
      <c r="U357" s="11">
        <f t="shared" si="110"/>
        <v>82516.01</v>
      </c>
      <c r="V357" s="11">
        <f t="shared" si="111"/>
        <v>0</v>
      </c>
      <c r="W357" s="11">
        <f t="shared" si="112"/>
        <v>0</v>
      </c>
      <c r="X357" s="11">
        <f t="shared" si="113"/>
        <v>0</v>
      </c>
      <c r="Y357" s="11" t="str">
        <f t="shared" si="103"/>
        <v/>
      </c>
      <c r="Z357" s="13">
        <f t="shared" si="114"/>
        <v>46247</v>
      </c>
      <c r="AA357" s="10" t="str">
        <f>IF(OR($AA$116="错误",COUNTIF($G$117:G357,"待修正")&gt;0),"错误","正常")</f>
        <v>正常</v>
      </c>
      <c r="AB357" s="14">
        <f t="shared" si="115"/>
        <v>2.7686</v>
      </c>
    </row>
    <row r="358" ht="23" customHeight="1" spans="1:28">
      <c r="A358" s="15"/>
      <c r="B358" s="16"/>
      <c r="C358" s="17"/>
      <c r="D358" s="18"/>
      <c r="E358" s="19" t="str">
        <f t="shared" si="96"/>
        <v/>
      </c>
      <c r="F358" s="18"/>
      <c r="G358" s="20" t="str">
        <f t="shared" si="97"/>
        <v/>
      </c>
      <c r="H358" s="21" t="str">
        <f t="shared" si="98"/>
        <v/>
      </c>
      <c r="I358" s="10" t="str">
        <f>IF(COUNTA(A358:D358,F358)=0,"",IF(NOT(ISNUMBER(A358)),"缺少有效净值日期",IF(OR(A358&lt;=0,A358&lt;&gt;INT(A358)),"净值日期无效",IF(OR(B358="转换转入",B358="现金分红"),"该类型需实际金额，五项录入不适用",IF(NOT(OR(OR(B358="买入",B358="定投"),B358="卖出",B358="红利再投")),"请选择交易类型",IF(NOT(ISNUMBER(C358)),"缺少成交净值",IF(C358&lt;=0,"成交净值须大于零",IF(NOT(ISNUMBER(D358)),"缺少确认份额",IF(D358&lt;=0,"确认份额须大于零",IF(NOT(ISNUMBER(F358)),"缺少手续费，无费用请填 0",IF(F358&lt;0,"手续费不能为负",IF(AA357="错误","前行待修正",IF(A358&lt;Z357,"日期需按成交顺序递增",IF(AND(B358="红利再投",F358&lt;&gt;0),"红利再投手续费应填 0",IF(AND(B358="红利再投",K357&lt;=0),"红利再投前须有持仓",IF(AND(B358="卖出",D358&gt;K357+0.000001),"卖出份额超过持仓",IF(AND(B358="卖出",F358&gt;=C358*D358),"赎回费不能达到赎回总额",IF(NOT(ISNUMBER(E358)),"自动金额未生成，请检查五项输入",IF(NOT(OR(持仓总览!$C$7="利润优先",持仓总览!$C$7="本金优先")),"请选择卖出分配模式","已计入")))))))))))))))))))</f>
        <v/>
      </c>
      <c r="J358" s="11">
        <f t="shared" si="99"/>
        <v>0</v>
      </c>
      <c r="K358" s="11">
        <f t="shared" si="104"/>
        <v>34284.43</v>
      </c>
      <c r="L358" s="11" t="str">
        <f t="shared" si="105"/>
        <v/>
      </c>
      <c r="M358" s="11" t="str">
        <f t="shared" si="106"/>
        <v/>
      </c>
      <c r="N358" s="11" t="str">
        <f>IF(I358="已计入",IF(AND(B358="卖出",持仓总览!$C$7="本金优先"),MAX(0,E358-Q357),IF(OR(B358="卖出",B358="现金分红"),MIN(E358,M358),0)),"")</f>
        <v/>
      </c>
      <c r="O358" s="11" t="str">
        <f t="shared" si="107"/>
        <v/>
      </c>
      <c r="P358" s="11" t="str">
        <f t="shared" si="108"/>
        <v/>
      </c>
      <c r="Q358" s="11">
        <f t="shared" si="109"/>
        <v>82516.01</v>
      </c>
      <c r="R358" s="11" t="str">
        <f t="shared" si="100"/>
        <v/>
      </c>
      <c r="S358" s="11" t="str">
        <f t="shared" si="101"/>
        <v/>
      </c>
      <c r="T358" s="12" t="str">
        <f t="shared" si="102"/>
        <v/>
      </c>
      <c r="U358" s="11">
        <f t="shared" si="110"/>
        <v>82516.01</v>
      </c>
      <c r="V358" s="11">
        <f t="shared" si="111"/>
        <v>0</v>
      </c>
      <c r="W358" s="11">
        <f t="shared" si="112"/>
        <v>0</v>
      </c>
      <c r="X358" s="11">
        <f t="shared" si="113"/>
        <v>0</v>
      </c>
      <c r="Y358" s="11" t="str">
        <f t="shared" si="103"/>
        <v/>
      </c>
      <c r="Z358" s="13">
        <f t="shared" si="114"/>
        <v>46247</v>
      </c>
      <c r="AA358" s="10" t="str">
        <f>IF(OR($AA$116="错误",COUNTIF($G$117:G358,"待修正")&gt;0),"错误","正常")</f>
        <v>正常</v>
      </c>
      <c r="AB358" s="14">
        <f t="shared" si="115"/>
        <v>2.7686</v>
      </c>
    </row>
    <row r="359" ht="23" customHeight="1" spans="1:28">
      <c r="A359" s="15"/>
      <c r="B359" s="16"/>
      <c r="C359" s="17"/>
      <c r="D359" s="18"/>
      <c r="E359" s="19" t="str">
        <f t="shared" si="96"/>
        <v/>
      </c>
      <c r="F359" s="18"/>
      <c r="G359" s="20" t="str">
        <f t="shared" si="97"/>
        <v/>
      </c>
      <c r="H359" s="21" t="str">
        <f t="shared" si="98"/>
        <v/>
      </c>
      <c r="I359" s="10" t="str">
        <f>IF(COUNTA(A359:D359,F359)=0,"",IF(NOT(ISNUMBER(A359)),"缺少有效净值日期",IF(OR(A359&lt;=0,A359&lt;&gt;INT(A359)),"净值日期无效",IF(OR(B359="转换转入",B359="现金分红"),"该类型需实际金额，五项录入不适用",IF(NOT(OR(OR(B359="买入",B359="定投"),B359="卖出",B359="红利再投")),"请选择交易类型",IF(NOT(ISNUMBER(C359)),"缺少成交净值",IF(C359&lt;=0,"成交净值须大于零",IF(NOT(ISNUMBER(D359)),"缺少确认份额",IF(D359&lt;=0,"确认份额须大于零",IF(NOT(ISNUMBER(F359)),"缺少手续费，无费用请填 0",IF(F359&lt;0,"手续费不能为负",IF(AA358="错误","前行待修正",IF(A359&lt;Z358,"日期需按成交顺序递增",IF(AND(B359="红利再投",F359&lt;&gt;0),"红利再投手续费应填 0",IF(AND(B359="红利再投",K358&lt;=0),"红利再投前须有持仓",IF(AND(B359="卖出",D359&gt;K358+0.000001),"卖出份额超过持仓",IF(AND(B359="卖出",F359&gt;=C359*D359),"赎回费不能达到赎回总额",IF(NOT(ISNUMBER(E359)),"自动金额未生成，请检查五项输入",IF(NOT(OR(持仓总览!$C$7="利润优先",持仓总览!$C$7="本金优先")),"请选择卖出分配模式","已计入")))))))))))))))))))</f>
        <v/>
      </c>
      <c r="J359" s="11">
        <f t="shared" si="99"/>
        <v>0</v>
      </c>
      <c r="K359" s="11">
        <f t="shared" si="104"/>
        <v>34284.43</v>
      </c>
      <c r="L359" s="11" t="str">
        <f t="shared" si="105"/>
        <v/>
      </c>
      <c r="M359" s="11" t="str">
        <f t="shared" si="106"/>
        <v/>
      </c>
      <c r="N359" s="11" t="str">
        <f>IF(I359="已计入",IF(AND(B359="卖出",持仓总览!$C$7="本金优先"),MAX(0,E359-Q358),IF(OR(B359="卖出",B359="现金分红"),MIN(E359,M359),0)),"")</f>
        <v/>
      </c>
      <c r="O359" s="11" t="str">
        <f t="shared" si="107"/>
        <v/>
      </c>
      <c r="P359" s="11" t="str">
        <f t="shared" si="108"/>
        <v/>
      </c>
      <c r="Q359" s="11">
        <f t="shared" si="109"/>
        <v>82516.01</v>
      </c>
      <c r="R359" s="11" t="str">
        <f t="shared" si="100"/>
        <v/>
      </c>
      <c r="S359" s="11" t="str">
        <f t="shared" si="101"/>
        <v/>
      </c>
      <c r="T359" s="12" t="str">
        <f t="shared" si="102"/>
        <v/>
      </c>
      <c r="U359" s="11">
        <f t="shared" si="110"/>
        <v>82516.01</v>
      </c>
      <c r="V359" s="11">
        <f t="shared" si="111"/>
        <v>0</v>
      </c>
      <c r="W359" s="11">
        <f t="shared" si="112"/>
        <v>0</v>
      </c>
      <c r="X359" s="11">
        <f t="shared" si="113"/>
        <v>0</v>
      </c>
      <c r="Y359" s="11" t="str">
        <f t="shared" si="103"/>
        <v/>
      </c>
      <c r="Z359" s="13">
        <f t="shared" si="114"/>
        <v>46247</v>
      </c>
      <c r="AA359" s="10" t="str">
        <f>IF(OR($AA$116="错误",COUNTIF($G$117:G359,"待修正")&gt;0),"错误","正常")</f>
        <v>正常</v>
      </c>
      <c r="AB359" s="14">
        <f t="shared" si="115"/>
        <v>2.7686</v>
      </c>
    </row>
    <row r="360" ht="23" customHeight="1" spans="1:28">
      <c r="A360" s="15"/>
      <c r="B360" s="16"/>
      <c r="C360" s="17"/>
      <c r="D360" s="18"/>
      <c r="E360" s="19" t="str">
        <f t="shared" si="96"/>
        <v/>
      </c>
      <c r="F360" s="18"/>
      <c r="G360" s="20" t="str">
        <f t="shared" si="97"/>
        <v/>
      </c>
      <c r="H360" s="21" t="str">
        <f t="shared" si="98"/>
        <v/>
      </c>
      <c r="I360" s="10" t="str">
        <f>IF(COUNTA(A360:D360,F360)=0,"",IF(NOT(ISNUMBER(A360)),"缺少有效净值日期",IF(OR(A360&lt;=0,A360&lt;&gt;INT(A360)),"净值日期无效",IF(OR(B360="转换转入",B360="现金分红"),"该类型需实际金额，五项录入不适用",IF(NOT(OR(OR(B360="买入",B360="定投"),B360="卖出",B360="红利再投")),"请选择交易类型",IF(NOT(ISNUMBER(C360)),"缺少成交净值",IF(C360&lt;=0,"成交净值须大于零",IF(NOT(ISNUMBER(D360)),"缺少确认份额",IF(D360&lt;=0,"确认份额须大于零",IF(NOT(ISNUMBER(F360)),"缺少手续费，无费用请填 0",IF(F360&lt;0,"手续费不能为负",IF(AA359="错误","前行待修正",IF(A360&lt;Z359,"日期需按成交顺序递增",IF(AND(B360="红利再投",F360&lt;&gt;0),"红利再投手续费应填 0",IF(AND(B360="红利再投",K359&lt;=0),"红利再投前须有持仓",IF(AND(B360="卖出",D360&gt;K359+0.000001),"卖出份额超过持仓",IF(AND(B360="卖出",F360&gt;=C360*D360),"赎回费不能达到赎回总额",IF(NOT(ISNUMBER(E360)),"自动金额未生成，请检查五项输入",IF(NOT(OR(持仓总览!$C$7="利润优先",持仓总览!$C$7="本金优先")),"请选择卖出分配模式","已计入")))))))))))))))))))</f>
        <v/>
      </c>
      <c r="J360" s="11">
        <f t="shared" si="99"/>
        <v>0</v>
      </c>
      <c r="K360" s="11">
        <f t="shared" si="104"/>
        <v>34284.43</v>
      </c>
      <c r="L360" s="11" t="str">
        <f t="shared" si="105"/>
        <v/>
      </c>
      <c r="M360" s="11" t="str">
        <f t="shared" si="106"/>
        <v/>
      </c>
      <c r="N360" s="11" t="str">
        <f>IF(I360="已计入",IF(AND(B360="卖出",持仓总览!$C$7="本金优先"),MAX(0,E360-Q359),IF(OR(B360="卖出",B360="现金分红"),MIN(E360,M360),0)),"")</f>
        <v/>
      </c>
      <c r="O360" s="11" t="str">
        <f t="shared" si="107"/>
        <v/>
      </c>
      <c r="P360" s="11" t="str">
        <f t="shared" si="108"/>
        <v/>
      </c>
      <c r="Q360" s="11">
        <f t="shared" si="109"/>
        <v>82516.01</v>
      </c>
      <c r="R360" s="11" t="str">
        <f t="shared" si="100"/>
        <v/>
      </c>
      <c r="S360" s="11" t="str">
        <f t="shared" si="101"/>
        <v/>
      </c>
      <c r="T360" s="12" t="str">
        <f t="shared" si="102"/>
        <v/>
      </c>
      <c r="U360" s="11">
        <f t="shared" si="110"/>
        <v>82516.01</v>
      </c>
      <c r="V360" s="11">
        <f t="shared" si="111"/>
        <v>0</v>
      </c>
      <c r="W360" s="11">
        <f t="shared" si="112"/>
        <v>0</v>
      </c>
      <c r="X360" s="11">
        <f t="shared" si="113"/>
        <v>0</v>
      </c>
      <c r="Y360" s="11" t="str">
        <f t="shared" si="103"/>
        <v/>
      </c>
      <c r="Z360" s="13">
        <f t="shared" si="114"/>
        <v>46247</v>
      </c>
      <c r="AA360" s="10" t="str">
        <f>IF(OR($AA$116="错误",COUNTIF($G$117:G360,"待修正")&gt;0),"错误","正常")</f>
        <v>正常</v>
      </c>
      <c r="AB360" s="14">
        <f t="shared" si="115"/>
        <v>2.7686</v>
      </c>
    </row>
    <row r="361" ht="23" customHeight="1" spans="1:28">
      <c r="A361" s="15"/>
      <c r="B361" s="16"/>
      <c r="C361" s="17"/>
      <c r="D361" s="18"/>
      <c r="E361" s="19" t="str">
        <f t="shared" si="96"/>
        <v/>
      </c>
      <c r="F361" s="18"/>
      <c r="G361" s="20" t="str">
        <f t="shared" si="97"/>
        <v/>
      </c>
      <c r="H361" s="21" t="str">
        <f t="shared" si="98"/>
        <v/>
      </c>
      <c r="I361" s="10" t="str">
        <f>IF(COUNTA(A361:D361,F361)=0,"",IF(NOT(ISNUMBER(A361)),"缺少有效净值日期",IF(OR(A361&lt;=0,A361&lt;&gt;INT(A361)),"净值日期无效",IF(OR(B361="转换转入",B361="现金分红"),"该类型需实际金额，五项录入不适用",IF(NOT(OR(OR(B361="买入",B361="定投"),B361="卖出",B361="红利再投")),"请选择交易类型",IF(NOT(ISNUMBER(C361)),"缺少成交净值",IF(C361&lt;=0,"成交净值须大于零",IF(NOT(ISNUMBER(D361)),"缺少确认份额",IF(D361&lt;=0,"确认份额须大于零",IF(NOT(ISNUMBER(F361)),"缺少手续费，无费用请填 0",IF(F361&lt;0,"手续费不能为负",IF(AA360="错误","前行待修正",IF(A361&lt;Z360,"日期需按成交顺序递增",IF(AND(B361="红利再投",F361&lt;&gt;0),"红利再投手续费应填 0",IF(AND(B361="红利再投",K360&lt;=0),"红利再投前须有持仓",IF(AND(B361="卖出",D361&gt;K360+0.000001),"卖出份额超过持仓",IF(AND(B361="卖出",F361&gt;=C361*D361),"赎回费不能达到赎回总额",IF(NOT(ISNUMBER(E361)),"自动金额未生成，请检查五项输入",IF(NOT(OR(持仓总览!$C$7="利润优先",持仓总览!$C$7="本金优先")),"请选择卖出分配模式","已计入")))))))))))))))))))</f>
        <v/>
      </c>
      <c r="J361" s="11">
        <f t="shared" si="99"/>
        <v>0</v>
      </c>
      <c r="K361" s="11">
        <f t="shared" si="104"/>
        <v>34284.43</v>
      </c>
      <c r="L361" s="11" t="str">
        <f t="shared" si="105"/>
        <v/>
      </c>
      <c r="M361" s="11" t="str">
        <f t="shared" si="106"/>
        <v/>
      </c>
      <c r="N361" s="11" t="str">
        <f>IF(I361="已计入",IF(AND(B361="卖出",持仓总览!$C$7="本金优先"),MAX(0,E361-Q360),IF(OR(B361="卖出",B361="现金分红"),MIN(E361,M361),0)),"")</f>
        <v/>
      </c>
      <c r="O361" s="11" t="str">
        <f t="shared" si="107"/>
        <v/>
      </c>
      <c r="P361" s="11" t="str">
        <f t="shared" si="108"/>
        <v/>
      </c>
      <c r="Q361" s="11">
        <f t="shared" si="109"/>
        <v>82516.01</v>
      </c>
      <c r="R361" s="11" t="str">
        <f t="shared" si="100"/>
        <v/>
      </c>
      <c r="S361" s="11" t="str">
        <f t="shared" si="101"/>
        <v/>
      </c>
      <c r="T361" s="12" t="str">
        <f t="shared" si="102"/>
        <v/>
      </c>
      <c r="U361" s="11">
        <f t="shared" si="110"/>
        <v>82516.01</v>
      </c>
      <c r="V361" s="11">
        <f t="shared" si="111"/>
        <v>0</v>
      </c>
      <c r="W361" s="11">
        <f t="shared" si="112"/>
        <v>0</v>
      </c>
      <c r="X361" s="11">
        <f t="shared" si="113"/>
        <v>0</v>
      </c>
      <c r="Y361" s="11" t="str">
        <f t="shared" si="103"/>
        <v/>
      </c>
      <c r="Z361" s="13">
        <f t="shared" si="114"/>
        <v>46247</v>
      </c>
      <c r="AA361" s="10" t="str">
        <f>IF(OR($AA$116="错误",COUNTIF($G$117:G361,"待修正")&gt;0),"错误","正常")</f>
        <v>正常</v>
      </c>
      <c r="AB361" s="14">
        <f t="shared" si="115"/>
        <v>2.7686</v>
      </c>
    </row>
    <row r="362" ht="23" customHeight="1" spans="1:28">
      <c r="A362" s="15"/>
      <c r="B362" s="16"/>
      <c r="C362" s="17"/>
      <c r="D362" s="18"/>
      <c r="E362" s="19" t="str">
        <f t="shared" si="96"/>
        <v/>
      </c>
      <c r="F362" s="18"/>
      <c r="G362" s="20" t="str">
        <f t="shared" si="97"/>
        <v/>
      </c>
      <c r="H362" s="21" t="str">
        <f t="shared" si="98"/>
        <v/>
      </c>
      <c r="I362" s="10" t="str">
        <f>IF(COUNTA(A362:D362,F362)=0,"",IF(NOT(ISNUMBER(A362)),"缺少有效净值日期",IF(OR(A362&lt;=0,A362&lt;&gt;INT(A362)),"净值日期无效",IF(OR(B362="转换转入",B362="现金分红"),"该类型需实际金额，五项录入不适用",IF(NOT(OR(OR(B362="买入",B362="定投"),B362="卖出",B362="红利再投")),"请选择交易类型",IF(NOT(ISNUMBER(C362)),"缺少成交净值",IF(C362&lt;=0,"成交净值须大于零",IF(NOT(ISNUMBER(D362)),"缺少确认份额",IF(D362&lt;=0,"确认份额须大于零",IF(NOT(ISNUMBER(F362)),"缺少手续费，无费用请填 0",IF(F362&lt;0,"手续费不能为负",IF(AA361="错误","前行待修正",IF(A362&lt;Z361,"日期需按成交顺序递增",IF(AND(B362="红利再投",F362&lt;&gt;0),"红利再投手续费应填 0",IF(AND(B362="红利再投",K361&lt;=0),"红利再投前须有持仓",IF(AND(B362="卖出",D362&gt;K361+0.000001),"卖出份额超过持仓",IF(AND(B362="卖出",F362&gt;=C362*D362),"赎回费不能达到赎回总额",IF(NOT(ISNUMBER(E362)),"自动金额未生成，请检查五项输入",IF(NOT(OR(持仓总览!$C$7="利润优先",持仓总览!$C$7="本金优先")),"请选择卖出分配模式","已计入")))))))))))))))))))</f>
        <v/>
      </c>
      <c r="J362" s="11">
        <f t="shared" si="99"/>
        <v>0</v>
      </c>
      <c r="K362" s="11">
        <f t="shared" si="104"/>
        <v>34284.43</v>
      </c>
      <c r="L362" s="11" t="str">
        <f t="shared" si="105"/>
        <v/>
      </c>
      <c r="M362" s="11" t="str">
        <f t="shared" si="106"/>
        <v/>
      </c>
      <c r="N362" s="11" t="str">
        <f>IF(I362="已计入",IF(AND(B362="卖出",持仓总览!$C$7="本金优先"),MAX(0,E362-Q361),IF(OR(B362="卖出",B362="现金分红"),MIN(E362,M362),0)),"")</f>
        <v/>
      </c>
      <c r="O362" s="11" t="str">
        <f t="shared" si="107"/>
        <v/>
      </c>
      <c r="P362" s="11" t="str">
        <f t="shared" si="108"/>
        <v/>
      </c>
      <c r="Q362" s="11">
        <f t="shared" si="109"/>
        <v>82516.01</v>
      </c>
      <c r="R362" s="11" t="str">
        <f t="shared" si="100"/>
        <v/>
      </c>
      <c r="S362" s="11" t="str">
        <f t="shared" si="101"/>
        <v/>
      </c>
      <c r="T362" s="12" t="str">
        <f t="shared" si="102"/>
        <v/>
      </c>
      <c r="U362" s="11">
        <f t="shared" si="110"/>
        <v>82516.01</v>
      </c>
      <c r="V362" s="11">
        <f t="shared" si="111"/>
        <v>0</v>
      </c>
      <c r="W362" s="11">
        <f t="shared" si="112"/>
        <v>0</v>
      </c>
      <c r="X362" s="11">
        <f t="shared" si="113"/>
        <v>0</v>
      </c>
      <c r="Y362" s="11" t="str">
        <f t="shared" si="103"/>
        <v/>
      </c>
      <c r="Z362" s="13">
        <f t="shared" si="114"/>
        <v>46247</v>
      </c>
      <c r="AA362" s="10" t="str">
        <f>IF(OR($AA$116="错误",COUNTIF($G$117:G362,"待修正")&gt;0),"错误","正常")</f>
        <v>正常</v>
      </c>
      <c r="AB362" s="14">
        <f t="shared" si="115"/>
        <v>2.7686</v>
      </c>
    </row>
    <row r="363" ht="23" customHeight="1" spans="1:28">
      <c r="A363" s="15"/>
      <c r="B363" s="16"/>
      <c r="C363" s="17"/>
      <c r="D363" s="18"/>
      <c r="E363" s="19" t="str">
        <f t="shared" si="96"/>
        <v/>
      </c>
      <c r="F363" s="18"/>
      <c r="G363" s="20" t="str">
        <f t="shared" si="97"/>
        <v/>
      </c>
      <c r="H363" s="21" t="str">
        <f t="shared" si="98"/>
        <v/>
      </c>
      <c r="I363" s="10" t="str">
        <f>IF(COUNTA(A363:D363,F363)=0,"",IF(NOT(ISNUMBER(A363)),"缺少有效净值日期",IF(OR(A363&lt;=0,A363&lt;&gt;INT(A363)),"净值日期无效",IF(OR(B363="转换转入",B363="现金分红"),"该类型需实际金额，五项录入不适用",IF(NOT(OR(OR(B363="买入",B363="定投"),B363="卖出",B363="红利再投")),"请选择交易类型",IF(NOT(ISNUMBER(C363)),"缺少成交净值",IF(C363&lt;=0,"成交净值须大于零",IF(NOT(ISNUMBER(D363)),"缺少确认份额",IF(D363&lt;=0,"确认份额须大于零",IF(NOT(ISNUMBER(F363)),"缺少手续费，无费用请填 0",IF(F363&lt;0,"手续费不能为负",IF(AA362="错误","前行待修正",IF(A363&lt;Z362,"日期需按成交顺序递增",IF(AND(B363="红利再投",F363&lt;&gt;0),"红利再投手续费应填 0",IF(AND(B363="红利再投",K362&lt;=0),"红利再投前须有持仓",IF(AND(B363="卖出",D363&gt;K362+0.000001),"卖出份额超过持仓",IF(AND(B363="卖出",F363&gt;=C363*D363),"赎回费不能达到赎回总额",IF(NOT(ISNUMBER(E363)),"自动金额未生成，请检查五项输入",IF(NOT(OR(持仓总览!$C$7="利润优先",持仓总览!$C$7="本金优先")),"请选择卖出分配模式","已计入")))))))))))))))))))</f>
        <v/>
      </c>
      <c r="J363" s="11">
        <f t="shared" si="99"/>
        <v>0</v>
      </c>
      <c r="K363" s="11">
        <f t="shared" si="104"/>
        <v>34284.43</v>
      </c>
      <c r="L363" s="11" t="str">
        <f t="shared" si="105"/>
        <v/>
      </c>
      <c r="M363" s="11" t="str">
        <f t="shared" si="106"/>
        <v/>
      </c>
      <c r="N363" s="11" t="str">
        <f>IF(I363="已计入",IF(AND(B363="卖出",持仓总览!$C$7="本金优先"),MAX(0,E363-Q362),IF(OR(B363="卖出",B363="现金分红"),MIN(E363,M363),0)),"")</f>
        <v/>
      </c>
      <c r="O363" s="11" t="str">
        <f t="shared" si="107"/>
        <v/>
      </c>
      <c r="P363" s="11" t="str">
        <f t="shared" si="108"/>
        <v/>
      </c>
      <c r="Q363" s="11">
        <f t="shared" si="109"/>
        <v>82516.01</v>
      </c>
      <c r="R363" s="11" t="str">
        <f t="shared" si="100"/>
        <v/>
      </c>
      <c r="S363" s="11" t="str">
        <f t="shared" si="101"/>
        <v/>
      </c>
      <c r="T363" s="12" t="str">
        <f t="shared" si="102"/>
        <v/>
      </c>
      <c r="U363" s="11">
        <f t="shared" si="110"/>
        <v>82516.01</v>
      </c>
      <c r="V363" s="11">
        <f t="shared" si="111"/>
        <v>0</v>
      </c>
      <c r="W363" s="11">
        <f t="shared" si="112"/>
        <v>0</v>
      </c>
      <c r="X363" s="11">
        <f t="shared" si="113"/>
        <v>0</v>
      </c>
      <c r="Y363" s="11" t="str">
        <f t="shared" si="103"/>
        <v/>
      </c>
      <c r="Z363" s="13">
        <f t="shared" si="114"/>
        <v>46247</v>
      </c>
      <c r="AA363" s="10" t="str">
        <f>IF(OR($AA$116="错误",COUNTIF($G$117:G363,"待修正")&gt;0),"错误","正常")</f>
        <v>正常</v>
      </c>
      <c r="AB363" s="14">
        <f t="shared" si="115"/>
        <v>2.7686</v>
      </c>
    </row>
    <row r="364" ht="23" customHeight="1" spans="1:28">
      <c r="A364" s="15"/>
      <c r="B364" s="16"/>
      <c r="C364" s="17"/>
      <c r="D364" s="18"/>
      <c r="E364" s="19" t="str">
        <f t="shared" si="96"/>
        <v/>
      </c>
      <c r="F364" s="18"/>
      <c r="G364" s="20" t="str">
        <f t="shared" si="97"/>
        <v/>
      </c>
      <c r="H364" s="21" t="str">
        <f t="shared" si="98"/>
        <v/>
      </c>
      <c r="I364" s="10" t="str">
        <f>IF(COUNTA(A364:D364,F364)=0,"",IF(NOT(ISNUMBER(A364)),"缺少有效净值日期",IF(OR(A364&lt;=0,A364&lt;&gt;INT(A364)),"净值日期无效",IF(OR(B364="转换转入",B364="现金分红"),"该类型需实际金额，五项录入不适用",IF(NOT(OR(OR(B364="买入",B364="定投"),B364="卖出",B364="红利再投")),"请选择交易类型",IF(NOT(ISNUMBER(C364)),"缺少成交净值",IF(C364&lt;=0,"成交净值须大于零",IF(NOT(ISNUMBER(D364)),"缺少确认份额",IF(D364&lt;=0,"确认份额须大于零",IF(NOT(ISNUMBER(F364)),"缺少手续费，无费用请填 0",IF(F364&lt;0,"手续费不能为负",IF(AA363="错误","前行待修正",IF(A364&lt;Z363,"日期需按成交顺序递增",IF(AND(B364="红利再投",F364&lt;&gt;0),"红利再投手续费应填 0",IF(AND(B364="红利再投",K363&lt;=0),"红利再投前须有持仓",IF(AND(B364="卖出",D364&gt;K363+0.000001),"卖出份额超过持仓",IF(AND(B364="卖出",F364&gt;=C364*D364),"赎回费不能达到赎回总额",IF(NOT(ISNUMBER(E364)),"自动金额未生成，请检查五项输入",IF(NOT(OR(持仓总览!$C$7="利润优先",持仓总览!$C$7="本金优先")),"请选择卖出分配模式","已计入")))))))))))))))))))</f>
        <v/>
      </c>
      <c r="J364" s="11">
        <f t="shared" si="99"/>
        <v>0</v>
      </c>
      <c r="K364" s="11">
        <f t="shared" si="104"/>
        <v>34284.43</v>
      </c>
      <c r="L364" s="11" t="str">
        <f t="shared" si="105"/>
        <v/>
      </c>
      <c r="M364" s="11" t="str">
        <f t="shared" si="106"/>
        <v/>
      </c>
      <c r="N364" s="11" t="str">
        <f>IF(I364="已计入",IF(AND(B364="卖出",持仓总览!$C$7="本金优先"),MAX(0,E364-Q363),IF(OR(B364="卖出",B364="现金分红"),MIN(E364,M364),0)),"")</f>
        <v/>
      </c>
      <c r="O364" s="11" t="str">
        <f t="shared" si="107"/>
        <v/>
      </c>
      <c r="P364" s="11" t="str">
        <f t="shared" si="108"/>
        <v/>
      </c>
      <c r="Q364" s="11">
        <f t="shared" si="109"/>
        <v>82516.01</v>
      </c>
      <c r="R364" s="11" t="str">
        <f t="shared" si="100"/>
        <v/>
      </c>
      <c r="S364" s="11" t="str">
        <f t="shared" si="101"/>
        <v/>
      </c>
      <c r="T364" s="12" t="str">
        <f t="shared" si="102"/>
        <v/>
      </c>
      <c r="U364" s="11">
        <f t="shared" si="110"/>
        <v>82516.01</v>
      </c>
      <c r="V364" s="11">
        <f t="shared" si="111"/>
        <v>0</v>
      </c>
      <c r="W364" s="11">
        <f t="shared" si="112"/>
        <v>0</v>
      </c>
      <c r="X364" s="11">
        <f t="shared" si="113"/>
        <v>0</v>
      </c>
      <c r="Y364" s="11" t="str">
        <f t="shared" si="103"/>
        <v/>
      </c>
      <c r="Z364" s="13">
        <f t="shared" si="114"/>
        <v>46247</v>
      </c>
      <c r="AA364" s="10" t="str">
        <f>IF(OR($AA$116="错误",COUNTIF($G$117:G364,"待修正")&gt;0),"错误","正常")</f>
        <v>正常</v>
      </c>
      <c r="AB364" s="14">
        <f t="shared" si="115"/>
        <v>2.7686</v>
      </c>
    </row>
    <row r="365" ht="23" customHeight="1" spans="1:28">
      <c r="A365" s="15"/>
      <c r="B365" s="16"/>
      <c r="C365" s="17"/>
      <c r="D365" s="18"/>
      <c r="E365" s="19" t="str">
        <f t="shared" si="96"/>
        <v/>
      </c>
      <c r="F365" s="18"/>
      <c r="G365" s="20" t="str">
        <f t="shared" si="97"/>
        <v/>
      </c>
      <c r="H365" s="21" t="str">
        <f t="shared" si="98"/>
        <v/>
      </c>
      <c r="I365" s="10" t="str">
        <f>IF(COUNTA(A365:D365,F365)=0,"",IF(NOT(ISNUMBER(A365)),"缺少有效净值日期",IF(OR(A365&lt;=0,A365&lt;&gt;INT(A365)),"净值日期无效",IF(OR(B365="转换转入",B365="现金分红"),"该类型需实际金额，五项录入不适用",IF(NOT(OR(OR(B365="买入",B365="定投"),B365="卖出",B365="红利再投")),"请选择交易类型",IF(NOT(ISNUMBER(C365)),"缺少成交净值",IF(C365&lt;=0,"成交净值须大于零",IF(NOT(ISNUMBER(D365)),"缺少确认份额",IF(D365&lt;=0,"确认份额须大于零",IF(NOT(ISNUMBER(F365)),"缺少手续费，无费用请填 0",IF(F365&lt;0,"手续费不能为负",IF(AA364="错误","前行待修正",IF(A365&lt;Z364,"日期需按成交顺序递增",IF(AND(B365="红利再投",F365&lt;&gt;0),"红利再投手续费应填 0",IF(AND(B365="红利再投",K364&lt;=0),"红利再投前须有持仓",IF(AND(B365="卖出",D365&gt;K364+0.000001),"卖出份额超过持仓",IF(AND(B365="卖出",F365&gt;=C365*D365),"赎回费不能达到赎回总额",IF(NOT(ISNUMBER(E365)),"自动金额未生成，请检查五项输入",IF(NOT(OR(持仓总览!$C$7="利润优先",持仓总览!$C$7="本金优先")),"请选择卖出分配模式","已计入")))))))))))))))))))</f>
        <v/>
      </c>
      <c r="J365" s="11">
        <f t="shared" si="99"/>
        <v>0</v>
      </c>
      <c r="K365" s="11">
        <f t="shared" si="104"/>
        <v>34284.43</v>
      </c>
      <c r="L365" s="11" t="str">
        <f t="shared" si="105"/>
        <v/>
      </c>
      <c r="M365" s="11" t="str">
        <f t="shared" si="106"/>
        <v/>
      </c>
      <c r="N365" s="11" t="str">
        <f>IF(I365="已计入",IF(AND(B365="卖出",持仓总览!$C$7="本金优先"),MAX(0,E365-Q364),IF(OR(B365="卖出",B365="现金分红"),MIN(E365,M365),0)),"")</f>
        <v/>
      </c>
      <c r="O365" s="11" t="str">
        <f t="shared" si="107"/>
        <v/>
      </c>
      <c r="P365" s="11" t="str">
        <f t="shared" si="108"/>
        <v/>
      </c>
      <c r="Q365" s="11">
        <f t="shared" si="109"/>
        <v>82516.01</v>
      </c>
      <c r="R365" s="11" t="str">
        <f t="shared" si="100"/>
        <v/>
      </c>
      <c r="S365" s="11" t="str">
        <f t="shared" si="101"/>
        <v/>
      </c>
      <c r="T365" s="12" t="str">
        <f t="shared" si="102"/>
        <v/>
      </c>
      <c r="U365" s="11">
        <f t="shared" si="110"/>
        <v>82516.01</v>
      </c>
      <c r="V365" s="11">
        <f t="shared" si="111"/>
        <v>0</v>
      </c>
      <c r="W365" s="11">
        <f t="shared" si="112"/>
        <v>0</v>
      </c>
      <c r="X365" s="11">
        <f t="shared" si="113"/>
        <v>0</v>
      </c>
      <c r="Y365" s="11" t="str">
        <f t="shared" si="103"/>
        <v/>
      </c>
      <c r="Z365" s="13">
        <f t="shared" si="114"/>
        <v>46247</v>
      </c>
      <c r="AA365" s="10" t="str">
        <f>IF(OR($AA$116="错误",COUNTIF($G$117:G365,"待修正")&gt;0),"错误","正常")</f>
        <v>正常</v>
      </c>
      <c r="AB365" s="14">
        <f t="shared" si="115"/>
        <v>2.7686</v>
      </c>
    </row>
    <row r="366" ht="23" customHeight="1" spans="1:28">
      <c r="A366" s="15"/>
      <c r="B366" s="16"/>
      <c r="C366" s="17"/>
      <c r="D366" s="18"/>
      <c r="E366" s="19" t="str">
        <f t="shared" si="96"/>
        <v/>
      </c>
      <c r="F366" s="18"/>
      <c r="G366" s="20" t="str">
        <f t="shared" si="97"/>
        <v/>
      </c>
      <c r="H366" s="21" t="str">
        <f t="shared" si="98"/>
        <v/>
      </c>
      <c r="I366" s="10" t="str">
        <f>IF(COUNTA(A366:D366,F366)=0,"",IF(NOT(ISNUMBER(A366)),"缺少有效净值日期",IF(OR(A366&lt;=0,A366&lt;&gt;INT(A366)),"净值日期无效",IF(OR(B366="转换转入",B366="现金分红"),"该类型需实际金额，五项录入不适用",IF(NOT(OR(OR(B366="买入",B366="定投"),B366="卖出",B366="红利再投")),"请选择交易类型",IF(NOT(ISNUMBER(C366)),"缺少成交净值",IF(C366&lt;=0,"成交净值须大于零",IF(NOT(ISNUMBER(D366)),"缺少确认份额",IF(D366&lt;=0,"确认份额须大于零",IF(NOT(ISNUMBER(F366)),"缺少手续费，无费用请填 0",IF(F366&lt;0,"手续费不能为负",IF(AA365="错误","前行待修正",IF(A366&lt;Z365,"日期需按成交顺序递增",IF(AND(B366="红利再投",F366&lt;&gt;0),"红利再投手续费应填 0",IF(AND(B366="红利再投",K365&lt;=0),"红利再投前须有持仓",IF(AND(B366="卖出",D366&gt;K365+0.000001),"卖出份额超过持仓",IF(AND(B366="卖出",F366&gt;=C366*D366),"赎回费不能达到赎回总额",IF(NOT(ISNUMBER(E366)),"自动金额未生成，请检查五项输入",IF(NOT(OR(持仓总览!$C$7="利润优先",持仓总览!$C$7="本金优先")),"请选择卖出分配模式","已计入")))))))))))))))))))</f>
        <v/>
      </c>
      <c r="J366" s="11">
        <f t="shared" si="99"/>
        <v>0</v>
      </c>
      <c r="K366" s="11">
        <f t="shared" si="104"/>
        <v>34284.43</v>
      </c>
      <c r="L366" s="11" t="str">
        <f t="shared" si="105"/>
        <v/>
      </c>
      <c r="M366" s="11" t="str">
        <f t="shared" si="106"/>
        <v/>
      </c>
      <c r="N366" s="11" t="str">
        <f>IF(I366="已计入",IF(AND(B366="卖出",持仓总览!$C$7="本金优先"),MAX(0,E366-Q365),IF(OR(B366="卖出",B366="现金分红"),MIN(E366,M366),0)),"")</f>
        <v/>
      </c>
      <c r="O366" s="11" t="str">
        <f t="shared" si="107"/>
        <v/>
      </c>
      <c r="P366" s="11" t="str">
        <f t="shared" si="108"/>
        <v/>
      </c>
      <c r="Q366" s="11">
        <f t="shared" si="109"/>
        <v>82516.01</v>
      </c>
      <c r="R366" s="11" t="str">
        <f t="shared" si="100"/>
        <v/>
      </c>
      <c r="S366" s="11" t="str">
        <f t="shared" si="101"/>
        <v/>
      </c>
      <c r="T366" s="12" t="str">
        <f t="shared" si="102"/>
        <v/>
      </c>
      <c r="U366" s="11">
        <f t="shared" si="110"/>
        <v>82516.01</v>
      </c>
      <c r="V366" s="11">
        <f t="shared" si="111"/>
        <v>0</v>
      </c>
      <c r="W366" s="11">
        <f t="shared" si="112"/>
        <v>0</v>
      </c>
      <c r="X366" s="11">
        <f t="shared" si="113"/>
        <v>0</v>
      </c>
      <c r="Y366" s="11" t="str">
        <f t="shared" si="103"/>
        <v/>
      </c>
      <c r="Z366" s="13">
        <f t="shared" si="114"/>
        <v>46247</v>
      </c>
      <c r="AA366" s="10" t="str">
        <f>IF(OR($AA$116="错误",COUNTIF($G$117:G366,"待修正")&gt;0),"错误","正常")</f>
        <v>正常</v>
      </c>
      <c r="AB366" s="14">
        <f t="shared" si="115"/>
        <v>2.7686</v>
      </c>
    </row>
    <row r="367" ht="23" customHeight="1" spans="1:28">
      <c r="A367" s="15"/>
      <c r="B367" s="16"/>
      <c r="C367" s="17"/>
      <c r="D367" s="18"/>
      <c r="E367" s="19" t="str">
        <f t="shared" si="96"/>
        <v/>
      </c>
      <c r="F367" s="18"/>
      <c r="G367" s="20" t="str">
        <f t="shared" si="97"/>
        <v/>
      </c>
      <c r="H367" s="21" t="str">
        <f t="shared" si="98"/>
        <v/>
      </c>
      <c r="I367" s="10" t="str">
        <f>IF(COUNTA(A367:D367,F367)=0,"",IF(NOT(ISNUMBER(A367)),"缺少有效净值日期",IF(OR(A367&lt;=0,A367&lt;&gt;INT(A367)),"净值日期无效",IF(OR(B367="转换转入",B367="现金分红"),"该类型需实际金额，五项录入不适用",IF(NOT(OR(OR(B367="买入",B367="定投"),B367="卖出",B367="红利再投")),"请选择交易类型",IF(NOT(ISNUMBER(C367)),"缺少成交净值",IF(C367&lt;=0,"成交净值须大于零",IF(NOT(ISNUMBER(D367)),"缺少确认份额",IF(D367&lt;=0,"确认份额须大于零",IF(NOT(ISNUMBER(F367)),"缺少手续费，无费用请填 0",IF(F367&lt;0,"手续费不能为负",IF(AA366="错误","前行待修正",IF(A367&lt;Z366,"日期需按成交顺序递增",IF(AND(B367="红利再投",F367&lt;&gt;0),"红利再投手续费应填 0",IF(AND(B367="红利再投",K366&lt;=0),"红利再投前须有持仓",IF(AND(B367="卖出",D367&gt;K366+0.000001),"卖出份额超过持仓",IF(AND(B367="卖出",F367&gt;=C367*D367),"赎回费不能达到赎回总额",IF(NOT(ISNUMBER(E367)),"自动金额未生成，请检查五项输入",IF(NOT(OR(持仓总览!$C$7="利润优先",持仓总览!$C$7="本金优先")),"请选择卖出分配模式","已计入")))))))))))))))))))</f>
        <v/>
      </c>
      <c r="J367" s="11">
        <f t="shared" si="99"/>
        <v>0</v>
      </c>
      <c r="K367" s="11">
        <f t="shared" si="104"/>
        <v>34284.43</v>
      </c>
      <c r="L367" s="11" t="str">
        <f t="shared" si="105"/>
        <v/>
      </c>
      <c r="M367" s="11" t="str">
        <f t="shared" si="106"/>
        <v/>
      </c>
      <c r="N367" s="11" t="str">
        <f>IF(I367="已计入",IF(AND(B367="卖出",持仓总览!$C$7="本金优先"),MAX(0,E367-Q366),IF(OR(B367="卖出",B367="现金分红"),MIN(E367,M367),0)),"")</f>
        <v/>
      </c>
      <c r="O367" s="11" t="str">
        <f t="shared" si="107"/>
        <v/>
      </c>
      <c r="P367" s="11" t="str">
        <f t="shared" si="108"/>
        <v/>
      </c>
      <c r="Q367" s="11">
        <f t="shared" si="109"/>
        <v>82516.01</v>
      </c>
      <c r="R367" s="11" t="str">
        <f t="shared" si="100"/>
        <v/>
      </c>
      <c r="S367" s="11" t="str">
        <f t="shared" si="101"/>
        <v/>
      </c>
      <c r="T367" s="12" t="str">
        <f t="shared" si="102"/>
        <v/>
      </c>
      <c r="U367" s="11">
        <f t="shared" si="110"/>
        <v>82516.01</v>
      </c>
      <c r="V367" s="11">
        <f t="shared" si="111"/>
        <v>0</v>
      </c>
      <c r="W367" s="11">
        <f t="shared" si="112"/>
        <v>0</v>
      </c>
      <c r="X367" s="11">
        <f t="shared" si="113"/>
        <v>0</v>
      </c>
      <c r="Y367" s="11" t="str">
        <f t="shared" si="103"/>
        <v/>
      </c>
      <c r="Z367" s="13">
        <f t="shared" si="114"/>
        <v>46247</v>
      </c>
      <c r="AA367" s="10" t="str">
        <f>IF(OR($AA$116="错误",COUNTIF($G$117:G367,"待修正")&gt;0),"错误","正常")</f>
        <v>正常</v>
      </c>
      <c r="AB367" s="14">
        <f t="shared" si="115"/>
        <v>2.7686</v>
      </c>
    </row>
    <row r="368" ht="23" customHeight="1" spans="1:28">
      <c r="A368" s="15"/>
      <c r="B368" s="16"/>
      <c r="C368" s="17"/>
      <c r="D368" s="18"/>
      <c r="E368" s="19" t="str">
        <f t="shared" si="96"/>
        <v/>
      </c>
      <c r="F368" s="18"/>
      <c r="G368" s="20" t="str">
        <f t="shared" si="97"/>
        <v/>
      </c>
      <c r="H368" s="21" t="str">
        <f t="shared" si="98"/>
        <v/>
      </c>
      <c r="I368" s="10" t="str">
        <f>IF(COUNTA(A368:D368,F368)=0,"",IF(NOT(ISNUMBER(A368)),"缺少有效净值日期",IF(OR(A368&lt;=0,A368&lt;&gt;INT(A368)),"净值日期无效",IF(OR(B368="转换转入",B368="现金分红"),"该类型需实际金额，五项录入不适用",IF(NOT(OR(OR(B368="买入",B368="定投"),B368="卖出",B368="红利再投")),"请选择交易类型",IF(NOT(ISNUMBER(C368)),"缺少成交净值",IF(C368&lt;=0,"成交净值须大于零",IF(NOT(ISNUMBER(D368)),"缺少确认份额",IF(D368&lt;=0,"确认份额须大于零",IF(NOT(ISNUMBER(F368)),"缺少手续费，无费用请填 0",IF(F368&lt;0,"手续费不能为负",IF(AA367="错误","前行待修正",IF(A368&lt;Z367,"日期需按成交顺序递增",IF(AND(B368="红利再投",F368&lt;&gt;0),"红利再投手续费应填 0",IF(AND(B368="红利再投",K367&lt;=0),"红利再投前须有持仓",IF(AND(B368="卖出",D368&gt;K367+0.000001),"卖出份额超过持仓",IF(AND(B368="卖出",F368&gt;=C368*D368),"赎回费不能达到赎回总额",IF(NOT(ISNUMBER(E368)),"自动金额未生成，请检查五项输入",IF(NOT(OR(持仓总览!$C$7="利润优先",持仓总览!$C$7="本金优先")),"请选择卖出分配模式","已计入")))))))))))))))))))</f>
        <v/>
      </c>
      <c r="J368" s="11">
        <f t="shared" si="99"/>
        <v>0</v>
      </c>
      <c r="K368" s="11">
        <f t="shared" si="104"/>
        <v>34284.43</v>
      </c>
      <c r="L368" s="11" t="str">
        <f t="shared" si="105"/>
        <v/>
      </c>
      <c r="M368" s="11" t="str">
        <f t="shared" si="106"/>
        <v/>
      </c>
      <c r="N368" s="11" t="str">
        <f>IF(I368="已计入",IF(AND(B368="卖出",持仓总览!$C$7="本金优先"),MAX(0,E368-Q367),IF(OR(B368="卖出",B368="现金分红"),MIN(E368,M368),0)),"")</f>
        <v/>
      </c>
      <c r="O368" s="11" t="str">
        <f t="shared" si="107"/>
        <v/>
      </c>
      <c r="P368" s="11" t="str">
        <f t="shared" si="108"/>
        <v/>
      </c>
      <c r="Q368" s="11">
        <f t="shared" si="109"/>
        <v>82516.01</v>
      </c>
      <c r="R368" s="11" t="str">
        <f t="shared" si="100"/>
        <v/>
      </c>
      <c r="S368" s="11" t="str">
        <f t="shared" si="101"/>
        <v/>
      </c>
      <c r="T368" s="12" t="str">
        <f t="shared" si="102"/>
        <v/>
      </c>
      <c r="U368" s="11">
        <f t="shared" si="110"/>
        <v>82516.01</v>
      </c>
      <c r="V368" s="11">
        <f t="shared" si="111"/>
        <v>0</v>
      </c>
      <c r="W368" s="11">
        <f t="shared" si="112"/>
        <v>0</v>
      </c>
      <c r="X368" s="11">
        <f t="shared" si="113"/>
        <v>0</v>
      </c>
      <c r="Y368" s="11" t="str">
        <f t="shared" si="103"/>
        <v/>
      </c>
      <c r="Z368" s="13">
        <f t="shared" si="114"/>
        <v>46247</v>
      </c>
      <c r="AA368" s="10" t="str">
        <f>IF(OR($AA$116="错误",COUNTIF($G$117:G368,"待修正")&gt;0),"错误","正常")</f>
        <v>正常</v>
      </c>
      <c r="AB368" s="14">
        <f t="shared" si="115"/>
        <v>2.7686</v>
      </c>
    </row>
    <row r="369" ht="23" customHeight="1" spans="1:28">
      <c r="A369" s="15"/>
      <c r="B369" s="16"/>
      <c r="C369" s="17"/>
      <c r="D369" s="18"/>
      <c r="E369" s="19" t="str">
        <f t="shared" si="96"/>
        <v/>
      </c>
      <c r="F369" s="18"/>
      <c r="G369" s="20" t="str">
        <f t="shared" si="97"/>
        <v/>
      </c>
      <c r="H369" s="21" t="str">
        <f t="shared" si="98"/>
        <v/>
      </c>
      <c r="I369" s="10" t="str">
        <f>IF(COUNTA(A369:D369,F369)=0,"",IF(NOT(ISNUMBER(A369)),"缺少有效净值日期",IF(OR(A369&lt;=0,A369&lt;&gt;INT(A369)),"净值日期无效",IF(OR(B369="转换转入",B369="现金分红"),"该类型需实际金额，五项录入不适用",IF(NOT(OR(OR(B369="买入",B369="定投"),B369="卖出",B369="红利再投")),"请选择交易类型",IF(NOT(ISNUMBER(C369)),"缺少成交净值",IF(C369&lt;=0,"成交净值须大于零",IF(NOT(ISNUMBER(D369)),"缺少确认份额",IF(D369&lt;=0,"确认份额须大于零",IF(NOT(ISNUMBER(F369)),"缺少手续费，无费用请填 0",IF(F369&lt;0,"手续费不能为负",IF(AA368="错误","前行待修正",IF(A369&lt;Z368,"日期需按成交顺序递增",IF(AND(B369="红利再投",F369&lt;&gt;0),"红利再投手续费应填 0",IF(AND(B369="红利再投",K368&lt;=0),"红利再投前须有持仓",IF(AND(B369="卖出",D369&gt;K368+0.000001),"卖出份额超过持仓",IF(AND(B369="卖出",F369&gt;=C369*D369),"赎回费不能达到赎回总额",IF(NOT(ISNUMBER(E369)),"自动金额未生成，请检查五项输入",IF(NOT(OR(持仓总览!$C$7="利润优先",持仓总览!$C$7="本金优先")),"请选择卖出分配模式","已计入")))))))))))))))))))</f>
        <v/>
      </c>
      <c r="J369" s="11">
        <f t="shared" si="99"/>
        <v>0</v>
      </c>
      <c r="K369" s="11">
        <f t="shared" si="104"/>
        <v>34284.43</v>
      </c>
      <c r="L369" s="11" t="str">
        <f t="shared" si="105"/>
        <v/>
      </c>
      <c r="M369" s="11" t="str">
        <f t="shared" si="106"/>
        <v/>
      </c>
      <c r="N369" s="11" t="str">
        <f>IF(I369="已计入",IF(AND(B369="卖出",持仓总览!$C$7="本金优先"),MAX(0,E369-Q368),IF(OR(B369="卖出",B369="现金分红"),MIN(E369,M369),0)),"")</f>
        <v/>
      </c>
      <c r="O369" s="11" t="str">
        <f t="shared" si="107"/>
        <v/>
      </c>
      <c r="P369" s="11" t="str">
        <f t="shared" si="108"/>
        <v/>
      </c>
      <c r="Q369" s="11">
        <f t="shared" si="109"/>
        <v>82516.01</v>
      </c>
      <c r="R369" s="11" t="str">
        <f t="shared" si="100"/>
        <v/>
      </c>
      <c r="S369" s="11" t="str">
        <f t="shared" si="101"/>
        <v/>
      </c>
      <c r="T369" s="12" t="str">
        <f t="shared" si="102"/>
        <v/>
      </c>
      <c r="U369" s="11">
        <f t="shared" si="110"/>
        <v>82516.01</v>
      </c>
      <c r="V369" s="11">
        <f t="shared" si="111"/>
        <v>0</v>
      </c>
      <c r="W369" s="11">
        <f t="shared" si="112"/>
        <v>0</v>
      </c>
      <c r="X369" s="11">
        <f t="shared" si="113"/>
        <v>0</v>
      </c>
      <c r="Y369" s="11" t="str">
        <f t="shared" si="103"/>
        <v/>
      </c>
      <c r="Z369" s="13">
        <f t="shared" si="114"/>
        <v>46247</v>
      </c>
      <c r="AA369" s="10" t="str">
        <f>IF(OR($AA$116="错误",COUNTIF($G$117:G369,"待修正")&gt;0),"错误","正常")</f>
        <v>正常</v>
      </c>
      <c r="AB369" s="14">
        <f t="shared" si="115"/>
        <v>2.7686</v>
      </c>
    </row>
    <row r="370" ht="23" customHeight="1" spans="1:28">
      <c r="A370" s="15"/>
      <c r="B370" s="16"/>
      <c r="C370" s="17"/>
      <c r="D370" s="18"/>
      <c r="E370" s="19" t="str">
        <f t="shared" si="96"/>
        <v/>
      </c>
      <c r="F370" s="18"/>
      <c r="G370" s="20" t="str">
        <f t="shared" si="97"/>
        <v/>
      </c>
      <c r="H370" s="21" t="str">
        <f t="shared" si="98"/>
        <v/>
      </c>
      <c r="I370" s="10" t="str">
        <f>IF(COUNTA(A370:D370,F370)=0,"",IF(NOT(ISNUMBER(A370)),"缺少有效净值日期",IF(OR(A370&lt;=0,A370&lt;&gt;INT(A370)),"净值日期无效",IF(OR(B370="转换转入",B370="现金分红"),"该类型需实际金额，五项录入不适用",IF(NOT(OR(OR(B370="买入",B370="定投"),B370="卖出",B370="红利再投")),"请选择交易类型",IF(NOT(ISNUMBER(C370)),"缺少成交净值",IF(C370&lt;=0,"成交净值须大于零",IF(NOT(ISNUMBER(D370)),"缺少确认份额",IF(D370&lt;=0,"确认份额须大于零",IF(NOT(ISNUMBER(F370)),"缺少手续费，无费用请填 0",IF(F370&lt;0,"手续费不能为负",IF(AA369="错误","前行待修正",IF(A370&lt;Z369,"日期需按成交顺序递增",IF(AND(B370="红利再投",F370&lt;&gt;0),"红利再投手续费应填 0",IF(AND(B370="红利再投",K369&lt;=0),"红利再投前须有持仓",IF(AND(B370="卖出",D370&gt;K369+0.000001),"卖出份额超过持仓",IF(AND(B370="卖出",F370&gt;=C370*D370),"赎回费不能达到赎回总额",IF(NOT(ISNUMBER(E370)),"自动金额未生成，请检查五项输入",IF(NOT(OR(持仓总览!$C$7="利润优先",持仓总览!$C$7="本金优先")),"请选择卖出分配模式","已计入")))))))))))))))))))</f>
        <v/>
      </c>
      <c r="J370" s="11">
        <f t="shared" si="99"/>
        <v>0</v>
      </c>
      <c r="K370" s="11">
        <f t="shared" si="104"/>
        <v>34284.43</v>
      </c>
      <c r="L370" s="11" t="str">
        <f t="shared" si="105"/>
        <v/>
      </c>
      <c r="M370" s="11" t="str">
        <f t="shared" si="106"/>
        <v/>
      </c>
      <c r="N370" s="11" t="str">
        <f>IF(I370="已计入",IF(AND(B370="卖出",持仓总览!$C$7="本金优先"),MAX(0,E370-Q369),IF(OR(B370="卖出",B370="现金分红"),MIN(E370,M370),0)),"")</f>
        <v/>
      </c>
      <c r="O370" s="11" t="str">
        <f t="shared" si="107"/>
        <v/>
      </c>
      <c r="P370" s="11" t="str">
        <f t="shared" si="108"/>
        <v/>
      </c>
      <c r="Q370" s="11">
        <f t="shared" si="109"/>
        <v>82516.01</v>
      </c>
      <c r="R370" s="11" t="str">
        <f t="shared" si="100"/>
        <v/>
      </c>
      <c r="S370" s="11" t="str">
        <f t="shared" si="101"/>
        <v/>
      </c>
      <c r="T370" s="12" t="str">
        <f t="shared" si="102"/>
        <v/>
      </c>
      <c r="U370" s="11">
        <f t="shared" si="110"/>
        <v>82516.01</v>
      </c>
      <c r="V370" s="11">
        <f t="shared" si="111"/>
        <v>0</v>
      </c>
      <c r="W370" s="11">
        <f t="shared" si="112"/>
        <v>0</v>
      </c>
      <c r="X370" s="11">
        <f t="shared" si="113"/>
        <v>0</v>
      </c>
      <c r="Y370" s="11" t="str">
        <f t="shared" si="103"/>
        <v/>
      </c>
      <c r="Z370" s="13">
        <f t="shared" si="114"/>
        <v>46247</v>
      </c>
      <c r="AA370" s="10" t="str">
        <f>IF(OR($AA$116="错误",COUNTIF($G$117:G370,"待修正")&gt;0),"错误","正常")</f>
        <v>正常</v>
      </c>
      <c r="AB370" s="14">
        <f t="shared" si="115"/>
        <v>2.7686</v>
      </c>
    </row>
    <row r="371" ht="23" customHeight="1" spans="1:28">
      <c r="A371" s="15"/>
      <c r="B371" s="16"/>
      <c r="C371" s="17"/>
      <c r="D371" s="18"/>
      <c r="E371" s="19" t="str">
        <f t="shared" si="96"/>
        <v/>
      </c>
      <c r="F371" s="18"/>
      <c r="G371" s="20" t="str">
        <f t="shared" si="97"/>
        <v/>
      </c>
      <c r="H371" s="21" t="str">
        <f t="shared" si="98"/>
        <v/>
      </c>
      <c r="I371" s="10" t="str">
        <f>IF(COUNTA(A371:D371,F371)=0,"",IF(NOT(ISNUMBER(A371)),"缺少有效净值日期",IF(OR(A371&lt;=0,A371&lt;&gt;INT(A371)),"净值日期无效",IF(OR(B371="转换转入",B371="现金分红"),"该类型需实际金额，五项录入不适用",IF(NOT(OR(OR(B371="买入",B371="定投"),B371="卖出",B371="红利再投")),"请选择交易类型",IF(NOT(ISNUMBER(C371)),"缺少成交净值",IF(C371&lt;=0,"成交净值须大于零",IF(NOT(ISNUMBER(D371)),"缺少确认份额",IF(D371&lt;=0,"确认份额须大于零",IF(NOT(ISNUMBER(F371)),"缺少手续费，无费用请填 0",IF(F371&lt;0,"手续费不能为负",IF(AA370="错误","前行待修正",IF(A371&lt;Z370,"日期需按成交顺序递增",IF(AND(B371="红利再投",F371&lt;&gt;0),"红利再投手续费应填 0",IF(AND(B371="红利再投",K370&lt;=0),"红利再投前须有持仓",IF(AND(B371="卖出",D371&gt;K370+0.000001),"卖出份额超过持仓",IF(AND(B371="卖出",F371&gt;=C371*D371),"赎回费不能达到赎回总额",IF(NOT(ISNUMBER(E371)),"自动金额未生成，请检查五项输入",IF(NOT(OR(持仓总览!$C$7="利润优先",持仓总览!$C$7="本金优先")),"请选择卖出分配模式","已计入")))))))))))))))))))</f>
        <v/>
      </c>
      <c r="J371" s="11">
        <f t="shared" si="99"/>
        <v>0</v>
      </c>
      <c r="K371" s="11">
        <f t="shared" si="104"/>
        <v>34284.43</v>
      </c>
      <c r="L371" s="11" t="str">
        <f t="shared" si="105"/>
        <v/>
      </c>
      <c r="M371" s="11" t="str">
        <f t="shared" si="106"/>
        <v/>
      </c>
      <c r="N371" s="11" t="str">
        <f>IF(I371="已计入",IF(AND(B371="卖出",持仓总览!$C$7="本金优先"),MAX(0,E371-Q370),IF(OR(B371="卖出",B371="现金分红"),MIN(E371,M371),0)),"")</f>
        <v/>
      </c>
      <c r="O371" s="11" t="str">
        <f t="shared" si="107"/>
        <v/>
      </c>
      <c r="P371" s="11" t="str">
        <f t="shared" si="108"/>
        <v/>
      </c>
      <c r="Q371" s="11">
        <f t="shared" si="109"/>
        <v>82516.01</v>
      </c>
      <c r="R371" s="11" t="str">
        <f t="shared" si="100"/>
        <v/>
      </c>
      <c r="S371" s="11" t="str">
        <f t="shared" si="101"/>
        <v/>
      </c>
      <c r="T371" s="12" t="str">
        <f t="shared" si="102"/>
        <v/>
      </c>
      <c r="U371" s="11">
        <f t="shared" si="110"/>
        <v>82516.01</v>
      </c>
      <c r="V371" s="11">
        <f t="shared" si="111"/>
        <v>0</v>
      </c>
      <c r="W371" s="11">
        <f t="shared" si="112"/>
        <v>0</v>
      </c>
      <c r="X371" s="11">
        <f t="shared" si="113"/>
        <v>0</v>
      </c>
      <c r="Y371" s="11" t="str">
        <f t="shared" si="103"/>
        <v/>
      </c>
      <c r="Z371" s="13">
        <f t="shared" si="114"/>
        <v>46247</v>
      </c>
      <c r="AA371" s="10" t="str">
        <f>IF(OR($AA$116="错误",COUNTIF($G$117:G371,"待修正")&gt;0),"错误","正常")</f>
        <v>正常</v>
      </c>
      <c r="AB371" s="14">
        <f t="shared" si="115"/>
        <v>2.7686</v>
      </c>
    </row>
    <row r="372" ht="23" customHeight="1" spans="1:28">
      <c r="A372" s="15"/>
      <c r="B372" s="16"/>
      <c r="C372" s="17"/>
      <c r="D372" s="18"/>
      <c r="E372" s="19" t="str">
        <f t="shared" si="96"/>
        <v/>
      </c>
      <c r="F372" s="18"/>
      <c r="G372" s="20" t="str">
        <f t="shared" si="97"/>
        <v/>
      </c>
      <c r="H372" s="21" t="str">
        <f t="shared" si="98"/>
        <v/>
      </c>
      <c r="I372" s="10" t="str">
        <f>IF(COUNTA(A372:D372,F372)=0,"",IF(NOT(ISNUMBER(A372)),"缺少有效净值日期",IF(OR(A372&lt;=0,A372&lt;&gt;INT(A372)),"净值日期无效",IF(OR(B372="转换转入",B372="现金分红"),"该类型需实际金额，五项录入不适用",IF(NOT(OR(OR(B372="买入",B372="定投"),B372="卖出",B372="红利再投")),"请选择交易类型",IF(NOT(ISNUMBER(C372)),"缺少成交净值",IF(C372&lt;=0,"成交净值须大于零",IF(NOT(ISNUMBER(D372)),"缺少确认份额",IF(D372&lt;=0,"确认份额须大于零",IF(NOT(ISNUMBER(F372)),"缺少手续费，无费用请填 0",IF(F372&lt;0,"手续费不能为负",IF(AA371="错误","前行待修正",IF(A372&lt;Z371,"日期需按成交顺序递增",IF(AND(B372="红利再投",F372&lt;&gt;0),"红利再投手续费应填 0",IF(AND(B372="红利再投",K371&lt;=0),"红利再投前须有持仓",IF(AND(B372="卖出",D372&gt;K371+0.000001),"卖出份额超过持仓",IF(AND(B372="卖出",F372&gt;=C372*D372),"赎回费不能达到赎回总额",IF(NOT(ISNUMBER(E372)),"自动金额未生成，请检查五项输入",IF(NOT(OR(持仓总览!$C$7="利润优先",持仓总览!$C$7="本金优先")),"请选择卖出分配模式","已计入")))))))))))))))))))</f>
        <v/>
      </c>
      <c r="J372" s="11">
        <f t="shared" si="99"/>
        <v>0</v>
      </c>
      <c r="K372" s="11">
        <f t="shared" si="104"/>
        <v>34284.43</v>
      </c>
      <c r="L372" s="11" t="str">
        <f t="shared" si="105"/>
        <v/>
      </c>
      <c r="M372" s="11" t="str">
        <f t="shared" si="106"/>
        <v/>
      </c>
      <c r="N372" s="11" t="str">
        <f>IF(I372="已计入",IF(AND(B372="卖出",持仓总览!$C$7="本金优先"),MAX(0,E372-Q371),IF(OR(B372="卖出",B372="现金分红"),MIN(E372,M372),0)),"")</f>
        <v/>
      </c>
      <c r="O372" s="11" t="str">
        <f t="shared" si="107"/>
        <v/>
      </c>
      <c r="P372" s="11" t="str">
        <f t="shared" si="108"/>
        <v/>
      </c>
      <c r="Q372" s="11">
        <f t="shared" si="109"/>
        <v>82516.01</v>
      </c>
      <c r="R372" s="11" t="str">
        <f t="shared" si="100"/>
        <v/>
      </c>
      <c r="S372" s="11" t="str">
        <f t="shared" si="101"/>
        <v/>
      </c>
      <c r="T372" s="12" t="str">
        <f t="shared" si="102"/>
        <v/>
      </c>
      <c r="U372" s="11">
        <f t="shared" si="110"/>
        <v>82516.01</v>
      </c>
      <c r="V372" s="11">
        <f t="shared" si="111"/>
        <v>0</v>
      </c>
      <c r="W372" s="11">
        <f t="shared" si="112"/>
        <v>0</v>
      </c>
      <c r="X372" s="11">
        <f t="shared" si="113"/>
        <v>0</v>
      </c>
      <c r="Y372" s="11" t="str">
        <f t="shared" si="103"/>
        <v/>
      </c>
      <c r="Z372" s="13">
        <f t="shared" si="114"/>
        <v>46247</v>
      </c>
      <c r="AA372" s="10" t="str">
        <f>IF(OR($AA$116="错误",COUNTIF($G$117:G372,"待修正")&gt;0),"错误","正常")</f>
        <v>正常</v>
      </c>
      <c r="AB372" s="14">
        <f t="shared" si="115"/>
        <v>2.7686</v>
      </c>
    </row>
    <row r="373" ht="23" customHeight="1" spans="1:28">
      <c r="A373" s="15"/>
      <c r="B373" s="16"/>
      <c r="C373" s="17"/>
      <c r="D373" s="18"/>
      <c r="E373" s="19" t="str">
        <f t="shared" ref="E373:E436" si="116">IF(AND(ISNUMBER(C373),ISNUMBER(D373),ISNUMBER(F373)),IF(OR(B373="买入",B373="定投"),ROUND(C373*D373+F373,2),IF(B373="卖出",ROUND(C373*D373-F373,2),IF(B373="红利再投",0,""))),"")</f>
        <v/>
      </c>
      <c r="F373" s="18"/>
      <c r="G373" s="20" t="str">
        <f t="shared" ref="G373:G436" si="117">IF(COUNTA(A373:D373,F373)=0,"",IF(I373="已计入","已录入","待修正"))</f>
        <v/>
      </c>
      <c r="H373" s="21" t="str">
        <f t="shared" ref="H373:H436" si="118">IF(COUNTA(A373:D373,F373)=0,"",IF(B373="红利再投","仅增加份额，不增加现金投入","金额由份额、净值和手续费推算"))</f>
        <v/>
      </c>
      <c r="I373" s="10" t="str">
        <f>IF(COUNTA(A373:D373,F373)=0,"",IF(NOT(ISNUMBER(A373)),"缺少有效净值日期",IF(OR(A373&lt;=0,A373&lt;&gt;INT(A373)),"净值日期无效",IF(OR(B373="转换转入",B373="现金分红"),"该类型需实际金额，五项录入不适用",IF(NOT(OR(OR(B373="买入",B373="定投"),B373="卖出",B373="红利再投")),"请选择交易类型",IF(NOT(ISNUMBER(C373)),"缺少成交净值",IF(C373&lt;=0,"成交净值须大于零",IF(NOT(ISNUMBER(D373)),"缺少确认份额",IF(D373&lt;=0,"确认份额须大于零",IF(NOT(ISNUMBER(F373)),"缺少手续费，无费用请填 0",IF(F373&lt;0,"手续费不能为负",IF(AA372="错误","前行待修正",IF(A373&lt;Z372,"日期需按成交顺序递增",IF(AND(B373="红利再投",F373&lt;&gt;0),"红利再投手续费应填 0",IF(AND(B373="红利再投",K372&lt;=0),"红利再投前须有持仓",IF(AND(B373="卖出",D373&gt;K372+0.000001),"卖出份额超过持仓",IF(AND(B373="卖出",F373&gt;=C373*D373),"赎回费不能达到赎回总额",IF(NOT(ISNUMBER(E373)),"自动金额未生成，请检查五项输入",IF(NOT(OR(持仓总览!$C$7="利润优先",持仓总览!$C$7="本金优先")),"请选择卖出分配模式","已计入")))))))))))))))))))</f>
        <v/>
      </c>
      <c r="J373" s="11">
        <f t="shared" si="99"/>
        <v>0</v>
      </c>
      <c r="K373" s="11">
        <f t="shared" si="104"/>
        <v>34284.43</v>
      </c>
      <c r="L373" s="11" t="str">
        <f t="shared" si="105"/>
        <v/>
      </c>
      <c r="M373" s="11" t="str">
        <f t="shared" si="106"/>
        <v/>
      </c>
      <c r="N373" s="11" t="str">
        <f>IF(I373="已计入",IF(AND(B373="卖出",持仓总览!$C$7="本金优先"),MAX(0,E373-Q372),IF(OR(B373="卖出",B373="现金分红"),MIN(E373,M373),0)),"")</f>
        <v/>
      </c>
      <c r="O373" s="11" t="str">
        <f t="shared" si="107"/>
        <v/>
      </c>
      <c r="P373" s="11" t="str">
        <f t="shared" si="108"/>
        <v/>
      </c>
      <c r="Q373" s="11">
        <f t="shared" si="109"/>
        <v>82516.01</v>
      </c>
      <c r="R373" s="11" t="str">
        <f t="shared" si="100"/>
        <v/>
      </c>
      <c r="S373" s="11" t="str">
        <f t="shared" si="101"/>
        <v/>
      </c>
      <c r="T373" s="12" t="str">
        <f t="shared" si="102"/>
        <v/>
      </c>
      <c r="U373" s="11">
        <f t="shared" si="110"/>
        <v>82516.01</v>
      </c>
      <c r="V373" s="11">
        <f t="shared" si="111"/>
        <v>0</v>
      </c>
      <c r="W373" s="11">
        <f t="shared" si="112"/>
        <v>0</v>
      </c>
      <c r="X373" s="11">
        <f t="shared" si="113"/>
        <v>0</v>
      </c>
      <c r="Y373" s="11" t="str">
        <f t="shared" si="103"/>
        <v/>
      </c>
      <c r="Z373" s="13">
        <f t="shared" si="114"/>
        <v>46247</v>
      </c>
      <c r="AA373" s="10" t="str">
        <f>IF(OR($AA$116="错误",COUNTIF($G$117:G373,"待修正")&gt;0),"错误","正常")</f>
        <v>正常</v>
      </c>
      <c r="AB373" s="14">
        <f t="shared" si="115"/>
        <v>2.7686</v>
      </c>
    </row>
    <row r="374" ht="23" customHeight="1" spans="1:28">
      <c r="A374" s="15"/>
      <c r="B374" s="16"/>
      <c r="C374" s="17"/>
      <c r="D374" s="18"/>
      <c r="E374" s="19" t="str">
        <f t="shared" si="116"/>
        <v/>
      </c>
      <c r="F374" s="18"/>
      <c r="G374" s="20" t="str">
        <f t="shared" si="117"/>
        <v/>
      </c>
      <c r="H374" s="21" t="str">
        <f t="shared" si="118"/>
        <v/>
      </c>
      <c r="I374" s="10" t="str">
        <f>IF(COUNTA(A374:D374,F374)=0,"",IF(NOT(ISNUMBER(A374)),"缺少有效净值日期",IF(OR(A374&lt;=0,A374&lt;&gt;INT(A374)),"净值日期无效",IF(OR(B374="转换转入",B374="现金分红"),"该类型需实际金额，五项录入不适用",IF(NOT(OR(OR(B374="买入",B374="定投"),B374="卖出",B374="红利再投")),"请选择交易类型",IF(NOT(ISNUMBER(C374)),"缺少成交净值",IF(C374&lt;=0,"成交净值须大于零",IF(NOT(ISNUMBER(D374)),"缺少确认份额",IF(D374&lt;=0,"确认份额须大于零",IF(NOT(ISNUMBER(F374)),"缺少手续费，无费用请填 0",IF(F374&lt;0,"手续费不能为负",IF(AA373="错误","前行待修正",IF(A374&lt;Z373,"日期需按成交顺序递增",IF(AND(B374="红利再投",F374&lt;&gt;0),"红利再投手续费应填 0",IF(AND(B374="红利再投",K373&lt;=0),"红利再投前须有持仓",IF(AND(B374="卖出",D374&gt;K373+0.000001),"卖出份额超过持仓",IF(AND(B374="卖出",F374&gt;=C374*D374),"赎回费不能达到赎回总额",IF(NOT(ISNUMBER(E374)),"自动金额未生成，请检查五项输入",IF(NOT(OR(持仓总览!$C$7="利润优先",持仓总览!$C$7="本金优先")),"请选择卖出分配模式","已计入")))))))))))))))))))</f>
        <v/>
      </c>
      <c r="J374" s="11">
        <f t="shared" si="99"/>
        <v>0</v>
      </c>
      <c r="K374" s="11">
        <f t="shared" si="104"/>
        <v>34284.43</v>
      </c>
      <c r="L374" s="11" t="str">
        <f t="shared" si="105"/>
        <v/>
      </c>
      <c r="M374" s="11" t="str">
        <f t="shared" si="106"/>
        <v/>
      </c>
      <c r="N374" s="11" t="str">
        <f>IF(I374="已计入",IF(AND(B374="卖出",持仓总览!$C$7="本金优先"),MAX(0,E374-Q373),IF(OR(B374="卖出",B374="现金分红"),MIN(E374,M374),0)),"")</f>
        <v/>
      </c>
      <c r="O374" s="11" t="str">
        <f t="shared" si="107"/>
        <v/>
      </c>
      <c r="P374" s="11" t="str">
        <f t="shared" si="108"/>
        <v/>
      </c>
      <c r="Q374" s="11">
        <f t="shared" si="109"/>
        <v>82516.01</v>
      </c>
      <c r="R374" s="11" t="str">
        <f t="shared" si="100"/>
        <v/>
      </c>
      <c r="S374" s="11" t="str">
        <f t="shared" si="101"/>
        <v/>
      </c>
      <c r="T374" s="12" t="str">
        <f t="shared" si="102"/>
        <v/>
      </c>
      <c r="U374" s="11">
        <f t="shared" si="110"/>
        <v>82516.01</v>
      </c>
      <c r="V374" s="11">
        <f t="shared" si="111"/>
        <v>0</v>
      </c>
      <c r="W374" s="11">
        <f t="shared" si="112"/>
        <v>0</v>
      </c>
      <c r="X374" s="11">
        <f t="shared" si="113"/>
        <v>0</v>
      </c>
      <c r="Y374" s="11" t="str">
        <f t="shared" si="103"/>
        <v/>
      </c>
      <c r="Z374" s="13">
        <f t="shared" si="114"/>
        <v>46247</v>
      </c>
      <c r="AA374" s="10" t="str">
        <f>IF(OR($AA$116="错误",COUNTIF($G$117:G374,"待修正")&gt;0),"错误","正常")</f>
        <v>正常</v>
      </c>
      <c r="AB374" s="14">
        <f t="shared" si="115"/>
        <v>2.7686</v>
      </c>
    </row>
    <row r="375" ht="23" customHeight="1" spans="1:28">
      <c r="A375" s="15"/>
      <c r="B375" s="16"/>
      <c r="C375" s="17"/>
      <c r="D375" s="18"/>
      <c r="E375" s="19" t="str">
        <f t="shared" si="116"/>
        <v/>
      </c>
      <c r="F375" s="18"/>
      <c r="G375" s="20" t="str">
        <f t="shared" si="117"/>
        <v/>
      </c>
      <c r="H375" s="21" t="str">
        <f t="shared" si="118"/>
        <v/>
      </c>
      <c r="I375" s="10" t="str">
        <f>IF(COUNTA(A375:D375,F375)=0,"",IF(NOT(ISNUMBER(A375)),"缺少有效净值日期",IF(OR(A375&lt;=0,A375&lt;&gt;INT(A375)),"净值日期无效",IF(OR(B375="转换转入",B375="现金分红"),"该类型需实际金额，五项录入不适用",IF(NOT(OR(OR(B375="买入",B375="定投"),B375="卖出",B375="红利再投")),"请选择交易类型",IF(NOT(ISNUMBER(C375)),"缺少成交净值",IF(C375&lt;=0,"成交净值须大于零",IF(NOT(ISNUMBER(D375)),"缺少确认份额",IF(D375&lt;=0,"确认份额须大于零",IF(NOT(ISNUMBER(F375)),"缺少手续费，无费用请填 0",IF(F375&lt;0,"手续费不能为负",IF(AA374="错误","前行待修正",IF(A375&lt;Z374,"日期需按成交顺序递增",IF(AND(B375="红利再投",F375&lt;&gt;0),"红利再投手续费应填 0",IF(AND(B375="红利再投",K374&lt;=0),"红利再投前须有持仓",IF(AND(B375="卖出",D375&gt;K374+0.000001),"卖出份额超过持仓",IF(AND(B375="卖出",F375&gt;=C375*D375),"赎回费不能达到赎回总额",IF(NOT(ISNUMBER(E375)),"自动金额未生成，请检查五项输入",IF(NOT(OR(持仓总览!$C$7="利润优先",持仓总览!$C$7="本金优先")),"请选择卖出分配模式","已计入")))))))))))))))))))</f>
        <v/>
      </c>
      <c r="J375" s="11">
        <f t="shared" si="99"/>
        <v>0</v>
      </c>
      <c r="K375" s="11">
        <f t="shared" si="104"/>
        <v>34284.43</v>
      </c>
      <c r="L375" s="11" t="str">
        <f t="shared" si="105"/>
        <v/>
      </c>
      <c r="M375" s="11" t="str">
        <f t="shared" si="106"/>
        <v/>
      </c>
      <c r="N375" s="11" t="str">
        <f>IF(I375="已计入",IF(AND(B375="卖出",持仓总览!$C$7="本金优先"),MAX(0,E375-Q374),IF(OR(B375="卖出",B375="现金分红"),MIN(E375,M375),0)),"")</f>
        <v/>
      </c>
      <c r="O375" s="11" t="str">
        <f t="shared" si="107"/>
        <v/>
      </c>
      <c r="P375" s="11" t="str">
        <f t="shared" si="108"/>
        <v/>
      </c>
      <c r="Q375" s="11">
        <f t="shared" si="109"/>
        <v>82516.01</v>
      </c>
      <c r="R375" s="11" t="str">
        <f t="shared" si="100"/>
        <v/>
      </c>
      <c r="S375" s="11" t="str">
        <f t="shared" si="101"/>
        <v/>
      </c>
      <c r="T375" s="12" t="str">
        <f t="shared" si="102"/>
        <v/>
      </c>
      <c r="U375" s="11">
        <f t="shared" si="110"/>
        <v>82516.01</v>
      </c>
      <c r="V375" s="11">
        <f t="shared" si="111"/>
        <v>0</v>
      </c>
      <c r="W375" s="11">
        <f t="shared" si="112"/>
        <v>0</v>
      </c>
      <c r="X375" s="11">
        <f t="shared" si="113"/>
        <v>0</v>
      </c>
      <c r="Y375" s="11" t="str">
        <f t="shared" si="103"/>
        <v/>
      </c>
      <c r="Z375" s="13">
        <f t="shared" si="114"/>
        <v>46247</v>
      </c>
      <c r="AA375" s="10" t="str">
        <f>IF(OR($AA$116="错误",COUNTIF($G$117:G375,"待修正")&gt;0),"错误","正常")</f>
        <v>正常</v>
      </c>
      <c r="AB375" s="14">
        <f t="shared" si="115"/>
        <v>2.7686</v>
      </c>
    </row>
    <row r="376" ht="23" customHeight="1" spans="1:28">
      <c r="A376" s="15"/>
      <c r="B376" s="16"/>
      <c r="C376" s="17"/>
      <c r="D376" s="18"/>
      <c r="E376" s="19" t="str">
        <f t="shared" si="116"/>
        <v/>
      </c>
      <c r="F376" s="18"/>
      <c r="G376" s="20" t="str">
        <f t="shared" si="117"/>
        <v/>
      </c>
      <c r="H376" s="21" t="str">
        <f t="shared" si="118"/>
        <v/>
      </c>
      <c r="I376" s="10" t="str">
        <f>IF(COUNTA(A376:D376,F376)=0,"",IF(NOT(ISNUMBER(A376)),"缺少有效净值日期",IF(OR(A376&lt;=0,A376&lt;&gt;INT(A376)),"净值日期无效",IF(OR(B376="转换转入",B376="现金分红"),"该类型需实际金额，五项录入不适用",IF(NOT(OR(OR(B376="买入",B376="定投"),B376="卖出",B376="红利再投")),"请选择交易类型",IF(NOT(ISNUMBER(C376)),"缺少成交净值",IF(C376&lt;=0,"成交净值须大于零",IF(NOT(ISNUMBER(D376)),"缺少确认份额",IF(D376&lt;=0,"确认份额须大于零",IF(NOT(ISNUMBER(F376)),"缺少手续费，无费用请填 0",IF(F376&lt;0,"手续费不能为负",IF(AA375="错误","前行待修正",IF(A376&lt;Z375,"日期需按成交顺序递增",IF(AND(B376="红利再投",F376&lt;&gt;0),"红利再投手续费应填 0",IF(AND(B376="红利再投",K375&lt;=0),"红利再投前须有持仓",IF(AND(B376="卖出",D376&gt;K375+0.000001),"卖出份额超过持仓",IF(AND(B376="卖出",F376&gt;=C376*D376),"赎回费不能达到赎回总额",IF(NOT(ISNUMBER(E376)),"自动金额未生成，请检查五项输入",IF(NOT(OR(持仓总览!$C$7="利润优先",持仓总览!$C$7="本金优先")),"请选择卖出分配模式","已计入")))))))))))))))))))</f>
        <v/>
      </c>
      <c r="J376" s="11">
        <f t="shared" si="99"/>
        <v>0</v>
      </c>
      <c r="K376" s="11">
        <f t="shared" si="104"/>
        <v>34284.43</v>
      </c>
      <c r="L376" s="11" t="str">
        <f t="shared" si="105"/>
        <v/>
      </c>
      <c r="M376" s="11" t="str">
        <f t="shared" si="106"/>
        <v/>
      </c>
      <c r="N376" s="11" t="str">
        <f>IF(I376="已计入",IF(AND(B376="卖出",持仓总览!$C$7="本金优先"),MAX(0,E376-Q375),IF(OR(B376="卖出",B376="现金分红"),MIN(E376,M376),0)),"")</f>
        <v/>
      </c>
      <c r="O376" s="11" t="str">
        <f t="shared" si="107"/>
        <v/>
      </c>
      <c r="P376" s="11" t="str">
        <f t="shared" si="108"/>
        <v/>
      </c>
      <c r="Q376" s="11">
        <f t="shared" si="109"/>
        <v>82516.01</v>
      </c>
      <c r="R376" s="11" t="str">
        <f t="shared" si="100"/>
        <v/>
      </c>
      <c r="S376" s="11" t="str">
        <f t="shared" si="101"/>
        <v/>
      </c>
      <c r="T376" s="12" t="str">
        <f t="shared" si="102"/>
        <v/>
      </c>
      <c r="U376" s="11">
        <f t="shared" si="110"/>
        <v>82516.01</v>
      </c>
      <c r="V376" s="11">
        <f t="shared" si="111"/>
        <v>0</v>
      </c>
      <c r="W376" s="11">
        <f t="shared" si="112"/>
        <v>0</v>
      </c>
      <c r="X376" s="11">
        <f t="shared" si="113"/>
        <v>0</v>
      </c>
      <c r="Y376" s="11" t="str">
        <f t="shared" si="103"/>
        <v/>
      </c>
      <c r="Z376" s="13">
        <f t="shared" si="114"/>
        <v>46247</v>
      </c>
      <c r="AA376" s="10" t="str">
        <f>IF(OR($AA$116="错误",COUNTIF($G$117:G376,"待修正")&gt;0),"错误","正常")</f>
        <v>正常</v>
      </c>
      <c r="AB376" s="14">
        <f t="shared" si="115"/>
        <v>2.7686</v>
      </c>
    </row>
    <row r="377" ht="23" customHeight="1" spans="1:28">
      <c r="A377" s="15"/>
      <c r="B377" s="16"/>
      <c r="C377" s="17"/>
      <c r="D377" s="18"/>
      <c r="E377" s="19" t="str">
        <f t="shared" si="116"/>
        <v/>
      </c>
      <c r="F377" s="18"/>
      <c r="G377" s="20" t="str">
        <f t="shared" si="117"/>
        <v/>
      </c>
      <c r="H377" s="21" t="str">
        <f t="shared" si="118"/>
        <v/>
      </c>
      <c r="I377" s="10" t="str">
        <f>IF(COUNTA(A377:D377,F377)=0,"",IF(NOT(ISNUMBER(A377)),"缺少有效净值日期",IF(OR(A377&lt;=0,A377&lt;&gt;INT(A377)),"净值日期无效",IF(OR(B377="转换转入",B377="现金分红"),"该类型需实际金额，五项录入不适用",IF(NOT(OR(OR(B377="买入",B377="定投"),B377="卖出",B377="红利再投")),"请选择交易类型",IF(NOT(ISNUMBER(C377)),"缺少成交净值",IF(C377&lt;=0,"成交净值须大于零",IF(NOT(ISNUMBER(D377)),"缺少确认份额",IF(D377&lt;=0,"确认份额须大于零",IF(NOT(ISNUMBER(F377)),"缺少手续费，无费用请填 0",IF(F377&lt;0,"手续费不能为负",IF(AA376="错误","前行待修正",IF(A377&lt;Z376,"日期需按成交顺序递增",IF(AND(B377="红利再投",F377&lt;&gt;0),"红利再投手续费应填 0",IF(AND(B377="红利再投",K376&lt;=0),"红利再投前须有持仓",IF(AND(B377="卖出",D377&gt;K376+0.000001),"卖出份额超过持仓",IF(AND(B377="卖出",F377&gt;=C377*D377),"赎回费不能达到赎回总额",IF(NOT(ISNUMBER(E377)),"自动金额未生成，请检查五项输入",IF(NOT(OR(持仓总览!$C$7="利润优先",持仓总览!$C$7="本金优先")),"请选择卖出分配模式","已计入")))))))))))))))))))</f>
        <v/>
      </c>
      <c r="J377" s="11">
        <f t="shared" si="99"/>
        <v>0</v>
      </c>
      <c r="K377" s="11">
        <f t="shared" si="104"/>
        <v>34284.43</v>
      </c>
      <c r="L377" s="11" t="str">
        <f t="shared" si="105"/>
        <v/>
      </c>
      <c r="M377" s="11" t="str">
        <f t="shared" si="106"/>
        <v/>
      </c>
      <c r="N377" s="11" t="str">
        <f>IF(I377="已计入",IF(AND(B377="卖出",持仓总览!$C$7="本金优先"),MAX(0,E377-Q376),IF(OR(B377="卖出",B377="现金分红"),MIN(E377,M377),0)),"")</f>
        <v/>
      </c>
      <c r="O377" s="11" t="str">
        <f t="shared" si="107"/>
        <v/>
      </c>
      <c r="P377" s="11" t="str">
        <f t="shared" si="108"/>
        <v/>
      </c>
      <c r="Q377" s="11">
        <f t="shared" si="109"/>
        <v>82516.01</v>
      </c>
      <c r="R377" s="11" t="str">
        <f t="shared" si="100"/>
        <v/>
      </c>
      <c r="S377" s="11" t="str">
        <f t="shared" si="101"/>
        <v/>
      </c>
      <c r="T377" s="12" t="str">
        <f t="shared" si="102"/>
        <v/>
      </c>
      <c r="U377" s="11">
        <f t="shared" si="110"/>
        <v>82516.01</v>
      </c>
      <c r="V377" s="11">
        <f t="shared" si="111"/>
        <v>0</v>
      </c>
      <c r="W377" s="11">
        <f t="shared" si="112"/>
        <v>0</v>
      </c>
      <c r="X377" s="11">
        <f t="shared" si="113"/>
        <v>0</v>
      </c>
      <c r="Y377" s="11" t="str">
        <f t="shared" si="103"/>
        <v/>
      </c>
      <c r="Z377" s="13">
        <f t="shared" si="114"/>
        <v>46247</v>
      </c>
      <c r="AA377" s="10" t="str">
        <f>IF(OR($AA$116="错误",COUNTIF($G$117:G377,"待修正")&gt;0),"错误","正常")</f>
        <v>正常</v>
      </c>
      <c r="AB377" s="14">
        <f t="shared" si="115"/>
        <v>2.7686</v>
      </c>
    </row>
    <row r="378" ht="23" customHeight="1" spans="1:28">
      <c r="A378" s="15"/>
      <c r="B378" s="16"/>
      <c r="C378" s="17"/>
      <c r="D378" s="18"/>
      <c r="E378" s="19" t="str">
        <f t="shared" si="116"/>
        <v/>
      </c>
      <c r="F378" s="18"/>
      <c r="G378" s="20" t="str">
        <f t="shared" si="117"/>
        <v/>
      </c>
      <c r="H378" s="21" t="str">
        <f t="shared" si="118"/>
        <v/>
      </c>
      <c r="I378" s="10" t="str">
        <f>IF(COUNTA(A378:D378,F378)=0,"",IF(NOT(ISNUMBER(A378)),"缺少有效净值日期",IF(OR(A378&lt;=0,A378&lt;&gt;INT(A378)),"净值日期无效",IF(OR(B378="转换转入",B378="现金分红"),"该类型需实际金额，五项录入不适用",IF(NOT(OR(OR(B378="买入",B378="定投"),B378="卖出",B378="红利再投")),"请选择交易类型",IF(NOT(ISNUMBER(C378)),"缺少成交净值",IF(C378&lt;=0,"成交净值须大于零",IF(NOT(ISNUMBER(D378)),"缺少确认份额",IF(D378&lt;=0,"确认份额须大于零",IF(NOT(ISNUMBER(F378)),"缺少手续费，无费用请填 0",IF(F378&lt;0,"手续费不能为负",IF(AA377="错误","前行待修正",IF(A378&lt;Z377,"日期需按成交顺序递增",IF(AND(B378="红利再投",F378&lt;&gt;0),"红利再投手续费应填 0",IF(AND(B378="红利再投",K377&lt;=0),"红利再投前须有持仓",IF(AND(B378="卖出",D378&gt;K377+0.000001),"卖出份额超过持仓",IF(AND(B378="卖出",F378&gt;=C378*D378),"赎回费不能达到赎回总额",IF(NOT(ISNUMBER(E378)),"自动金额未生成，请检查五项输入",IF(NOT(OR(持仓总览!$C$7="利润优先",持仓总览!$C$7="本金优先")),"请选择卖出分配模式","已计入")))))))))))))))))))</f>
        <v/>
      </c>
      <c r="J378" s="11">
        <f t="shared" si="99"/>
        <v>0</v>
      </c>
      <c r="K378" s="11">
        <f t="shared" si="104"/>
        <v>34284.43</v>
      </c>
      <c r="L378" s="11" t="str">
        <f t="shared" si="105"/>
        <v/>
      </c>
      <c r="M378" s="11" t="str">
        <f t="shared" si="106"/>
        <v/>
      </c>
      <c r="N378" s="11" t="str">
        <f>IF(I378="已计入",IF(AND(B378="卖出",持仓总览!$C$7="本金优先"),MAX(0,E378-Q377),IF(OR(B378="卖出",B378="现金分红"),MIN(E378,M378),0)),"")</f>
        <v/>
      </c>
      <c r="O378" s="11" t="str">
        <f t="shared" si="107"/>
        <v/>
      </c>
      <c r="P378" s="11" t="str">
        <f t="shared" si="108"/>
        <v/>
      </c>
      <c r="Q378" s="11">
        <f t="shared" si="109"/>
        <v>82516.01</v>
      </c>
      <c r="R378" s="11" t="str">
        <f t="shared" si="100"/>
        <v/>
      </c>
      <c r="S378" s="11" t="str">
        <f t="shared" si="101"/>
        <v/>
      </c>
      <c r="T378" s="12" t="str">
        <f t="shared" si="102"/>
        <v/>
      </c>
      <c r="U378" s="11">
        <f t="shared" si="110"/>
        <v>82516.01</v>
      </c>
      <c r="V378" s="11">
        <f t="shared" si="111"/>
        <v>0</v>
      </c>
      <c r="W378" s="11">
        <f t="shared" si="112"/>
        <v>0</v>
      </c>
      <c r="X378" s="11">
        <f t="shared" si="113"/>
        <v>0</v>
      </c>
      <c r="Y378" s="11" t="str">
        <f t="shared" si="103"/>
        <v/>
      </c>
      <c r="Z378" s="13">
        <f t="shared" si="114"/>
        <v>46247</v>
      </c>
      <c r="AA378" s="10" t="str">
        <f>IF(OR($AA$116="错误",COUNTIF($G$117:G378,"待修正")&gt;0),"错误","正常")</f>
        <v>正常</v>
      </c>
      <c r="AB378" s="14">
        <f t="shared" si="115"/>
        <v>2.7686</v>
      </c>
    </row>
    <row r="379" ht="23" customHeight="1" spans="1:28">
      <c r="A379" s="15"/>
      <c r="B379" s="16"/>
      <c r="C379" s="17"/>
      <c r="D379" s="18"/>
      <c r="E379" s="19" t="str">
        <f t="shared" si="116"/>
        <v/>
      </c>
      <c r="F379" s="18"/>
      <c r="G379" s="20" t="str">
        <f t="shared" si="117"/>
        <v/>
      </c>
      <c r="H379" s="21" t="str">
        <f t="shared" si="118"/>
        <v/>
      </c>
      <c r="I379" s="10" t="str">
        <f>IF(COUNTA(A379:D379,F379)=0,"",IF(NOT(ISNUMBER(A379)),"缺少有效净值日期",IF(OR(A379&lt;=0,A379&lt;&gt;INT(A379)),"净值日期无效",IF(OR(B379="转换转入",B379="现金分红"),"该类型需实际金额，五项录入不适用",IF(NOT(OR(OR(B379="买入",B379="定投"),B379="卖出",B379="红利再投")),"请选择交易类型",IF(NOT(ISNUMBER(C379)),"缺少成交净值",IF(C379&lt;=0,"成交净值须大于零",IF(NOT(ISNUMBER(D379)),"缺少确认份额",IF(D379&lt;=0,"确认份额须大于零",IF(NOT(ISNUMBER(F379)),"缺少手续费，无费用请填 0",IF(F379&lt;0,"手续费不能为负",IF(AA378="错误","前行待修正",IF(A379&lt;Z378,"日期需按成交顺序递增",IF(AND(B379="红利再投",F379&lt;&gt;0),"红利再投手续费应填 0",IF(AND(B379="红利再投",K378&lt;=0),"红利再投前须有持仓",IF(AND(B379="卖出",D379&gt;K378+0.000001),"卖出份额超过持仓",IF(AND(B379="卖出",F379&gt;=C379*D379),"赎回费不能达到赎回总额",IF(NOT(ISNUMBER(E379)),"自动金额未生成，请检查五项输入",IF(NOT(OR(持仓总览!$C$7="利润优先",持仓总览!$C$7="本金优先")),"请选择卖出分配模式","已计入")))))))))))))))))))</f>
        <v/>
      </c>
      <c r="J379" s="11">
        <f t="shared" si="99"/>
        <v>0</v>
      </c>
      <c r="K379" s="11">
        <f t="shared" si="104"/>
        <v>34284.43</v>
      </c>
      <c r="L379" s="11" t="str">
        <f t="shared" si="105"/>
        <v/>
      </c>
      <c r="M379" s="11" t="str">
        <f t="shared" si="106"/>
        <v/>
      </c>
      <c r="N379" s="11" t="str">
        <f>IF(I379="已计入",IF(AND(B379="卖出",持仓总览!$C$7="本金优先"),MAX(0,E379-Q378),IF(OR(B379="卖出",B379="现金分红"),MIN(E379,M379),0)),"")</f>
        <v/>
      </c>
      <c r="O379" s="11" t="str">
        <f t="shared" si="107"/>
        <v/>
      </c>
      <c r="P379" s="11" t="str">
        <f t="shared" si="108"/>
        <v/>
      </c>
      <c r="Q379" s="11">
        <f t="shared" si="109"/>
        <v>82516.01</v>
      </c>
      <c r="R379" s="11" t="str">
        <f t="shared" si="100"/>
        <v/>
      </c>
      <c r="S379" s="11" t="str">
        <f t="shared" si="101"/>
        <v/>
      </c>
      <c r="T379" s="12" t="str">
        <f t="shared" si="102"/>
        <v/>
      </c>
      <c r="U379" s="11">
        <f t="shared" si="110"/>
        <v>82516.01</v>
      </c>
      <c r="V379" s="11">
        <f t="shared" si="111"/>
        <v>0</v>
      </c>
      <c r="W379" s="11">
        <f t="shared" si="112"/>
        <v>0</v>
      </c>
      <c r="X379" s="11">
        <f t="shared" si="113"/>
        <v>0</v>
      </c>
      <c r="Y379" s="11" t="str">
        <f t="shared" si="103"/>
        <v/>
      </c>
      <c r="Z379" s="13">
        <f t="shared" si="114"/>
        <v>46247</v>
      </c>
      <c r="AA379" s="10" t="str">
        <f>IF(OR($AA$116="错误",COUNTIF($G$117:G379,"待修正")&gt;0),"错误","正常")</f>
        <v>正常</v>
      </c>
      <c r="AB379" s="14">
        <f t="shared" si="115"/>
        <v>2.7686</v>
      </c>
    </row>
    <row r="380" ht="23" customHeight="1" spans="1:28">
      <c r="A380" s="15"/>
      <c r="B380" s="16"/>
      <c r="C380" s="17"/>
      <c r="D380" s="18"/>
      <c r="E380" s="19" t="str">
        <f t="shared" si="116"/>
        <v/>
      </c>
      <c r="F380" s="18"/>
      <c r="G380" s="20" t="str">
        <f t="shared" si="117"/>
        <v/>
      </c>
      <c r="H380" s="21" t="str">
        <f t="shared" si="118"/>
        <v/>
      </c>
      <c r="I380" s="10" t="str">
        <f>IF(COUNTA(A380:D380,F380)=0,"",IF(NOT(ISNUMBER(A380)),"缺少有效净值日期",IF(OR(A380&lt;=0,A380&lt;&gt;INT(A380)),"净值日期无效",IF(OR(B380="转换转入",B380="现金分红"),"该类型需实际金额，五项录入不适用",IF(NOT(OR(OR(B380="买入",B380="定投"),B380="卖出",B380="红利再投")),"请选择交易类型",IF(NOT(ISNUMBER(C380)),"缺少成交净值",IF(C380&lt;=0,"成交净值须大于零",IF(NOT(ISNUMBER(D380)),"缺少确认份额",IF(D380&lt;=0,"确认份额须大于零",IF(NOT(ISNUMBER(F380)),"缺少手续费，无费用请填 0",IF(F380&lt;0,"手续费不能为负",IF(AA379="错误","前行待修正",IF(A380&lt;Z379,"日期需按成交顺序递增",IF(AND(B380="红利再投",F380&lt;&gt;0),"红利再投手续费应填 0",IF(AND(B380="红利再投",K379&lt;=0),"红利再投前须有持仓",IF(AND(B380="卖出",D380&gt;K379+0.000001),"卖出份额超过持仓",IF(AND(B380="卖出",F380&gt;=C380*D380),"赎回费不能达到赎回总额",IF(NOT(ISNUMBER(E380)),"自动金额未生成，请检查五项输入",IF(NOT(OR(持仓总览!$C$7="利润优先",持仓总览!$C$7="本金优先")),"请选择卖出分配模式","已计入")))))))))))))))))))</f>
        <v/>
      </c>
      <c r="J380" s="11">
        <f t="shared" si="99"/>
        <v>0</v>
      </c>
      <c r="K380" s="11">
        <f t="shared" si="104"/>
        <v>34284.43</v>
      </c>
      <c r="L380" s="11" t="str">
        <f t="shared" si="105"/>
        <v/>
      </c>
      <c r="M380" s="11" t="str">
        <f t="shared" si="106"/>
        <v/>
      </c>
      <c r="N380" s="11" t="str">
        <f>IF(I380="已计入",IF(AND(B380="卖出",持仓总览!$C$7="本金优先"),MAX(0,E380-Q379),IF(OR(B380="卖出",B380="现金分红"),MIN(E380,M380),0)),"")</f>
        <v/>
      </c>
      <c r="O380" s="11" t="str">
        <f t="shared" si="107"/>
        <v/>
      </c>
      <c r="P380" s="11" t="str">
        <f t="shared" si="108"/>
        <v/>
      </c>
      <c r="Q380" s="11">
        <f t="shared" si="109"/>
        <v>82516.01</v>
      </c>
      <c r="R380" s="11" t="str">
        <f t="shared" si="100"/>
        <v/>
      </c>
      <c r="S380" s="11" t="str">
        <f t="shared" si="101"/>
        <v/>
      </c>
      <c r="T380" s="12" t="str">
        <f t="shared" si="102"/>
        <v/>
      </c>
      <c r="U380" s="11">
        <f t="shared" si="110"/>
        <v>82516.01</v>
      </c>
      <c r="V380" s="11">
        <f t="shared" si="111"/>
        <v>0</v>
      </c>
      <c r="W380" s="11">
        <f t="shared" si="112"/>
        <v>0</v>
      </c>
      <c r="X380" s="11">
        <f t="shared" si="113"/>
        <v>0</v>
      </c>
      <c r="Y380" s="11" t="str">
        <f t="shared" si="103"/>
        <v/>
      </c>
      <c r="Z380" s="13">
        <f t="shared" si="114"/>
        <v>46247</v>
      </c>
      <c r="AA380" s="10" t="str">
        <f>IF(OR($AA$116="错误",COUNTIF($G$117:G380,"待修正")&gt;0),"错误","正常")</f>
        <v>正常</v>
      </c>
      <c r="AB380" s="14">
        <f t="shared" si="115"/>
        <v>2.7686</v>
      </c>
    </row>
    <row r="381" ht="23" customHeight="1" spans="1:28">
      <c r="A381" s="15"/>
      <c r="B381" s="16"/>
      <c r="C381" s="17"/>
      <c r="D381" s="18"/>
      <c r="E381" s="19" t="str">
        <f t="shared" si="116"/>
        <v/>
      </c>
      <c r="F381" s="18"/>
      <c r="G381" s="20" t="str">
        <f t="shared" si="117"/>
        <v/>
      </c>
      <c r="H381" s="21" t="str">
        <f t="shared" si="118"/>
        <v/>
      </c>
      <c r="I381" s="10" t="str">
        <f>IF(COUNTA(A381:D381,F381)=0,"",IF(NOT(ISNUMBER(A381)),"缺少有效净值日期",IF(OR(A381&lt;=0,A381&lt;&gt;INT(A381)),"净值日期无效",IF(OR(B381="转换转入",B381="现金分红"),"该类型需实际金额，五项录入不适用",IF(NOT(OR(OR(B381="买入",B381="定投"),B381="卖出",B381="红利再投")),"请选择交易类型",IF(NOT(ISNUMBER(C381)),"缺少成交净值",IF(C381&lt;=0,"成交净值须大于零",IF(NOT(ISNUMBER(D381)),"缺少确认份额",IF(D381&lt;=0,"确认份额须大于零",IF(NOT(ISNUMBER(F381)),"缺少手续费，无费用请填 0",IF(F381&lt;0,"手续费不能为负",IF(AA380="错误","前行待修正",IF(A381&lt;Z380,"日期需按成交顺序递增",IF(AND(B381="红利再投",F381&lt;&gt;0),"红利再投手续费应填 0",IF(AND(B381="红利再投",K380&lt;=0),"红利再投前须有持仓",IF(AND(B381="卖出",D381&gt;K380+0.000001),"卖出份额超过持仓",IF(AND(B381="卖出",F381&gt;=C381*D381),"赎回费不能达到赎回总额",IF(NOT(ISNUMBER(E381)),"自动金额未生成，请检查五项输入",IF(NOT(OR(持仓总览!$C$7="利润优先",持仓总览!$C$7="本金优先")),"请选择卖出分配模式","已计入")))))))))))))))))))</f>
        <v/>
      </c>
      <c r="J381" s="11">
        <f t="shared" si="99"/>
        <v>0</v>
      </c>
      <c r="K381" s="11">
        <f t="shared" si="104"/>
        <v>34284.43</v>
      </c>
      <c r="L381" s="11" t="str">
        <f t="shared" si="105"/>
        <v/>
      </c>
      <c r="M381" s="11" t="str">
        <f t="shared" si="106"/>
        <v/>
      </c>
      <c r="N381" s="11" t="str">
        <f>IF(I381="已计入",IF(AND(B381="卖出",持仓总览!$C$7="本金优先"),MAX(0,E381-Q380),IF(OR(B381="卖出",B381="现金分红"),MIN(E381,M381),0)),"")</f>
        <v/>
      </c>
      <c r="O381" s="11" t="str">
        <f t="shared" si="107"/>
        <v/>
      </c>
      <c r="P381" s="11" t="str">
        <f t="shared" si="108"/>
        <v/>
      </c>
      <c r="Q381" s="11">
        <f t="shared" si="109"/>
        <v>82516.01</v>
      </c>
      <c r="R381" s="11" t="str">
        <f t="shared" si="100"/>
        <v/>
      </c>
      <c r="S381" s="11" t="str">
        <f t="shared" si="101"/>
        <v/>
      </c>
      <c r="T381" s="12" t="str">
        <f t="shared" si="102"/>
        <v/>
      </c>
      <c r="U381" s="11">
        <f t="shared" si="110"/>
        <v>82516.01</v>
      </c>
      <c r="V381" s="11">
        <f t="shared" si="111"/>
        <v>0</v>
      </c>
      <c r="W381" s="11">
        <f t="shared" si="112"/>
        <v>0</v>
      </c>
      <c r="X381" s="11">
        <f t="shared" si="113"/>
        <v>0</v>
      </c>
      <c r="Y381" s="11" t="str">
        <f t="shared" si="103"/>
        <v/>
      </c>
      <c r="Z381" s="13">
        <f t="shared" si="114"/>
        <v>46247</v>
      </c>
      <c r="AA381" s="10" t="str">
        <f>IF(OR($AA$116="错误",COUNTIF($G$117:G381,"待修正")&gt;0),"错误","正常")</f>
        <v>正常</v>
      </c>
      <c r="AB381" s="14">
        <f t="shared" si="115"/>
        <v>2.7686</v>
      </c>
    </row>
    <row r="382" ht="23" customHeight="1" spans="1:28">
      <c r="A382" s="15"/>
      <c r="B382" s="16"/>
      <c r="C382" s="17"/>
      <c r="D382" s="18"/>
      <c r="E382" s="19" t="str">
        <f t="shared" si="116"/>
        <v/>
      </c>
      <c r="F382" s="18"/>
      <c r="G382" s="20" t="str">
        <f t="shared" si="117"/>
        <v/>
      </c>
      <c r="H382" s="21" t="str">
        <f t="shared" si="118"/>
        <v/>
      </c>
      <c r="I382" s="10" t="str">
        <f>IF(COUNTA(A382:D382,F382)=0,"",IF(NOT(ISNUMBER(A382)),"缺少有效净值日期",IF(OR(A382&lt;=0,A382&lt;&gt;INT(A382)),"净值日期无效",IF(OR(B382="转换转入",B382="现金分红"),"该类型需实际金额，五项录入不适用",IF(NOT(OR(OR(B382="买入",B382="定投"),B382="卖出",B382="红利再投")),"请选择交易类型",IF(NOT(ISNUMBER(C382)),"缺少成交净值",IF(C382&lt;=0,"成交净值须大于零",IF(NOT(ISNUMBER(D382)),"缺少确认份额",IF(D382&lt;=0,"确认份额须大于零",IF(NOT(ISNUMBER(F382)),"缺少手续费，无费用请填 0",IF(F382&lt;0,"手续费不能为负",IF(AA381="错误","前行待修正",IF(A382&lt;Z381,"日期需按成交顺序递增",IF(AND(B382="红利再投",F382&lt;&gt;0),"红利再投手续费应填 0",IF(AND(B382="红利再投",K381&lt;=0),"红利再投前须有持仓",IF(AND(B382="卖出",D382&gt;K381+0.000001),"卖出份额超过持仓",IF(AND(B382="卖出",F382&gt;=C382*D382),"赎回费不能达到赎回总额",IF(NOT(ISNUMBER(E382)),"自动金额未生成，请检查五项输入",IF(NOT(OR(持仓总览!$C$7="利润优先",持仓总览!$C$7="本金优先")),"请选择卖出分配模式","已计入")))))))))))))))))))</f>
        <v/>
      </c>
      <c r="J382" s="11">
        <f t="shared" si="99"/>
        <v>0</v>
      </c>
      <c r="K382" s="11">
        <f t="shared" si="104"/>
        <v>34284.43</v>
      </c>
      <c r="L382" s="11" t="str">
        <f t="shared" si="105"/>
        <v/>
      </c>
      <c r="M382" s="11" t="str">
        <f t="shared" si="106"/>
        <v/>
      </c>
      <c r="N382" s="11" t="str">
        <f>IF(I382="已计入",IF(AND(B382="卖出",持仓总览!$C$7="本金优先"),MAX(0,E382-Q381),IF(OR(B382="卖出",B382="现金分红"),MIN(E382,M382),0)),"")</f>
        <v/>
      </c>
      <c r="O382" s="11" t="str">
        <f t="shared" si="107"/>
        <v/>
      </c>
      <c r="P382" s="11" t="str">
        <f t="shared" si="108"/>
        <v/>
      </c>
      <c r="Q382" s="11">
        <f t="shared" si="109"/>
        <v>82516.01</v>
      </c>
      <c r="R382" s="11" t="str">
        <f t="shared" si="100"/>
        <v/>
      </c>
      <c r="S382" s="11" t="str">
        <f t="shared" si="101"/>
        <v/>
      </c>
      <c r="T382" s="12" t="str">
        <f t="shared" si="102"/>
        <v/>
      </c>
      <c r="U382" s="11">
        <f t="shared" si="110"/>
        <v>82516.01</v>
      </c>
      <c r="V382" s="11">
        <f t="shared" si="111"/>
        <v>0</v>
      </c>
      <c r="W382" s="11">
        <f t="shared" si="112"/>
        <v>0</v>
      </c>
      <c r="X382" s="11">
        <f t="shared" si="113"/>
        <v>0</v>
      </c>
      <c r="Y382" s="11" t="str">
        <f t="shared" si="103"/>
        <v/>
      </c>
      <c r="Z382" s="13">
        <f t="shared" si="114"/>
        <v>46247</v>
      </c>
      <c r="AA382" s="10" t="str">
        <f>IF(OR($AA$116="错误",COUNTIF($G$117:G382,"待修正")&gt;0),"错误","正常")</f>
        <v>正常</v>
      </c>
      <c r="AB382" s="14">
        <f t="shared" si="115"/>
        <v>2.7686</v>
      </c>
    </row>
    <row r="383" ht="23" customHeight="1" spans="1:28">
      <c r="A383" s="15"/>
      <c r="B383" s="16"/>
      <c r="C383" s="17"/>
      <c r="D383" s="18"/>
      <c r="E383" s="19" t="str">
        <f t="shared" si="116"/>
        <v/>
      </c>
      <c r="F383" s="18"/>
      <c r="G383" s="20" t="str">
        <f t="shared" si="117"/>
        <v/>
      </c>
      <c r="H383" s="21" t="str">
        <f t="shared" si="118"/>
        <v/>
      </c>
      <c r="I383" s="10" t="str">
        <f>IF(COUNTA(A383:D383,F383)=0,"",IF(NOT(ISNUMBER(A383)),"缺少有效净值日期",IF(OR(A383&lt;=0,A383&lt;&gt;INT(A383)),"净值日期无效",IF(OR(B383="转换转入",B383="现金分红"),"该类型需实际金额，五项录入不适用",IF(NOT(OR(OR(B383="买入",B383="定投"),B383="卖出",B383="红利再投")),"请选择交易类型",IF(NOT(ISNUMBER(C383)),"缺少成交净值",IF(C383&lt;=0,"成交净值须大于零",IF(NOT(ISNUMBER(D383)),"缺少确认份额",IF(D383&lt;=0,"确认份额须大于零",IF(NOT(ISNUMBER(F383)),"缺少手续费，无费用请填 0",IF(F383&lt;0,"手续费不能为负",IF(AA382="错误","前行待修正",IF(A383&lt;Z382,"日期需按成交顺序递增",IF(AND(B383="红利再投",F383&lt;&gt;0),"红利再投手续费应填 0",IF(AND(B383="红利再投",K382&lt;=0),"红利再投前须有持仓",IF(AND(B383="卖出",D383&gt;K382+0.000001),"卖出份额超过持仓",IF(AND(B383="卖出",F383&gt;=C383*D383),"赎回费不能达到赎回总额",IF(NOT(ISNUMBER(E383)),"自动金额未生成，请检查五项输入",IF(NOT(OR(持仓总览!$C$7="利润优先",持仓总览!$C$7="本金优先")),"请选择卖出分配模式","已计入")))))))))))))))))))</f>
        <v/>
      </c>
      <c r="J383" s="11">
        <f t="shared" si="99"/>
        <v>0</v>
      </c>
      <c r="K383" s="11">
        <f t="shared" si="104"/>
        <v>34284.43</v>
      </c>
      <c r="L383" s="11" t="str">
        <f t="shared" si="105"/>
        <v/>
      </c>
      <c r="M383" s="11" t="str">
        <f t="shared" si="106"/>
        <v/>
      </c>
      <c r="N383" s="11" t="str">
        <f>IF(I383="已计入",IF(AND(B383="卖出",持仓总览!$C$7="本金优先"),MAX(0,E383-Q382),IF(OR(B383="卖出",B383="现金分红"),MIN(E383,M383),0)),"")</f>
        <v/>
      </c>
      <c r="O383" s="11" t="str">
        <f t="shared" si="107"/>
        <v/>
      </c>
      <c r="P383" s="11" t="str">
        <f t="shared" si="108"/>
        <v/>
      </c>
      <c r="Q383" s="11">
        <f t="shared" si="109"/>
        <v>82516.01</v>
      </c>
      <c r="R383" s="11" t="str">
        <f t="shared" si="100"/>
        <v/>
      </c>
      <c r="S383" s="11" t="str">
        <f t="shared" si="101"/>
        <v/>
      </c>
      <c r="T383" s="12" t="str">
        <f t="shared" si="102"/>
        <v/>
      </c>
      <c r="U383" s="11">
        <f t="shared" si="110"/>
        <v>82516.01</v>
      </c>
      <c r="V383" s="11">
        <f t="shared" si="111"/>
        <v>0</v>
      </c>
      <c r="W383" s="11">
        <f t="shared" si="112"/>
        <v>0</v>
      </c>
      <c r="X383" s="11">
        <f t="shared" si="113"/>
        <v>0</v>
      </c>
      <c r="Y383" s="11" t="str">
        <f t="shared" si="103"/>
        <v/>
      </c>
      <c r="Z383" s="13">
        <f t="shared" si="114"/>
        <v>46247</v>
      </c>
      <c r="AA383" s="10" t="str">
        <f>IF(OR($AA$116="错误",COUNTIF($G$117:G383,"待修正")&gt;0),"错误","正常")</f>
        <v>正常</v>
      </c>
      <c r="AB383" s="14">
        <f t="shared" si="115"/>
        <v>2.7686</v>
      </c>
    </row>
    <row r="384" ht="23" customHeight="1" spans="1:28">
      <c r="A384" s="15"/>
      <c r="B384" s="16"/>
      <c r="C384" s="17"/>
      <c r="D384" s="18"/>
      <c r="E384" s="19" t="str">
        <f t="shared" si="116"/>
        <v/>
      </c>
      <c r="F384" s="18"/>
      <c r="G384" s="20" t="str">
        <f t="shared" si="117"/>
        <v/>
      </c>
      <c r="H384" s="21" t="str">
        <f t="shared" si="118"/>
        <v/>
      </c>
      <c r="I384" s="10" t="str">
        <f>IF(COUNTA(A384:D384,F384)=0,"",IF(NOT(ISNUMBER(A384)),"缺少有效净值日期",IF(OR(A384&lt;=0,A384&lt;&gt;INT(A384)),"净值日期无效",IF(OR(B384="转换转入",B384="现金分红"),"该类型需实际金额，五项录入不适用",IF(NOT(OR(OR(B384="买入",B384="定投"),B384="卖出",B384="红利再投")),"请选择交易类型",IF(NOT(ISNUMBER(C384)),"缺少成交净值",IF(C384&lt;=0,"成交净值须大于零",IF(NOT(ISNUMBER(D384)),"缺少确认份额",IF(D384&lt;=0,"确认份额须大于零",IF(NOT(ISNUMBER(F384)),"缺少手续费，无费用请填 0",IF(F384&lt;0,"手续费不能为负",IF(AA383="错误","前行待修正",IF(A384&lt;Z383,"日期需按成交顺序递增",IF(AND(B384="红利再投",F384&lt;&gt;0),"红利再投手续费应填 0",IF(AND(B384="红利再投",K383&lt;=0),"红利再投前须有持仓",IF(AND(B384="卖出",D384&gt;K383+0.000001),"卖出份额超过持仓",IF(AND(B384="卖出",F384&gt;=C384*D384),"赎回费不能达到赎回总额",IF(NOT(ISNUMBER(E384)),"自动金额未生成，请检查五项输入",IF(NOT(OR(持仓总览!$C$7="利润优先",持仓总览!$C$7="本金优先")),"请选择卖出分配模式","已计入")))))))))))))))))))</f>
        <v/>
      </c>
      <c r="J384" s="11">
        <f t="shared" si="99"/>
        <v>0</v>
      </c>
      <c r="K384" s="11">
        <f t="shared" si="104"/>
        <v>34284.43</v>
      </c>
      <c r="L384" s="11" t="str">
        <f t="shared" si="105"/>
        <v/>
      </c>
      <c r="M384" s="11" t="str">
        <f t="shared" si="106"/>
        <v/>
      </c>
      <c r="N384" s="11" t="str">
        <f>IF(I384="已计入",IF(AND(B384="卖出",持仓总览!$C$7="本金优先"),MAX(0,E384-Q383),IF(OR(B384="卖出",B384="现金分红"),MIN(E384,M384),0)),"")</f>
        <v/>
      </c>
      <c r="O384" s="11" t="str">
        <f t="shared" si="107"/>
        <v/>
      </c>
      <c r="P384" s="11" t="str">
        <f t="shared" si="108"/>
        <v/>
      </c>
      <c r="Q384" s="11">
        <f t="shared" si="109"/>
        <v>82516.01</v>
      </c>
      <c r="R384" s="11" t="str">
        <f t="shared" si="100"/>
        <v/>
      </c>
      <c r="S384" s="11" t="str">
        <f t="shared" si="101"/>
        <v/>
      </c>
      <c r="T384" s="12" t="str">
        <f t="shared" si="102"/>
        <v/>
      </c>
      <c r="U384" s="11">
        <f t="shared" si="110"/>
        <v>82516.01</v>
      </c>
      <c r="V384" s="11">
        <f t="shared" si="111"/>
        <v>0</v>
      </c>
      <c r="W384" s="11">
        <f t="shared" si="112"/>
        <v>0</v>
      </c>
      <c r="X384" s="11">
        <f t="shared" si="113"/>
        <v>0</v>
      </c>
      <c r="Y384" s="11" t="str">
        <f t="shared" si="103"/>
        <v/>
      </c>
      <c r="Z384" s="13">
        <f t="shared" si="114"/>
        <v>46247</v>
      </c>
      <c r="AA384" s="10" t="str">
        <f>IF(OR($AA$116="错误",COUNTIF($G$117:G384,"待修正")&gt;0),"错误","正常")</f>
        <v>正常</v>
      </c>
      <c r="AB384" s="14">
        <f t="shared" si="115"/>
        <v>2.7686</v>
      </c>
    </row>
    <row r="385" ht="23" customHeight="1" spans="1:28">
      <c r="A385" s="15"/>
      <c r="B385" s="16"/>
      <c r="C385" s="17"/>
      <c r="D385" s="18"/>
      <c r="E385" s="19" t="str">
        <f t="shared" si="116"/>
        <v/>
      </c>
      <c r="F385" s="18"/>
      <c r="G385" s="20" t="str">
        <f t="shared" si="117"/>
        <v/>
      </c>
      <c r="H385" s="21" t="str">
        <f t="shared" si="118"/>
        <v/>
      </c>
      <c r="I385" s="10" t="str">
        <f>IF(COUNTA(A385:D385,F385)=0,"",IF(NOT(ISNUMBER(A385)),"缺少有效净值日期",IF(OR(A385&lt;=0,A385&lt;&gt;INT(A385)),"净值日期无效",IF(OR(B385="转换转入",B385="现金分红"),"该类型需实际金额，五项录入不适用",IF(NOT(OR(OR(B385="买入",B385="定投"),B385="卖出",B385="红利再投")),"请选择交易类型",IF(NOT(ISNUMBER(C385)),"缺少成交净值",IF(C385&lt;=0,"成交净值须大于零",IF(NOT(ISNUMBER(D385)),"缺少确认份额",IF(D385&lt;=0,"确认份额须大于零",IF(NOT(ISNUMBER(F385)),"缺少手续费，无费用请填 0",IF(F385&lt;0,"手续费不能为负",IF(AA384="错误","前行待修正",IF(A385&lt;Z384,"日期需按成交顺序递增",IF(AND(B385="红利再投",F385&lt;&gt;0),"红利再投手续费应填 0",IF(AND(B385="红利再投",K384&lt;=0),"红利再投前须有持仓",IF(AND(B385="卖出",D385&gt;K384+0.000001),"卖出份额超过持仓",IF(AND(B385="卖出",F385&gt;=C385*D385),"赎回费不能达到赎回总额",IF(NOT(ISNUMBER(E385)),"自动金额未生成，请检查五项输入",IF(NOT(OR(持仓总览!$C$7="利润优先",持仓总览!$C$7="本金优先")),"请选择卖出分配模式","已计入")))))))))))))))))))</f>
        <v/>
      </c>
      <c r="J385" s="11">
        <f t="shared" si="99"/>
        <v>0</v>
      </c>
      <c r="K385" s="11">
        <f t="shared" si="104"/>
        <v>34284.43</v>
      </c>
      <c r="L385" s="11" t="str">
        <f t="shared" si="105"/>
        <v/>
      </c>
      <c r="M385" s="11" t="str">
        <f t="shared" si="106"/>
        <v/>
      </c>
      <c r="N385" s="11" t="str">
        <f>IF(I385="已计入",IF(AND(B385="卖出",持仓总览!$C$7="本金优先"),MAX(0,E385-Q384),IF(OR(B385="卖出",B385="现金分红"),MIN(E385,M385),0)),"")</f>
        <v/>
      </c>
      <c r="O385" s="11" t="str">
        <f t="shared" si="107"/>
        <v/>
      </c>
      <c r="P385" s="11" t="str">
        <f t="shared" si="108"/>
        <v/>
      </c>
      <c r="Q385" s="11">
        <f t="shared" si="109"/>
        <v>82516.01</v>
      </c>
      <c r="R385" s="11" t="str">
        <f t="shared" si="100"/>
        <v/>
      </c>
      <c r="S385" s="11" t="str">
        <f t="shared" si="101"/>
        <v/>
      </c>
      <c r="T385" s="12" t="str">
        <f t="shared" si="102"/>
        <v/>
      </c>
      <c r="U385" s="11">
        <f t="shared" si="110"/>
        <v>82516.01</v>
      </c>
      <c r="V385" s="11">
        <f t="shared" si="111"/>
        <v>0</v>
      </c>
      <c r="W385" s="11">
        <f t="shared" si="112"/>
        <v>0</v>
      </c>
      <c r="X385" s="11">
        <f t="shared" si="113"/>
        <v>0</v>
      </c>
      <c r="Y385" s="11" t="str">
        <f t="shared" si="103"/>
        <v/>
      </c>
      <c r="Z385" s="13">
        <f t="shared" si="114"/>
        <v>46247</v>
      </c>
      <c r="AA385" s="10" t="str">
        <f>IF(OR($AA$116="错误",COUNTIF($G$117:G385,"待修正")&gt;0),"错误","正常")</f>
        <v>正常</v>
      </c>
      <c r="AB385" s="14">
        <f t="shared" si="115"/>
        <v>2.7686</v>
      </c>
    </row>
    <row r="386" ht="23" customHeight="1" spans="1:28">
      <c r="A386" s="15"/>
      <c r="B386" s="16"/>
      <c r="C386" s="17"/>
      <c r="D386" s="18"/>
      <c r="E386" s="19" t="str">
        <f t="shared" si="116"/>
        <v/>
      </c>
      <c r="F386" s="18"/>
      <c r="G386" s="20" t="str">
        <f t="shared" si="117"/>
        <v/>
      </c>
      <c r="H386" s="21" t="str">
        <f t="shared" si="118"/>
        <v/>
      </c>
      <c r="I386" s="10" t="str">
        <f>IF(COUNTA(A386:D386,F386)=0,"",IF(NOT(ISNUMBER(A386)),"缺少有效净值日期",IF(OR(A386&lt;=0,A386&lt;&gt;INT(A386)),"净值日期无效",IF(OR(B386="转换转入",B386="现金分红"),"该类型需实际金额，五项录入不适用",IF(NOT(OR(OR(B386="买入",B386="定投"),B386="卖出",B386="红利再投")),"请选择交易类型",IF(NOT(ISNUMBER(C386)),"缺少成交净值",IF(C386&lt;=0,"成交净值须大于零",IF(NOT(ISNUMBER(D386)),"缺少确认份额",IF(D386&lt;=0,"确认份额须大于零",IF(NOT(ISNUMBER(F386)),"缺少手续费，无费用请填 0",IF(F386&lt;0,"手续费不能为负",IF(AA385="错误","前行待修正",IF(A386&lt;Z385,"日期需按成交顺序递增",IF(AND(B386="红利再投",F386&lt;&gt;0),"红利再投手续费应填 0",IF(AND(B386="红利再投",K385&lt;=0),"红利再投前须有持仓",IF(AND(B386="卖出",D386&gt;K385+0.000001),"卖出份额超过持仓",IF(AND(B386="卖出",F386&gt;=C386*D386),"赎回费不能达到赎回总额",IF(NOT(ISNUMBER(E386)),"自动金额未生成，请检查五项输入",IF(NOT(OR(持仓总览!$C$7="利润优先",持仓总览!$C$7="本金优先")),"请选择卖出分配模式","已计入")))))))))))))))))))</f>
        <v/>
      </c>
      <c r="J386" s="11">
        <f t="shared" si="99"/>
        <v>0</v>
      </c>
      <c r="K386" s="11">
        <f t="shared" si="104"/>
        <v>34284.43</v>
      </c>
      <c r="L386" s="11" t="str">
        <f t="shared" si="105"/>
        <v/>
      </c>
      <c r="M386" s="11" t="str">
        <f t="shared" si="106"/>
        <v/>
      </c>
      <c r="N386" s="11" t="str">
        <f>IF(I386="已计入",IF(AND(B386="卖出",持仓总览!$C$7="本金优先"),MAX(0,E386-Q385),IF(OR(B386="卖出",B386="现金分红"),MIN(E386,M386),0)),"")</f>
        <v/>
      </c>
      <c r="O386" s="11" t="str">
        <f t="shared" si="107"/>
        <v/>
      </c>
      <c r="P386" s="11" t="str">
        <f t="shared" si="108"/>
        <v/>
      </c>
      <c r="Q386" s="11">
        <f t="shared" si="109"/>
        <v>82516.01</v>
      </c>
      <c r="R386" s="11" t="str">
        <f t="shared" si="100"/>
        <v/>
      </c>
      <c r="S386" s="11" t="str">
        <f t="shared" si="101"/>
        <v/>
      </c>
      <c r="T386" s="12" t="str">
        <f t="shared" si="102"/>
        <v/>
      </c>
      <c r="U386" s="11">
        <f t="shared" si="110"/>
        <v>82516.01</v>
      </c>
      <c r="V386" s="11">
        <f t="shared" si="111"/>
        <v>0</v>
      </c>
      <c r="W386" s="11">
        <f t="shared" si="112"/>
        <v>0</v>
      </c>
      <c r="X386" s="11">
        <f t="shared" si="113"/>
        <v>0</v>
      </c>
      <c r="Y386" s="11" t="str">
        <f t="shared" si="103"/>
        <v/>
      </c>
      <c r="Z386" s="13">
        <f t="shared" si="114"/>
        <v>46247</v>
      </c>
      <c r="AA386" s="10" t="str">
        <f>IF(OR($AA$116="错误",COUNTIF($G$117:G386,"待修正")&gt;0),"错误","正常")</f>
        <v>正常</v>
      </c>
      <c r="AB386" s="14">
        <f t="shared" si="115"/>
        <v>2.7686</v>
      </c>
    </row>
    <row r="387" ht="23" customHeight="1" spans="1:28">
      <c r="A387" s="15"/>
      <c r="B387" s="16"/>
      <c r="C387" s="17"/>
      <c r="D387" s="18"/>
      <c r="E387" s="19" t="str">
        <f t="shared" si="116"/>
        <v/>
      </c>
      <c r="F387" s="18"/>
      <c r="G387" s="20" t="str">
        <f t="shared" si="117"/>
        <v/>
      </c>
      <c r="H387" s="21" t="str">
        <f t="shared" si="118"/>
        <v/>
      </c>
      <c r="I387" s="10" t="str">
        <f>IF(COUNTA(A387:D387,F387)=0,"",IF(NOT(ISNUMBER(A387)),"缺少有效净值日期",IF(OR(A387&lt;=0,A387&lt;&gt;INT(A387)),"净值日期无效",IF(OR(B387="转换转入",B387="现金分红"),"该类型需实际金额，五项录入不适用",IF(NOT(OR(OR(B387="买入",B387="定投"),B387="卖出",B387="红利再投")),"请选择交易类型",IF(NOT(ISNUMBER(C387)),"缺少成交净值",IF(C387&lt;=0,"成交净值须大于零",IF(NOT(ISNUMBER(D387)),"缺少确认份额",IF(D387&lt;=0,"确认份额须大于零",IF(NOT(ISNUMBER(F387)),"缺少手续费，无费用请填 0",IF(F387&lt;0,"手续费不能为负",IF(AA386="错误","前行待修正",IF(A387&lt;Z386,"日期需按成交顺序递增",IF(AND(B387="红利再投",F387&lt;&gt;0),"红利再投手续费应填 0",IF(AND(B387="红利再投",K386&lt;=0),"红利再投前须有持仓",IF(AND(B387="卖出",D387&gt;K386+0.000001),"卖出份额超过持仓",IF(AND(B387="卖出",F387&gt;=C387*D387),"赎回费不能达到赎回总额",IF(NOT(ISNUMBER(E387)),"自动金额未生成，请检查五项输入",IF(NOT(OR(持仓总览!$C$7="利润优先",持仓总览!$C$7="本金优先")),"请选择卖出分配模式","已计入")))))))))))))))))))</f>
        <v/>
      </c>
      <c r="J387" s="11">
        <f t="shared" si="99"/>
        <v>0</v>
      </c>
      <c r="K387" s="11">
        <f t="shared" si="104"/>
        <v>34284.43</v>
      </c>
      <c r="L387" s="11" t="str">
        <f t="shared" si="105"/>
        <v/>
      </c>
      <c r="M387" s="11" t="str">
        <f t="shared" si="106"/>
        <v/>
      </c>
      <c r="N387" s="11" t="str">
        <f>IF(I387="已计入",IF(AND(B387="卖出",持仓总览!$C$7="本金优先"),MAX(0,E387-Q386),IF(OR(B387="卖出",B387="现金分红"),MIN(E387,M387),0)),"")</f>
        <v/>
      </c>
      <c r="O387" s="11" t="str">
        <f t="shared" si="107"/>
        <v/>
      </c>
      <c r="P387" s="11" t="str">
        <f t="shared" si="108"/>
        <v/>
      </c>
      <c r="Q387" s="11">
        <f t="shared" si="109"/>
        <v>82516.01</v>
      </c>
      <c r="R387" s="11" t="str">
        <f t="shared" si="100"/>
        <v/>
      </c>
      <c r="S387" s="11" t="str">
        <f t="shared" si="101"/>
        <v/>
      </c>
      <c r="T387" s="12" t="str">
        <f t="shared" si="102"/>
        <v/>
      </c>
      <c r="U387" s="11">
        <f t="shared" si="110"/>
        <v>82516.01</v>
      </c>
      <c r="V387" s="11">
        <f t="shared" si="111"/>
        <v>0</v>
      </c>
      <c r="W387" s="11">
        <f t="shared" si="112"/>
        <v>0</v>
      </c>
      <c r="X387" s="11">
        <f t="shared" si="113"/>
        <v>0</v>
      </c>
      <c r="Y387" s="11" t="str">
        <f t="shared" si="103"/>
        <v/>
      </c>
      <c r="Z387" s="13">
        <f t="shared" si="114"/>
        <v>46247</v>
      </c>
      <c r="AA387" s="10" t="str">
        <f>IF(OR($AA$116="错误",COUNTIF($G$117:G387,"待修正")&gt;0),"错误","正常")</f>
        <v>正常</v>
      </c>
      <c r="AB387" s="14">
        <f t="shared" si="115"/>
        <v>2.7686</v>
      </c>
    </row>
    <row r="388" ht="23" customHeight="1" spans="1:28">
      <c r="A388" s="15"/>
      <c r="B388" s="16"/>
      <c r="C388" s="17"/>
      <c r="D388" s="18"/>
      <c r="E388" s="19" t="str">
        <f t="shared" si="116"/>
        <v/>
      </c>
      <c r="F388" s="18"/>
      <c r="G388" s="20" t="str">
        <f t="shared" si="117"/>
        <v/>
      </c>
      <c r="H388" s="21" t="str">
        <f t="shared" si="118"/>
        <v/>
      </c>
      <c r="I388" s="10" t="str">
        <f>IF(COUNTA(A388:D388,F388)=0,"",IF(NOT(ISNUMBER(A388)),"缺少有效净值日期",IF(OR(A388&lt;=0,A388&lt;&gt;INT(A388)),"净值日期无效",IF(OR(B388="转换转入",B388="现金分红"),"该类型需实际金额，五项录入不适用",IF(NOT(OR(OR(B388="买入",B388="定投"),B388="卖出",B388="红利再投")),"请选择交易类型",IF(NOT(ISNUMBER(C388)),"缺少成交净值",IF(C388&lt;=0,"成交净值须大于零",IF(NOT(ISNUMBER(D388)),"缺少确认份额",IF(D388&lt;=0,"确认份额须大于零",IF(NOT(ISNUMBER(F388)),"缺少手续费，无费用请填 0",IF(F388&lt;0,"手续费不能为负",IF(AA387="错误","前行待修正",IF(A388&lt;Z387,"日期需按成交顺序递增",IF(AND(B388="红利再投",F388&lt;&gt;0),"红利再投手续费应填 0",IF(AND(B388="红利再投",K387&lt;=0),"红利再投前须有持仓",IF(AND(B388="卖出",D388&gt;K387+0.000001),"卖出份额超过持仓",IF(AND(B388="卖出",F388&gt;=C388*D388),"赎回费不能达到赎回总额",IF(NOT(ISNUMBER(E388)),"自动金额未生成，请检查五项输入",IF(NOT(OR(持仓总览!$C$7="利润优先",持仓总览!$C$7="本金优先")),"请选择卖出分配模式","已计入")))))))))))))))))))</f>
        <v/>
      </c>
      <c r="J388" s="11">
        <f t="shared" si="99"/>
        <v>0</v>
      </c>
      <c r="K388" s="11">
        <f t="shared" si="104"/>
        <v>34284.43</v>
      </c>
      <c r="L388" s="11" t="str">
        <f t="shared" si="105"/>
        <v/>
      </c>
      <c r="M388" s="11" t="str">
        <f t="shared" si="106"/>
        <v/>
      </c>
      <c r="N388" s="11" t="str">
        <f>IF(I388="已计入",IF(AND(B388="卖出",持仓总览!$C$7="本金优先"),MAX(0,E388-Q387),IF(OR(B388="卖出",B388="现金分红"),MIN(E388,M388),0)),"")</f>
        <v/>
      </c>
      <c r="O388" s="11" t="str">
        <f t="shared" si="107"/>
        <v/>
      </c>
      <c r="P388" s="11" t="str">
        <f t="shared" si="108"/>
        <v/>
      </c>
      <c r="Q388" s="11">
        <f t="shared" si="109"/>
        <v>82516.01</v>
      </c>
      <c r="R388" s="11" t="str">
        <f t="shared" si="100"/>
        <v/>
      </c>
      <c r="S388" s="11" t="str">
        <f t="shared" si="101"/>
        <v/>
      </c>
      <c r="T388" s="12" t="str">
        <f t="shared" si="102"/>
        <v/>
      </c>
      <c r="U388" s="11">
        <f t="shared" si="110"/>
        <v>82516.01</v>
      </c>
      <c r="V388" s="11">
        <f t="shared" si="111"/>
        <v>0</v>
      </c>
      <c r="W388" s="11">
        <f t="shared" si="112"/>
        <v>0</v>
      </c>
      <c r="X388" s="11">
        <f t="shared" si="113"/>
        <v>0</v>
      </c>
      <c r="Y388" s="11" t="str">
        <f t="shared" si="103"/>
        <v/>
      </c>
      <c r="Z388" s="13">
        <f t="shared" si="114"/>
        <v>46247</v>
      </c>
      <c r="AA388" s="10" t="str">
        <f>IF(OR($AA$116="错误",COUNTIF($G$117:G388,"待修正")&gt;0),"错误","正常")</f>
        <v>正常</v>
      </c>
      <c r="AB388" s="14">
        <f t="shared" si="115"/>
        <v>2.7686</v>
      </c>
    </row>
    <row r="389" ht="23" customHeight="1" spans="1:28">
      <c r="A389" s="15"/>
      <c r="B389" s="16"/>
      <c r="C389" s="17"/>
      <c r="D389" s="18"/>
      <c r="E389" s="19" t="str">
        <f t="shared" si="116"/>
        <v/>
      </c>
      <c r="F389" s="18"/>
      <c r="G389" s="20" t="str">
        <f t="shared" si="117"/>
        <v/>
      </c>
      <c r="H389" s="21" t="str">
        <f t="shared" si="118"/>
        <v/>
      </c>
      <c r="I389" s="10" t="str">
        <f>IF(COUNTA(A389:D389,F389)=0,"",IF(NOT(ISNUMBER(A389)),"缺少有效净值日期",IF(OR(A389&lt;=0,A389&lt;&gt;INT(A389)),"净值日期无效",IF(OR(B389="转换转入",B389="现金分红"),"该类型需实际金额，五项录入不适用",IF(NOT(OR(OR(B389="买入",B389="定投"),B389="卖出",B389="红利再投")),"请选择交易类型",IF(NOT(ISNUMBER(C389)),"缺少成交净值",IF(C389&lt;=0,"成交净值须大于零",IF(NOT(ISNUMBER(D389)),"缺少确认份额",IF(D389&lt;=0,"确认份额须大于零",IF(NOT(ISNUMBER(F389)),"缺少手续费，无费用请填 0",IF(F389&lt;0,"手续费不能为负",IF(AA388="错误","前行待修正",IF(A389&lt;Z388,"日期需按成交顺序递增",IF(AND(B389="红利再投",F389&lt;&gt;0),"红利再投手续费应填 0",IF(AND(B389="红利再投",K388&lt;=0),"红利再投前须有持仓",IF(AND(B389="卖出",D389&gt;K388+0.000001),"卖出份额超过持仓",IF(AND(B389="卖出",F389&gt;=C389*D389),"赎回费不能达到赎回总额",IF(NOT(ISNUMBER(E389)),"自动金额未生成，请检查五项输入",IF(NOT(OR(持仓总览!$C$7="利润优先",持仓总览!$C$7="本金优先")),"请选择卖出分配模式","已计入")))))))))))))))))))</f>
        <v/>
      </c>
      <c r="J389" s="11">
        <f t="shared" si="99"/>
        <v>0</v>
      </c>
      <c r="K389" s="11">
        <f t="shared" si="104"/>
        <v>34284.43</v>
      </c>
      <c r="L389" s="11" t="str">
        <f t="shared" si="105"/>
        <v/>
      </c>
      <c r="M389" s="11" t="str">
        <f t="shared" si="106"/>
        <v/>
      </c>
      <c r="N389" s="11" t="str">
        <f>IF(I389="已计入",IF(AND(B389="卖出",持仓总览!$C$7="本金优先"),MAX(0,E389-Q388),IF(OR(B389="卖出",B389="现金分红"),MIN(E389,M389),0)),"")</f>
        <v/>
      </c>
      <c r="O389" s="11" t="str">
        <f t="shared" si="107"/>
        <v/>
      </c>
      <c r="P389" s="11" t="str">
        <f t="shared" si="108"/>
        <v/>
      </c>
      <c r="Q389" s="11">
        <f t="shared" si="109"/>
        <v>82516.01</v>
      </c>
      <c r="R389" s="11" t="str">
        <f t="shared" si="100"/>
        <v/>
      </c>
      <c r="S389" s="11" t="str">
        <f t="shared" si="101"/>
        <v/>
      </c>
      <c r="T389" s="12" t="str">
        <f t="shared" si="102"/>
        <v/>
      </c>
      <c r="U389" s="11">
        <f t="shared" si="110"/>
        <v>82516.01</v>
      </c>
      <c r="V389" s="11">
        <f t="shared" si="111"/>
        <v>0</v>
      </c>
      <c r="W389" s="11">
        <f t="shared" si="112"/>
        <v>0</v>
      </c>
      <c r="X389" s="11">
        <f t="shared" si="113"/>
        <v>0</v>
      </c>
      <c r="Y389" s="11" t="str">
        <f t="shared" si="103"/>
        <v/>
      </c>
      <c r="Z389" s="13">
        <f t="shared" si="114"/>
        <v>46247</v>
      </c>
      <c r="AA389" s="10" t="str">
        <f>IF(OR($AA$116="错误",COUNTIF($G$117:G389,"待修正")&gt;0),"错误","正常")</f>
        <v>正常</v>
      </c>
      <c r="AB389" s="14">
        <f t="shared" si="115"/>
        <v>2.7686</v>
      </c>
    </row>
    <row r="390" ht="23" customHeight="1" spans="1:28">
      <c r="A390" s="15"/>
      <c r="B390" s="16"/>
      <c r="C390" s="17"/>
      <c r="D390" s="18"/>
      <c r="E390" s="19" t="str">
        <f t="shared" si="116"/>
        <v/>
      </c>
      <c r="F390" s="18"/>
      <c r="G390" s="20" t="str">
        <f t="shared" si="117"/>
        <v/>
      </c>
      <c r="H390" s="21" t="str">
        <f t="shared" si="118"/>
        <v/>
      </c>
      <c r="I390" s="10" t="str">
        <f>IF(COUNTA(A390:D390,F390)=0,"",IF(NOT(ISNUMBER(A390)),"缺少有效净值日期",IF(OR(A390&lt;=0,A390&lt;&gt;INT(A390)),"净值日期无效",IF(OR(B390="转换转入",B390="现金分红"),"该类型需实际金额，五项录入不适用",IF(NOT(OR(OR(B390="买入",B390="定投"),B390="卖出",B390="红利再投")),"请选择交易类型",IF(NOT(ISNUMBER(C390)),"缺少成交净值",IF(C390&lt;=0,"成交净值须大于零",IF(NOT(ISNUMBER(D390)),"缺少确认份额",IF(D390&lt;=0,"确认份额须大于零",IF(NOT(ISNUMBER(F390)),"缺少手续费，无费用请填 0",IF(F390&lt;0,"手续费不能为负",IF(AA389="错误","前行待修正",IF(A390&lt;Z389,"日期需按成交顺序递增",IF(AND(B390="红利再投",F390&lt;&gt;0),"红利再投手续费应填 0",IF(AND(B390="红利再投",K389&lt;=0),"红利再投前须有持仓",IF(AND(B390="卖出",D390&gt;K389+0.000001),"卖出份额超过持仓",IF(AND(B390="卖出",F390&gt;=C390*D390),"赎回费不能达到赎回总额",IF(NOT(ISNUMBER(E390)),"自动金额未生成，请检查五项输入",IF(NOT(OR(持仓总览!$C$7="利润优先",持仓总览!$C$7="本金优先")),"请选择卖出分配模式","已计入")))))))))))))))))))</f>
        <v/>
      </c>
      <c r="J390" s="11">
        <f t="shared" si="99"/>
        <v>0</v>
      </c>
      <c r="K390" s="11">
        <f t="shared" si="104"/>
        <v>34284.43</v>
      </c>
      <c r="L390" s="11" t="str">
        <f t="shared" si="105"/>
        <v/>
      </c>
      <c r="M390" s="11" t="str">
        <f t="shared" si="106"/>
        <v/>
      </c>
      <c r="N390" s="11" t="str">
        <f>IF(I390="已计入",IF(AND(B390="卖出",持仓总览!$C$7="本金优先"),MAX(0,E390-Q389),IF(OR(B390="卖出",B390="现金分红"),MIN(E390,M390),0)),"")</f>
        <v/>
      </c>
      <c r="O390" s="11" t="str">
        <f t="shared" si="107"/>
        <v/>
      </c>
      <c r="P390" s="11" t="str">
        <f t="shared" si="108"/>
        <v/>
      </c>
      <c r="Q390" s="11">
        <f t="shared" si="109"/>
        <v>82516.01</v>
      </c>
      <c r="R390" s="11" t="str">
        <f t="shared" si="100"/>
        <v/>
      </c>
      <c r="S390" s="11" t="str">
        <f t="shared" si="101"/>
        <v/>
      </c>
      <c r="T390" s="12" t="str">
        <f t="shared" si="102"/>
        <v/>
      </c>
      <c r="U390" s="11">
        <f t="shared" si="110"/>
        <v>82516.01</v>
      </c>
      <c r="V390" s="11">
        <f t="shared" si="111"/>
        <v>0</v>
      </c>
      <c r="W390" s="11">
        <f t="shared" si="112"/>
        <v>0</v>
      </c>
      <c r="X390" s="11">
        <f t="shared" si="113"/>
        <v>0</v>
      </c>
      <c r="Y390" s="11" t="str">
        <f t="shared" si="103"/>
        <v/>
      </c>
      <c r="Z390" s="13">
        <f t="shared" si="114"/>
        <v>46247</v>
      </c>
      <c r="AA390" s="10" t="str">
        <f>IF(OR($AA$116="错误",COUNTIF($G$117:G390,"待修正")&gt;0),"错误","正常")</f>
        <v>正常</v>
      </c>
      <c r="AB390" s="14">
        <f t="shared" si="115"/>
        <v>2.7686</v>
      </c>
    </row>
    <row r="391" ht="23" customHeight="1" spans="1:28">
      <c r="A391" s="15"/>
      <c r="B391" s="16"/>
      <c r="C391" s="17"/>
      <c r="D391" s="18"/>
      <c r="E391" s="19" t="str">
        <f t="shared" si="116"/>
        <v/>
      </c>
      <c r="F391" s="18"/>
      <c r="G391" s="20" t="str">
        <f t="shared" si="117"/>
        <v/>
      </c>
      <c r="H391" s="21" t="str">
        <f t="shared" si="118"/>
        <v/>
      </c>
      <c r="I391" s="10" t="str">
        <f>IF(COUNTA(A391:D391,F391)=0,"",IF(NOT(ISNUMBER(A391)),"缺少有效净值日期",IF(OR(A391&lt;=0,A391&lt;&gt;INT(A391)),"净值日期无效",IF(OR(B391="转换转入",B391="现金分红"),"该类型需实际金额，五项录入不适用",IF(NOT(OR(OR(B391="买入",B391="定投"),B391="卖出",B391="红利再投")),"请选择交易类型",IF(NOT(ISNUMBER(C391)),"缺少成交净值",IF(C391&lt;=0,"成交净值须大于零",IF(NOT(ISNUMBER(D391)),"缺少确认份额",IF(D391&lt;=0,"确认份额须大于零",IF(NOT(ISNUMBER(F391)),"缺少手续费，无费用请填 0",IF(F391&lt;0,"手续费不能为负",IF(AA390="错误","前行待修正",IF(A391&lt;Z390,"日期需按成交顺序递增",IF(AND(B391="红利再投",F391&lt;&gt;0),"红利再投手续费应填 0",IF(AND(B391="红利再投",K390&lt;=0),"红利再投前须有持仓",IF(AND(B391="卖出",D391&gt;K390+0.000001),"卖出份额超过持仓",IF(AND(B391="卖出",F391&gt;=C391*D391),"赎回费不能达到赎回总额",IF(NOT(ISNUMBER(E391)),"自动金额未生成，请检查五项输入",IF(NOT(OR(持仓总览!$C$7="利润优先",持仓总览!$C$7="本金优先")),"请选择卖出分配模式","已计入")))))))))))))))))))</f>
        <v/>
      </c>
      <c r="J391" s="11">
        <f t="shared" ref="J391:J454" si="119">IF(AA391="正常",IF(I391="已计入",IF(OR(OR(B391="买入",B391="定投",B391="转换转入"),B391="红利再投"),D391,IF(B391="卖出",-D391,0)),0),"")</f>
        <v>0</v>
      </c>
      <c r="K391" s="11">
        <f t="shared" si="104"/>
        <v>34284.43</v>
      </c>
      <c r="L391" s="11" t="str">
        <f t="shared" si="105"/>
        <v/>
      </c>
      <c r="M391" s="11" t="str">
        <f t="shared" si="106"/>
        <v/>
      </c>
      <c r="N391" s="11" t="str">
        <f>IF(I391="已计入",IF(AND(B391="卖出",持仓总览!$C$7="本金优先"),MAX(0,E391-Q390),IF(OR(B391="卖出",B391="现金分红"),MIN(E391,M391),0)),"")</f>
        <v/>
      </c>
      <c r="O391" s="11" t="str">
        <f t="shared" si="107"/>
        <v/>
      </c>
      <c r="P391" s="11" t="str">
        <f t="shared" si="108"/>
        <v/>
      </c>
      <c r="Q391" s="11">
        <f t="shared" si="109"/>
        <v>82516.01</v>
      </c>
      <c r="R391" s="11" t="str">
        <f t="shared" ref="R391:R454" si="120">IF(I391="已计入",ROUND(K391*C391,2),"")</f>
        <v/>
      </c>
      <c r="S391" s="11" t="str">
        <f t="shared" ref="S391:S454" si="121">IF(I391="已计入",ROUND(R391-Q391,2),"")</f>
        <v/>
      </c>
      <c r="T391" s="12" t="str">
        <f t="shared" ref="T391:T454" si="122">IF(I391="已计入",IF(Q391=0,"",S391/Q391),"")</f>
        <v/>
      </c>
      <c r="U391" s="11">
        <f t="shared" si="110"/>
        <v>82516.01</v>
      </c>
      <c r="V391" s="11">
        <f t="shared" si="111"/>
        <v>0</v>
      </c>
      <c r="W391" s="11">
        <f t="shared" si="112"/>
        <v>0</v>
      </c>
      <c r="X391" s="11">
        <f t="shared" si="113"/>
        <v>0</v>
      </c>
      <c r="Y391" s="11" t="str">
        <f t="shared" ref="Y391:Y454" si="123">IF(I391="已计入",ROUND(R391+V391-U391,2),"")</f>
        <v/>
      </c>
      <c r="Z391" s="13">
        <f t="shared" si="114"/>
        <v>46247</v>
      </c>
      <c r="AA391" s="10" t="str">
        <f>IF(OR($AA$116="错误",COUNTIF($G$117:G391,"待修正")&gt;0),"错误","正常")</f>
        <v>正常</v>
      </c>
      <c r="AB391" s="14">
        <f t="shared" si="115"/>
        <v>2.7686</v>
      </c>
    </row>
    <row r="392" ht="23" customHeight="1" spans="1:28">
      <c r="A392" s="15"/>
      <c r="B392" s="16"/>
      <c r="C392" s="17"/>
      <c r="D392" s="18"/>
      <c r="E392" s="19" t="str">
        <f t="shared" si="116"/>
        <v/>
      </c>
      <c r="F392" s="18"/>
      <c r="G392" s="20" t="str">
        <f t="shared" si="117"/>
        <v/>
      </c>
      <c r="H392" s="21" t="str">
        <f t="shared" si="118"/>
        <v/>
      </c>
      <c r="I392" s="10" t="str">
        <f>IF(COUNTA(A392:D392,F392)=0,"",IF(NOT(ISNUMBER(A392)),"缺少有效净值日期",IF(OR(A392&lt;=0,A392&lt;&gt;INT(A392)),"净值日期无效",IF(OR(B392="转换转入",B392="现金分红"),"该类型需实际金额，五项录入不适用",IF(NOT(OR(OR(B392="买入",B392="定投"),B392="卖出",B392="红利再投")),"请选择交易类型",IF(NOT(ISNUMBER(C392)),"缺少成交净值",IF(C392&lt;=0,"成交净值须大于零",IF(NOT(ISNUMBER(D392)),"缺少确认份额",IF(D392&lt;=0,"确认份额须大于零",IF(NOT(ISNUMBER(F392)),"缺少手续费，无费用请填 0",IF(F392&lt;0,"手续费不能为负",IF(AA391="错误","前行待修正",IF(A392&lt;Z391,"日期需按成交顺序递增",IF(AND(B392="红利再投",F392&lt;&gt;0),"红利再投手续费应填 0",IF(AND(B392="红利再投",K391&lt;=0),"红利再投前须有持仓",IF(AND(B392="卖出",D392&gt;K391+0.000001),"卖出份额超过持仓",IF(AND(B392="卖出",F392&gt;=C392*D392),"赎回费不能达到赎回总额",IF(NOT(ISNUMBER(E392)),"自动金额未生成，请检查五项输入",IF(NOT(OR(持仓总览!$C$7="利润优先",持仓总览!$C$7="本金优先")),"请选择卖出分配模式","已计入")))))))))))))))))))</f>
        <v/>
      </c>
      <c r="J392" s="11">
        <f t="shared" si="119"/>
        <v>0</v>
      </c>
      <c r="K392" s="11">
        <f t="shared" ref="K392:K455" si="124">IF(AA392="正常",ROUND(K391+J392,6),"")</f>
        <v>34284.43</v>
      </c>
      <c r="L392" s="11" t="str">
        <f t="shared" ref="L392:L455" si="125">IF(I392="已计入",ROUND(K391*C392,2),"")</f>
        <v/>
      </c>
      <c r="M392" s="11" t="str">
        <f t="shared" ref="M392:M455" si="126">IF(I392="已计入",IF(B392="卖出",MAX(0,L392-Q391-F392),IF(B392="现金分红",MAX(0,L392+E392-Q391),0)),"")</f>
        <v/>
      </c>
      <c r="N392" s="11" t="str">
        <f>IF(I392="已计入",IF(AND(B392="卖出",持仓总览!$C$7="本金优先"),MAX(0,E392-Q391),IF(OR(B392="卖出",B392="现金分红"),MIN(E392,M392),0)),"")</f>
        <v/>
      </c>
      <c r="O392" s="11" t="str">
        <f t="shared" ref="O392:O455" si="127">IF(I392="已计入",IF(OR(B392="卖出",B392="现金分红"),MIN(Q391,MAX(0,E392-N392)),0),"")</f>
        <v/>
      </c>
      <c r="P392" s="11" t="str">
        <f t="shared" ref="P392:P455" si="128">IF(I392="已计入",IF(AND(B392="卖出",K392=0),MAX(0,Q391-O392),0),"")</f>
        <v/>
      </c>
      <c r="Q392" s="11">
        <f t="shared" ref="Q392:Q455" si="129">IF(AA392="正常",IF(I392="已计入",ROUND(Q391+IF(OR(B392="买入",B392="定投",B392="转换转入"),E392,0)-O392-P392,2),Q391),"")</f>
        <v>82516.01</v>
      </c>
      <c r="R392" s="11" t="str">
        <f t="shared" si="120"/>
        <v/>
      </c>
      <c r="S392" s="11" t="str">
        <f t="shared" si="121"/>
        <v/>
      </c>
      <c r="T392" s="12" t="str">
        <f t="shared" si="122"/>
        <v/>
      </c>
      <c r="U392" s="11">
        <f t="shared" ref="U392:U455" si="130">IF(AA392="正常",U391+IF(AND(I392="已计入",OR(B392="买入",B392="定投",B392="转换转入")),E392,0),"")</f>
        <v>82516.01</v>
      </c>
      <c r="V392" s="11">
        <f t="shared" ref="V392:V455" si="131">IF(AA392="正常",V391+IF(AND(I392="已计入",OR(B392="卖出",B392="现金分红")),E392,0),"")</f>
        <v>0</v>
      </c>
      <c r="W392" s="11">
        <f t="shared" ref="W392:W455" si="132">IF(AA392="正常",W391+IF(I392="已计入",N392,0),"")</f>
        <v>0</v>
      </c>
      <c r="X392" s="11">
        <f t="shared" ref="X392:X455" si="133">IF(AA392="正常",X391+IF(I392="已计入",P392,0),"")</f>
        <v>0</v>
      </c>
      <c r="Y392" s="11" t="str">
        <f t="shared" si="123"/>
        <v/>
      </c>
      <c r="Z392" s="13">
        <f t="shared" ref="Z392:Z455" si="134">IF(AA392="正常",IF(I392="已计入",A392,Z391),"")</f>
        <v>46247</v>
      </c>
      <c r="AA392" s="10" t="str">
        <f>IF(OR($AA$116="错误",COUNTIF($G$117:G392,"待修正")&gt;0),"错误","正常")</f>
        <v>正常</v>
      </c>
      <c r="AB392" s="14">
        <f t="shared" ref="AB392:AB455" si="135">IF(AA392="正常",IF(I392="已计入",C392,AB391),"")</f>
        <v>2.7686</v>
      </c>
    </row>
    <row r="393" ht="23" customHeight="1" spans="1:28">
      <c r="A393" s="15"/>
      <c r="B393" s="16"/>
      <c r="C393" s="17"/>
      <c r="D393" s="18"/>
      <c r="E393" s="19" t="str">
        <f t="shared" si="116"/>
        <v/>
      </c>
      <c r="F393" s="18"/>
      <c r="G393" s="20" t="str">
        <f t="shared" si="117"/>
        <v/>
      </c>
      <c r="H393" s="21" t="str">
        <f t="shared" si="118"/>
        <v/>
      </c>
      <c r="I393" s="10" t="str">
        <f>IF(COUNTA(A393:D393,F393)=0,"",IF(NOT(ISNUMBER(A393)),"缺少有效净值日期",IF(OR(A393&lt;=0,A393&lt;&gt;INT(A393)),"净值日期无效",IF(OR(B393="转换转入",B393="现金分红"),"该类型需实际金额，五项录入不适用",IF(NOT(OR(OR(B393="买入",B393="定投"),B393="卖出",B393="红利再投")),"请选择交易类型",IF(NOT(ISNUMBER(C393)),"缺少成交净值",IF(C393&lt;=0,"成交净值须大于零",IF(NOT(ISNUMBER(D393)),"缺少确认份额",IF(D393&lt;=0,"确认份额须大于零",IF(NOT(ISNUMBER(F393)),"缺少手续费，无费用请填 0",IF(F393&lt;0,"手续费不能为负",IF(AA392="错误","前行待修正",IF(A393&lt;Z392,"日期需按成交顺序递增",IF(AND(B393="红利再投",F393&lt;&gt;0),"红利再投手续费应填 0",IF(AND(B393="红利再投",K392&lt;=0),"红利再投前须有持仓",IF(AND(B393="卖出",D393&gt;K392+0.000001),"卖出份额超过持仓",IF(AND(B393="卖出",F393&gt;=C393*D393),"赎回费不能达到赎回总额",IF(NOT(ISNUMBER(E393)),"自动金额未生成，请检查五项输入",IF(NOT(OR(持仓总览!$C$7="利润优先",持仓总览!$C$7="本金优先")),"请选择卖出分配模式","已计入")))))))))))))))))))</f>
        <v/>
      </c>
      <c r="J393" s="11">
        <f t="shared" si="119"/>
        <v>0</v>
      </c>
      <c r="K393" s="11">
        <f t="shared" si="124"/>
        <v>34284.43</v>
      </c>
      <c r="L393" s="11" t="str">
        <f t="shared" si="125"/>
        <v/>
      </c>
      <c r="M393" s="11" t="str">
        <f t="shared" si="126"/>
        <v/>
      </c>
      <c r="N393" s="11" t="str">
        <f>IF(I393="已计入",IF(AND(B393="卖出",持仓总览!$C$7="本金优先"),MAX(0,E393-Q392),IF(OR(B393="卖出",B393="现金分红"),MIN(E393,M393),0)),"")</f>
        <v/>
      </c>
      <c r="O393" s="11" t="str">
        <f t="shared" si="127"/>
        <v/>
      </c>
      <c r="P393" s="11" t="str">
        <f t="shared" si="128"/>
        <v/>
      </c>
      <c r="Q393" s="11">
        <f t="shared" si="129"/>
        <v>82516.01</v>
      </c>
      <c r="R393" s="11" t="str">
        <f t="shared" si="120"/>
        <v/>
      </c>
      <c r="S393" s="11" t="str">
        <f t="shared" si="121"/>
        <v/>
      </c>
      <c r="T393" s="12" t="str">
        <f t="shared" si="122"/>
        <v/>
      </c>
      <c r="U393" s="11">
        <f t="shared" si="130"/>
        <v>82516.01</v>
      </c>
      <c r="V393" s="11">
        <f t="shared" si="131"/>
        <v>0</v>
      </c>
      <c r="W393" s="11">
        <f t="shared" si="132"/>
        <v>0</v>
      </c>
      <c r="X393" s="11">
        <f t="shared" si="133"/>
        <v>0</v>
      </c>
      <c r="Y393" s="11" t="str">
        <f t="shared" si="123"/>
        <v/>
      </c>
      <c r="Z393" s="13">
        <f t="shared" si="134"/>
        <v>46247</v>
      </c>
      <c r="AA393" s="10" t="str">
        <f>IF(OR($AA$116="错误",COUNTIF($G$117:G393,"待修正")&gt;0),"错误","正常")</f>
        <v>正常</v>
      </c>
      <c r="AB393" s="14">
        <f t="shared" si="135"/>
        <v>2.7686</v>
      </c>
    </row>
    <row r="394" ht="23" customHeight="1" spans="1:28">
      <c r="A394" s="15"/>
      <c r="B394" s="16"/>
      <c r="C394" s="17"/>
      <c r="D394" s="18"/>
      <c r="E394" s="19" t="str">
        <f t="shared" si="116"/>
        <v/>
      </c>
      <c r="F394" s="18"/>
      <c r="G394" s="20" t="str">
        <f t="shared" si="117"/>
        <v/>
      </c>
      <c r="H394" s="21" t="str">
        <f t="shared" si="118"/>
        <v/>
      </c>
      <c r="I394" s="10" t="str">
        <f>IF(COUNTA(A394:D394,F394)=0,"",IF(NOT(ISNUMBER(A394)),"缺少有效净值日期",IF(OR(A394&lt;=0,A394&lt;&gt;INT(A394)),"净值日期无效",IF(OR(B394="转换转入",B394="现金分红"),"该类型需实际金额，五项录入不适用",IF(NOT(OR(OR(B394="买入",B394="定投"),B394="卖出",B394="红利再投")),"请选择交易类型",IF(NOT(ISNUMBER(C394)),"缺少成交净值",IF(C394&lt;=0,"成交净值须大于零",IF(NOT(ISNUMBER(D394)),"缺少确认份额",IF(D394&lt;=0,"确认份额须大于零",IF(NOT(ISNUMBER(F394)),"缺少手续费，无费用请填 0",IF(F394&lt;0,"手续费不能为负",IF(AA393="错误","前行待修正",IF(A394&lt;Z393,"日期需按成交顺序递增",IF(AND(B394="红利再投",F394&lt;&gt;0),"红利再投手续费应填 0",IF(AND(B394="红利再投",K393&lt;=0),"红利再投前须有持仓",IF(AND(B394="卖出",D394&gt;K393+0.000001),"卖出份额超过持仓",IF(AND(B394="卖出",F394&gt;=C394*D394),"赎回费不能达到赎回总额",IF(NOT(ISNUMBER(E394)),"自动金额未生成，请检查五项输入",IF(NOT(OR(持仓总览!$C$7="利润优先",持仓总览!$C$7="本金优先")),"请选择卖出分配模式","已计入")))))))))))))))))))</f>
        <v/>
      </c>
      <c r="J394" s="11">
        <f t="shared" si="119"/>
        <v>0</v>
      </c>
      <c r="K394" s="11">
        <f t="shared" si="124"/>
        <v>34284.43</v>
      </c>
      <c r="L394" s="11" t="str">
        <f t="shared" si="125"/>
        <v/>
      </c>
      <c r="M394" s="11" t="str">
        <f t="shared" si="126"/>
        <v/>
      </c>
      <c r="N394" s="11" t="str">
        <f>IF(I394="已计入",IF(AND(B394="卖出",持仓总览!$C$7="本金优先"),MAX(0,E394-Q393),IF(OR(B394="卖出",B394="现金分红"),MIN(E394,M394),0)),"")</f>
        <v/>
      </c>
      <c r="O394" s="11" t="str">
        <f t="shared" si="127"/>
        <v/>
      </c>
      <c r="P394" s="11" t="str">
        <f t="shared" si="128"/>
        <v/>
      </c>
      <c r="Q394" s="11">
        <f t="shared" si="129"/>
        <v>82516.01</v>
      </c>
      <c r="R394" s="11" t="str">
        <f t="shared" si="120"/>
        <v/>
      </c>
      <c r="S394" s="11" t="str">
        <f t="shared" si="121"/>
        <v/>
      </c>
      <c r="T394" s="12" t="str">
        <f t="shared" si="122"/>
        <v/>
      </c>
      <c r="U394" s="11">
        <f t="shared" si="130"/>
        <v>82516.01</v>
      </c>
      <c r="V394" s="11">
        <f t="shared" si="131"/>
        <v>0</v>
      </c>
      <c r="W394" s="11">
        <f t="shared" si="132"/>
        <v>0</v>
      </c>
      <c r="X394" s="11">
        <f t="shared" si="133"/>
        <v>0</v>
      </c>
      <c r="Y394" s="11" t="str">
        <f t="shared" si="123"/>
        <v/>
      </c>
      <c r="Z394" s="13">
        <f t="shared" si="134"/>
        <v>46247</v>
      </c>
      <c r="AA394" s="10" t="str">
        <f>IF(OR($AA$116="错误",COUNTIF($G$117:G394,"待修正")&gt;0),"错误","正常")</f>
        <v>正常</v>
      </c>
      <c r="AB394" s="14">
        <f t="shared" si="135"/>
        <v>2.7686</v>
      </c>
    </row>
    <row r="395" ht="23" customHeight="1" spans="1:28">
      <c r="A395" s="15"/>
      <c r="B395" s="16"/>
      <c r="C395" s="17"/>
      <c r="D395" s="18"/>
      <c r="E395" s="19" t="str">
        <f t="shared" si="116"/>
        <v/>
      </c>
      <c r="F395" s="18"/>
      <c r="G395" s="20" t="str">
        <f t="shared" si="117"/>
        <v/>
      </c>
      <c r="H395" s="21" t="str">
        <f t="shared" si="118"/>
        <v/>
      </c>
      <c r="I395" s="10" t="str">
        <f>IF(COUNTA(A395:D395,F395)=0,"",IF(NOT(ISNUMBER(A395)),"缺少有效净值日期",IF(OR(A395&lt;=0,A395&lt;&gt;INT(A395)),"净值日期无效",IF(OR(B395="转换转入",B395="现金分红"),"该类型需实际金额，五项录入不适用",IF(NOT(OR(OR(B395="买入",B395="定投"),B395="卖出",B395="红利再投")),"请选择交易类型",IF(NOT(ISNUMBER(C395)),"缺少成交净值",IF(C395&lt;=0,"成交净值须大于零",IF(NOT(ISNUMBER(D395)),"缺少确认份额",IF(D395&lt;=0,"确认份额须大于零",IF(NOT(ISNUMBER(F395)),"缺少手续费，无费用请填 0",IF(F395&lt;0,"手续费不能为负",IF(AA394="错误","前行待修正",IF(A395&lt;Z394,"日期需按成交顺序递增",IF(AND(B395="红利再投",F395&lt;&gt;0),"红利再投手续费应填 0",IF(AND(B395="红利再投",K394&lt;=0),"红利再投前须有持仓",IF(AND(B395="卖出",D395&gt;K394+0.000001),"卖出份额超过持仓",IF(AND(B395="卖出",F395&gt;=C395*D395),"赎回费不能达到赎回总额",IF(NOT(ISNUMBER(E395)),"自动金额未生成，请检查五项输入",IF(NOT(OR(持仓总览!$C$7="利润优先",持仓总览!$C$7="本金优先")),"请选择卖出分配模式","已计入")))))))))))))))))))</f>
        <v/>
      </c>
      <c r="J395" s="11">
        <f t="shared" si="119"/>
        <v>0</v>
      </c>
      <c r="K395" s="11">
        <f t="shared" si="124"/>
        <v>34284.43</v>
      </c>
      <c r="L395" s="11" t="str">
        <f t="shared" si="125"/>
        <v/>
      </c>
      <c r="M395" s="11" t="str">
        <f t="shared" si="126"/>
        <v/>
      </c>
      <c r="N395" s="11" t="str">
        <f>IF(I395="已计入",IF(AND(B395="卖出",持仓总览!$C$7="本金优先"),MAX(0,E395-Q394),IF(OR(B395="卖出",B395="现金分红"),MIN(E395,M395),0)),"")</f>
        <v/>
      </c>
      <c r="O395" s="11" t="str">
        <f t="shared" si="127"/>
        <v/>
      </c>
      <c r="P395" s="11" t="str">
        <f t="shared" si="128"/>
        <v/>
      </c>
      <c r="Q395" s="11">
        <f t="shared" si="129"/>
        <v>82516.01</v>
      </c>
      <c r="R395" s="11" t="str">
        <f t="shared" si="120"/>
        <v/>
      </c>
      <c r="S395" s="11" t="str">
        <f t="shared" si="121"/>
        <v/>
      </c>
      <c r="T395" s="12" t="str">
        <f t="shared" si="122"/>
        <v/>
      </c>
      <c r="U395" s="11">
        <f t="shared" si="130"/>
        <v>82516.01</v>
      </c>
      <c r="V395" s="11">
        <f t="shared" si="131"/>
        <v>0</v>
      </c>
      <c r="W395" s="11">
        <f t="shared" si="132"/>
        <v>0</v>
      </c>
      <c r="X395" s="11">
        <f t="shared" si="133"/>
        <v>0</v>
      </c>
      <c r="Y395" s="11" t="str">
        <f t="shared" si="123"/>
        <v/>
      </c>
      <c r="Z395" s="13">
        <f t="shared" si="134"/>
        <v>46247</v>
      </c>
      <c r="AA395" s="10" t="str">
        <f>IF(OR($AA$116="错误",COUNTIF($G$117:G395,"待修正")&gt;0),"错误","正常")</f>
        <v>正常</v>
      </c>
      <c r="AB395" s="14">
        <f t="shared" si="135"/>
        <v>2.7686</v>
      </c>
    </row>
    <row r="396" ht="23" customHeight="1" spans="1:28">
      <c r="A396" s="15"/>
      <c r="B396" s="16"/>
      <c r="C396" s="17"/>
      <c r="D396" s="18"/>
      <c r="E396" s="19" t="str">
        <f t="shared" si="116"/>
        <v/>
      </c>
      <c r="F396" s="18"/>
      <c r="G396" s="20" t="str">
        <f t="shared" si="117"/>
        <v/>
      </c>
      <c r="H396" s="21" t="str">
        <f t="shared" si="118"/>
        <v/>
      </c>
      <c r="I396" s="10" t="str">
        <f>IF(COUNTA(A396:D396,F396)=0,"",IF(NOT(ISNUMBER(A396)),"缺少有效净值日期",IF(OR(A396&lt;=0,A396&lt;&gt;INT(A396)),"净值日期无效",IF(OR(B396="转换转入",B396="现金分红"),"该类型需实际金额，五项录入不适用",IF(NOT(OR(OR(B396="买入",B396="定投"),B396="卖出",B396="红利再投")),"请选择交易类型",IF(NOT(ISNUMBER(C396)),"缺少成交净值",IF(C396&lt;=0,"成交净值须大于零",IF(NOT(ISNUMBER(D396)),"缺少确认份额",IF(D396&lt;=0,"确认份额须大于零",IF(NOT(ISNUMBER(F396)),"缺少手续费，无费用请填 0",IF(F396&lt;0,"手续费不能为负",IF(AA395="错误","前行待修正",IF(A396&lt;Z395,"日期需按成交顺序递增",IF(AND(B396="红利再投",F396&lt;&gt;0),"红利再投手续费应填 0",IF(AND(B396="红利再投",K395&lt;=0),"红利再投前须有持仓",IF(AND(B396="卖出",D396&gt;K395+0.000001),"卖出份额超过持仓",IF(AND(B396="卖出",F396&gt;=C396*D396),"赎回费不能达到赎回总额",IF(NOT(ISNUMBER(E396)),"自动金额未生成，请检查五项输入",IF(NOT(OR(持仓总览!$C$7="利润优先",持仓总览!$C$7="本金优先")),"请选择卖出分配模式","已计入")))))))))))))))))))</f>
        <v/>
      </c>
      <c r="J396" s="11">
        <f t="shared" si="119"/>
        <v>0</v>
      </c>
      <c r="K396" s="11">
        <f t="shared" si="124"/>
        <v>34284.43</v>
      </c>
      <c r="L396" s="11" t="str">
        <f t="shared" si="125"/>
        <v/>
      </c>
      <c r="M396" s="11" t="str">
        <f t="shared" si="126"/>
        <v/>
      </c>
      <c r="N396" s="11" t="str">
        <f>IF(I396="已计入",IF(AND(B396="卖出",持仓总览!$C$7="本金优先"),MAX(0,E396-Q395),IF(OR(B396="卖出",B396="现金分红"),MIN(E396,M396),0)),"")</f>
        <v/>
      </c>
      <c r="O396" s="11" t="str">
        <f t="shared" si="127"/>
        <v/>
      </c>
      <c r="P396" s="11" t="str">
        <f t="shared" si="128"/>
        <v/>
      </c>
      <c r="Q396" s="11">
        <f t="shared" si="129"/>
        <v>82516.01</v>
      </c>
      <c r="R396" s="11" t="str">
        <f t="shared" si="120"/>
        <v/>
      </c>
      <c r="S396" s="11" t="str">
        <f t="shared" si="121"/>
        <v/>
      </c>
      <c r="T396" s="12" t="str">
        <f t="shared" si="122"/>
        <v/>
      </c>
      <c r="U396" s="11">
        <f t="shared" si="130"/>
        <v>82516.01</v>
      </c>
      <c r="V396" s="11">
        <f t="shared" si="131"/>
        <v>0</v>
      </c>
      <c r="W396" s="11">
        <f t="shared" si="132"/>
        <v>0</v>
      </c>
      <c r="X396" s="11">
        <f t="shared" si="133"/>
        <v>0</v>
      </c>
      <c r="Y396" s="11" t="str">
        <f t="shared" si="123"/>
        <v/>
      </c>
      <c r="Z396" s="13">
        <f t="shared" si="134"/>
        <v>46247</v>
      </c>
      <c r="AA396" s="10" t="str">
        <f>IF(OR($AA$116="错误",COUNTIF($G$117:G396,"待修正")&gt;0),"错误","正常")</f>
        <v>正常</v>
      </c>
      <c r="AB396" s="14">
        <f t="shared" si="135"/>
        <v>2.7686</v>
      </c>
    </row>
    <row r="397" ht="23" customHeight="1" spans="1:28">
      <c r="A397" s="15"/>
      <c r="B397" s="16"/>
      <c r="C397" s="17"/>
      <c r="D397" s="18"/>
      <c r="E397" s="19" t="str">
        <f t="shared" si="116"/>
        <v/>
      </c>
      <c r="F397" s="18"/>
      <c r="G397" s="20" t="str">
        <f t="shared" si="117"/>
        <v/>
      </c>
      <c r="H397" s="21" t="str">
        <f t="shared" si="118"/>
        <v/>
      </c>
      <c r="I397" s="10" t="str">
        <f>IF(COUNTA(A397:D397,F397)=0,"",IF(NOT(ISNUMBER(A397)),"缺少有效净值日期",IF(OR(A397&lt;=0,A397&lt;&gt;INT(A397)),"净值日期无效",IF(OR(B397="转换转入",B397="现金分红"),"该类型需实际金额，五项录入不适用",IF(NOT(OR(OR(B397="买入",B397="定投"),B397="卖出",B397="红利再投")),"请选择交易类型",IF(NOT(ISNUMBER(C397)),"缺少成交净值",IF(C397&lt;=0,"成交净值须大于零",IF(NOT(ISNUMBER(D397)),"缺少确认份额",IF(D397&lt;=0,"确认份额须大于零",IF(NOT(ISNUMBER(F397)),"缺少手续费，无费用请填 0",IF(F397&lt;0,"手续费不能为负",IF(AA396="错误","前行待修正",IF(A397&lt;Z396,"日期需按成交顺序递增",IF(AND(B397="红利再投",F397&lt;&gt;0),"红利再投手续费应填 0",IF(AND(B397="红利再投",K396&lt;=0),"红利再投前须有持仓",IF(AND(B397="卖出",D397&gt;K396+0.000001),"卖出份额超过持仓",IF(AND(B397="卖出",F397&gt;=C397*D397),"赎回费不能达到赎回总额",IF(NOT(ISNUMBER(E397)),"自动金额未生成，请检查五项输入",IF(NOT(OR(持仓总览!$C$7="利润优先",持仓总览!$C$7="本金优先")),"请选择卖出分配模式","已计入")))))))))))))))))))</f>
        <v/>
      </c>
      <c r="J397" s="11">
        <f t="shared" si="119"/>
        <v>0</v>
      </c>
      <c r="K397" s="11">
        <f t="shared" si="124"/>
        <v>34284.43</v>
      </c>
      <c r="L397" s="11" t="str">
        <f t="shared" si="125"/>
        <v/>
      </c>
      <c r="M397" s="11" t="str">
        <f t="shared" si="126"/>
        <v/>
      </c>
      <c r="N397" s="11" t="str">
        <f>IF(I397="已计入",IF(AND(B397="卖出",持仓总览!$C$7="本金优先"),MAX(0,E397-Q396),IF(OR(B397="卖出",B397="现金分红"),MIN(E397,M397),0)),"")</f>
        <v/>
      </c>
      <c r="O397" s="11" t="str">
        <f t="shared" si="127"/>
        <v/>
      </c>
      <c r="P397" s="11" t="str">
        <f t="shared" si="128"/>
        <v/>
      </c>
      <c r="Q397" s="11">
        <f t="shared" si="129"/>
        <v>82516.01</v>
      </c>
      <c r="R397" s="11" t="str">
        <f t="shared" si="120"/>
        <v/>
      </c>
      <c r="S397" s="11" t="str">
        <f t="shared" si="121"/>
        <v/>
      </c>
      <c r="T397" s="12" t="str">
        <f t="shared" si="122"/>
        <v/>
      </c>
      <c r="U397" s="11">
        <f t="shared" si="130"/>
        <v>82516.01</v>
      </c>
      <c r="V397" s="11">
        <f t="shared" si="131"/>
        <v>0</v>
      </c>
      <c r="W397" s="11">
        <f t="shared" si="132"/>
        <v>0</v>
      </c>
      <c r="X397" s="11">
        <f t="shared" si="133"/>
        <v>0</v>
      </c>
      <c r="Y397" s="11" t="str">
        <f t="shared" si="123"/>
        <v/>
      </c>
      <c r="Z397" s="13">
        <f t="shared" si="134"/>
        <v>46247</v>
      </c>
      <c r="AA397" s="10" t="str">
        <f>IF(OR($AA$116="错误",COUNTIF($G$117:G397,"待修正")&gt;0),"错误","正常")</f>
        <v>正常</v>
      </c>
      <c r="AB397" s="14">
        <f t="shared" si="135"/>
        <v>2.7686</v>
      </c>
    </row>
    <row r="398" ht="23" customHeight="1" spans="1:28">
      <c r="A398" s="15"/>
      <c r="B398" s="16"/>
      <c r="C398" s="17"/>
      <c r="D398" s="18"/>
      <c r="E398" s="19" t="str">
        <f t="shared" si="116"/>
        <v/>
      </c>
      <c r="F398" s="18"/>
      <c r="G398" s="20" t="str">
        <f t="shared" si="117"/>
        <v/>
      </c>
      <c r="H398" s="21" t="str">
        <f t="shared" si="118"/>
        <v/>
      </c>
      <c r="I398" s="10" t="str">
        <f>IF(COUNTA(A398:D398,F398)=0,"",IF(NOT(ISNUMBER(A398)),"缺少有效净值日期",IF(OR(A398&lt;=0,A398&lt;&gt;INT(A398)),"净值日期无效",IF(OR(B398="转换转入",B398="现金分红"),"该类型需实际金额，五项录入不适用",IF(NOT(OR(OR(B398="买入",B398="定投"),B398="卖出",B398="红利再投")),"请选择交易类型",IF(NOT(ISNUMBER(C398)),"缺少成交净值",IF(C398&lt;=0,"成交净值须大于零",IF(NOT(ISNUMBER(D398)),"缺少确认份额",IF(D398&lt;=0,"确认份额须大于零",IF(NOT(ISNUMBER(F398)),"缺少手续费，无费用请填 0",IF(F398&lt;0,"手续费不能为负",IF(AA397="错误","前行待修正",IF(A398&lt;Z397,"日期需按成交顺序递增",IF(AND(B398="红利再投",F398&lt;&gt;0),"红利再投手续费应填 0",IF(AND(B398="红利再投",K397&lt;=0),"红利再投前须有持仓",IF(AND(B398="卖出",D398&gt;K397+0.000001),"卖出份额超过持仓",IF(AND(B398="卖出",F398&gt;=C398*D398),"赎回费不能达到赎回总额",IF(NOT(ISNUMBER(E398)),"自动金额未生成，请检查五项输入",IF(NOT(OR(持仓总览!$C$7="利润优先",持仓总览!$C$7="本金优先")),"请选择卖出分配模式","已计入")))))))))))))))))))</f>
        <v/>
      </c>
      <c r="J398" s="11">
        <f t="shared" si="119"/>
        <v>0</v>
      </c>
      <c r="K398" s="11">
        <f t="shared" si="124"/>
        <v>34284.43</v>
      </c>
      <c r="L398" s="11" t="str">
        <f t="shared" si="125"/>
        <v/>
      </c>
      <c r="M398" s="11" t="str">
        <f t="shared" si="126"/>
        <v/>
      </c>
      <c r="N398" s="11" t="str">
        <f>IF(I398="已计入",IF(AND(B398="卖出",持仓总览!$C$7="本金优先"),MAX(0,E398-Q397),IF(OR(B398="卖出",B398="现金分红"),MIN(E398,M398),0)),"")</f>
        <v/>
      </c>
      <c r="O398" s="11" t="str">
        <f t="shared" si="127"/>
        <v/>
      </c>
      <c r="P398" s="11" t="str">
        <f t="shared" si="128"/>
        <v/>
      </c>
      <c r="Q398" s="11">
        <f t="shared" si="129"/>
        <v>82516.01</v>
      </c>
      <c r="R398" s="11" t="str">
        <f t="shared" si="120"/>
        <v/>
      </c>
      <c r="S398" s="11" t="str">
        <f t="shared" si="121"/>
        <v/>
      </c>
      <c r="T398" s="12" t="str">
        <f t="shared" si="122"/>
        <v/>
      </c>
      <c r="U398" s="11">
        <f t="shared" si="130"/>
        <v>82516.01</v>
      </c>
      <c r="V398" s="11">
        <f t="shared" si="131"/>
        <v>0</v>
      </c>
      <c r="W398" s="11">
        <f t="shared" si="132"/>
        <v>0</v>
      </c>
      <c r="X398" s="11">
        <f t="shared" si="133"/>
        <v>0</v>
      </c>
      <c r="Y398" s="11" t="str">
        <f t="shared" si="123"/>
        <v/>
      </c>
      <c r="Z398" s="13">
        <f t="shared" si="134"/>
        <v>46247</v>
      </c>
      <c r="AA398" s="10" t="str">
        <f>IF(OR($AA$116="错误",COUNTIF($G$117:G398,"待修正")&gt;0),"错误","正常")</f>
        <v>正常</v>
      </c>
      <c r="AB398" s="14">
        <f t="shared" si="135"/>
        <v>2.7686</v>
      </c>
    </row>
    <row r="399" ht="23" customHeight="1" spans="1:28">
      <c r="A399" s="15"/>
      <c r="B399" s="16"/>
      <c r="C399" s="17"/>
      <c r="D399" s="18"/>
      <c r="E399" s="19" t="str">
        <f t="shared" si="116"/>
        <v/>
      </c>
      <c r="F399" s="18"/>
      <c r="G399" s="20" t="str">
        <f t="shared" si="117"/>
        <v/>
      </c>
      <c r="H399" s="21" t="str">
        <f t="shared" si="118"/>
        <v/>
      </c>
      <c r="I399" s="10" t="str">
        <f>IF(COUNTA(A399:D399,F399)=0,"",IF(NOT(ISNUMBER(A399)),"缺少有效净值日期",IF(OR(A399&lt;=0,A399&lt;&gt;INT(A399)),"净值日期无效",IF(OR(B399="转换转入",B399="现金分红"),"该类型需实际金额，五项录入不适用",IF(NOT(OR(OR(B399="买入",B399="定投"),B399="卖出",B399="红利再投")),"请选择交易类型",IF(NOT(ISNUMBER(C399)),"缺少成交净值",IF(C399&lt;=0,"成交净值须大于零",IF(NOT(ISNUMBER(D399)),"缺少确认份额",IF(D399&lt;=0,"确认份额须大于零",IF(NOT(ISNUMBER(F399)),"缺少手续费，无费用请填 0",IF(F399&lt;0,"手续费不能为负",IF(AA398="错误","前行待修正",IF(A399&lt;Z398,"日期需按成交顺序递增",IF(AND(B399="红利再投",F399&lt;&gt;0),"红利再投手续费应填 0",IF(AND(B399="红利再投",K398&lt;=0),"红利再投前须有持仓",IF(AND(B399="卖出",D399&gt;K398+0.000001),"卖出份额超过持仓",IF(AND(B399="卖出",F399&gt;=C399*D399),"赎回费不能达到赎回总额",IF(NOT(ISNUMBER(E399)),"自动金额未生成，请检查五项输入",IF(NOT(OR(持仓总览!$C$7="利润优先",持仓总览!$C$7="本金优先")),"请选择卖出分配模式","已计入")))))))))))))))))))</f>
        <v/>
      </c>
      <c r="J399" s="11">
        <f t="shared" si="119"/>
        <v>0</v>
      </c>
      <c r="K399" s="11">
        <f t="shared" si="124"/>
        <v>34284.43</v>
      </c>
      <c r="L399" s="11" t="str">
        <f t="shared" si="125"/>
        <v/>
      </c>
      <c r="M399" s="11" t="str">
        <f t="shared" si="126"/>
        <v/>
      </c>
      <c r="N399" s="11" t="str">
        <f>IF(I399="已计入",IF(AND(B399="卖出",持仓总览!$C$7="本金优先"),MAX(0,E399-Q398),IF(OR(B399="卖出",B399="现金分红"),MIN(E399,M399),0)),"")</f>
        <v/>
      </c>
      <c r="O399" s="11" t="str">
        <f t="shared" si="127"/>
        <v/>
      </c>
      <c r="P399" s="11" t="str">
        <f t="shared" si="128"/>
        <v/>
      </c>
      <c r="Q399" s="11">
        <f t="shared" si="129"/>
        <v>82516.01</v>
      </c>
      <c r="R399" s="11" t="str">
        <f t="shared" si="120"/>
        <v/>
      </c>
      <c r="S399" s="11" t="str">
        <f t="shared" si="121"/>
        <v/>
      </c>
      <c r="T399" s="12" t="str">
        <f t="shared" si="122"/>
        <v/>
      </c>
      <c r="U399" s="11">
        <f t="shared" si="130"/>
        <v>82516.01</v>
      </c>
      <c r="V399" s="11">
        <f t="shared" si="131"/>
        <v>0</v>
      </c>
      <c r="W399" s="11">
        <f t="shared" si="132"/>
        <v>0</v>
      </c>
      <c r="X399" s="11">
        <f t="shared" si="133"/>
        <v>0</v>
      </c>
      <c r="Y399" s="11" t="str">
        <f t="shared" si="123"/>
        <v/>
      </c>
      <c r="Z399" s="13">
        <f t="shared" si="134"/>
        <v>46247</v>
      </c>
      <c r="AA399" s="10" t="str">
        <f>IF(OR($AA$116="错误",COUNTIF($G$117:G399,"待修正")&gt;0),"错误","正常")</f>
        <v>正常</v>
      </c>
      <c r="AB399" s="14">
        <f t="shared" si="135"/>
        <v>2.7686</v>
      </c>
    </row>
    <row r="400" ht="23" customHeight="1" spans="1:28">
      <c r="A400" s="15"/>
      <c r="B400" s="16"/>
      <c r="C400" s="17"/>
      <c r="D400" s="18"/>
      <c r="E400" s="19" t="str">
        <f t="shared" si="116"/>
        <v/>
      </c>
      <c r="F400" s="18"/>
      <c r="G400" s="20" t="str">
        <f t="shared" si="117"/>
        <v/>
      </c>
      <c r="H400" s="21" t="str">
        <f t="shared" si="118"/>
        <v/>
      </c>
      <c r="I400" s="10" t="str">
        <f>IF(COUNTA(A400:D400,F400)=0,"",IF(NOT(ISNUMBER(A400)),"缺少有效净值日期",IF(OR(A400&lt;=0,A400&lt;&gt;INT(A400)),"净值日期无效",IF(OR(B400="转换转入",B400="现金分红"),"该类型需实际金额，五项录入不适用",IF(NOT(OR(OR(B400="买入",B400="定投"),B400="卖出",B400="红利再投")),"请选择交易类型",IF(NOT(ISNUMBER(C400)),"缺少成交净值",IF(C400&lt;=0,"成交净值须大于零",IF(NOT(ISNUMBER(D400)),"缺少确认份额",IF(D400&lt;=0,"确认份额须大于零",IF(NOT(ISNUMBER(F400)),"缺少手续费，无费用请填 0",IF(F400&lt;0,"手续费不能为负",IF(AA399="错误","前行待修正",IF(A400&lt;Z399,"日期需按成交顺序递增",IF(AND(B400="红利再投",F400&lt;&gt;0),"红利再投手续费应填 0",IF(AND(B400="红利再投",K399&lt;=0),"红利再投前须有持仓",IF(AND(B400="卖出",D400&gt;K399+0.000001),"卖出份额超过持仓",IF(AND(B400="卖出",F400&gt;=C400*D400),"赎回费不能达到赎回总额",IF(NOT(ISNUMBER(E400)),"自动金额未生成，请检查五项输入",IF(NOT(OR(持仓总览!$C$7="利润优先",持仓总览!$C$7="本金优先")),"请选择卖出分配模式","已计入")))))))))))))))))))</f>
        <v/>
      </c>
      <c r="J400" s="11">
        <f t="shared" si="119"/>
        <v>0</v>
      </c>
      <c r="K400" s="11">
        <f t="shared" si="124"/>
        <v>34284.43</v>
      </c>
      <c r="L400" s="11" t="str">
        <f t="shared" si="125"/>
        <v/>
      </c>
      <c r="M400" s="11" t="str">
        <f t="shared" si="126"/>
        <v/>
      </c>
      <c r="N400" s="11" t="str">
        <f>IF(I400="已计入",IF(AND(B400="卖出",持仓总览!$C$7="本金优先"),MAX(0,E400-Q399),IF(OR(B400="卖出",B400="现金分红"),MIN(E400,M400),0)),"")</f>
        <v/>
      </c>
      <c r="O400" s="11" t="str">
        <f t="shared" si="127"/>
        <v/>
      </c>
      <c r="P400" s="11" t="str">
        <f t="shared" si="128"/>
        <v/>
      </c>
      <c r="Q400" s="11">
        <f t="shared" si="129"/>
        <v>82516.01</v>
      </c>
      <c r="R400" s="11" t="str">
        <f t="shared" si="120"/>
        <v/>
      </c>
      <c r="S400" s="11" t="str">
        <f t="shared" si="121"/>
        <v/>
      </c>
      <c r="T400" s="12" t="str">
        <f t="shared" si="122"/>
        <v/>
      </c>
      <c r="U400" s="11">
        <f t="shared" si="130"/>
        <v>82516.01</v>
      </c>
      <c r="V400" s="11">
        <f t="shared" si="131"/>
        <v>0</v>
      </c>
      <c r="W400" s="11">
        <f t="shared" si="132"/>
        <v>0</v>
      </c>
      <c r="X400" s="11">
        <f t="shared" si="133"/>
        <v>0</v>
      </c>
      <c r="Y400" s="11" t="str">
        <f t="shared" si="123"/>
        <v/>
      </c>
      <c r="Z400" s="13">
        <f t="shared" si="134"/>
        <v>46247</v>
      </c>
      <c r="AA400" s="10" t="str">
        <f>IF(OR($AA$116="错误",COUNTIF($G$117:G400,"待修正")&gt;0),"错误","正常")</f>
        <v>正常</v>
      </c>
      <c r="AB400" s="14">
        <f t="shared" si="135"/>
        <v>2.7686</v>
      </c>
    </row>
    <row r="401" ht="23" customHeight="1" spans="1:28">
      <c r="A401" s="15"/>
      <c r="B401" s="16"/>
      <c r="C401" s="17"/>
      <c r="D401" s="18"/>
      <c r="E401" s="19" t="str">
        <f t="shared" si="116"/>
        <v/>
      </c>
      <c r="F401" s="18"/>
      <c r="G401" s="20" t="str">
        <f t="shared" si="117"/>
        <v/>
      </c>
      <c r="H401" s="21" t="str">
        <f t="shared" si="118"/>
        <v/>
      </c>
      <c r="I401" s="10" t="str">
        <f>IF(COUNTA(A401:D401,F401)=0,"",IF(NOT(ISNUMBER(A401)),"缺少有效净值日期",IF(OR(A401&lt;=0,A401&lt;&gt;INT(A401)),"净值日期无效",IF(OR(B401="转换转入",B401="现金分红"),"该类型需实际金额，五项录入不适用",IF(NOT(OR(OR(B401="买入",B401="定投"),B401="卖出",B401="红利再投")),"请选择交易类型",IF(NOT(ISNUMBER(C401)),"缺少成交净值",IF(C401&lt;=0,"成交净值须大于零",IF(NOT(ISNUMBER(D401)),"缺少确认份额",IF(D401&lt;=0,"确认份额须大于零",IF(NOT(ISNUMBER(F401)),"缺少手续费，无费用请填 0",IF(F401&lt;0,"手续费不能为负",IF(AA400="错误","前行待修正",IF(A401&lt;Z400,"日期需按成交顺序递增",IF(AND(B401="红利再投",F401&lt;&gt;0),"红利再投手续费应填 0",IF(AND(B401="红利再投",K400&lt;=0),"红利再投前须有持仓",IF(AND(B401="卖出",D401&gt;K400+0.000001),"卖出份额超过持仓",IF(AND(B401="卖出",F401&gt;=C401*D401),"赎回费不能达到赎回总额",IF(NOT(ISNUMBER(E401)),"自动金额未生成，请检查五项输入",IF(NOT(OR(持仓总览!$C$7="利润优先",持仓总览!$C$7="本金优先")),"请选择卖出分配模式","已计入")))))))))))))))))))</f>
        <v/>
      </c>
      <c r="J401" s="11">
        <f t="shared" si="119"/>
        <v>0</v>
      </c>
      <c r="K401" s="11">
        <f t="shared" si="124"/>
        <v>34284.43</v>
      </c>
      <c r="L401" s="11" t="str">
        <f t="shared" si="125"/>
        <v/>
      </c>
      <c r="M401" s="11" t="str">
        <f t="shared" si="126"/>
        <v/>
      </c>
      <c r="N401" s="11" t="str">
        <f>IF(I401="已计入",IF(AND(B401="卖出",持仓总览!$C$7="本金优先"),MAX(0,E401-Q400),IF(OR(B401="卖出",B401="现金分红"),MIN(E401,M401),0)),"")</f>
        <v/>
      </c>
      <c r="O401" s="11" t="str">
        <f t="shared" si="127"/>
        <v/>
      </c>
      <c r="P401" s="11" t="str">
        <f t="shared" si="128"/>
        <v/>
      </c>
      <c r="Q401" s="11">
        <f t="shared" si="129"/>
        <v>82516.01</v>
      </c>
      <c r="R401" s="11" t="str">
        <f t="shared" si="120"/>
        <v/>
      </c>
      <c r="S401" s="11" t="str">
        <f t="shared" si="121"/>
        <v/>
      </c>
      <c r="T401" s="12" t="str">
        <f t="shared" si="122"/>
        <v/>
      </c>
      <c r="U401" s="11">
        <f t="shared" si="130"/>
        <v>82516.01</v>
      </c>
      <c r="V401" s="11">
        <f t="shared" si="131"/>
        <v>0</v>
      </c>
      <c r="W401" s="11">
        <f t="shared" si="132"/>
        <v>0</v>
      </c>
      <c r="X401" s="11">
        <f t="shared" si="133"/>
        <v>0</v>
      </c>
      <c r="Y401" s="11" t="str">
        <f t="shared" si="123"/>
        <v/>
      </c>
      <c r="Z401" s="13">
        <f t="shared" si="134"/>
        <v>46247</v>
      </c>
      <c r="AA401" s="10" t="str">
        <f>IF(OR($AA$116="错误",COUNTIF($G$117:G401,"待修正")&gt;0),"错误","正常")</f>
        <v>正常</v>
      </c>
      <c r="AB401" s="14">
        <f t="shared" si="135"/>
        <v>2.7686</v>
      </c>
    </row>
    <row r="402" ht="23" customHeight="1" spans="1:28">
      <c r="A402" s="15"/>
      <c r="B402" s="16"/>
      <c r="C402" s="17"/>
      <c r="D402" s="18"/>
      <c r="E402" s="19" t="str">
        <f t="shared" si="116"/>
        <v/>
      </c>
      <c r="F402" s="18"/>
      <c r="G402" s="20" t="str">
        <f t="shared" si="117"/>
        <v/>
      </c>
      <c r="H402" s="21" t="str">
        <f t="shared" si="118"/>
        <v/>
      </c>
      <c r="I402" s="10" t="str">
        <f>IF(COUNTA(A402:D402,F402)=0,"",IF(NOT(ISNUMBER(A402)),"缺少有效净值日期",IF(OR(A402&lt;=0,A402&lt;&gt;INT(A402)),"净值日期无效",IF(OR(B402="转换转入",B402="现金分红"),"该类型需实际金额，五项录入不适用",IF(NOT(OR(OR(B402="买入",B402="定投"),B402="卖出",B402="红利再投")),"请选择交易类型",IF(NOT(ISNUMBER(C402)),"缺少成交净值",IF(C402&lt;=0,"成交净值须大于零",IF(NOT(ISNUMBER(D402)),"缺少确认份额",IF(D402&lt;=0,"确认份额须大于零",IF(NOT(ISNUMBER(F402)),"缺少手续费，无费用请填 0",IF(F402&lt;0,"手续费不能为负",IF(AA401="错误","前行待修正",IF(A402&lt;Z401,"日期需按成交顺序递增",IF(AND(B402="红利再投",F402&lt;&gt;0),"红利再投手续费应填 0",IF(AND(B402="红利再投",K401&lt;=0),"红利再投前须有持仓",IF(AND(B402="卖出",D402&gt;K401+0.000001),"卖出份额超过持仓",IF(AND(B402="卖出",F402&gt;=C402*D402),"赎回费不能达到赎回总额",IF(NOT(ISNUMBER(E402)),"自动金额未生成，请检查五项输入",IF(NOT(OR(持仓总览!$C$7="利润优先",持仓总览!$C$7="本金优先")),"请选择卖出分配模式","已计入")))))))))))))))))))</f>
        <v/>
      </c>
      <c r="J402" s="11">
        <f t="shared" si="119"/>
        <v>0</v>
      </c>
      <c r="K402" s="11">
        <f t="shared" si="124"/>
        <v>34284.43</v>
      </c>
      <c r="L402" s="11" t="str">
        <f t="shared" si="125"/>
        <v/>
      </c>
      <c r="M402" s="11" t="str">
        <f t="shared" si="126"/>
        <v/>
      </c>
      <c r="N402" s="11" t="str">
        <f>IF(I402="已计入",IF(AND(B402="卖出",持仓总览!$C$7="本金优先"),MAX(0,E402-Q401),IF(OR(B402="卖出",B402="现金分红"),MIN(E402,M402),0)),"")</f>
        <v/>
      </c>
      <c r="O402" s="11" t="str">
        <f t="shared" si="127"/>
        <v/>
      </c>
      <c r="P402" s="11" t="str">
        <f t="shared" si="128"/>
        <v/>
      </c>
      <c r="Q402" s="11">
        <f t="shared" si="129"/>
        <v>82516.01</v>
      </c>
      <c r="R402" s="11" t="str">
        <f t="shared" si="120"/>
        <v/>
      </c>
      <c r="S402" s="11" t="str">
        <f t="shared" si="121"/>
        <v/>
      </c>
      <c r="T402" s="12" t="str">
        <f t="shared" si="122"/>
        <v/>
      </c>
      <c r="U402" s="11">
        <f t="shared" si="130"/>
        <v>82516.01</v>
      </c>
      <c r="V402" s="11">
        <f t="shared" si="131"/>
        <v>0</v>
      </c>
      <c r="W402" s="11">
        <f t="shared" si="132"/>
        <v>0</v>
      </c>
      <c r="X402" s="11">
        <f t="shared" si="133"/>
        <v>0</v>
      </c>
      <c r="Y402" s="11" t="str">
        <f t="shared" si="123"/>
        <v/>
      </c>
      <c r="Z402" s="13">
        <f t="shared" si="134"/>
        <v>46247</v>
      </c>
      <c r="AA402" s="10" t="str">
        <f>IF(OR($AA$116="错误",COUNTIF($G$117:G402,"待修正")&gt;0),"错误","正常")</f>
        <v>正常</v>
      </c>
      <c r="AB402" s="14">
        <f t="shared" si="135"/>
        <v>2.7686</v>
      </c>
    </row>
    <row r="403" ht="23" customHeight="1" spans="1:28">
      <c r="A403" s="15"/>
      <c r="B403" s="16"/>
      <c r="C403" s="17"/>
      <c r="D403" s="18"/>
      <c r="E403" s="19" t="str">
        <f t="shared" si="116"/>
        <v/>
      </c>
      <c r="F403" s="18"/>
      <c r="G403" s="20" t="str">
        <f t="shared" si="117"/>
        <v/>
      </c>
      <c r="H403" s="21" t="str">
        <f t="shared" si="118"/>
        <v/>
      </c>
      <c r="I403" s="10" t="str">
        <f>IF(COUNTA(A403:D403,F403)=0,"",IF(NOT(ISNUMBER(A403)),"缺少有效净值日期",IF(OR(A403&lt;=0,A403&lt;&gt;INT(A403)),"净值日期无效",IF(OR(B403="转换转入",B403="现金分红"),"该类型需实际金额，五项录入不适用",IF(NOT(OR(OR(B403="买入",B403="定投"),B403="卖出",B403="红利再投")),"请选择交易类型",IF(NOT(ISNUMBER(C403)),"缺少成交净值",IF(C403&lt;=0,"成交净值须大于零",IF(NOT(ISNUMBER(D403)),"缺少确认份额",IF(D403&lt;=0,"确认份额须大于零",IF(NOT(ISNUMBER(F403)),"缺少手续费，无费用请填 0",IF(F403&lt;0,"手续费不能为负",IF(AA402="错误","前行待修正",IF(A403&lt;Z402,"日期需按成交顺序递增",IF(AND(B403="红利再投",F403&lt;&gt;0),"红利再投手续费应填 0",IF(AND(B403="红利再投",K402&lt;=0),"红利再投前须有持仓",IF(AND(B403="卖出",D403&gt;K402+0.000001),"卖出份额超过持仓",IF(AND(B403="卖出",F403&gt;=C403*D403),"赎回费不能达到赎回总额",IF(NOT(ISNUMBER(E403)),"自动金额未生成，请检查五项输入",IF(NOT(OR(持仓总览!$C$7="利润优先",持仓总览!$C$7="本金优先")),"请选择卖出分配模式","已计入")))))))))))))))))))</f>
        <v/>
      </c>
      <c r="J403" s="11">
        <f t="shared" si="119"/>
        <v>0</v>
      </c>
      <c r="K403" s="11">
        <f t="shared" si="124"/>
        <v>34284.43</v>
      </c>
      <c r="L403" s="11" t="str">
        <f t="shared" si="125"/>
        <v/>
      </c>
      <c r="M403" s="11" t="str">
        <f t="shared" si="126"/>
        <v/>
      </c>
      <c r="N403" s="11" t="str">
        <f>IF(I403="已计入",IF(AND(B403="卖出",持仓总览!$C$7="本金优先"),MAX(0,E403-Q402),IF(OR(B403="卖出",B403="现金分红"),MIN(E403,M403),0)),"")</f>
        <v/>
      </c>
      <c r="O403" s="11" t="str">
        <f t="shared" si="127"/>
        <v/>
      </c>
      <c r="P403" s="11" t="str">
        <f t="shared" si="128"/>
        <v/>
      </c>
      <c r="Q403" s="11">
        <f t="shared" si="129"/>
        <v>82516.01</v>
      </c>
      <c r="R403" s="11" t="str">
        <f t="shared" si="120"/>
        <v/>
      </c>
      <c r="S403" s="11" t="str">
        <f t="shared" si="121"/>
        <v/>
      </c>
      <c r="T403" s="12" t="str">
        <f t="shared" si="122"/>
        <v/>
      </c>
      <c r="U403" s="11">
        <f t="shared" si="130"/>
        <v>82516.01</v>
      </c>
      <c r="V403" s="11">
        <f t="shared" si="131"/>
        <v>0</v>
      </c>
      <c r="W403" s="11">
        <f t="shared" si="132"/>
        <v>0</v>
      </c>
      <c r="X403" s="11">
        <f t="shared" si="133"/>
        <v>0</v>
      </c>
      <c r="Y403" s="11" t="str">
        <f t="shared" si="123"/>
        <v/>
      </c>
      <c r="Z403" s="13">
        <f t="shared" si="134"/>
        <v>46247</v>
      </c>
      <c r="AA403" s="10" t="str">
        <f>IF(OR($AA$116="错误",COUNTIF($G$117:G403,"待修正")&gt;0),"错误","正常")</f>
        <v>正常</v>
      </c>
      <c r="AB403" s="14">
        <f t="shared" si="135"/>
        <v>2.7686</v>
      </c>
    </row>
    <row r="404" ht="23" customHeight="1" spans="1:28">
      <c r="A404" s="15"/>
      <c r="B404" s="16"/>
      <c r="C404" s="17"/>
      <c r="D404" s="18"/>
      <c r="E404" s="19" t="str">
        <f t="shared" si="116"/>
        <v/>
      </c>
      <c r="F404" s="18"/>
      <c r="G404" s="20" t="str">
        <f t="shared" si="117"/>
        <v/>
      </c>
      <c r="H404" s="21" t="str">
        <f t="shared" si="118"/>
        <v/>
      </c>
      <c r="I404" s="10" t="str">
        <f>IF(COUNTA(A404:D404,F404)=0,"",IF(NOT(ISNUMBER(A404)),"缺少有效净值日期",IF(OR(A404&lt;=0,A404&lt;&gt;INT(A404)),"净值日期无效",IF(OR(B404="转换转入",B404="现金分红"),"该类型需实际金额，五项录入不适用",IF(NOT(OR(OR(B404="买入",B404="定投"),B404="卖出",B404="红利再投")),"请选择交易类型",IF(NOT(ISNUMBER(C404)),"缺少成交净值",IF(C404&lt;=0,"成交净值须大于零",IF(NOT(ISNUMBER(D404)),"缺少确认份额",IF(D404&lt;=0,"确认份额须大于零",IF(NOT(ISNUMBER(F404)),"缺少手续费，无费用请填 0",IF(F404&lt;0,"手续费不能为负",IF(AA403="错误","前行待修正",IF(A404&lt;Z403,"日期需按成交顺序递增",IF(AND(B404="红利再投",F404&lt;&gt;0),"红利再投手续费应填 0",IF(AND(B404="红利再投",K403&lt;=0),"红利再投前须有持仓",IF(AND(B404="卖出",D404&gt;K403+0.000001),"卖出份额超过持仓",IF(AND(B404="卖出",F404&gt;=C404*D404),"赎回费不能达到赎回总额",IF(NOT(ISNUMBER(E404)),"自动金额未生成，请检查五项输入",IF(NOT(OR(持仓总览!$C$7="利润优先",持仓总览!$C$7="本金优先")),"请选择卖出分配模式","已计入")))))))))))))))))))</f>
        <v/>
      </c>
      <c r="J404" s="11">
        <f t="shared" si="119"/>
        <v>0</v>
      </c>
      <c r="K404" s="11">
        <f t="shared" si="124"/>
        <v>34284.43</v>
      </c>
      <c r="L404" s="11" t="str">
        <f t="shared" si="125"/>
        <v/>
      </c>
      <c r="M404" s="11" t="str">
        <f t="shared" si="126"/>
        <v/>
      </c>
      <c r="N404" s="11" t="str">
        <f>IF(I404="已计入",IF(AND(B404="卖出",持仓总览!$C$7="本金优先"),MAX(0,E404-Q403),IF(OR(B404="卖出",B404="现金分红"),MIN(E404,M404),0)),"")</f>
        <v/>
      </c>
      <c r="O404" s="11" t="str">
        <f t="shared" si="127"/>
        <v/>
      </c>
      <c r="P404" s="11" t="str">
        <f t="shared" si="128"/>
        <v/>
      </c>
      <c r="Q404" s="11">
        <f t="shared" si="129"/>
        <v>82516.01</v>
      </c>
      <c r="R404" s="11" t="str">
        <f t="shared" si="120"/>
        <v/>
      </c>
      <c r="S404" s="11" t="str">
        <f t="shared" si="121"/>
        <v/>
      </c>
      <c r="T404" s="12" t="str">
        <f t="shared" si="122"/>
        <v/>
      </c>
      <c r="U404" s="11">
        <f t="shared" si="130"/>
        <v>82516.01</v>
      </c>
      <c r="V404" s="11">
        <f t="shared" si="131"/>
        <v>0</v>
      </c>
      <c r="W404" s="11">
        <f t="shared" si="132"/>
        <v>0</v>
      </c>
      <c r="X404" s="11">
        <f t="shared" si="133"/>
        <v>0</v>
      </c>
      <c r="Y404" s="11" t="str">
        <f t="shared" si="123"/>
        <v/>
      </c>
      <c r="Z404" s="13">
        <f t="shared" si="134"/>
        <v>46247</v>
      </c>
      <c r="AA404" s="10" t="str">
        <f>IF(OR($AA$116="错误",COUNTIF($G$117:G404,"待修正")&gt;0),"错误","正常")</f>
        <v>正常</v>
      </c>
      <c r="AB404" s="14">
        <f t="shared" si="135"/>
        <v>2.7686</v>
      </c>
    </row>
    <row r="405" ht="23" customHeight="1" spans="1:28">
      <c r="A405" s="15"/>
      <c r="B405" s="16"/>
      <c r="C405" s="17"/>
      <c r="D405" s="18"/>
      <c r="E405" s="19" t="str">
        <f t="shared" si="116"/>
        <v/>
      </c>
      <c r="F405" s="18"/>
      <c r="G405" s="20" t="str">
        <f t="shared" si="117"/>
        <v/>
      </c>
      <c r="H405" s="21" t="str">
        <f t="shared" si="118"/>
        <v/>
      </c>
      <c r="I405" s="10" t="str">
        <f>IF(COUNTA(A405:D405,F405)=0,"",IF(NOT(ISNUMBER(A405)),"缺少有效净值日期",IF(OR(A405&lt;=0,A405&lt;&gt;INT(A405)),"净值日期无效",IF(OR(B405="转换转入",B405="现金分红"),"该类型需实际金额，五项录入不适用",IF(NOT(OR(OR(B405="买入",B405="定投"),B405="卖出",B405="红利再投")),"请选择交易类型",IF(NOT(ISNUMBER(C405)),"缺少成交净值",IF(C405&lt;=0,"成交净值须大于零",IF(NOT(ISNUMBER(D405)),"缺少确认份额",IF(D405&lt;=0,"确认份额须大于零",IF(NOT(ISNUMBER(F405)),"缺少手续费，无费用请填 0",IF(F405&lt;0,"手续费不能为负",IF(AA404="错误","前行待修正",IF(A405&lt;Z404,"日期需按成交顺序递增",IF(AND(B405="红利再投",F405&lt;&gt;0),"红利再投手续费应填 0",IF(AND(B405="红利再投",K404&lt;=0),"红利再投前须有持仓",IF(AND(B405="卖出",D405&gt;K404+0.000001),"卖出份额超过持仓",IF(AND(B405="卖出",F405&gt;=C405*D405),"赎回费不能达到赎回总额",IF(NOT(ISNUMBER(E405)),"自动金额未生成，请检查五项输入",IF(NOT(OR(持仓总览!$C$7="利润优先",持仓总览!$C$7="本金优先")),"请选择卖出分配模式","已计入")))))))))))))))))))</f>
        <v/>
      </c>
      <c r="J405" s="11">
        <f t="shared" si="119"/>
        <v>0</v>
      </c>
      <c r="K405" s="11">
        <f t="shared" si="124"/>
        <v>34284.43</v>
      </c>
      <c r="L405" s="11" t="str">
        <f t="shared" si="125"/>
        <v/>
      </c>
      <c r="M405" s="11" t="str">
        <f t="shared" si="126"/>
        <v/>
      </c>
      <c r="N405" s="11" t="str">
        <f>IF(I405="已计入",IF(AND(B405="卖出",持仓总览!$C$7="本金优先"),MAX(0,E405-Q404),IF(OR(B405="卖出",B405="现金分红"),MIN(E405,M405),0)),"")</f>
        <v/>
      </c>
      <c r="O405" s="11" t="str">
        <f t="shared" si="127"/>
        <v/>
      </c>
      <c r="P405" s="11" t="str">
        <f t="shared" si="128"/>
        <v/>
      </c>
      <c r="Q405" s="11">
        <f t="shared" si="129"/>
        <v>82516.01</v>
      </c>
      <c r="R405" s="11" t="str">
        <f t="shared" si="120"/>
        <v/>
      </c>
      <c r="S405" s="11" t="str">
        <f t="shared" si="121"/>
        <v/>
      </c>
      <c r="T405" s="12" t="str">
        <f t="shared" si="122"/>
        <v/>
      </c>
      <c r="U405" s="11">
        <f t="shared" si="130"/>
        <v>82516.01</v>
      </c>
      <c r="V405" s="11">
        <f t="shared" si="131"/>
        <v>0</v>
      </c>
      <c r="W405" s="11">
        <f t="shared" si="132"/>
        <v>0</v>
      </c>
      <c r="X405" s="11">
        <f t="shared" si="133"/>
        <v>0</v>
      </c>
      <c r="Y405" s="11" t="str">
        <f t="shared" si="123"/>
        <v/>
      </c>
      <c r="Z405" s="13">
        <f t="shared" si="134"/>
        <v>46247</v>
      </c>
      <c r="AA405" s="10" t="str">
        <f>IF(OR($AA$116="错误",COUNTIF($G$117:G405,"待修正")&gt;0),"错误","正常")</f>
        <v>正常</v>
      </c>
      <c r="AB405" s="14">
        <f t="shared" si="135"/>
        <v>2.7686</v>
      </c>
    </row>
    <row r="406" ht="23" customHeight="1" spans="1:28">
      <c r="A406" s="15"/>
      <c r="B406" s="16"/>
      <c r="C406" s="17"/>
      <c r="D406" s="18"/>
      <c r="E406" s="19" t="str">
        <f t="shared" si="116"/>
        <v/>
      </c>
      <c r="F406" s="18"/>
      <c r="G406" s="20" t="str">
        <f t="shared" si="117"/>
        <v/>
      </c>
      <c r="H406" s="21" t="str">
        <f t="shared" si="118"/>
        <v/>
      </c>
      <c r="I406" s="10" t="str">
        <f>IF(COUNTA(A406:D406,F406)=0,"",IF(NOT(ISNUMBER(A406)),"缺少有效净值日期",IF(OR(A406&lt;=0,A406&lt;&gt;INT(A406)),"净值日期无效",IF(OR(B406="转换转入",B406="现金分红"),"该类型需实际金额，五项录入不适用",IF(NOT(OR(OR(B406="买入",B406="定投"),B406="卖出",B406="红利再投")),"请选择交易类型",IF(NOT(ISNUMBER(C406)),"缺少成交净值",IF(C406&lt;=0,"成交净值须大于零",IF(NOT(ISNUMBER(D406)),"缺少确认份额",IF(D406&lt;=0,"确认份额须大于零",IF(NOT(ISNUMBER(F406)),"缺少手续费，无费用请填 0",IF(F406&lt;0,"手续费不能为负",IF(AA405="错误","前行待修正",IF(A406&lt;Z405,"日期需按成交顺序递增",IF(AND(B406="红利再投",F406&lt;&gt;0),"红利再投手续费应填 0",IF(AND(B406="红利再投",K405&lt;=0),"红利再投前须有持仓",IF(AND(B406="卖出",D406&gt;K405+0.000001),"卖出份额超过持仓",IF(AND(B406="卖出",F406&gt;=C406*D406),"赎回费不能达到赎回总额",IF(NOT(ISNUMBER(E406)),"自动金额未生成，请检查五项输入",IF(NOT(OR(持仓总览!$C$7="利润优先",持仓总览!$C$7="本金优先")),"请选择卖出分配模式","已计入")))))))))))))))))))</f>
        <v/>
      </c>
      <c r="J406" s="11">
        <f t="shared" si="119"/>
        <v>0</v>
      </c>
      <c r="K406" s="11">
        <f t="shared" si="124"/>
        <v>34284.43</v>
      </c>
      <c r="L406" s="11" t="str">
        <f t="shared" si="125"/>
        <v/>
      </c>
      <c r="M406" s="11" t="str">
        <f t="shared" si="126"/>
        <v/>
      </c>
      <c r="N406" s="11" t="str">
        <f>IF(I406="已计入",IF(AND(B406="卖出",持仓总览!$C$7="本金优先"),MAX(0,E406-Q405),IF(OR(B406="卖出",B406="现金分红"),MIN(E406,M406),0)),"")</f>
        <v/>
      </c>
      <c r="O406" s="11" t="str">
        <f t="shared" si="127"/>
        <v/>
      </c>
      <c r="P406" s="11" t="str">
        <f t="shared" si="128"/>
        <v/>
      </c>
      <c r="Q406" s="11">
        <f t="shared" si="129"/>
        <v>82516.01</v>
      </c>
      <c r="R406" s="11" t="str">
        <f t="shared" si="120"/>
        <v/>
      </c>
      <c r="S406" s="11" t="str">
        <f t="shared" si="121"/>
        <v/>
      </c>
      <c r="T406" s="12" t="str">
        <f t="shared" si="122"/>
        <v/>
      </c>
      <c r="U406" s="11">
        <f t="shared" si="130"/>
        <v>82516.01</v>
      </c>
      <c r="V406" s="11">
        <f t="shared" si="131"/>
        <v>0</v>
      </c>
      <c r="W406" s="11">
        <f t="shared" si="132"/>
        <v>0</v>
      </c>
      <c r="X406" s="11">
        <f t="shared" si="133"/>
        <v>0</v>
      </c>
      <c r="Y406" s="11" t="str">
        <f t="shared" si="123"/>
        <v/>
      </c>
      <c r="Z406" s="13">
        <f t="shared" si="134"/>
        <v>46247</v>
      </c>
      <c r="AA406" s="10" t="str">
        <f>IF(OR($AA$116="错误",COUNTIF($G$117:G406,"待修正")&gt;0),"错误","正常")</f>
        <v>正常</v>
      </c>
      <c r="AB406" s="14">
        <f t="shared" si="135"/>
        <v>2.7686</v>
      </c>
    </row>
    <row r="407" ht="23" customHeight="1" spans="1:28">
      <c r="A407" s="15"/>
      <c r="B407" s="16"/>
      <c r="C407" s="17"/>
      <c r="D407" s="18"/>
      <c r="E407" s="19" t="str">
        <f t="shared" si="116"/>
        <v/>
      </c>
      <c r="F407" s="18"/>
      <c r="G407" s="20" t="str">
        <f t="shared" si="117"/>
        <v/>
      </c>
      <c r="H407" s="21" t="str">
        <f t="shared" si="118"/>
        <v/>
      </c>
      <c r="I407" s="10" t="str">
        <f>IF(COUNTA(A407:D407,F407)=0,"",IF(NOT(ISNUMBER(A407)),"缺少有效净值日期",IF(OR(A407&lt;=0,A407&lt;&gt;INT(A407)),"净值日期无效",IF(OR(B407="转换转入",B407="现金分红"),"该类型需实际金额，五项录入不适用",IF(NOT(OR(OR(B407="买入",B407="定投"),B407="卖出",B407="红利再投")),"请选择交易类型",IF(NOT(ISNUMBER(C407)),"缺少成交净值",IF(C407&lt;=0,"成交净值须大于零",IF(NOT(ISNUMBER(D407)),"缺少确认份额",IF(D407&lt;=0,"确认份额须大于零",IF(NOT(ISNUMBER(F407)),"缺少手续费，无费用请填 0",IF(F407&lt;0,"手续费不能为负",IF(AA406="错误","前行待修正",IF(A407&lt;Z406,"日期需按成交顺序递增",IF(AND(B407="红利再投",F407&lt;&gt;0),"红利再投手续费应填 0",IF(AND(B407="红利再投",K406&lt;=0),"红利再投前须有持仓",IF(AND(B407="卖出",D407&gt;K406+0.000001),"卖出份额超过持仓",IF(AND(B407="卖出",F407&gt;=C407*D407),"赎回费不能达到赎回总额",IF(NOT(ISNUMBER(E407)),"自动金额未生成，请检查五项输入",IF(NOT(OR(持仓总览!$C$7="利润优先",持仓总览!$C$7="本金优先")),"请选择卖出分配模式","已计入")))))))))))))))))))</f>
        <v/>
      </c>
      <c r="J407" s="11">
        <f t="shared" si="119"/>
        <v>0</v>
      </c>
      <c r="K407" s="11">
        <f t="shared" si="124"/>
        <v>34284.43</v>
      </c>
      <c r="L407" s="11" t="str">
        <f t="shared" si="125"/>
        <v/>
      </c>
      <c r="M407" s="11" t="str">
        <f t="shared" si="126"/>
        <v/>
      </c>
      <c r="N407" s="11" t="str">
        <f>IF(I407="已计入",IF(AND(B407="卖出",持仓总览!$C$7="本金优先"),MAX(0,E407-Q406),IF(OR(B407="卖出",B407="现金分红"),MIN(E407,M407),0)),"")</f>
        <v/>
      </c>
      <c r="O407" s="11" t="str">
        <f t="shared" si="127"/>
        <v/>
      </c>
      <c r="P407" s="11" t="str">
        <f t="shared" si="128"/>
        <v/>
      </c>
      <c r="Q407" s="11">
        <f t="shared" si="129"/>
        <v>82516.01</v>
      </c>
      <c r="R407" s="11" t="str">
        <f t="shared" si="120"/>
        <v/>
      </c>
      <c r="S407" s="11" t="str">
        <f t="shared" si="121"/>
        <v/>
      </c>
      <c r="T407" s="12" t="str">
        <f t="shared" si="122"/>
        <v/>
      </c>
      <c r="U407" s="11">
        <f t="shared" si="130"/>
        <v>82516.01</v>
      </c>
      <c r="V407" s="11">
        <f t="shared" si="131"/>
        <v>0</v>
      </c>
      <c r="W407" s="11">
        <f t="shared" si="132"/>
        <v>0</v>
      </c>
      <c r="X407" s="11">
        <f t="shared" si="133"/>
        <v>0</v>
      </c>
      <c r="Y407" s="11" t="str">
        <f t="shared" si="123"/>
        <v/>
      </c>
      <c r="Z407" s="13">
        <f t="shared" si="134"/>
        <v>46247</v>
      </c>
      <c r="AA407" s="10" t="str">
        <f>IF(OR($AA$116="错误",COUNTIF($G$117:G407,"待修正")&gt;0),"错误","正常")</f>
        <v>正常</v>
      </c>
      <c r="AB407" s="14">
        <f t="shared" si="135"/>
        <v>2.7686</v>
      </c>
    </row>
    <row r="408" ht="23" customHeight="1" spans="1:28">
      <c r="A408" s="15"/>
      <c r="B408" s="16"/>
      <c r="C408" s="17"/>
      <c r="D408" s="18"/>
      <c r="E408" s="19" t="str">
        <f t="shared" si="116"/>
        <v/>
      </c>
      <c r="F408" s="18"/>
      <c r="G408" s="20" t="str">
        <f t="shared" si="117"/>
        <v/>
      </c>
      <c r="H408" s="21" t="str">
        <f t="shared" si="118"/>
        <v/>
      </c>
      <c r="I408" s="10" t="str">
        <f>IF(COUNTA(A408:D408,F408)=0,"",IF(NOT(ISNUMBER(A408)),"缺少有效净值日期",IF(OR(A408&lt;=0,A408&lt;&gt;INT(A408)),"净值日期无效",IF(OR(B408="转换转入",B408="现金分红"),"该类型需实际金额，五项录入不适用",IF(NOT(OR(OR(B408="买入",B408="定投"),B408="卖出",B408="红利再投")),"请选择交易类型",IF(NOT(ISNUMBER(C408)),"缺少成交净值",IF(C408&lt;=0,"成交净值须大于零",IF(NOT(ISNUMBER(D408)),"缺少确认份额",IF(D408&lt;=0,"确认份额须大于零",IF(NOT(ISNUMBER(F408)),"缺少手续费，无费用请填 0",IF(F408&lt;0,"手续费不能为负",IF(AA407="错误","前行待修正",IF(A408&lt;Z407,"日期需按成交顺序递增",IF(AND(B408="红利再投",F408&lt;&gt;0),"红利再投手续费应填 0",IF(AND(B408="红利再投",K407&lt;=0),"红利再投前须有持仓",IF(AND(B408="卖出",D408&gt;K407+0.000001),"卖出份额超过持仓",IF(AND(B408="卖出",F408&gt;=C408*D408),"赎回费不能达到赎回总额",IF(NOT(ISNUMBER(E408)),"自动金额未生成，请检查五项输入",IF(NOT(OR(持仓总览!$C$7="利润优先",持仓总览!$C$7="本金优先")),"请选择卖出分配模式","已计入")))))))))))))))))))</f>
        <v/>
      </c>
      <c r="J408" s="11">
        <f t="shared" si="119"/>
        <v>0</v>
      </c>
      <c r="K408" s="11">
        <f t="shared" si="124"/>
        <v>34284.43</v>
      </c>
      <c r="L408" s="11" t="str">
        <f t="shared" si="125"/>
        <v/>
      </c>
      <c r="M408" s="11" t="str">
        <f t="shared" si="126"/>
        <v/>
      </c>
      <c r="N408" s="11" t="str">
        <f>IF(I408="已计入",IF(AND(B408="卖出",持仓总览!$C$7="本金优先"),MAX(0,E408-Q407),IF(OR(B408="卖出",B408="现金分红"),MIN(E408,M408),0)),"")</f>
        <v/>
      </c>
      <c r="O408" s="11" t="str">
        <f t="shared" si="127"/>
        <v/>
      </c>
      <c r="P408" s="11" t="str">
        <f t="shared" si="128"/>
        <v/>
      </c>
      <c r="Q408" s="11">
        <f t="shared" si="129"/>
        <v>82516.01</v>
      </c>
      <c r="R408" s="11" t="str">
        <f t="shared" si="120"/>
        <v/>
      </c>
      <c r="S408" s="11" t="str">
        <f t="shared" si="121"/>
        <v/>
      </c>
      <c r="T408" s="12" t="str">
        <f t="shared" si="122"/>
        <v/>
      </c>
      <c r="U408" s="11">
        <f t="shared" si="130"/>
        <v>82516.01</v>
      </c>
      <c r="V408" s="11">
        <f t="shared" si="131"/>
        <v>0</v>
      </c>
      <c r="W408" s="11">
        <f t="shared" si="132"/>
        <v>0</v>
      </c>
      <c r="X408" s="11">
        <f t="shared" si="133"/>
        <v>0</v>
      </c>
      <c r="Y408" s="11" t="str">
        <f t="shared" si="123"/>
        <v/>
      </c>
      <c r="Z408" s="13">
        <f t="shared" si="134"/>
        <v>46247</v>
      </c>
      <c r="AA408" s="10" t="str">
        <f>IF(OR($AA$116="错误",COUNTIF($G$117:G408,"待修正")&gt;0),"错误","正常")</f>
        <v>正常</v>
      </c>
      <c r="AB408" s="14">
        <f t="shared" si="135"/>
        <v>2.7686</v>
      </c>
    </row>
    <row r="409" ht="23" customHeight="1" spans="1:28">
      <c r="A409" s="15"/>
      <c r="B409" s="16"/>
      <c r="C409" s="17"/>
      <c r="D409" s="18"/>
      <c r="E409" s="19" t="str">
        <f t="shared" si="116"/>
        <v/>
      </c>
      <c r="F409" s="18"/>
      <c r="G409" s="20" t="str">
        <f t="shared" si="117"/>
        <v/>
      </c>
      <c r="H409" s="21" t="str">
        <f t="shared" si="118"/>
        <v/>
      </c>
      <c r="I409" s="10" t="str">
        <f>IF(COUNTA(A409:D409,F409)=0,"",IF(NOT(ISNUMBER(A409)),"缺少有效净值日期",IF(OR(A409&lt;=0,A409&lt;&gt;INT(A409)),"净值日期无效",IF(OR(B409="转换转入",B409="现金分红"),"该类型需实际金额，五项录入不适用",IF(NOT(OR(OR(B409="买入",B409="定投"),B409="卖出",B409="红利再投")),"请选择交易类型",IF(NOT(ISNUMBER(C409)),"缺少成交净值",IF(C409&lt;=0,"成交净值须大于零",IF(NOT(ISNUMBER(D409)),"缺少确认份额",IF(D409&lt;=0,"确认份额须大于零",IF(NOT(ISNUMBER(F409)),"缺少手续费，无费用请填 0",IF(F409&lt;0,"手续费不能为负",IF(AA408="错误","前行待修正",IF(A409&lt;Z408,"日期需按成交顺序递增",IF(AND(B409="红利再投",F409&lt;&gt;0),"红利再投手续费应填 0",IF(AND(B409="红利再投",K408&lt;=0),"红利再投前须有持仓",IF(AND(B409="卖出",D409&gt;K408+0.000001),"卖出份额超过持仓",IF(AND(B409="卖出",F409&gt;=C409*D409),"赎回费不能达到赎回总额",IF(NOT(ISNUMBER(E409)),"自动金额未生成，请检查五项输入",IF(NOT(OR(持仓总览!$C$7="利润优先",持仓总览!$C$7="本金优先")),"请选择卖出分配模式","已计入")))))))))))))))))))</f>
        <v/>
      </c>
      <c r="J409" s="11">
        <f t="shared" si="119"/>
        <v>0</v>
      </c>
      <c r="K409" s="11">
        <f t="shared" si="124"/>
        <v>34284.43</v>
      </c>
      <c r="L409" s="11" t="str">
        <f t="shared" si="125"/>
        <v/>
      </c>
      <c r="M409" s="11" t="str">
        <f t="shared" si="126"/>
        <v/>
      </c>
      <c r="N409" s="11" t="str">
        <f>IF(I409="已计入",IF(AND(B409="卖出",持仓总览!$C$7="本金优先"),MAX(0,E409-Q408),IF(OR(B409="卖出",B409="现金分红"),MIN(E409,M409),0)),"")</f>
        <v/>
      </c>
      <c r="O409" s="11" t="str">
        <f t="shared" si="127"/>
        <v/>
      </c>
      <c r="P409" s="11" t="str">
        <f t="shared" si="128"/>
        <v/>
      </c>
      <c r="Q409" s="11">
        <f t="shared" si="129"/>
        <v>82516.01</v>
      </c>
      <c r="R409" s="11" t="str">
        <f t="shared" si="120"/>
        <v/>
      </c>
      <c r="S409" s="11" t="str">
        <f t="shared" si="121"/>
        <v/>
      </c>
      <c r="T409" s="12" t="str">
        <f t="shared" si="122"/>
        <v/>
      </c>
      <c r="U409" s="11">
        <f t="shared" si="130"/>
        <v>82516.01</v>
      </c>
      <c r="V409" s="11">
        <f t="shared" si="131"/>
        <v>0</v>
      </c>
      <c r="W409" s="11">
        <f t="shared" si="132"/>
        <v>0</v>
      </c>
      <c r="X409" s="11">
        <f t="shared" si="133"/>
        <v>0</v>
      </c>
      <c r="Y409" s="11" t="str">
        <f t="shared" si="123"/>
        <v/>
      </c>
      <c r="Z409" s="13">
        <f t="shared" si="134"/>
        <v>46247</v>
      </c>
      <c r="AA409" s="10" t="str">
        <f>IF(OR($AA$116="错误",COUNTIF($G$117:G409,"待修正")&gt;0),"错误","正常")</f>
        <v>正常</v>
      </c>
      <c r="AB409" s="14">
        <f t="shared" si="135"/>
        <v>2.7686</v>
      </c>
    </row>
    <row r="410" ht="23" customHeight="1" spans="1:28">
      <c r="A410" s="15"/>
      <c r="B410" s="16"/>
      <c r="C410" s="17"/>
      <c r="D410" s="18"/>
      <c r="E410" s="19" t="str">
        <f t="shared" si="116"/>
        <v/>
      </c>
      <c r="F410" s="18"/>
      <c r="G410" s="20" t="str">
        <f t="shared" si="117"/>
        <v/>
      </c>
      <c r="H410" s="21" t="str">
        <f t="shared" si="118"/>
        <v/>
      </c>
      <c r="I410" s="10" t="str">
        <f>IF(COUNTA(A410:D410,F410)=0,"",IF(NOT(ISNUMBER(A410)),"缺少有效净值日期",IF(OR(A410&lt;=0,A410&lt;&gt;INT(A410)),"净值日期无效",IF(OR(B410="转换转入",B410="现金分红"),"该类型需实际金额，五项录入不适用",IF(NOT(OR(OR(B410="买入",B410="定投"),B410="卖出",B410="红利再投")),"请选择交易类型",IF(NOT(ISNUMBER(C410)),"缺少成交净值",IF(C410&lt;=0,"成交净值须大于零",IF(NOT(ISNUMBER(D410)),"缺少确认份额",IF(D410&lt;=0,"确认份额须大于零",IF(NOT(ISNUMBER(F410)),"缺少手续费，无费用请填 0",IF(F410&lt;0,"手续费不能为负",IF(AA409="错误","前行待修正",IF(A410&lt;Z409,"日期需按成交顺序递增",IF(AND(B410="红利再投",F410&lt;&gt;0),"红利再投手续费应填 0",IF(AND(B410="红利再投",K409&lt;=0),"红利再投前须有持仓",IF(AND(B410="卖出",D410&gt;K409+0.000001),"卖出份额超过持仓",IF(AND(B410="卖出",F410&gt;=C410*D410),"赎回费不能达到赎回总额",IF(NOT(ISNUMBER(E410)),"自动金额未生成，请检查五项输入",IF(NOT(OR(持仓总览!$C$7="利润优先",持仓总览!$C$7="本金优先")),"请选择卖出分配模式","已计入")))))))))))))))))))</f>
        <v/>
      </c>
      <c r="J410" s="11">
        <f t="shared" si="119"/>
        <v>0</v>
      </c>
      <c r="K410" s="11">
        <f t="shared" si="124"/>
        <v>34284.43</v>
      </c>
      <c r="L410" s="11" t="str">
        <f t="shared" si="125"/>
        <v/>
      </c>
      <c r="M410" s="11" t="str">
        <f t="shared" si="126"/>
        <v/>
      </c>
      <c r="N410" s="11" t="str">
        <f>IF(I410="已计入",IF(AND(B410="卖出",持仓总览!$C$7="本金优先"),MAX(0,E410-Q409),IF(OR(B410="卖出",B410="现金分红"),MIN(E410,M410),0)),"")</f>
        <v/>
      </c>
      <c r="O410" s="11" t="str">
        <f t="shared" si="127"/>
        <v/>
      </c>
      <c r="P410" s="11" t="str">
        <f t="shared" si="128"/>
        <v/>
      </c>
      <c r="Q410" s="11">
        <f t="shared" si="129"/>
        <v>82516.01</v>
      </c>
      <c r="R410" s="11" t="str">
        <f t="shared" si="120"/>
        <v/>
      </c>
      <c r="S410" s="11" t="str">
        <f t="shared" si="121"/>
        <v/>
      </c>
      <c r="T410" s="12" t="str">
        <f t="shared" si="122"/>
        <v/>
      </c>
      <c r="U410" s="11">
        <f t="shared" si="130"/>
        <v>82516.01</v>
      </c>
      <c r="V410" s="11">
        <f t="shared" si="131"/>
        <v>0</v>
      </c>
      <c r="W410" s="11">
        <f t="shared" si="132"/>
        <v>0</v>
      </c>
      <c r="X410" s="11">
        <f t="shared" si="133"/>
        <v>0</v>
      </c>
      <c r="Y410" s="11" t="str">
        <f t="shared" si="123"/>
        <v/>
      </c>
      <c r="Z410" s="13">
        <f t="shared" si="134"/>
        <v>46247</v>
      </c>
      <c r="AA410" s="10" t="str">
        <f>IF(OR($AA$116="错误",COUNTIF($G$117:G410,"待修正")&gt;0),"错误","正常")</f>
        <v>正常</v>
      </c>
      <c r="AB410" s="14">
        <f t="shared" si="135"/>
        <v>2.7686</v>
      </c>
    </row>
    <row r="411" ht="23" customHeight="1" spans="1:28">
      <c r="A411" s="15"/>
      <c r="B411" s="16"/>
      <c r="C411" s="17"/>
      <c r="D411" s="18"/>
      <c r="E411" s="19" t="str">
        <f t="shared" si="116"/>
        <v/>
      </c>
      <c r="F411" s="18"/>
      <c r="G411" s="20" t="str">
        <f t="shared" si="117"/>
        <v/>
      </c>
      <c r="H411" s="21" t="str">
        <f t="shared" si="118"/>
        <v/>
      </c>
      <c r="I411" s="10" t="str">
        <f>IF(COUNTA(A411:D411,F411)=0,"",IF(NOT(ISNUMBER(A411)),"缺少有效净值日期",IF(OR(A411&lt;=0,A411&lt;&gt;INT(A411)),"净值日期无效",IF(OR(B411="转换转入",B411="现金分红"),"该类型需实际金额，五项录入不适用",IF(NOT(OR(OR(B411="买入",B411="定投"),B411="卖出",B411="红利再投")),"请选择交易类型",IF(NOT(ISNUMBER(C411)),"缺少成交净值",IF(C411&lt;=0,"成交净值须大于零",IF(NOT(ISNUMBER(D411)),"缺少确认份额",IF(D411&lt;=0,"确认份额须大于零",IF(NOT(ISNUMBER(F411)),"缺少手续费，无费用请填 0",IF(F411&lt;0,"手续费不能为负",IF(AA410="错误","前行待修正",IF(A411&lt;Z410,"日期需按成交顺序递增",IF(AND(B411="红利再投",F411&lt;&gt;0),"红利再投手续费应填 0",IF(AND(B411="红利再投",K410&lt;=0),"红利再投前须有持仓",IF(AND(B411="卖出",D411&gt;K410+0.000001),"卖出份额超过持仓",IF(AND(B411="卖出",F411&gt;=C411*D411),"赎回费不能达到赎回总额",IF(NOT(ISNUMBER(E411)),"自动金额未生成，请检查五项输入",IF(NOT(OR(持仓总览!$C$7="利润优先",持仓总览!$C$7="本金优先")),"请选择卖出分配模式","已计入")))))))))))))))))))</f>
        <v/>
      </c>
      <c r="J411" s="11">
        <f t="shared" si="119"/>
        <v>0</v>
      </c>
      <c r="K411" s="11">
        <f t="shared" si="124"/>
        <v>34284.43</v>
      </c>
      <c r="L411" s="11" t="str">
        <f t="shared" si="125"/>
        <v/>
      </c>
      <c r="M411" s="11" t="str">
        <f t="shared" si="126"/>
        <v/>
      </c>
      <c r="N411" s="11" t="str">
        <f>IF(I411="已计入",IF(AND(B411="卖出",持仓总览!$C$7="本金优先"),MAX(0,E411-Q410),IF(OR(B411="卖出",B411="现金分红"),MIN(E411,M411),0)),"")</f>
        <v/>
      </c>
      <c r="O411" s="11" t="str">
        <f t="shared" si="127"/>
        <v/>
      </c>
      <c r="P411" s="11" t="str">
        <f t="shared" si="128"/>
        <v/>
      </c>
      <c r="Q411" s="11">
        <f t="shared" si="129"/>
        <v>82516.01</v>
      </c>
      <c r="R411" s="11" t="str">
        <f t="shared" si="120"/>
        <v/>
      </c>
      <c r="S411" s="11" t="str">
        <f t="shared" si="121"/>
        <v/>
      </c>
      <c r="T411" s="12" t="str">
        <f t="shared" si="122"/>
        <v/>
      </c>
      <c r="U411" s="11">
        <f t="shared" si="130"/>
        <v>82516.01</v>
      </c>
      <c r="V411" s="11">
        <f t="shared" si="131"/>
        <v>0</v>
      </c>
      <c r="W411" s="11">
        <f t="shared" si="132"/>
        <v>0</v>
      </c>
      <c r="X411" s="11">
        <f t="shared" si="133"/>
        <v>0</v>
      </c>
      <c r="Y411" s="11" t="str">
        <f t="shared" si="123"/>
        <v/>
      </c>
      <c r="Z411" s="13">
        <f t="shared" si="134"/>
        <v>46247</v>
      </c>
      <c r="AA411" s="10" t="str">
        <f>IF(OR($AA$116="错误",COUNTIF($G$117:G411,"待修正")&gt;0),"错误","正常")</f>
        <v>正常</v>
      </c>
      <c r="AB411" s="14">
        <f t="shared" si="135"/>
        <v>2.7686</v>
      </c>
    </row>
    <row r="412" ht="23" customHeight="1" spans="1:28">
      <c r="A412" s="15"/>
      <c r="B412" s="16"/>
      <c r="C412" s="17"/>
      <c r="D412" s="18"/>
      <c r="E412" s="19" t="str">
        <f t="shared" si="116"/>
        <v/>
      </c>
      <c r="F412" s="18"/>
      <c r="G412" s="20" t="str">
        <f t="shared" si="117"/>
        <v/>
      </c>
      <c r="H412" s="21" t="str">
        <f t="shared" si="118"/>
        <v/>
      </c>
      <c r="I412" s="10" t="str">
        <f>IF(COUNTA(A412:D412,F412)=0,"",IF(NOT(ISNUMBER(A412)),"缺少有效净值日期",IF(OR(A412&lt;=0,A412&lt;&gt;INT(A412)),"净值日期无效",IF(OR(B412="转换转入",B412="现金分红"),"该类型需实际金额，五项录入不适用",IF(NOT(OR(OR(B412="买入",B412="定投"),B412="卖出",B412="红利再投")),"请选择交易类型",IF(NOT(ISNUMBER(C412)),"缺少成交净值",IF(C412&lt;=0,"成交净值须大于零",IF(NOT(ISNUMBER(D412)),"缺少确认份额",IF(D412&lt;=0,"确认份额须大于零",IF(NOT(ISNUMBER(F412)),"缺少手续费，无费用请填 0",IF(F412&lt;0,"手续费不能为负",IF(AA411="错误","前行待修正",IF(A412&lt;Z411,"日期需按成交顺序递增",IF(AND(B412="红利再投",F412&lt;&gt;0),"红利再投手续费应填 0",IF(AND(B412="红利再投",K411&lt;=0),"红利再投前须有持仓",IF(AND(B412="卖出",D412&gt;K411+0.000001),"卖出份额超过持仓",IF(AND(B412="卖出",F412&gt;=C412*D412),"赎回费不能达到赎回总额",IF(NOT(ISNUMBER(E412)),"自动金额未生成，请检查五项输入",IF(NOT(OR(持仓总览!$C$7="利润优先",持仓总览!$C$7="本金优先")),"请选择卖出分配模式","已计入")))))))))))))))))))</f>
        <v/>
      </c>
      <c r="J412" s="11">
        <f t="shared" si="119"/>
        <v>0</v>
      </c>
      <c r="K412" s="11">
        <f t="shared" si="124"/>
        <v>34284.43</v>
      </c>
      <c r="L412" s="11" t="str">
        <f t="shared" si="125"/>
        <v/>
      </c>
      <c r="M412" s="11" t="str">
        <f t="shared" si="126"/>
        <v/>
      </c>
      <c r="N412" s="11" t="str">
        <f>IF(I412="已计入",IF(AND(B412="卖出",持仓总览!$C$7="本金优先"),MAX(0,E412-Q411),IF(OR(B412="卖出",B412="现金分红"),MIN(E412,M412),0)),"")</f>
        <v/>
      </c>
      <c r="O412" s="11" t="str">
        <f t="shared" si="127"/>
        <v/>
      </c>
      <c r="P412" s="11" t="str">
        <f t="shared" si="128"/>
        <v/>
      </c>
      <c r="Q412" s="11">
        <f t="shared" si="129"/>
        <v>82516.01</v>
      </c>
      <c r="R412" s="11" t="str">
        <f t="shared" si="120"/>
        <v/>
      </c>
      <c r="S412" s="11" t="str">
        <f t="shared" si="121"/>
        <v/>
      </c>
      <c r="T412" s="12" t="str">
        <f t="shared" si="122"/>
        <v/>
      </c>
      <c r="U412" s="11">
        <f t="shared" si="130"/>
        <v>82516.01</v>
      </c>
      <c r="V412" s="11">
        <f t="shared" si="131"/>
        <v>0</v>
      </c>
      <c r="W412" s="11">
        <f t="shared" si="132"/>
        <v>0</v>
      </c>
      <c r="X412" s="11">
        <f t="shared" si="133"/>
        <v>0</v>
      </c>
      <c r="Y412" s="11" t="str">
        <f t="shared" si="123"/>
        <v/>
      </c>
      <c r="Z412" s="13">
        <f t="shared" si="134"/>
        <v>46247</v>
      </c>
      <c r="AA412" s="10" t="str">
        <f>IF(OR($AA$116="错误",COUNTIF($G$117:G412,"待修正")&gt;0),"错误","正常")</f>
        <v>正常</v>
      </c>
      <c r="AB412" s="14">
        <f t="shared" si="135"/>
        <v>2.7686</v>
      </c>
    </row>
    <row r="413" ht="23" customHeight="1" spans="1:28">
      <c r="A413" s="15"/>
      <c r="B413" s="16"/>
      <c r="C413" s="17"/>
      <c r="D413" s="18"/>
      <c r="E413" s="19" t="str">
        <f t="shared" si="116"/>
        <v/>
      </c>
      <c r="F413" s="18"/>
      <c r="G413" s="20" t="str">
        <f t="shared" si="117"/>
        <v/>
      </c>
      <c r="H413" s="21" t="str">
        <f t="shared" si="118"/>
        <v/>
      </c>
      <c r="I413" s="10" t="str">
        <f>IF(COUNTA(A413:D413,F413)=0,"",IF(NOT(ISNUMBER(A413)),"缺少有效净值日期",IF(OR(A413&lt;=0,A413&lt;&gt;INT(A413)),"净值日期无效",IF(OR(B413="转换转入",B413="现金分红"),"该类型需实际金额，五项录入不适用",IF(NOT(OR(OR(B413="买入",B413="定投"),B413="卖出",B413="红利再投")),"请选择交易类型",IF(NOT(ISNUMBER(C413)),"缺少成交净值",IF(C413&lt;=0,"成交净值须大于零",IF(NOT(ISNUMBER(D413)),"缺少确认份额",IF(D413&lt;=0,"确认份额须大于零",IF(NOT(ISNUMBER(F413)),"缺少手续费，无费用请填 0",IF(F413&lt;0,"手续费不能为负",IF(AA412="错误","前行待修正",IF(A413&lt;Z412,"日期需按成交顺序递增",IF(AND(B413="红利再投",F413&lt;&gt;0),"红利再投手续费应填 0",IF(AND(B413="红利再投",K412&lt;=0),"红利再投前须有持仓",IF(AND(B413="卖出",D413&gt;K412+0.000001),"卖出份额超过持仓",IF(AND(B413="卖出",F413&gt;=C413*D413),"赎回费不能达到赎回总额",IF(NOT(ISNUMBER(E413)),"自动金额未生成，请检查五项输入",IF(NOT(OR(持仓总览!$C$7="利润优先",持仓总览!$C$7="本金优先")),"请选择卖出分配模式","已计入")))))))))))))))))))</f>
        <v/>
      </c>
      <c r="J413" s="11">
        <f t="shared" si="119"/>
        <v>0</v>
      </c>
      <c r="K413" s="11">
        <f t="shared" si="124"/>
        <v>34284.43</v>
      </c>
      <c r="L413" s="11" t="str">
        <f t="shared" si="125"/>
        <v/>
      </c>
      <c r="M413" s="11" t="str">
        <f t="shared" si="126"/>
        <v/>
      </c>
      <c r="N413" s="11" t="str">
        <f>IF(I413="已计入",IF(AND(B413="卖出",持仓总览!$C$7="本金优先"),MAX(0,E413-Q412),IF(OR(B413="卖出",B413="现金分红"),MIN(E413,M413),0)),"")</f>
        <v/>
      </c>
      <c r="O413" s="11" t="str">
        <f t="shared" si="127"/>
        <v/>
      </c>
      <c r="P413" s="11" t="str">
        <f t="shared" si="128"/>
        <v/>
      </c>
      <c r="Q413" s="11">
        <f t="shared" si="129"/>
        <v>82516.01</v>
      </c>
      <c r="R413" s="11" t="str">
        <f t="shared" si="120"/>
        <v/>
      </c>
      <c r="S413" s="11" t="str">
        <f t="shared" si="121"/>
        <v/>
      </c>
      <c r="T413" s="12" t="str">
        <f t="shared" si="122"/>
        <v/>
      </c>
      <c r="U413" s="11">
        <f t="shared" si="130"/>
        <v>82516.01</v>
      </c>
      <c r="V413" s="11">
        <f t="shared" si="131"/>
        <v>0</v>
      </c>
      <c r="W413" s="11">
        <f t="shared" si="132"/>
        <v>0</v>
      </c>
      <c r="X413" s="11">
        <f t="shared" si="133"/>
        <v>0</v>
      </c>
      <c r="Y413" s="11" t="str">
        <f t="shared" si="123"/>
        <v/>
      </c>
      <c r="Z413" s="13">
        <f t="shared" si="134"/>
        <v>46247</v>
      </c>
      <c r="AA413" s="10" t="str">
        <f>IF(OR($AA$116="错误",COUNTIF($G$117:G413,"待修正")&gt;0),"错误","正常")</f>
        <v>正常</v>
      </c>
      <c r="AB413" s="14">
        <f t="shared" si="135"/>
        <v>2.7686</v>
      </c>
    </row>
    <row r="414" ht="23" customHeight="1" spans="1:28">
      <c r="A414" s="15"/>
      <c r="B414" s="16"/>
      <c r="C414" s="17"/>
      <c r="D414" s="18"/>
      <c r="E414" s="19" t="str">
        <f t="shared" si="116"/>
        <v/>
      </c>
      <c r="F414" s="18"/>
      <c r="G414" s="20" t="str">
        <f t="shared" si="117"/>
        <v/>
      </c>
      <c r="H414" s="21" t="str">
        <f t="shared" si="118"/>
        <v/>
      </c>
      <c r="I414" s="10" t="str">
        <f>IF(COUNTA(A414:D414,F414)=0,"",IF(NOT(ISNUMBER(A414)),"缺少有效净值日期",IF(OR(A414&lt;=0,A414&lt;&gt;INT(A414)),"净值日期无效",IF(OR(B414="转换转入",B414="现金分红"),"该类型需实际金额，五项录入不适用",IF(NOT(OR(OR(B414="买入",B414="定投"),B414="卖出",B414="红利再投")),"请选择交易类型",IF(NOT(ISNUMBER(C414)),"缺少成交净值",IF(C414&lt;=0,"成交净值须大于零",IF(NOT(ISNUMBER(D414)),"缺少确认份额",IF(D414&lt;=0,"确认份额须大于零",IF(NOT(ISNUMBER(F414)),"缺少手续费，无费用请填 0",IF(F414&lt;0,"手续费不能为负",IF(AA413="错误","前行待修正",IF(A414&lt;Z413,"日期需按成交顺序递增",IF(AND(B414="红利再投",F414&lt;&gt;0),"红利再投手续费应填 0",IF(AND(B414="红利再投",K413&lt;=0),"红利再投前须有持仓",IF(AND(B414="卖出",D414&gt;K413+0.000001),"卖出份额超过持仓",IF(AND(B414="卖出",F414&gt;=C414*D414),"赎回费不能达到赎回总额",IF(NOT(ISNUMBER(E414)),"自动金额未生成，请检查五项输入",IF(NOT(OR(持仓总览!$C$7="利润优先",持仓总览!$C$7="本金优先")),"请选择卖出分配模式","已计入")))))))))))))))))))</f>
        <v/>
      </c>
      <c r="J414" s="11">
        <f t="shared" si="119"/>
        <v>0</v>
      </c>
      <c r="K414" s="11">
        <f t="shared" si="124"/>
        <v>34284.43</v>
      </c>
      <c r="L414" s="11" t="str">
        <f t="shared" si="125"/>
        <v/>
      </c>
      <c r="M414" s="11" t="str">
        <f t="shared" si="126"/>
        <v/>
      </c>
      <c r="N414" s="11" t="str">
        <f>IF(I414="已计入",IF(AND(B414="卖出",持仓总览!$C$7="本金优先"),MAX(0,E414-Q413),IF(OR(B414="卖出",B414="现金分红"),MIN(E414,M414),0)),"")</f>
        <v/>
      </c>
      <c r="O414" s="11" t="str">
        <f t="shared" si="127"/>
        <v/>
      </c>
      <c r="P414" s="11" t="str">
        <f t="shared" si="128"/>
        <v/>
      </c>
      <c r="Q414" s="11">
        <f t="shared" si="129"/>
        <v>82516.01</v>
      </c>
      <c r="R414" s="11" t="str">
        <f t="shared" si="120"/>
        <v/>
      </c>
      <c r="S414" s="11" t="str">
        <f t="shared" si="121"/>
        <v/>
      </c>
      <c r="T414" s="12" t="str">
        <f t="shared" si="122"/>
        <v/>
      </c>
      <c r="U414" s="11">
        <f t="shared" si="130"/>
        <v>82516.01</v>
      </c>
      <c r="V414" s="11">
        <f t="shared" si="131"/>
        <v>0</v>
      </c>
      <c r="W414" s="11">
        <f t="shared" si="132"/>
        <v>0</v>
      </c>
      <c r="X414" s="11">
        <f t="shared" si="133"/>
        <v>0</v>
      </c>
      <c r="Y414" s="11" t="str">
        <f t="shared" si="123"/>
        <v/>
      </c>
      <c r="Z414" s="13">
        <f t="shared" si="134"/>
        <v>46247</v>
      </c>
      <c r="AA414" s="10" t="str">
        <f>IF(OR($AA$116="错误",COUNTIF($G$117:G414,"待修正")&gt;0),"错误","正常")</f>
        <v>正常</v>
      </c>
      <c r="AB414" s="14">
        <f t="shared" si="135"/>
        <v>2.7686</v>
      </c>
    </row>
    <row r="415" ht="23" customHeight="1" spans="1:28">
      <c r="A415" s="15"/>
      <c r="B415" s="16"/>
      <c r="C415" s="17"/>
      <c r="D415" s="18"/>
      <c r="E415" s="19" t="str">
        <f t="shared" si="116"/>
        <v/>
      </c>
      <c r="F415" s="18"/>
      <c r="G415" s="20" t="str">
        <f t="shared" si="117"/>
        <v/>
      </c>
      <c r="H415" s="21" t="str">
        <f t="shared" si="118"/>
        <v/>
      </c>
      <c r="I415" s="10" t="str">
        <f>IF(COUNTA(A415:D415,F415)=0,"",IF(NOT(ISNUMBER(A415)),"缺少有效净值日期",IF(OR(A415&lt;=0,A415&lt;&gt;INT(A415)),"净值日期无效",IF(OR(B415="转换转入",B415="现金分红"),"该类型需实际金额，五项录入不适用",IF(NOT(OR(OR(B415="买入",B415="定投"),B415="卖出",B415="红利再投")),"请选择交易类型",IF(NOT(ISNUMBER(C415)),"缺少成交净值",IF(C415&lt;=0,"成交净值须大于零",IF(NOT(ISNUMBER(D415)),"缺少确认份额",IF(D415&lt;=0,"确认份额须大于零",IF(NOT(ISNUMBER(F415)),"缺少手续费，无费用请填 0",IF(F415&lt;0,"手续费不能为负",IF(AA414="错误","前行待修正",IF(A415&lt;Z414,"日期需按成交顺序递增",IF(AND(B415="红利再投",F415&lt;&gt;0),"红利再投手续费应填 0",IF(AND(B415="红利再投",K414&lt;=0),"红利再投前须有持仓",IF(AND(B415="卖出",D415&gt;K414+0.000001),"卖出份额超过持仓",IF(AND(B415="卖出",F415&gt;=C415*D415),"赎回费不能达到赎回总额",IF(NOT(ISNUMBER(E415)),"自动金额未生成，请检查五项输入",IF(NOT(OR(持仓总览!$C$7="利润优先",持仓总览!$C$7="本金优先")),"请选择卖出分配模式","已计入")))))))))))))))))))</f>
        <v/>
      </c>
      <c r="J415" s="11">
        <f t="shared" si="119"/>
        <v>0</v>
      </c>
      <c r="K415" s="11">
        <f t="shared" si="124"/>
        <v>34284.43</v>
      </c>
      <c r="L415" s="11" t="str">
        <f t="shared" si="125"/>
        <v/>
      </c>
      <c r="M415" s="11" t="str">
        <f t="shared" si="126"/>
        <v/>
      </c>
      <c r="N415" s="11" t="str">
        <f>IF(I415="已计入",IF(AND(B415="卖出",持仓总览!$C$7="本金优先"),MAX(0,E415-Q414),IF(OR(B415="卖出",B415="现金分红"),MIN(E415,M415),0)),"")</f>
        <v/>
      </c>
      <c r="O415" s="11" t="str">
        <f t="shared" si="127"/>
        <v/>
      </c>
      <c r="P415" s="11" t="str">
        <f t="shared" si="128"/>
        <v/>
      </c>
      <c r="Q415" s="11">
        <f t="shared" si="129"/>
        <v>82516.01</v>
      </c>
      <c r="R415" s="11" t="str">
        <f t="shared" si="120"/>
        <v/>
      </c>
      <c r="S415" s="11" t="str">
        <f t="shared" si="121"/>
        <v/>
      </c>
      <c r="T415" s="12" t="str">
        <f t="shared" si="122"/>
        <v/>
      </c>
      <c r="U415" s="11">
        <f t="shared" si="130"/>
        <v>82516.01</v>
      </c>
      <c r="V415" s="11">
        <f t="shared" si="131"/>
        <v>0</v>
      </c>
      <c r="W415" s="11">
        <f t="shared" si="132"/>
        <v>0</v>
      </c>
      <c r="X415" s="11">
        <f t="shared" si="133"/>
        <v>0</v>
      </c>
      <c r="Y415" s="11" t="str">
        <f t="shared" si="123"/>
        <v/>
      </c>
      <c r="Z415" s="13">
        <f t="shared" si="134"/>
        <v>46247</v>
      </c>
      <c r="AA415" s="10" t="str">
        <f>IF(OR($AA$116="错误",COUNTIF($G$117:G415,"待修正")&gt;0),"错误","正常")</f>
        <v>正常</v>
      </c>
      <c r="AB415" s="14">
        <f t="shared" si="135"/>
        <v>2.7686</v>
      </c>
    </row>
    <row r="416" ht="23" customHeight="1" spans="1:28">
      <c r="A416" s="15"/>
      <c r="B416" s="16"/>
      <c r="C416" s="17"/>
      <c r="D416" s="18"/>
      <c r="E416" s="19" t="str">
        <f t="shared" si="116"/>
        <v/>
      </c>
      <c r="F416" s="18"/>
      <c r="G416" s="20" t="str">
        <f t="shared" si="117"/>
        <v/>
      </c>
      <c r="H416" s="21" t="str">
        <f t="shared" si="118"/>
        <v/>
      </c>
      <c r="I416" s="10" t="str">
        <f>IF(COUNTA(A416:D416,F416)=0,"",IF(NOT(ISNUMBER(A416)),"缺少有效净值日期",IF(OR(A416&lt;=0,A416&lt;&gt;INT(A416)),"净值日期无效",IF(OR(B416="转换转入",B416="现金分红"),"该类型需实际金额，五项录入不适用",IF(NOT(OR(OR(B416="买入",B416="定投"),B416="卖出",B416="红利再投")),"请选择交易类型",IF(NOT(ISNUMBER(C416)),"缺少成交净值",IF(C416&lt;=0,"成交净值须大于零",IF(NOT(ISNUMBER(D416)),"缺少确认份额",IF(D416&lt;=0,"确认份额须大于零",IF(NOT(ISNUMBER(F416)),"缺少手续费，无费用请填 0",IF(F416&lt;0,"手续费不能为负",IF(AA415="错误","前行待修正",IF(A416&lt;Z415,"日期需按成交顺序递增",IF(AND(B416="红利再投",F416&lt;&gt;0),"红利再投手续费应填 0",IF(AND(B416="红利再投",K415&lt;=0),"红利再投前须有持仓",IF(AND(B416="卖出",D416&gt;K415+0.000001),"卖出份额超过持仓",IF(AND(B416="卖出",F416&gt;=C416*D416),"赎回费不能达到赎回总额",IF(NOT(ISNUMBER(E416)),"自动金额未生成，请检查五项输入",IF(NOT(OR(持仓总览!$C$7="利润优先",持仓总览!$C$7="本金优先")),"请选择卖出分配模式","已计入")))))))))))))))))))</f>
        <v/>
      </c>
      <c r="J416" s="11">
        <f t="shared" si="119"/>
        <v>0</v>
      </c>
      <c r="K416" s="11">
        <f t="shared" si="124"/>
        <v>34284.43</v>
      </c>
      <c r="L416" s="11" t="str">
        <f t="shared" si="125"/>
        <v/>
      </c>
      <c r="M416" s="11" t="str">
        <f t="shared" si="126"/>
        <v/>
      </c>
      <c r="N416" s="11" t="str">
        <f>IF(I416="已计入",IF(AND(B416="卖出",持仓总览!$C$7="本金优先"),MAX(0,E416-Q415),IF(OR(B416="卖出",B416="现金分红"),MIN(E416,M416),0)),"")</f>
        <v/>
      </c>
      <c r="O416" s="11" t="str">
        <f t="shared" si="127"/>
        <v/>
      </c>
      <c r="P416" s="11" t="str">
        <f t="shared" si="128"/>
        <v/>
      </c>
      <c r="Q416" s="11">
        <f t="shared" si="129"/>
        <v>82516.01</v>
      </c>
      <c r="R416" s="11" t="str">
        <f t="shared" si="120"/>
        <v/>
      </c>
      <c r="S416" s="11" t="str">
        <f t="shared" si="121"/>
        <v/>
      </c>
      <c r="T416" s="12" t="str">
        <f t="shared" si="122"/>
        <v/>
      </c>
      <c r="U416" s="11">
        <f t="shared" si="130"/>
        <v>82516.01</v>
      </c>
      <c r="V416" s="11">
        <f t="shared" si="131"/>
        <v>0</v>
      </c>
      <c r="W416" s="11">
        <f t="shared" si="132"/>
        <v>0</v>
      </c>
      <c r="X416" s="11">
        <f t="shared" si="133"/>
        <v>0</v>
      </c>
      <c r="Y416" s="11" t="str">
        <f t="shared" si="123"/>
        <v/>
      </c>
      <c r="Z416" s="13">
        <f t="shared" si="134"/>
        <v>46247</v>
      </c>
      <c r="AA416" s="10" t="str">
        <f>IF(OR($AA$116="错误",COUNTIF($G$117:G416,"待修正")&gt;0),"错误","正常")</f>
        <v>正常</v>
      </c>
      <c r="AB416" s="14">
        <f t="shared" si="135"/>
        <v>2.7686</v>
      </c>
    </row>
    <row r="417" ht="23" customHeight="1" spans="1:28">
      <c r="A417" s="15"/>
      <c r="B417" s="16"/>
      <c r="C417" s="17"/>
      <c r="D417" s="18"/>
      <c r="E417" s="19" t="str">
        <f t="shared" si="116"/>
        <v/>
      </c>
      <c r="F417" s="18"/>
      <c r="G417" s="20" t="str">
        <f t="shared" si="117"/>
        <v/>
      </c>
      <c r="H417" s="21" t="str">
        <f t="shared" si="118"/>
        <v/>
      </c>
      <c r="I417" s="10" t="str">
        <f>IF(COUNTA(A417:D417,F417)=0,"",IF(NOT(ISNUMBER(A417)),"缺少有效净值日期",IF(OR(A417&lt;=0,A417&lt;&gt;INT(A417)),"净值日期无效",IF(OR(B417="转换转入",B417="现金分红"),"该类型需实际金额，五项录入不适用",IF(NOT(OR(OR(B417="买入",B417="定投"),B417="卖出",B417="红利再投")),"请选择交易类型",IF(NOT(ISNUMBER(C417)),"缺少成交净值",IF(C417&lt;=0,"成交净值须大于零",IF(NOT(ISNUMBER(D417)),"缺少确认份额",IF(D417&lt;=0,"确认份额须大于零",IF(NOT(ISNUMBER(F417)),"缺少手续费，无费用请填 0",IF(F417&lt;0,"手续费不能为负",IF(AA416="错误","前行待修正",IF(A417&lt;Z416,"日期需按成交顺序递增",IF(AND(B417="红利再投",F417&lt;&gt;0),"红利再投手续费应填 0",IF(AND(B417="红利再投",K416&lt;=0),"红利再投前须有持仓",IF(AND(B417="卖出",D417&gt;K416+0.000001),"卖出份额超过持仓",IF(AND(B417="卖出",F417&gt;=C417*D417),"赎回费不能达到赎回总额",IF(NOT(ISNUMBER(E417)),"自动金额未生成，请检查五项输入",IF(NOT(OR(持仓总览!$C$7="利润优先",持仓总览!$C$7="本金优先")),"请选择卖出分配模式","已计入")))))))))))))))))))</f>
        <v/>
      </c>
      <c r="J417" s="11">
        <f t="shared" si="119"/>
        <v>0</v>
      </c>
      <c r="K417" s="11">
        <f t="shared" si="124"/>
        <v>34284.43</v>
      </c>
      <c r="L417" s="11" t="str">
        <f t="shared" si="125"/>
        <v/>
      </c>
      <c r="M417" s="11" t="str">
        <f t="shared" si="126"/>
        <v/>
      </c>
      <c r="N417" s="11" t="str">
        <f>IF(I417="已计入",IF(AND(B417="卖出",持仓总览!$C$7="本金优先"),MAX(0,E417-Q416),IF(OR(B417="卖出",B417="现金分红"),MIN(E417,M417),0)),"")</f>
        <v/>
      </c>
      <c r="O417" s="11" t="str">
        <f t="shared" si="127"/>
        <v/>
      </c>
      <c r="P417" s="11" t="str">
        <f t="shared" si="128"/>
        <v/>
      </c>
      <c r="Q417" s="11">
        <f t="shared" si="129"/>
        <v>82516.01</v>
      </c>
      <c r="R417" s="11" t="str">
        <f t="shared" si="120"/>
        <v/>
      </c>
      <c r="S417" s="11" t="str">
        <f t="shared" si="121"/>
        <v/>
      </c>
      <c r="T417" s="12" t="str">
        <f t="shared" si="122"/>
        <v/>
      </c>
      <c r="U417" s="11">
        <f t="shared" si="130"/>
        <v>82516.01</v>
      </c>
      <c r="V417" s="11">
        <f t="shared" si="131"/>
        <v>0</v>
      </c>
      <c r="W417" s="11">
        <f t="shared" si="132"/>
        <v>0</v>
      </c>
      <c r="X417" s="11">
        <f t="shared" si="133"/>
        <v>0</v>
      </c>
      <c r="Y417" s="11" t="str">
        <f t="shared" si="123"/>
        <v/>
      </c>
      <c r="Z417" s="13">
        <f t="shared" si="134"/>
        <v>46247</v>
      </c>
      <c r="AA417" s="10" t="str">
        <f>IF(OR($AA$116="错误",COUNTIF($G$117:G417,"待修正")&gt;0),"错误","正常")</f>
        <v>正常</v>
      </c>
      <c r="AB417" s="14">
        <f t="shared" si="135"/>
        <v>2.7686</v>
      </c>
    </row>
    <row r="418" ht="23" customHeight="1" spans="1:28">
      <c r="A418" s="15"/>
      <c r="B418" s="16"/>
      <c r="C418" s="17"/>
      <c r="D418" s="18"/>
      <c r="E418" s="19" t="str">
        <f t="shared" si="116"/>
        <v/>
      </c>
      <c r="F418" s="18"/>
      <c r="G418" s="20" t="str">
        <f t="shared" si="117"/>
        <v/>
      </c>
      <c r="H418" s="21" t="str">
        <f t="shared" si="118"/>
        <v/>
      </c>
      <c r="I418" s="10" t="str">
        <f>IF(COUNTA(A418:D418,F418)=0,"",IF(NOT(ISNUMBER(A418)),"缺少有效净值日期",IF(OR(A418&lt;=0,A418&lt;&gt;INT(A418)),"净值日期无效",IF(OR(B418="转换转入",B418="现金分红"),"该类型需实际金额，五项录入不适用",IF(NOT(OR(OR(B418="买入",B418="定投"),B418="卖出",B418="红利再投")),"请选择交易类型",IF(NOT(ISNUMBER(C418)),"缺少成交净值",IF(C418&lt;=0,"成交净值须大于零",IF(NOT(ISNUMBER(D418)),"缺少确认份额",IF(D418&lt;=0,"确认份额须大于零",IF(NOT(ISNUMBER(F418)),"缺少手续费，无费用请填 0",IF(F418&lt;0,"手续费不能为负",IF(AA417="错误","前行待修正",IF(A418&lt;Z417,"日期需按成交顺序递增",IF(AND(B418="红利再投",F418&lt;&gt;0),"红利再投手续费应填 0",IF(AND(B418="红利再投",K417&lt;=0),"红利再投前须有持仓",IF(AND(B418="卖出",D418&gt;K417+0.000001),"卖出份额超过持仓",IF(AND(B418="卖出",F418&gt;=C418*D418),"赎回费不能达到赎回总额",IF(NOT(ISNUMBER(E418)),"自动金额未生成，请检查五项输入",IF(NOT(OR(持仓总览!$C$7="利润优先",持仓总览!$C$7="本金优先")),"请选择卖出分配模式","已计入")))))))))))))))))))</f>
        <v/>
      </c>
      <c r="J418" s="11">
        <f t="shared" si="119"/>
        <v>0</v>
      </c>
      <c r="K418" s="11">
        <f t="shared" si="124"/>
        <v>34284.43</v>
      </c>
      <c r="L418" s="11" t="str">
        <f t="shared" si="125"/>
        <v/>
      </c>
      <c r="M418" s="11" t="str">
        <f t="shared" si="126"/>
        <v/>
      </c>
      <c r="N418" s="11" t="str">
        <f>IF(I418="已计入",IF(AND(B418="卖出",持仓总览!$C$7="本金优先"),MAX(0,E418-Q417),IF(OR(B418="卖出",B418="现金分红"),MIN(E418,M418),0)),"")</f>
        <v/>
      </c>
      <c r="O418" s="11" t="str">
        <f t="shared" si="127"/>
        <v/>
      </c>
      <c r="P418" s="11" t="str">
        <f t="shared" si="128"/>
        <v/>
      </c>
      <c r="Q418" s="11">
        <f t="shared" si="129"/>
        <v>82516.01</v>
      </c>
      <c r="R418" s="11" t="str">
        <f t="shared" si="120"/>
        <v/>
      </c>
      <c r="S418" s="11" t="str">
        <f t="shared" si="121"/>
        <v/>
      </c>
      <c r="T418" s="12" t="str">
        <f t="shared" si="122"/>
        <v/>
      </c>
      <c r="U418" s="11">
        <f t="shared" si="130"/>
        <v>82516.01</v>
      </c>
      <c r="V418" s="11">
        <f t="shared" si="131"/>
        <v>0</v>
      </c>
      <c r="W418" s="11">
        <f t="shared" si="132"/>
        <v>0</v>
      </c>
      <c r="X418" s="11">
        <f t="shared" si="133"/>
        <v>0</v>
      </c>
      <c r="Y418" s="11" t="str">
        <f t="shared" si="123"/>
        <v/>
      </c>
      <c r="Z418" s="13">
        <f t="shared" si="134"/>
        <v>46247</v>
      </c>
      <c r="AA418" s="10" t="str">
        <f>IF(OR($AA$116="错误",COUNTIF($G$117:G418,"待修正")&gt;0),"错误","正常")</f>
        <v>正常</v>
      </c>
      <c r="AB418" s="14">
        <f t="shared" si="135"/>
        <v>2.7686</v>
      </c>
    </row>
    <row r="419" ht="23" customHeight="1" spans="1:28">
      <c r="A419" s="15"/>
      <c r="B419" s="16"/>
      <c r="C419" s="17"/>
      <c r="D419" s="18"/>
      <c r="E419" s="19" t="str">
        <f t="shared" si="116"/>
        <v/>
      </c>
      <c r="F419" s="18"/>
      <c r="G419" s="20" t="str">
        <f t="shared" si="117"/>
        <v/>
      </c>
      <c r="H419" s="21" t="str">
        <f t="shared" si="118"/>
        <v/>
      </c>
      <c r="I419" s="10" t="str">
        <f>IF(COUNTA(A419:D419,F419)=0,"",IF(NOT(ISNUMBER(A419)),"缺少有效净值日期",IF(OR(A419&lt;=0,A419&lt;&gt;INT(A419)),"净值日期无效",IF(OR(B419="转换转入",B419="现金分红"),"该类型需实际金额，五项录入不适用",IF(NOT(OR(OR(B419="买入",B419="定投"),B419="卖出",B419="红利再投")),"请选择交易类型",IF(NOT(ISNUMBER(C419)),"缺少成交净值",IF(C419&lt;=0,"成交净值须大于零",IF(NOT(ISNUMBER(D419)),"缺少确认份额",IF(D419&lt;=0,"确认份额须大于零",IF(NOT(ISNUMBER(F419)),"缺少手续费，无费用请填 0",IF(F419&lt;0,"手续费不能为负",IF(AA418="错误","前行待修正",IF(A419&lt;Z418,"日期需按成交顺序递增",IF(AND(B419="红利再投",F419&lt;&gt;0),"红利再投手续费应填 0",IF(AND(B419="红利再投",K418&lt;=0),"红利再投前须有持仓",IF(AND(B419="卖出",D419&gt;K418+0.000001),"卖出份额超过持仓",IF(AND(B419="卖出",F419&gt;=C419*D419),"赎回费不能达到赎回总额",IF(NOT(ISNUMBER(E419)),"自动金额未生成，请检查五项输入",IF(NOT(OR(持仓总览!$C$7="利润优先",持仓总览!$C$7="本金优先")),"请选择卖出分配模式","已计入")))))))))))))))))))</f>
        <v/>
      </c>
      <c r="J419" s="11">
        <f t="shared" si="119"/>
        <v>0</v>
      </c>
      <c r="K419" s="11">
        <f t="shared" si="124"/>
        <v>34284.43</v>
      </c>
      <c r="L419" s="11" t="str">
        <f t="shared" si="125"/>
        <v/>
      </c>
      <c r="M419" s="11" t="str">
        <f t="shared" si="126"/>
        <v/>
      </c>
      <c r="N419" s="11" t="str">
        <f>IF(I419="已计入",IF(AND(B419="卖出",持仓总览!$C$7="本金优先"),MAX(0,E419-Q418),IF(OR(B419="卖出",B419="现金分红"),MIN(E419,M419),0)),"")</f>
        <v/>
      </c>
      <c r="O419" s="11" t="str">
        <f t="shared" si="127"/>
        <v/>
      </c>
      <c r="P419" s="11" t="str">
        <f t="shared" si="128"/>
        <v/>
      </c>
      <c r="Q419" s="11">
        <f t="shared" si="129"/>
        <v>82516.01</v>
      </c>
      <c r="R419" s="11" t="str">
        <f t="shared" si="120"/>
        <v/>
      </c>
      <c r="S419" s="11" t="str">
        <f t="shared" si="121"/>
        <v/>
      </c>
      <c r="T419" s="12" t="str">
        <f t="shared" si="122"/>
        <v/>
      </c>
      <c r="U419" s="11">
        <f t="shared" si="130"/>
        <v>82516.01</v>
      </c>
      <c r="V419" s="11">
        <f t="shared" si="131"/>
        <v>0</v>
      </c>
      <c r="W419" s="11">
        <f t="shared" si="132"/>
        <v>0</v>
      </c>
      <c r="X419" s="11">
        <f t="shared" si="133"/>
        <v>0</v>
      </c>
      <c r="Y419" s="11" t="str">
        <f t="shared" si="123"/>
        <v/>
      </c>
      <c r="Z419" s="13">
        <f t="shared" si="134"/>
        <v>46247</v>
      </c>
      <c r="AA419" s="10" t="str">
        <f>IF(OR($AA$116="错误",COUNTIF($G$117:G419,"待修正")&gt;0),"错误","正常")</f>
        <v>正常</v>
      </c>
      <c r="AB419" s="14">
        <f t="shared" si="135"/>
        <v>2.7686</v>
      </c>
    </row>
    <row r="420" ht="23" customHeight="1" spans="1:28">
      <c r="A420" s="15"/>
      <c r="B420" s="16"/>
      <c r="C420" s="17"/>
      <c r="D420" s="18"/>
      <c r="E420" s="19" t="str">
        <f t="shared" si="116"/>
        <v/>
      </c>
      <c r="F420" s="18"/>
      <c r="G420" s="20" t="str">
        <f t="shared" si="117"/>
        <v/>
      </c>
      <c r="H420" s="21" t="str">
        <f t="shared" si="118"/>
        <v/>
      </c>
      <c r="I420" s="10" t="str">
        <f>IF(COUNTA(A420:D420,F420)=0,"",IF(NOT(ISNUMBER(A420)),"缺少有效净值日期",IF(OR(A420&lt;=0,A420&lt;&gt;INT(A420)),"净值日期无效",IF(OR(B420="转换转入",B420="现金分红"),"该类型需实际金额，五项录入不适用",IF(NOT(OR(OR(B420="买入",B420="定投"),B420="卖出",B420="红利再投")),"请选择交易类型",IF(NOT(ISNUMBER(C420)),"缺少成交净值",IF(C420&lt;=0,"成交净值须大于零",IF(NOT(ISNUMBER(D420)),"缺少确认份额",IF(D420&lt;=0,"确认份额须大于零",IF(NOT(ISNUMBER(F420)),"缺少手续费，无费用请填 0",IF(F420&lt;0,"手续费不能为负",IF(AA419="错误","前行待修正",IF(A420&lt;Z419,"日期需按成交顺序递增",IF(AND(B420="红利再投",F420&lt;&gt;0),"红利再投手续费应填 0",IF(AND(B420="红利再投",K419&lt;=0),"红利再投前须有持仓",IF(AND(B420="卖出",D420&gt;K419+0.000001),"卖出份额超过持仓",IF(AND(B420="卖出",F420&gt;=C420*D420),"赎回费不能达到赎回总额",IF(NOT(ISNUMBER(E420)),"自动金额未生成，请检查五项输入",IF(NOT(OR(持仓总览!$C$7="利润优先",持仓总览!$C$7="本金优先")),"请选择卖出分配模式","已计入")))))))))))))))))))</f>
        <v/>
      </c>
      <c r="J420" s="11">
        <f t="shared" si="119"/>
        <v>0</v>
      </c>
      <c r="K420" s="11">
        <f t="shared" si="124"/>
        <v>34284.43</v>
      </c>
      <c r="L420" s="11" t="str">
        <f t="shared" si="125"/>
        <v/>
      </c>
      <c r="M420" s="11" t="str">
        <f t="shared" si="126"/>
        <v/>
      </c>
      <c r="N420" s="11" t="str">
        <f>IF(I420="已计入",IF(AND(B420="卖出",持仓总览!$C$7="本金优先"),MAX(0,E420-Q419),IF(OR(B420="卖出",B420="现金分红"),MIN(E420,M420),0)),"")</f>
        <v/>
      </c>
      <c r="O420" s="11" t="str">
        <f t="shared" si="127"/>
        <v/>
      </c>
      <c r="P420" s="11" t="str">
        <f t="shared" si="128"/>
        <v/>
      </c>
      <c r="Q420" s="11">
        <f t="shared" si="129"/>
        <v>82516.01</v>
      </c>
      <c r="R420" s="11" t="str">
        <f t="shared" si="120"/>
        <v/>
      </c>
      <c r="S420" s="11" t="str">
        <f t="shared" si="121"/>
        <v/>
      </c>
      <c r="T420" s="12" t="str">
        <f t="shared" si="122"/>
        <v/>
      </c>
      <c r="U420" s="11">
        <f t="shared" si="130"/>
        <v>82516.01</v>
      </c>
      <c r="V420" s="11">
        <f t="shared" si="131"/>
        <v>0</v>
      </c>
      <c r="W420" s="11">
        <f t="shared" si="132"/>
        <v>0</v>
      </c>
      <c r="X420" s="11">
        <f t="shared" si="133"/>
        <v>0</v>
      </c>
      <c r="Y420" s="11" t="str">
        <f t="shared" si="123"/>
        <v/>
      </c>
      <c r="Z420" s="13">
        <f t="shared" si="134"/>
        <v>46247</v>
      </c>
      <c r="AA420" s="10" t="str">
        <f>IF(OR($AA$116="错误",COUNTIF($G$117:G420,"待修正")&gt;0),"错误","正常")</f>
        <v>正常</v>
      </c>
      <c r="AB420" s="14">
        <f t="shared" si="135"/>
        <v>2.7686</v>
      </c>
    </row>
    <row r="421" ht="23" customHeight="1" spans="1:28">
      <c r="A421" s="15"/>
      <c r="B421" s="16"/>
      <c r="C421" s="17"/>
      <c r="D421" s="18"/>
      <c r="E421" s="19" t="str">
        <f t="shared" si="116"/>
        <v/>
      </c>
      <c r="F421" s="18"/>
      <c r="G421" s="20" t="str">
        <f t="shared" si="117"/>
        <v/>
      </c>
      <c r="H421" s="21" t="str">
        <f t="shared" si="118"/>
        <v/>
      </c>
      <c r="I421" s="10" t="str">
        <f>IF(COUNTA(A421:D421,F421)=0,"",IF(NOT(ISNUMBER(A421)),"缺少有效净值日期",IF(OR(A421&lt;=0,A421&lt;&gt;INT(A421)),"净值日期无效",IF(OR(B421="转换转入",B421="现金分红"),"该类型需实际金额，五项录入不适用",IF(NOT(OR(OR(B421="买入",B421="定投"),B421="卖出",B421="红利再投")),"请选择交易类型",IF(NOT(ISNUMBER(C421)),"缺少成交净值",IF(C421&lt;=0,"成交净值须大于零",IF(NOT(ISNUMBER(D421)),"缺少确认份额",IF(D421&lt;=0,"确认份额须大于零",IF(NOT(ISNUMBER(F421)),"缺少手续费，无费用请填 0",IF(F421&lt;0,"手续费不能为负",IF(AA420="错误","前行待修正",IF(A421&lt;Z420,"日期需按成交顺序递增",IF(AND(B421="红利再投",F421&lt;&gt;0),"红利再投手续费应填 0",IF(AND(B421="红利再投",K420&lt;=0),"红利再投前须有持仓",IF(AND(B421="卖出",D421&gt;K420+0.000001),"卖出份额超过持仓",IF(AND(B421="卖出",F421&gt;=C421*D421),"赎回费不能达到赎回总额",IF(NOT(ISNUMBER(E421)),"自动金额未生成，请检查五项输入",IF(NOT(OR(持仓总览!$C$7="利润优先",持仓总览!$C$7="本金优先")),"请选择卖出分配模式","已计入")))))))))))))))))))</f>
        <v/>
      </c>
      <c r="J421" s="11">
        <f t="shared" si="119"/>
        <v>0</v>
      </c>
      <c r="K421" s="11">
        <f t="shared" si="124"/>
        <v>34284.43</v>
      </c>
      <c r="L421" s="11" t="str">
        <f t="shared" si="125"/>
        <v/>
      </c>
      <c r="M421" s="11" t="str">
        <f t="shared" si="126"/>
        <v/>
      </c>
      <c r="N421" s="11" t="str">
        <f>IF(I421="已计入",IF(AND(B421="卖出",持仓总览!$C$7="本金优先"),MAX(0,E421-Q420),IF(OR(B421="卖出",B421="现金分红"),MIN(E421,M421),0)),"")</f>
        <v/>
      </c>
      <c r="O421" s="11" t="str">
        <f t="shared" si="127"/>
        <v/>
      </c>
      <c r="P421" s="11" t="str">
        <f t="shared" si="128"/>
        <v/>
      </c>
      <c r="Q421" s="11">
        <f t="shared" si="129"/>
        <v>82516.01</v>
      </c>
      <c r="R421" s="11" t="str">
        <f t="shared" si="120"/>
        <v/>
      </c>
      <c r="S421" s="11" t="str">
        <f t="shared" si="121"/>
        <v/>
      </c>
      <c r="T421" s="12" t="str">
        <f t="shared" si="122"/>
        <v/>
      </c>
      <c r="U421" s="11">
        <f t="shared" si="130"/>
        <v>82516.01</v>
      </c>
      <c r="V421" s="11">
        <f t="shared" si="131"/>
        <v>0</v>
      </c>
      <c r="W421" s="11">
        <f t="shared" si="132"/>
        <v>0</v>
      </c>
      <c r="X421" s="11">
        <f t="shared" si="133"/>
        <v>0</v>
      </c>
      <c r="Y421" s="11" t="str">
        <f t="shared" si="123"/>
        <v/>
      </c>
      <c r="Z421" s="13">
        <f t="shared" si="134"/>
        <v>46247</v>
      </c>
      <c r="AA421" s="10" t="str">
        <f>IF(OR($AA$116="错误",COUNTIF($G$117:G421,"待修正")&gt;0),"错误","正常")</f>
        <v>正常</v>
      </c>
      <c r="AB421" s="14">
        <f t="shared" si="135"/>
        <v>2.7686</v>
      </c>
    </row>
    <row r="422" ht="23" customHeight="1" spans="1:28">
      <c r="A422" s="15"/>
      <c r="B422" s="16"/>
      <c r="C422" s="17"/>
      <c r="D422" s="18"/>
      <c r="E422" s="19" t="str">
        <f t="shared" si="116"/>
        <v/>
      </c>
      <c r="F422" s="18"/>
      <c r="G422" s="20" t="str">
        <f t="shared" si="117"/>
        <v/>
      </c>
      <c r="H422" s="21" t="str">
        <f t="shared" si="118"/>
        <v/>
      </c>
      <c r="I422" s="10" t="str">
        <f>IF(COUNTA(A422:D422,F422)=0,"",IF(NOT(ISNUMBER(A422)),"缺少有效净值日期",IF(OR(A422&lt;=0,A422&lt;&gt;INT(A422)),"净值日期无效",IF(OR(B422="转换转入",B422="现金分红"),"该类型需实际金额，五项录入不适用",IF(NOT(OR(OR(B422="买入",B422="定投"),B422="卖出",B422="红利再投")),"请选择交易类型",IF(NOT(ISNUMBER(C422)),"缺少成交净值",IF(C422&lt;=0,"成交净值须大于零",IF(NOT(ISNUMBER(D422)),"缺少确认份额",IF(D422&lt;=0,"确认份额须大于零",IF(NOT(ISNUMBER(F422)),"缺少手续费，无费用请填 0",IF(F422&lt;0,"手续费不能为负",IF(AA421="错误","前行待修正",IF(A422&lt;Z421,"日期需按成交顺序递增",IF(AND(B422="红利再投",F422&lt;&gt;0),"红利再投手续费应填 0",IF(AND(B422="红利再投",K421&lt;=0),"红利再投前须有持仓",IF(AND(B422="卖出",D422&gt;K421+0.000001),"卖出份额超过持仓",IF(AND(B422="卖出",F422&gt;=C422*D422),"赎回费不能达到赎回总额",IF(NOT(ISNUMBER(E422)),"自动金额未生成，请检查五项输入",IF(NOT(OR(持仓总览!$C$7="利润优先",持仓总览!$C$7="本金优先")),"请选择卖出分配模式","已计入")))))))))))))))))))</f>
        <v/>
      </c>
      <c r="J422" s="11">
        <f t="shared" si="119"/>
        <v>0</v>
      </c>
      <c r="K422" s="11">
        <f t="shared" si="124"/>
        <v>34284.43</v>
      </c>
      <c r="L422" s="11" t="str">
        <f t="shared" si="125"/>
        <v/>
      </c>
      <c r="M422" s="11" t="str">
        <f t="shared" si="126"/>
        <v/>
      </c>
      <c r="N422" s="11" t="str">
        <f>IF(I422="已计入",IF(AND(B422="卖出",持仓总览!$C$7="本金优先"),MAX(0,E422-Q421),IF(OR(B422="卖出",B422="现金分红"),MIN(E422,M422),0)),"")</f>
        <v/>
      </c>
      <c r="O422" s="11" t="str">
        <f t="shared" si="127"/>
        <v/>
      </c>
      <c r="P422" s="11" t="str">
        <f t="shared" si="128"/>
        <v/>
      </c>
      <c r="Q422" s="11">
        <f t="shared" si="129"/>
        <v>82516.01</v>
      </c>
      <c r="R422" s="11" t="str">
        <f t="shared" si="120"/>
        <v/>
      </c>
      <c r="S422" s="11" t="str">
        <f t="shared" si="121"/>
        <v/>
      </c>
      <c r="T422" s="12" t="str">
        <f t="shared" si="122"/>
        <v/>
      </c>
      <c r="U422" s="11">
        <f t="shared" si="130"/>
        <v>82516.01</v>
      </c>
      <c r="V422" s="11">
        <f t="shared" si="131"/>
        <v>0</v>
      </c>
      <c r="W422" s="11">
        <f t="shared" si="132"/>
        <v>0</v>
      </c>
      <c r="X422" s="11">
        <f t="shared" si="133"/>
        <v>0</v>
      </c>
      <c r="Y422" s="11" t="str">
        <f t="shared" si="123"/>
        <v/>
      </c>
      <c r="Z422" s="13">
        <f t="shared" si="134"/>
        <v>46247</v>
      </c>
      <c r="AA422" s="10" t="str">
        <f>IF(OR($AA$116="错误",COUNTIF($G$117:G422,"待修正")&gt;0),"错误","正常")</f>
        <v>正常</v>
      </c>
      <c r="AB422" s="14">
        <f t="shared" si="135"/>
        <v>2.7686</v>
      </c>
    </row>
    <row r="423" ht="23" customHeight="1" spans="1:28">
      <c r="A423" s="15"/>
      <c r="B423" s="16"/>
      <c r="C423" s="17"/>
      <c r="D423" s="18"/>
      <c r="E423" s="19" t="str">
        <f t="shared" si="116"/>
        <v/>
      </c>
      <c r="F423" s="18"/>
      <c r="G423" s="20" t="str">
        <f t="shared" si="117"/>
        <v/>
      </c>
      <c r="H423" s="21" t="str">
        <f t="shared" si="118"/>
        <v/>
      </c>
      <c r="I423" s="10" t="str">
        <f>IF(COUNTA(A423:D423,F423)=0,"",IF(NOT(ISNUMBER(A423)),"缺少有效净值日期",IF(OR(A423&lt;=0,A423&lt;&gt;INT(A423)),"净值日期无效",IF(OR(B423="转换转入",B423="现金分红"),"该类型需实际金额，五项录入不适用",IF(NOT(OR(OR(B423="买入",B423="定投"),B423="卖出",B423="红利再投")),"请选择交易类型",IF(NOT(ISNUMBER(C423)),"缺少成交净值",IF(C423&lt;=0,"成交净值须大于零",IF(NOT(ISNUMBER(D423)),"缺少确认份额",IF(D423&lt;=0,"确认份额须大于零",IF(NOT(ISNUMBER(F423)),"缺少手续费，无费用请填 0",IF(F423&lt;0,"手续费不能为负",IF(AA422="错误","前行待修正",IF(A423&lt;Z422,"日期需按成交顺序递增",IF(AND(B423="红利再投",F423&lt;&gt;0),"红利再投手续费应填 0",IF(AND(B423="红利再投",K422&lt;=0),"红利再投前须有持仓",IF(AND(B423="卖出",D423&gt;K422+0.000001),"卖出份额超过持仓",IF(AND(B423="卖出",F423&gt;=C423*D423),"赎回费不能达到赎回总额",IF(NOT(ISNUMBER(E423)),"自动金额未生成，请检查五项输入",IF(NOT(OR(持仓总览!$C$7="利润优先",持仓总览!$C$7="本金优先")),"请选择卖出分配模式","已计入")))))))))))))))))))</f>
        <v/>
      </c>
      <c r="J423" s="11">
        <f t="shared" si="119"/>
        <v>0</v>
      </c>
      <c r="K423" s="11">
        <f t="shared" si="124"/>
        <v>34284.43</v>
      </c>
      <c r="L423" s="11" t="str">
        <f t="shared" si="125"/>
        <v/>
      </c>
      <c r="M423" s="11" t="str">
        <f t="shared" si="126"/>
        <v/>
      </c>
      <c r="N423" s="11" t="str">
        <f>IF(I423="已计入",IF(AND(B423="卖出",持仓总览!$C$7="本金优先"),MAX(0,E423-Q422),IF(OR(B423="卖出",B423="现金分红"),MIN(E423,M423),0)),"")</f>
        <v/>
      </c>
      <c r="O423" s="11" t="str">
        <f t="shared" si="127"/>
        <v/>
      </c>
      <c r="P423" s="11" t="str">
        <f t="shared" si="128"/>
        <v/>
      </c>
      <c r="Q423" s="11">
        <f t="shared" si="129"/>
        <v>82516.01</v>
      </c>
      <c r="R423" s="11" t="str">
        <f t="shared" si="120"/>
        <v/>
      </c>
      <c r="S423" s="11" t="str">
        <f t="shared" si="121"/>
        <v/>
      </c>
      <c r="T423" s="12" t="str">
        <f t="shared" si="122"/>
        <v/>
      </c>
      <c r="U423" s="11">
        <f t="shared" si="130"/>
        <v>82516.01</v>
      </c>
      <c r="V423" s="11">
        <f t="shared" si="131"/>
        <v>0</v>
      </c>
      <c r="W423" s="11">
        <f t="shared" si="132"/>
        <v>0</v>
      </c>
      <c r="X423" s="11">
        <f t="shared" si="133"/>
        <v>0</v>
      </c>
      <c r="Y423" s="11" t="str">
        <f t="shared" si="123"/>
        <v/>
      </c>
      <c r="Z423" s="13">
        <f t="shared" si="134"/>
        <v>46247</v>
      </c>
      <c r="AA423" s="10" t="str">
        <f>IF(OR($AA$116="错误",COUNTIF($G$117:G423,"待修正")&gt;0),"错误","正常")</f>
        <v>正常</v>
      </c>
      <c r="AB423" s="14">
        <f t="shared" si="135"/>
        <v>2.7686</v>
      </c>
    </row>
    <row r="424" ht="23" customHeight="1" spans="1:28">
      <c r="A424" s="15"/>
      <c r="B424" s="16"/>
      <c r="C424" s="17"/>
      <c r="D424" s="18"/>
      <c r="E424" s="19" t="str">
        <f t="shared" si="116"/>
        <v/>
      </c>
      <c r="F424" s="18"/>
      <c r="G424" s="20" t="str">
        <f t="shared" si="117"/>
        <v/>
      </c>
      <c r="H424" s="21" t="str">
        <f t="shared" si="118"/>
        <v/>
      </c>
      <c r="I424" s="10" t="str">
        <f>IF(COUNTA(A424:D424,F424)=0,"",IF(NOT(ISNUMBER(A424)),"缺少有效净值日期",IF(OR(A424&lt;=0,A424&lt;&gt;INT(A424)),"净值日期无效",IF(OR(B424="转换转入",B424="现金分红"),"该类型需实际金额，五项录入不适用",IF(NOT(OR(OR(B424="买入",B424="定投"),B424="卖出",B424="红利再投")),"请选择交易类型",IF(NOT(ISNUMBER(C424)),"缺少成交净值",IF(C424&lt;=0,"成交净值须大于零",IF(NOT(ISNUMBER(D424)),"缺少确认份额",IF(D424&lt;=0,"确认份额须大于零",IF(NOT(ISNUMBER(F424)),"缺少手续费，无费用请填 0",IF(F424&lt;0,"手续费不能为负",IF(AA423="错误","前行待修正",IF(A424&lt;Z423,"日期需按成交顺序递增",IF(AND(B424="红利再投",F424&lt;&gt;0),"红利再投手续费应填 0",IF(AND(B424="红利再投",K423&lt;=0),"红利再投前须有持仓",IF(AND(B424="卖出",D424&gt;K423+0.000001),"卖出份额超过持仓",IF(AND(B424="卖出",F424&gt;=C424*D424),"赎回费不能达到赎回总额",IF(NOT(ISNUMBER(E424)),"自动金额未生成，请检查五项输入",IF(NOT(OR(持仓总览!$C$7="利润优先",持仓总览!$C$7="本金优先")),"请选择卖出分配模式","已计入")))))))))))))))))))</f>
        <v/>
      </c>
      <c r="J424" s="11">
        <f t="shared" si="119"/>
        <v>0</v>
      </c>
      <c r="K424" s="11">
        <f t="shared" si="124"/>
        <v>34284.43</v>
      </c>
      <c r="L424" s="11" t="str">
        <f t="shared" si="125"/>
        <v/>
      </c>
      <c r="M424" s="11" t="str">
        <f t="shared" si="126"/>
        <v/>
      </c>
      <c r="N424" s="11" t="str">
        <f>IF(I424="已计入",IF(AND(B424="卖出",持仓总览!$C$7="本金优先"),MAX(0,E424-Q423),IF(OR(B424="卖出",B424="现金分红"),MIN(E424,M424),0)),"")</f>
        <v/>
      </c>
      <c r="O424" s="11" t="str">
        <f t="shared" si="127"/>
        <v/>
      </c>
      <c r="P424" s="11" t="str">
        <f t="shared" si="128"/>
        <v/>
      </c>
      <c r="Q424" s="11">
        <f t="shared" si="129"/>
        <v>82516.01</v>
      </c>
      <c r="R424" s="11" t="str">
        <f t="shared" si="120"/>
        <v/>
      </c>
      <c r="S424" s="11" t="str">
        <f t="shared" si="121"/>
        <v/>
      </c>
      <c r="T424" s="12" t="str">
        <f t="shared" si="122"/>
        <v/>
      </c>
      <c r="U424" s="11">
        <f t="shared" si="130"/>
        <v>82516.01</v>
      </c>
      <c r="V424" s="11">
        <f t="shared" si="131"/>
        <v>0</v>
      </c>
      <c r="W424" s="11">
        <f t="shared" si="132"/>
        <v>0</v>
      </c>
      <c r="X424" s="11">
        <f t="shared" si="133"/>
        <v>0</v>
      </c>
      <c r="Y424" s="11" t="str">
        <f t="shared" si="123"/>
        <v/>
      </c>
      <c r="Z424" s="13">
        <f t="shared" si="134"/>
        <v>46247</v>
      </c>
      <c r="AA424" s="10" t="str">
        <f>IF(OR($AA$116="错误",COUNTIF($G$117:G424,"待修正")&gt;0),"错误","正常")</f>
        <v>正常</v>
      </c>
      <c r="AB424" s="14">
        <f t="shared" si="135"/>
        <v>2.7686</v>
      </c>
    </row>
    <row r="425" ht="23" customHeight="1" spans="1:28">
      <c r="A425" s="15"/>
      <c r="B425" s="16"/>
      <c r="C425" s="17"/>
      <c r="D425" s="18"/>
      <c r="E425" s="19" t="str">
        <f t="shared" si="116"/>
        <v/>
      </c>
      <c r="F425" s="18"/>
      <c r="G425" s="20" t="str">
        <f t="shared" si="117"/>
        <v/>
      </c>
      <c r="H425" s="21" t="str">
        <f t="shared" si="118"/>
        <v/>
      </c>
      <c r="I425" s="10" t="str">
        <f>IF(COUNTA(A425:D425,F425)=0,"",IF(NOT(ISNUMBER(A425)),"缺少有效净值日期",IF(OR(A425&lt;=0,A425&lt;&gt;INT(A425)),"净值日期无效",IF(OR(B425="转换转入",B425="现金分红"),"该类型需实际金额，五项录入不适用",IF(NOT(OR(OR(B425="买入",B425="定投"),B425="卖出",B425="红利再投")),"请选择交易类型",IF(NOT(ISNUMBER(C425)),"缺少成交净值",IF(C425&lt;=0,"成交净值须大于零",IF(NOT(ISNUMBER(D425)),"缺少确认份额",IF(D425&lt;=0,"确认份额须大于零",IF(NOT(ISNUMBER(F425)),"缺少手续费，无费用请填 0",IF(F425&lt;0,"手续费不能为负",IF(AA424="错误","前行待修正",IF(A425&lt;Z424,"日期需按成交顺序递增",IF(AND(B425="红利再投",F425&lt;&gt;0),"红利再投手续费应填 0",IF(AND(B425="红利再投",K424&lt;=0),"红利再投前须有持仓",IF(AND(B425="卖出",D425&gt;K424+0.000001),"卖出份额超过持仓",IF(AND(B425="卖出",F425&gt;=C425*D425),"赎回费不能达到赎回总额",IF(NOT(ISNUMBER(E425)),"自动金额未生成，请检查五项输入",IF(NOT(OR(持仓总览!$C$7="利润优先",持仓总览!$C$7="本金优先")),"请选择卖出分配模式","已计入")))))))))))))))))))</f>
        <v/>
      </c>
      <c r="J425" s="11">
        <f t="shared" si="119"/>
        <v>0</v>
      </c>
      <c r="K425" s="11">
        <f t="shared" si="124"/>
        <v>34284.43</v>
      </c>
      <c r="L425" s="11" t="str">
        <f t="shared" si="125"/>
        <v/>
      </c>
      <c r="M425" s="11" t="str">
        <f t="shared" si="126"/>
        <v/>
      </c>
      <c r="N425" s="11" t="str">
        <f>IF(I425="已计入",IF(AND(B425="卖出",持仓总览!$C$7="本金优先"),MAX(0,E425-Q424),IF(OR(B425="卖出",B425="现金分红"),MIN(E425,M425),0)),"")</f>
        <v/>
      </c>
      <c r="O425" s="11" t="str">
        <f t="shared" si="127"/>
        <v/>
      </c>
      <c r="P425" s="11" t="str">
        <f t="shared" si="128"/>
        <v/>
      </c>
      <c r="Q425" s="11">
        <f t="shared" si="129"/>
        <v>82516.01</v>
      </c>
      <c r="R425" s="11" t="str">
        <f t="shared" si="120"/>
        <v/>
      </c>
      <c r="S425" s="11" t="str">
        <f t="shared" si="121"/>
        <v/>
      </c>
      <c r="T425" s="12" t="str">
        <f t="shared" si="122"/>
        <v/>
      </c>
      <c r="U425" s="11">
        <f t="shared" si="130"/>
        <v>82516.01</v>
      </c>
      <c r="V425" s="11">
        <f t="shared" si="131"/>
        <v>0</v>
      </c>
      <c r="W425" s="11">
        <f t="shared" si="132"/>
        <v>0</v>
      </c>
      <c r="X425" s="11">
        <f t="shared" si="133"/>
        <v>0</v>
      </c>
      <c r="Y425" s="11" t="str">
        <f t="shared" si="123"/>
        <v/>
      </c>
      <c r="Z425" s="13">
        <f t="shared" si="134"/>
        <v>46247</v>
      </c>
      <c r="AA425" s="10" t="str">
        <f>IF(OR($AA$116="错误",COUNTIF($G$117:G425,"待修正")&gt;0),"错误","正常")</f>
        <v>正常</v>
      </c>
      <c r="AB425" s="14">
        <f t="shared" si="135"/>
        <v>2.7686</v>
      </c>
    </row>
    <row r="426" ht="23" customHeight="1" spans="1:28">
      <c r="A426" s="15"/>
      <c r="B426" s="16"/>
      <c r="C426" s="17"/>
      <c r="D426" s="18"/>
      <c r="E426" s="19" t="str">
        <f t="shared" si="116"/>
        <v/>
      </c>
      <c r="F426" s="18"/>
      <c r="G426" s="20" t="str">
        <f t="shared" si="117"/>
        <v/>
      </c>
      <c r="H426" s="21" t="str">
        <f t="shared" si="118"/>
        <v/>
      </c>
      <c r="I426" s="10" t="str">
        <f>IF(COUNTA(A426:D426,F426)=0,"",IF(NOT(ISNUMBER(A426)),"缺少有效净值日期",IF(OR(A426&lt;=0,A426&lt;&gt;INT(A426)),"净值日期无效",IF(OR(B426="转换转入",B426="现金分红"),"该类型需实际金额，五项录入不适用",IF(NOT(OR(OR(B426="买入",B426="定投"),B426="卖出",B426="红利再投")),"请选择交易类型",IF(NOT(ISNUMBER(C426)),"缺少成交净值",IF(C426&lt;=0,"成交净值须大于零",IF(NOT(ISNUMBER(D426)),"缺少确认份额",IF(D426&lt;=0,"确认份额须大于零",IF(NOT(ISNUMBER(F426)),"缺少手续费，无费用请填 0",IF(F426&lt;0,"手续费不能为负",IF(AA425="错误","前行待修正",IF(A426&lt;Z425,"日期需按成交顺序递增",IF(AND(B426="红利再投",F426&lt;&gt;0),"红利再投手续费应填 0",IF(AND(B426="红利再投",K425&lt;=0),"红利再投前须有持仓",IF(AND(B426="卖出",D426&gt;K425+0.000001),"卖出份额超过持仓",IF(AND(B426="卖出",F426&gt;=C426*D426),"赎回费不能达到赎回总额",IF(NOT(ISNUMBER(E426)),"自动金额未生成，请检查五项输入",IF(NOT(OR(持仓总览!$C$7="利润优先",持仓总览!$C$7="本金优先")),"请选择卖出分配模式","已计入")))))))))))))))))))</f>
        <v/>
      </c>
      <c r="J426" s="11">
        <f t="shared" si="119"/>
        <v>0</v>
      </c>
      <c r="K426" s="11">
        <f t="shared" si="124"/>
        <v>34284.43</v>
      </c>
      <c r="L426" s="11" t="str">
        <f t="shared" si="125"/>
        <v/>
      </c>
      <c r="M426" s="11" t="str">
        <f t="shared" si="126"/>
        <v/>
      </c>
      <c r="N426" s="11" t="str">
        <f>IF(I426="已计入",IF(AND(B426="卖出",持仓总览!$C$7="本金优先"),MAX(0,E426-Q425),IF(OR(B426="卖出",B426="现金分红"),MIN(E426,M426),0)),"")</f>
        <v/>
      </c>
      <c r="O426" s="11" t="str">
        <f t="shared" si="127"/>
        <v/>
      </c>
      <c r="P426" s="11" t="str">
        <f t="shared" si="128"/>
        <v/>
      </c>
      <c r="Q426" s="11">
        <f t="shared" si="129"/>
        <v>82516.01</v>
      </c>
      <c r="R426" s="11" t="str">
        <f t="shared" si="120"/>
        <v/>
      </c>
      <c r="S426" s="11" t="str">
        <f t="shared" si="121"/>
        <v/>
      </c>
      <c r="T426" s="12" t="str">
        <f t="shared" si="122"/>
        <v/>
      </c>
      <c r="U426" s="11">
        <f t="shared" si="130"/>
        <v>82516.01</v>
      </c>
      <c r="V426" s="11">
        <f t="shared" si="131"/>
        <v>0</v>
      </c>
      <c r="W426" s="11">
        <f t="shared" si="132"/>
        <v>0</v>
      </c>
      <c r="X426" s="11">
        <f t="shared" si="133"/>
        <v>0</v>
      </c>
      <c r="Y426" s="11" t="str">
        <f t="shared" si="123"/>
        <v/>
      </c>
      <c r="Z426" s="13">
        <f t="shared" si="134"/>
        <v>46247</v>
      </c>
      <c r="AA426" s="10" t="str">
        <f>IF(OR($AA$116="错误",COUNTIF($G$117:G426,"待修正")&gt;0),"错误","正常")</f>
        <v>正常</v>
      </c>
      <c r="AB426" s="14">
        <f t="shared" si="135"/>
        <v>2.7686</v>
      </c>
    </row>
    <row r="427" ht="23" customHeight="1" spans="1:28">
      <c r="A427" s="15"/>
      <c r="B427" s="16"/>
      <c r="C427" s="17"/>
      <c r="D427" s="18"/>
      <c r="E427" s="19" t="str">
        <f t="shared" si="116"/>
        <v/>
      </c>
      <c r="F427" s="18"/>
      <c r="G427" s="20" t="str">
        <f t="shared" si="117"/>
        <v/>
      </c>
      <c r="H427" s="21" t="str">
        <f t="shared" si="118"/>
        <v/>
      </c>
      <c r="I427" s="10" t="str">
        <f>IF(COUNTA(A427:D427,F427)=0,"",IF(NOT(ISNUMBER(A427)),"缺少有效净值日期",IF(OR(A427&lt;=0,A427&lt;&gt;INT(A427)),"净值日期无效",IF(OR(B427="转换转入",B427="现金分红"),"该类型需实际金额，五项录入不适用",IF(NOT(OR(OR(B427="买入",B427="定投"),B427="卖出",B427="红利再投")),"请选择交易类型",IF(NOT(ISNUMBER(C427)),"缺少成交净值",IF(C427&lt;=0,"成交净值须大于零",IF(NOT(ISNUMBER(D427)),"缺少确认份额",IF(D427&lt;=0,"确认份额须大于零",IF(NOT(ISNUMBER(F427)),"缺少手续费，无费用请填 0",IF(F427&lt;0,"手续费不能为负",IF(AA426="错误","前行待修正",IF(A427&lt;Z426,"日期需按成交顺序递增",IF(AND(B427="红利再投",F427&lt;&gt;0),"红利再投手续费应填 0",IF(AND(B427="红利再投",K426&lt;=0),"红利再投前须有持仓",IF(AND(B427="卖出",D427&gt;K426+0.000001),"卖出份额超过持仓",IF(AND(B427="卖出",F427&gt;=C427*D427),"赎回费不能达到赎回总额",IF(NOT(ISNUMBER(E427)),"自动金额未生成，请检查五项输入",IF(NOT(OR(持仓总览!$C$7="利润优先",持仓总览!$C$7="本金优先")),"请选择卖出分配模式","已计入")))))))))))))))))))</f>
        <v/>
      </c>
      <c r="J427" s="11">
        <f t="shared" si="119"/>
        <v>0</v>
      </c>
      <c r="K427" s="11">
        <f t="shared" si="124"/>
        <v>34284.43</v>
      </c>
      <c r="L427" s="11" t="str">
        <f t="shared" si="125"/>
        <v/>
      </c>
      <c r="M427" s="11" t="str">
        <f t="shared" si="126"/>
        <v/>
      </c>
      <c r="N427" s="11" t="str">
        <f>IF(I427="已计入",IF(AND(B427="卖出",持仓总览!$C$7="本金优先"),MAX(0,E427-Q426),IF(OR(B427="卖出",B427="现金分红"),MIN(E427,M427),0)),"")</f>
        <v/>
      </c>
      <c r="O427" s="11" t="str">
        <f t="shared" si="127"/>
        <v/>
      </c>
      <c r="P427" s="11" t="str">
        <f t="shared" si="128"/>
        <v/>
      </c>
      <c r="Q427" s="11">
        <f t="shared" si="129"/>
        <v>82516.01</v>
      </c>
      <c r="R427" s="11" t="str">
        <f t="shared" si="120"/>
        <v/>
      </c>
      <c r="S427" s="11" t="str">
        <f t="shared" si="121"/>
        <v/>
      </c>
      <c r="T427" s="12" t="str">
        <f t="shared" si="122"/>
        <v/>
      </c>
      <c r="U427" s="11">
        <f t="shared" si="130"/>
        <v>82516.01</v>
      </c>
      <c r="V427" s="11">
        <f t="shared" si="131"/>
        <v>0</v>
      </c>
      <c r="W427" s="11">
        <f t="shared" si="132"/>
        <v>0</v>
      </c>
      <c r="X427" s="11">
        <f t="shared" si="133"/>
        <v>0</v>
      </c>
      <c r="Y427" s="11" t="str">
        <f t="shared" si="123"/>
        <v/>
      </c>
      <c r="Z427" s="13">
        <f t="shared" si="134"/>
        <v>46247</v>
      </c>
      <c r="AA427" s="10" t="str">
        <f>IF(OR($AA$116="错误",COUNTIF($G$117:G427,"待修正")&gt;0),"错误","正常")</f>
        <v>正常</v>
      </c>
      <c r="AB427" s="14">
        <f t="shared" si="135"/>
        <v>2.7686</v>
      </c>
    </row>
    <row r="428" ht="23" customHeight="1" spans="1:28">
      <c r="A428" s="15"/>
      <c r="B428" s="16"/>
      <c r="C428" s="17"/>
      <c r="D428" s="18"/>
      <c r="E428" s="19" t="str">
        <f t="shared" si="116"/>
        <v/>
      </c>
      <c r="F428" s="18"/>
      <c r="G428" s="20" t="str">
        <f t="shared" si="117"/>
        <v/>
      </c>
      <c r="H428" s="21" t="str">
        <f t="shared" si="118"/>
        <v/>
      </c>
      <c r="I428" s="10" t="str">
        <f>IF(COUNTA(A428:D428,F428)=0,"",IF(NOT(ISNUMBER(A428)),"缺少有效净值日期",IF(OR(A428&lt;=0,A428&lt;&gt;INT(A428)),"净值日期无效",IF(OR(B428="转换转入",B428="现金分红"),"该类型需实际金额，五项录入不适用",IF(NOT(OR(OR(B428="买入",B428="定投"),B428="卖出",B428="红利再投")),"请选择交易类型",IF(NOT(ISNUMBER(C428)),"缺少成交净值",IF(C428&lt;=0,"成交净值须大于零",IF(NOT(ISNUMBER(D428)),"缺少确认份额",IF(D428&lt;=0,"确认份额须大于零",IF(NOT(ISNUMBER(F428)),"缺少手续费，无费用请填 0",IF(F428&lt;0,"手续费不能为负",IF(AA427="错误","前行待修正",IF(A428&lt;Z427,"日期需按成交顺序递增",IF(AND(B428="红利再投",F428&lt;&gt;0),"红利再投手续费应填 0",IF(AND(B428="红利再投",K427&lt;=0),"红利再投前须有持仓",IF(AND(B428="卖出",D428&gt;K427+0.000001),"卖出份额超过持仓",IF(AND(B428="卖出",F428&gt;=C428*D428),"赎回费不能达到赎回总额",IF(NOT(ISNUMBER(E428)),"自动金额未生成，请检查五项输入",IF(NOT(OR(持仓总览!$C$7="利润优先",持仓总览!$C$7="本金优先")),"请选择卖出分配模式","已计入")))))))))))))))))))</f>
        <v/>
      </c>
      <c r="J428" s="11">
        <f t="shared" si="119"/>
        <v>0</v>
      </c>
      <c r="K428" s="11">
        <f t="shared" si="124"/>
        <v>34284.43</v>
      </c>
      <c r="L428" s="11" t="str">
        <f t="shared" si="125"/>
        <v/>
      </c>
      <c r="M428" s="11" t="str">
        <f t="shared" si="126"/>
        <v/>
      </c>
      <c r="N428" s="11" t="str">
        <f>IF(I428="已计入",IF(AND(B428="卖出",持仓总览!$C$7="本金优先"),MAX(0,E428-Q427),IF(OR(B428="卖出",B428="现金分红"),MIN(E428,M428),0)),"")</f>
        <v/>
      </c>
      <c r="O428" s="11" t="str">
        <f t="shared" si="127"/>
        <v/>
      </c>
      <c r="P428" s="11" t="str">
        <f t="shared" si="128"/>
        <v/>
      </c>
      <c r="Q428" s="11">
        <f t="shared" si="129"/>
        <v>82516.01</v>
      </c>
      <c r="R428" s="11" t="str">
        <f t="shared" si="120"/>
        <v/>
      </c>
      <c r="S428" s="11" t="str">
        <f t="shared" si="121"/>
        <v/>
      </c>
      <c r="T428" s="12" t="str">
        <f t="shared" si="122"/>
        <v/>
      </c>
      <c r="U428" s="11">
        <f t="shared" si="130"/>
        <v>82516.01</v>
      </c>
      <c r="V428" s="11">
        <f t="shared" si="131"/>
        <v>0</v>
      </c>
      <c r="W428" s="11">
        <f t="shared" si="132"/>
        <v>0</v>
      </c>
      <c r="X428" s="11">
        <f t="shared" si="133"/>
        <v>0</v>
      </c>
      <c r="Y428" s="11" t="str">
        <f t="shared" si="123"/>
        <v/>
      </c>
      <c r="Z428" s="13">
        <f t="shared" si="134"/>
        <v>46247</v>
      </c>
      <c r="AA428" s="10" t="str">
        <f>IF(OR($AA$116="错误",COUNTIF($G$117:G428,"待修正")&gt;0),"错误","正常")</f>
        <v>正常</v>
      </c>
      <c r="AB428" s="14">
        <f t="shared" si="135"/>
        <v>2.7686</v>
      </c>
    </row>
    <row r="429" ht="23" customHeight="1" spans="1:28">
      <c r="A429" s="15"/>
      <c r="B429" s="16"/>
      <c r="C429" s="17"/>
      <c r="D429" s="18"/>
      <c r="E429" s="19" t="str">
        <f t="shared" si="116"/>
        <v/>
      </c>
      <c r="F429" s="18"/>
      <c r="G429" s="20" t="str">
        <f t="shared" si="117"/>
        <v/>
      </c>
      <c r="H429" s="21" t="str">
        <f t="shared" si="118"/>
        <v/>
      </c>
      <c r="I429" s="10" t="str">
        <f>IF(COUNTA(A429:D429,F429)=0,"",IF(NOT(ISNUMBER(A429)),"缺少有效净值日期",IF(OR(A429&lt;=0,A429&lt;&gt;INT(A429)),"净值日期无效",IF(OR(B429="转换转入",B429="现金分红"),"该类型需实际金额，五项录入不适用",IF(NOT(OR(OR(B429="买入",B429="定投"),B429="卖出",B429="红利再投")),"请选择交易类型",IF(NOT(ISNUMBER(C429)),"缺少成交净值",IF(C429&lt;=0,"成交净值须大于零",IF(NOT(ISNUMBER(D429)),"缺少确认份额",IF(D429&lt;=0,"确认份额须大于零",IF(NOT(ISNUMBER(F429)),"缺少手续费，无费用请填 0",IF(F429&lt;0,"手续费不能为负",IF(AA428="错误","前行待修正",IF(A429&lt;Z428,"日期需按成交顺序递增",IF(AND(B429="红利再投",F429&lt;&gt;0),"红利再投手续费应填 0",IF(AND(B429="红利再投",K428&lt;=0),"红利再投前须有持仓",IF(AND(B429="卖出",D429&gt;K428+0.000001),"卖出份额超过持仓",IF(AND(B429="卖出",F429&gt;=C429*D429),"赎回费不能达到赎回总额",IF(NOT(ISNUMBER(E429)),"自动金额未生成，请检查五项输入",IF(NOT(OR(持仓总览!$C$7="利润优先",持仓总览!$C$7="本金优先")),"请选择卖出分配模式","已计入")))))))))))))))))))</f>
        <v/>
      </c>
      <c r="J429" s="11">
        <f t="shared" si="119"/>
        <v>0</v>
      </c>
      <c r="K429" s="11">
        <f t="shared" si="124"/>
        <v>34284.43</v>
      </c>
      <c r="L429" s="11" t="str">
        <f t="shared" si="125"/>
        <v/>
      </c>
      <c r="M429" s="11" t="str">
        <f t="shared" si="126"/>
        <v/>
      </c>
      <c r="N429" s="11" t="str">
        <f>IF(I429="已计入",IF(AND(B429="卖出",持仓总览!$C$7="本金优先"),MAX(0,E429-Q428),IF(OR(B429="卖出",B429="现金分红"),MIN(E429,M429),0)),"")</f>
        <v/>
      </c>
      <c r="O429" s="11" t="str">
        <f t="shared" si="127"/>
        <v/>
      </c>
      <c r="P429" s="11" t="str">
        <f t="shared" si="128"/>
        <v/>
      </c>
      <c r="Q429" s="11">
        <f t="shared" si="129"/>
        <v>82516.01</v>
      </c>
      <c r="R429" s="11" t="str">
        <f t="shared" si="120"/>
        <v/>
      </c>
      <c r="S429" s="11" t="str">
        <f t="shared" si="121"/>
        <v/>
      </c>
      <c r="T429" s="12" t="str">
        <f t="shared" si="122"/>
        <v/>
      </c>
      <c r="U429" s="11">
        <f t="shared" si="130"/>
        <v>82516.01</v>
      </c>
      <c r="V429" s="11">
        <f t="shared" si="131"/>
        <v>0</v>
      </c>
      <c r="W429" s="11">
        <f t="shared" si="132"/>
        <v>0</v>
      </c>
      <c r="X429" s="11">
        <f t="shared" si="133"/>
        <v>0</v>
      </c>
      <c r="Y429" s="11" t="str">
        <f t="shared" si="123"/>
        <v/>
      </c>
      <c r="Z429" s="13">
        <f t="shared" si="134"/>
        <v>46247</v>
      </c>
      <c r="AA429" s="10" t="str">
        <f>IF(OR($AA$116="错误",COUNTIF($G$117:G429,"待修正")&gt;0),"错误","正常")</f>
        <v>正常</v>
      </c>
      <c r="AB429" s="14">
        <f t="shared" si="135"/>
        <v>2.7686</v>
      </c>
    </row>
    <row r="430" ht="23" customHeight="1" spans="1:28">
      <c r="A430" s="15"/>
      <c r="B430" s="16"/>
      <c r="C430" s="17"/>
      <c r="D430" s="18"/>
      <c r="E430" s="19" t="str">
        <f t="shared" si="116"/>
        <v/>
      </c>
      <c r="F430" s="18"/>
      <c r="G430" s="20" t="str">
        <f t="shared" si="117"/>
        <v/>
      </c>
      <c r="H430" s="21" t="str">
        <f t="shared" si="118"/>
        <v/>
      </c>
      <c r="I430" s="10" t="str">
        <f>IF(COUNTA(A430:D430,F430)=0,"",IF(NOT(ISNUMBER(A430)),"缺少有效净值日期",IF(OR(A430&lt;=0,A430&lt;&gt;INT(A430)),"净值日期无效",IF(OR(B430="转换转入",B430="现金分红"),"该类型需实际金额，五项录入不适用",IF(NOT(OR(OR(B430="买入",B430="定投"),B430="卖出",B430="红利再投")),"请选择交易类型",IF(NOT(ISNUMBER(C430)),"缺少成交净值",IF(C430&lt;=0,"成交净值须大于零",IF(NOT(ISNUMBER(D430)),"缺少确认份额",IF(D430&lt;=0,"确认份额须大于零",IF(NOT(ISNUMBER(F430)),"缺少手续费，无费用请填 0",IF(F430&lt;0,"手续费不能为负",IF(AA429="错误","前行待修正",IF(A430&lt;Z429,"日期需按成交顺序递增",IF(AND(B430="红利再投",F430&lt;&gt;0),"红利再投手续费应填 0",IF(AND(B430="红利再投",K429&lt;=0),"红利再投前须有持仓",IF(AND(B430="卖出",D430&gt;K429+0.000001),"卖出份额超过持仓",IF(AND(B430="卖出",F430&gt;=C430*D430),"赎回费不能达到赎回总额",IF(NOT(ISNUMBER(E430)),"自动金额未生成，请检查五项输入",IF(NOT(OR(持仓总览!$C$7="利润优先",持仓总览!$C$7="本金优先")),"请选择卖出分配模式","已计入")))))))))))))))))))</f>
        <v/>
      </c>
      <c r="J430" s="11">
        <f t="shared" si="119"/>
        <v>0</v>
      </c>
      <c r="K430" s="11">
        <f t="shared" si="124"/>
        <v>34284.43</v>
      </c>
      <c r="L430" s="11" t="str">
        <f t="shared" si="125"/>
        <v/>
      </c>
      <c r="M430" s="11" t="str">
        <f t="shared" si="126"/>
        <v/>
      </c>
      <c r="N430" s="11" t="str">
        <f>IF(I430="已计入",IF(AND(B430="卖出",持仓总览!$C$7="本金优先"),MAX(0,E430-Q429),IF(OR(B430="卖出",B430="现金分红"),MIN(E430,M430),0)),"")</f>
        <v/>
      </c>
      <c r="O430" s="11" t="str">
        <f t="shared" si="127"/>
        <v/>
      </c>
      <c r="P430" s="11" t="str">
        <f t="shared" si="128"/>
        <v/>
      </c>
      <c r="Q430" s="11">
        <f t="shared" si="129"/>
        <v>82516.01</v>
      </c>
      <c r="R430" s="11" t="str">
        <f t="shared" si="120"/>
        <v/>
      </c>
      <c r="S430" s="11" t="str">
        <f t="shared" si="121"/>
        <v/>
      </c>
      <c r="T430" s="12" t="str">
        <f t="shared" si="122"/>
        <v/>
      </c>
      <c r="U430" s="11">
        <f t="shared" si="130"/>
        <v>82516.01</v>
      </c>
      <c r="V430" s="11">
        <f t="shared" si="131"/>
        <v>0</v>
      </c>
      <c r="W430" s="11">
        <f t="shared" si="132"/>
        <v>0</v>
      </c>
      <c r="X430" s="11">
        <f t="shared" si="133"/>
        <v>0</v>
      </c>
      <c r="Y430" s="11" t="str">
        <f t="shared" si="123"/>
        <v/>
      </c>
      <c r="Z430" s="13">
        <f t="shared" si="134"/>
        <v>46247</v>
      </c>
      <c r="AA430" s="10" t="str">
        <f>IF(OR($AA$116="错误",COUNTIF($G$117:G430,"待修正")&gt;0),"错误","正常")</f>
        <v>正常</v>
      </c>
      <c r="AB430" s="14">
        <f t="shared" si="135"/>
        <v>2.7686</v>
      </c>
    </row>
    <row r="431" ht="23" customHeight="1" spans="1:28">
      <c r="A431" s="15"/>
      <c r="B431" s="16"/>
      <c r="C431" s="17"/>
      <c r="D431" s="18"/>
      <c r="E431" s="19" t="str">
        <f t="shared" si="116"/>
        <v/>
      </c>
      <c r="F431" s="18"/>
      <c r="G431" s="20" t="str">
        <f t="shared" si="117"/>
        <v/>
      </c>
      <c r="H431" s="21" t="str">
        <f t="shared" si="118"/>
        <v/>
      </c>
      <c r="I431" s="10" t="str">
        <f>IF(COUNTA(A431:D431,F431)=0,"",IF(NOT(ISNUMBER(A431)),"缺少有效净值日期",IF(OR(A431&lt;=0,A431&lt;&gt;INT(A431)),"净值日期无效",IF(OR(B431="转换转入",B431="现金分红"),"该类型需实际金额，五项录入不适用",IF(NOT(OR(OR(B431="买入",B431="定投"),B431="卖出",B431="红利再投")),"请选择交易类型",IF(NOT(ISNUMBER(C431)),"缺少成交净值",IF(C431&lt;=0,"成交净值须大于零",IF(NOT(ISNUMBER(D431)),"缺少确认份额",IF(D431&lt;=0,"确认份额须大于零",IF(NOT(ISNUMBER(F431)),"缺少手续费，无费用请填 0",IF(F431&lt;0,"手续费不能为负",IF(AA430="错误","前行待修正",IF(A431&lt;Z430,"日期需按成交顺序递增",IF(AND(B431="红利再投",F431&lt;&gt;0),"红利再投手续费应填 0",IF(AND(B431="红利再投",K430&lt;=0),"红利再投前须有持仓",IF(AND(B431="卖出",D431&gt;K430+0.000001),"卖出份额超过持仓",IF(AND(B431="卖出",F431&gt;=C431*D431),"赎回费不能达到赎回总额",IF(NOT(ISNUMBER(E431)),"自动金额未生成，请检查五项输入",IF(NOT(OR(持仓总览!$C$7="利润优先",持仓总览!$C$7="本金优先")),"请选择卖出分配模式","已计入")))))))))))))))))))</f>
        <v/>
      </c>
      <c r="J431" s="11">
        <f t="shared" si="119"/>
        <v>0</v>
      </c>
      <c r="K431" s="11">
        <f t="shared" si="124"/>
        <v>34284.43</v>
      </c>
      <c r="L431" s="11" t="str">
        <f t="shared" si="125"/>
        <v/>
      </c>
      <c r="M431" s="11" t="str">
        <f t="shared" si="126"/>
        <v/>
      </c>
      <c r="N431" s="11" t="str">
        <f>IF(I431="已计入",IF(AND(B431="卖出",持仓总览!$C$7="本金优先"),MAX(0,E431-Q430),IF(OR(B431="卖出",B431="现金分红"),MIN(E431,M431),0)),"")</f>
        <v/>
      </c>
      <c r="O431" s="11" t="str">
        <f t="shared" si="127"/>
        <v/>
      </c>
      <c r="P431" s="11" t="str">
        <f t="shared" si="128"/>
        <v/>
      </c>
      <c r="Q431" s="11">
        <f t="shared" si="129"/>
        <v>82516.01</v>
      </c>
      <c r="R431" s="11" t="str">
        <f t="shared" si="120"/>
        <v/>
      </c>
      <c r="S431" s="11" t="str">
        <f t="shared" si="121"/>
        <v/>
      </c>
      <c r="T431" s="12" t="str">
        <f t="shared" si="122"/>
        <v/>
      </c>
      <c r="U431" s="11">
        <f t="shared" si="130"/>
        <v>82516.01</v>
      </c>
      <c r="V431" s="11">
        <f t="shared" si="131"/>
        <v>0</v>
      </c>
      <c r="W431" s="11">
        <f t="shared" si="132"/>
        <v>0</v>
      </c>
      <c r="X431" s="11">
        <f t="shared" si="133"/>
        <v>0</v>
      </c>
      <c r="Y431" s="11" t="str">
        <f t="shared" si="123"/>
        <v/>
      </c>
      <c r="Z431" s="13">
        <f t="shared" si="134"/>
        <v>46247</v>
      </c>
      <c r="AA431" s="10" t="str">
        <f>IF(OR($AA$116="错误",COUNTIF($G$117:G431,"待修正")&gt;0),"错误","正常")</f>
        <v>正常</v>
      </c>
      <c r="AB431" s="14">
        <f t="shared" si="135"/>
        <v>2.7686</v>
      </c>
    </row>
    <row r="432" ht="23" customHeight="1" spans="1:28">
      <c r="A432" s="15"/>
      <c r="B432" s="16"/>
      <c r="C432" s="17"/>
      <c r="D432" s="18"/>
      <c r="E432" s="19" t="str">
        <f t="shared" si="116"/>
        <v/>
      </c>
      <c r="F432" s="18"/>
      <c r="G432" s="20" t="str">
        <f t="shared" si="117"/>
        <v/>
      </c>
      <c r="H432" s="21" t="str">
        <f t="shared" si="118"/>
        <v/>
      </c>
      <c r="I432" s="10" t="str">
        <f>IF(COUNTA(A432:D432,F432)=0,"",IF(NOT(ISNUMBER(A432)),"缺少有效净值日期",IF(OR(A432&lt;=0,A432&lt;&gt;INT(A432)),"净值日期无效",IF(OR(B432="转换转入",B432="现金分红"),"该类型需实际金额，五项录入不适用",IF(NOT(OR(OR(B432="买入",B432="定投"),B432="卖出",B432="红利再投")),"请选择交易类型",IF(NOT(ISNUMBER(C432)),"缺少成交净值",IF(C432&lt;=0,"成交净值须大于零",IF(NOT(ISNUMBER(D432)),"缺少确认份额",IF(D432&lt;=0,"确认份额须大于零",IF(NOT(ISNUMBER(F432)),"缺少手续费，无费用请填 0",IF(F432&lt;0,"手续费不能为负",IF(AA431="错误","前行待修正",IF(A432&lt;Z431,"日期需按成交顺序递增",IF(AND(B432="红利再投",F432&lt;&gt;0),"红利再投手续费应填 0",IF(AND(B432="红利再投",K431&lt;=0),"红利再投前须有持仓",IF(AND(B432="卖出",D432&gt;K431+0.000001),"卖出份额超过持仓",IF(AND(B432="卖出",F432&gt;=C432*D432),"赎回费不能达到赎回总额",IF(NOT(ISNUMBER(E432)),"自动金额未生成，请检查五项输入",IF(NOT(OR(持仓总览!$C$7="利润优先",持仓总览!$C$7="本金优先")),"请选择卖出分配模式","已计入")))))))))))))))))))</f>
        <v/>
      </c>
      <c r="J432" s="11">
        <f t="shared" si="119"/>
        <v>0</v>
      </c>
      <c r="K432" s="11">
        <f t="shared" si="124"/>
        <v>34284.43</v>
      </c>
      <c r="L432" s="11" t="str">
        <f t="shared" si="125"/>
        <v/>
      </c>
      <c r="M432" s="11" t="str">
        <f t="shared" si="126"/>
        <v/>
      </c>
      <c r="N432" s="11" t="str">
        <f>IF(I432="已计入",IF(AND(B432="卖出",持仓总览!$C$7="本金优先"),MAX(0,E432-Q431),IF(OR(B432="卖出",B432="现金分红"),MIN(E432,M432),0)),"")</f>
        <v/>
      </c>
      <c r="O432" s="11" t="str">
        <f t="shared" si="127"/>
        <v/>
      </c>
      <c r="P432" s="11" t="str">
        <f t="shared" si="128"/>
        <v/>
      </c>
      <c r="Q432" s="11">
        <f t="shared" si="129"/>
        <v>82516.01</v>
      </c>
      <c r="R432" s="11" t="str">
        <f t="shared" si="120"/>
        <v/>
      </c>
      <c r="S432" s="11" t="str">
        <f t="shared" si="121"/>
        <v/>
      </c>
      <c r="T432" s="12" t="str">
        <f t="shared" si="122"/>
        <v/>
      </c>
      <c r="U432" s="11">
        <f t="shared" si="130"/>
        <v>82516.01</v>
      </c>
      <c r="V432" s="11">
        <f t="shared" si="131"/>
        <v>0</v>
      </c>
      <c r="W432" s="11">
        <f t="shared" si="132"/>
        <v>0</v>
      </c>
      <c r="X432" s="11">
        <f t="shared" si="133"/>
        <v>0</v>
      </c>
      <c r="Y432" s="11" t="str">
        <f t="shared" si="123"/>
        <v/>
      </c>
      <c r="Z432" s="13">
        <f t="shared" si="134"/>
        <v>46247</v>
      </c>
      <c r="AA432" s="10" t="str">
        <f>IF(OR($AA$116="错误",COUNTIF($G$117:G432,"待修正")&gt;0),"错误","正常")</f>
        <v>正常</v>
      </c>
      <c r="AB432" s="14">
        <f t="shared" si="135"/>
        <v>2.7686</v>
      </c>
    </row>
    <row r="433" ht="23" customHeight="1" spans="1:28">
      <c r="A433" s="15"/>
      <c r="B433" s="16"/>
      <c r="C433" s="17"/>
      <c r="D433" s="18"/>
      <c r="E433" s="19" t="str">
        <f t="shared" si="116"/>
        <v/>
      </c>
      <c r="F433" s="18"/>
      <c r="G433" s="20" t="str">
        <f t="shared" si="117"/>
        <v/>
      </c>
      <c r="H433" s="21" t="str">
        <f t="shared" si="118"/>
        <v/>
      </c>
      <c r="I433" s="10" t="str">
        <f>IF(COUNTA(A433:D433,F433)=0,"",IF(NOT(ISNUMBER(A433)),"缺少有效净值日期",IF(OR(A433&lt;=0,A433&lt;&gt;INT(A433)),"净值日期无效",IF(OR(B433="转换转入",B433="现金分红"),"该类型需实际金额，五项录入不适用",IF(NOT(OR(OR(B433="买入",B433="定投"),B433="卖出",B433="红利再投")),"请选择交易类型",IF(NOT(ISNUMBER(C433)),"缺少成交净值",IF(C433&lt;=0,"成交净值须大于零",IF(NOT(ISNUMBER(D433)),"缺少确认份额",IF(D433&lt;=0,"确认份额须大于零",IF(NOT(ISNUMBER(F433)),"缺少手续费，无费用请填 0",IF(F433&lt;0,"手续费不能为负",IF(AA432="错误","前行待修正",IF(A433&lt;Z432,"日期需按成交顺序递增",IF(AND(B433="红利再投",F433&lt;&gt;0),"红利再投手续费应填 0",IF(AND(B433="红利再投",K432&lt;=0),"红利再投前须有持仓",IF(AND(B433="卖出",D433&gt;K432+0.000001),"卖出份额超过持仓",IF(AND(B433="卖出",F433&gt;=C433*D433),"赎回费不能达到赎回总额",IF(NOT(ISNUMBER(E433)),"自动金额未生成，请检查五项输入",IF(NOT(OR(持仓总览!$C$7="利润优先",持仓总览!$C$7="本金优先")),"请选择卖出分配模式","已计入")))))))))))))))))))</f>
        <v/>
      </c>
      <c r="J433" s="11">
        <f t="shared" si="119"/>
        <v>0</v>
      </c>
      <c r="K433" s="11">
        <f t="shared" si="124"/>
        <v>34284.43</v>
      </c>
      <c r="L433" s="11" t="str">
        <f t="shared" si="125"/>
        <v/>
      </c>
      <c r="M433" s="11" t="str">
        <f t="shared" si="126"/>
        <v/>
      </c>
      <c r="N433" s="11" t="str">
        <f>IF(I433="已计入",IF(AND(B433="卖出",持仓总览!$C$7="本金优先"),MAX(0,E433-Q432),IF(OR(B433="卖出",B433="现金分红"),MIN(E433,M433),0)),"")</f>
        <v/>
      </c>
      <c r="O433" s="11" t="str">
        <f t="shared" si="127"/>
        <v/>
      </c>
      <c r="P433" s="11" t="str">
        <f t="shared" si="128"/>
        <v/>
      </c>
      <c r="Q433" s="11">
        <f t="shared" si="129"/>
        <v>82516.01</v>
      </c>
      <c r="R433" s="11" t="str">
        <f t="shared" si="120"/>
        <v/>
      </c>
      <c r="S433" s="11" t="str">
        <f t="shared" si="121"/>
        <v/>
      </c>
      <c r="T433" s="12" t="str">
        <f t="shared" si="122"/>
        <v/>
      </c>
      <c r="U433" s="11">
        <f t="shared" si="130"/>
        <v>82516.01</v>
      </c>
      <c r="V433" s="11">
        <f t="shared" si="131"/>
        <v>0</v>
      </c>
      <c r="W433" s="11">
        <f t="shared" si="132"/>
        <v>0</v>
      </c>
      <c r="X433" s="11">
        <f t="shared" si="133"/>
        <v>0</v>
      </c>
      <c r="Y433" s="11" t="str">
        <f t="shared" si="123"/>
        <v/>
      </c>
      <c r="Z433" s="13">
        <f t="shared" si="134"/>
        <v>46247</v>
      </c>
      <c r="AA433" s="10" t="str">
        <f>IF(OR($AA$116="错误",COUNTIF($G$117:G433,"待修正")&gt;0),"错误","正常")</f>
        <v>正常</v>
      </c>
      <c r="AB433" s="14">
        <f t="shared" si="135"/>
        <v>2.7686</v>
      </c>
    </row>
    <row r="434" ht="23" customHeight="1" spans="1:28">
      <c r="A434" s="15"/>
      <c r="B434" s="16"/>
      <c r="C434" s="17"/>
      <c r="D434" s="18"/>
      <c r="E434" s="19" t="str">
        <f t="shared" si="116"/>
        <v/>
      </c>
      <c r="F434" s="18"/>
      <c r="G434" s="20" t="str">
        <f t="shared" si="117"/>
        <v/>
      </c>
      <c r="H434" s="21" t="str">
        <f t="shared" si="118"/>
        <v/>
      </c>
      <c r="I434" s="10" t="str">
        <f>IF(COUNTA(A434:D434,F434)=0,"",IF(NOT(ISNUMBER(A434)),"缺少有效净值日期",IF(OR(A434&lt;=0,A434&lt;&gt;INT(A434)),"净值日期无效",IF(OR(B434="转换转入",B434="现金分红"),"该类型需实际金额，五项录入不适用",IF(NOT(OR(OR(B434="买入",B434="定投"),B434="卖出",B434="红利再投")),"请选择交易类型",IF(NOT(ISNUMBER(C434)),"缺少成交净值",IF(C434&lt;=0,"成交净值须大于零",IF(NOT(ISNUMBER(D434)),"缺少确认份额",IF(D434&lt;=0,"确认份额须大于零",IF(NOT(ISNUMBER(F434)),"缺少手续费，无费用请填 0",IF(F434&lt;0,"手续费不能为负",IF(AA433="错误","前行待修正",IF(A434&lt;Z433,"日期需按成交顺序递增",IF(AND(B434="红利再投",F434&lt;&gt;0),"红利再投手续费应填 0",IF(AND(B434="红利再投",K433&lt;=0),"红利再投前须有持仓",IF(AND(B434="卖出",D434&gt;K433+0.000001),"卖出份额超过持仓",IF(AND(B434="卖出",F434&gt;=C434*D434),"赎回费不能达到赎回总额",IF(NOT(ISNUMBER(E434)),"自动金额未生成，请检查五项输入",IF(NOT(OR(持仓总览!$C$7="利润优先",持仓总览!$C$7="本金优先")),"请选择卖出分配模式","已计入")))))))))))))))))))</f>
        <v/>
      </c>
      <c r="J434" s="11">
        <f t="shared" si="119"/>
        <v>0</v>
      </c>
      <c r="K434" s="11">
        <f t="shared" si="124"/>
        <v>34284.43</v>
      </c>
      <c r="L434" s="11" t="str">
        <f t="shared" si="125"/>
        <v/>
      </c>
      <c r="M434" s="11" t="str">
        <f t="shared" si="126"/>
        <v/>
      </c>
      <c r="N434" s="11" t="str">
        <f>IF(I434="已计入",IF(AND(B434="卖出",持仓总览!$C$7="本金优先"),MAX(0,E434-Q433),IF(OR(B434="卖出",B434="现金分红"),MIN(E434,M434),0)),"")</f>
        <v/>
      </c>
      <c r="O434" s="11" t="str">
        <f t="shared" si="127"/>
        <v/>
      </c>
      <c r="P434" s="11" t="str">
        <f t="shared" si="128"/>
        <v/>
      </c>
      <c r="Q434" s="11">
        <f t="shared" si="129"/>
        <v>82516.01</v>
      </c>
      <c r="R434" s="11" t="str">
        <f t="shared" si="120"/>
        <v/>
      </c>
      <c r="S434" s="11" t="str">
        <f t="shared" si="121"/>
        <v/>
      </c>
      <c r="T434" s="12" t="str">
        <f t="shared" si="122"/>
        <v/>
      </c>
      <c r="U434" s="11">
        <f t="shared" si="130"/>
        <v>82516.01</v>
      </c>
      <c r="V434" s="11">
        <f t="shared" si="131"/>
        <v>0</v>
      </c>
      <c r="W434" s="11">
        <f t="shared" si="132"/>
        <v>0</v>
      </c>
      <c r="X434" s="11">
        <f t="shared" si="133"/>
        <v>0</v>
      </c>
      <c r="Y434" s="11" t="str">
        <f t="shared" si="123"/>
        <v/>
      </c>
      <c r="Z434" s="13">
        <f t="shared" si="134"/>
        <v>46247</v>
      </c>
      <c r="AA434" s="10" t="str">
        <f>IF(OR($AA$116="错误",COUNTIF($G$117:G434,"待修正")&gt;0),"错误","正常")</f>
        <v>正常</v>
      </c>
      <c r="AB434" s="14">
        <f t="shared" si="135"/>
        <v>2.7686</v>
      </c>
    </row>
    <row r="435" ht="23" customHeight="1" spans="1:28">
      <c r="A435" s="15"/>
      <c r="B435" s="16"/>
      <c r="C435" s="17"/>
      <c r="D435" s="18"/>
      <c r="E435" s="19" t="str">
        <f t="shared" si="116"/>
        <v/>
      </c>
      <c r="F435" s="18"/>
      <c r="G435" s="20" t="str">
        <f t="shared" si="117"/>
        <v/>
      </c>
      <c r="H435" s="21" t="str">
        <f t="shared" si="118"/>
        <v/>
      </c>
      <c r="I435" s="10" t="str">
        <f>IF(COUNTA(A435:D435,F435)=0,"",IF(NOT(ISNUMBER(A435)),"缺少有效净值日期",IF(OR(A435&lt;=0,A435&lt;&gt;INT(A435)),"净值日期无效",IF(OR(B435="转换转入",B435="现金分红"),"该类型需实际金额，五项录入不适用",IF(NOT(OR(OR(B435="买入",B435="定投"),B435="卖出",B435="红利再投")),"请选择交易类型",IF(NOT(ISNUMBER(C435)),"缺少成交净值",IF(C435&lt;=0,"成交净值须大于零",IF(NOT(ISNUMBER(D435)),"缺少确认份额",IF(D435&lt;=0,"确认份额须大于零",IF(NOT(ISNUMBER(F435)),"缺少手续费，无费用请填 0",IF(F435&lt;0,"手续费不能为负",IF(AA434="错误","前行待修正",IF(A435&lt;Z434,"日期需按成交顺序递增",IF(AND(B435="红利再投",F435&lt;&gt;0),"红利再投手续费应填 0",IF(AND(B435="红利再投",K434&lt;=0),"红利再投前须有持仓",IF(AND(B435="卖出",D435&gt;K434+0.000001),"卖出份额超过持仓",IF(AND(B435="卖出",F435&gt;=C435*D435),"赎回费不能达到赎回总额",IF(NOT(ISNUMBER(E435)),"自动金额未生成，请检查五项输入",IF(NOT(OR(持仓总览!$C$7="利润优先",持仓总览!$C$7="本金优先")),"请选择卖出分配模式","已计入")))))))))))))))))))</f>
        <v/>
      </c>
      <c r="J435" s="11">
        <f t="shared" si="119"/>
        <v>0</v>
      </c>
      <c r="K435" s="11">
        <f t="shared" si="124"/>
        <v>34284.43</v>
      </c>
      <c r="L435" s="11" t="str">
        <f t="shared" si="125"/>
        <v/>
      </c>
      <c r="M435" s="11" t="str">
        <f t="shared" si="126"/>
        <v/>
      </c>
      <c r="N435" s="11" t="str">
        <f>IF(I435="已计入",IF(AND(B435="卖出",持仓总览!$C$7="本金优先"),MAX(0,E435-Q434),IF(OR(B435="卖出",B435="现金分红"),MIN(E435,M435),0)),"")</f>
        <v/>
      </c>
      <c r="O435" s="11" t="str">
        <f t="shared" si="127"/>
        <v/>
      </c>
      <c r="P435" s="11" t="str">
        <f t="shared" si="128"/>
        <v/>
      </c>
      <c r="Q435" s="11">
        <f t="shared" si="129"/>
        <v>82516.01</v>
      </c>
      <c r="R435" s="11" t="str">
        <f t="shared" si="120"/>
        <v/>
      </c>
      <c r="S435" s="11" t="str">
        <f t="shared" si="121"/>
        <v/>
      </c>
      <c r="T435" s="12" t="str">
        <f t="shared" si="122"/>
        <v/>
      </c>
      <c r="U435" s="11">
        <f t="shared" si="130"/>
        <v>82516.01</v>
      </c>
      <c r="V435" s="11">
        <f t="shared" si="131"/>
        <v>0</v>
      </c>
      <c r="W435" s="11">
        <f t="shared" si="132"/>
        <v>0</v>
      </c>
      <c r="X435" s="11">
        <f t="shared" si="133"/>
        <v>0</v>
      </c>
      <c r="Y435" s="11" t="str">
        <f t="shared" si="123"/>
        <v/>
      </c>
      <c r="Z435" s="13">
        <f t="shared" si="134"/>
        <v>46247</v>
      </c>
      <c r="AA435" s="10" t="str">
        <f>IF(OR($AA$116="错误",COUNTIF($G$117:G435,"待修正")&gt;0),"错误","正常")</f>
        <v>正常</v>
      </c>
      <c r="AB435" s="14">
        <f t="shared" si="135"/>
        <v>2.7686</v>
      </c>
    </row>
    <row r="436" ht="23" customHeight="1" spans="1:28">
      <c r="A436" s="15"/>
      <c r="B436" s="16"/>
      <c r="C436" s="17"/>
      <c r="D436" s="18"/>
      <c r="E436" s="19" t="str">
        <f t="shared" si="116"/>
        <v/>
      </c>
      <c r="F436" s="18"/>
      <c r="G436" s="20" t="str">
        <f t="shared" si="117"/>
        <v/>
      </c>
      <c r="H436" s="21" t="str">
        <f t="shared" si="118"/>
        <v/>
      </c>
      <c r="I436" s="10" t="str">
        <f>IF(COUNTA(A436:D436,F436)=0,"",IF(NOT(ISNUMBER(A436)),"缺少有效净值日期",IF(OR(A436&lt;=0,A436&lt;&gt;INT(A436)),"净值日期无效",IF(OR(B436="转换转入",B436="现金分红"),"该类型需实际金额，五项录入不适用",IF(NOT(OR(OR(B436="买入",B436="定投"),B436="卖出",B436="红利再投")),"请选择交易类型",IF(NOT(ISNUMBER(C436)),"缺少成交净值",IF(C436&lt;=0,"成交净值须大于零",IF(NOT(ISNUMBER(D436)),"缺少确认份额",IF(D436&lt;=0,"确认份额须大于零",IF(NOT(ISNUMBER(F436)),"缺少手续费，无费用请填 0",IF(F436&lt;0,"手续费不能为负",IF(AA435="错误","前行待修正",IF(A436&lt;Z435,"日期需按成交顺序递增",IF(AND(B436="红利再投",F436&lt;&gt;0),"红利再投手续费应填 0",IF(AND(B436="红利再投",K435&lt;=0),"红利再投前须有持仓",IF(AND(B436="卖出",D436&gt;K435+0.000001),"卖出份额超过持仓",IF(AND(B436="卖出",F436&gt;=C436*D436),"赎回费不能达到赎回总额",IF(NOT(ISNUMBER(E436)),"自动金额未生成，请检查五项输入",IF(NOT(OR(持仓总览!$C$7="利润优先",持仓总览!$C$7="本金优先")),"请选择卖出分配模式","已计入")))))))))))))))))))</f>
        <v/>
      </c>
      <c r="J436" s="11">
        <f t="shared" si="119"/>
        <v>0</v>
      </c>
      <c r="K436" s="11">
        <f t="shared" si="124"/>
        <v>34284.43</v>
      </c>
      <c r="L436" s="11" t="str">
        <f t="shared" si="125"/>
        <v/>
      </c>
      <c r="M436" s="11" t="str">
        <f t="shared" si="126"/>
        <v/>
      </c>
      <c r="N436" s="11" t="str">
        <f>IF(I436="已计入",IF(AND(B436="卖出",持仓总览!$C$7="本金优先"),MAX(0,E436-Q435),IF(OR(B436="卖出",B436="现金分红"),MIN(E436,M436),0)),"")</f>
        <v/>
      </c>
      <c r="O436" s="11" t="str">
        <f t="shared" si="127"/>
        <v/>
      </c>
      <c r="P436" s="11" t="str">
        <f t="shared" si="128"/>
        <v/>
      </c>
      <c r="Q436" s="11">
        <f t="shared" si="129"/>
        <v>82516.01</v>
      </c>
      <c r="R436" s="11" t="str">
        <f t="shared" si="120"/>
        <v/>
      </c>
      <c r="S436" s="11" t="str">
        <f t="shared" si="121"/>
        <v/>
      </c>
      <c r="T436" s="12" t="str">
        <f t="shared" si="122"/>
        <v/>
      </c>
      <c r="U436" s="11">
        <f t="shared" si="130"/>
        <v>82516.01</v>
      </c>
      <c r="V436" s="11">
        <f t="shared" si="131"/>
        <v>0</v>
      </c>
      <c r="W436" s="11">
        <f t="shared" si="132"/>
        <v>0</v>
      </c>
      <c r="X436" s="11">
        <f t="shared" si="133"/>
        <v>0</v>
      </c>
      <c r="Y436" s="11" t="str">
        <f t="shared" si="123"/>
        <v/>
      </c>
      <c r="Z436" s="13">
        <f t="shared" si="134"/>
        <v>46247</v>
      </c>
      <c r="AA436" s="10" t="str">
        <f>IF(OR($AA$116="错误",COUNTIF($G$117:G436,"待修正")&gt;0),"错误","正常")</f>
        <v>正常</v>
      </c>
      <c r="AB436" s="14">
        <f t="shared" si="135"/>
        <v>2.7686</v>
      </c>
    </row>
    <row r="437" ht="23" customHeight="1" spans="1:28">
      <c r="A437" s="15"/>
      <c r="B437" s="16"/>
      <c r="C437" s="17"/>
      <c r="D437" s="18"/>
      <c r="E437" s="19" t="str">
        <f t="shared" ref="E437:E500" si="136">IF(AND(ISNUMBER(C437),ISNUMBER(D437),ISNUMBER(F437)),IF(OR(B437="买入",B437="定投"),ROUND(C437*D437+F437,2),IF(B437="卖出",ROUND(C437*D437-F437,2),IF(B437="红利再投",0,""))),"")</f>
        <v/>
      </c>
      <c r="F437" s="18"/>
      <c r="G437" s="20" t="str">
        <f t="shared" ref="G437:G500" si="137">IF(COUNTA(A437:D437,F437)=0,"",IF(I437="已计入","已录入","待修正"))</f>
        <v/>
      </c>
      <c r="H437" s="21" t="str">
        <f t="shared" ref="H437:H500" si="138">IF(COUNTA(A437:D437,F437)=0,"",IF(B437="红利再投","仅增加份额，不增加现金投入","金额由份额、净值和手续费推算"))</f>
        <v/>
      </c>
      <c r="I437" s="10" t="str">
        <f>IF(COUNTA(A437:D437,F437)=0,"",IF(NOT(ISNUMBER(A437)),"缺少有效净值日期",IF(OR(A437&lt;=0,A437&lt;&gt;INT(A437)),"净值日期无效",IF(OR(B437="转换转入",B437="现金分红"),"该类型需实际金额，五项录入不适用",IF(NOT(OR(OR(B437="买入",B437="定投"),B437="卖出",B437="红利再投")),"请选择交易类型",IF(NOT(ISNUMBER(C437)),"缺少成交净值",IF(C437&lt;=0,"成交净值须大于零",IF(NOT(ISNUMBER(D437)),"缺少确认份额",IF(D437&lt;=0,"确认份额须大于零",IF(NOT(ISNUMBER(F437)),"缺少手续费，无费用请填 0",IF(F437&lt;0,"手续费不能为负",IF(AA436="错误","前行待修正",IF(A437&lt;Z436,"日期需按成交顺序递增",IF(AND(B437="红利再投",F437&lt;&gt;0),"红利再投手续费应填 0",IF(AND(B437="红利再投",K436&lt;=0),"红利再投前须有持仓",IF(AND(B437="卖出",D437&gt;K436+0.000001),"卖出份额超过持仓",IF(AND(B437="卖出",F437&gt;=C437*D437),"赎回费不能达到赎回总额",IF(NOT(ISNUMBER(E437)),"自动金额未生成，请检查五项输入",IF(NOT(OR(持仓总览!$C$7="利润优先",持仓总览!$C$7="本金优先")),"请选择卖出分配模式","已计入")))))))))))))))))))</f>
        <v/>
      </c>
      <c r="J437" s="11">
        <f t="shared" si="119"/>
        <v>0</v>
      </c>
      <c r="K437" s="11">
        <f t="shared" si="124"/>
        <v>34284.43</v>
      </c>
      <c r="L437" s="11" t="str">
        <f t="shared" si="125"/>
        <v/>
      </c>
      <c r="M437" s="11" t="str">
        <f t="shared" si="126"/>
        <v/>
      </c>
      <c r="N437" s="11" t="str">
        <f>IF(I437="已计入",IF(AND(B437="卖出",持仓总览!$C$7="本金优先"),MAX(0,E437-Q436),IF(OR(B437="卖出",B437="现金分红"),MIN(E437,M437),0)),"")</f>
        <v/>
      </c>
      <c r="O437" s="11" t="str">
        <f t="shared" si="127"/>
        <v/>
      </c>
      <c r="P437" s="11" t="str">
        <f t="shared" si="128"/>
        <v/>
      </c>
      <c r="Q437" s="11">
        <f t="shared" si="129"/>
        <v>82516.01</v>
      </c>
      <c r="R437" s="11" t="str">
        <f t="shared" si="120"/>
        <v/>
      </c>
      <c r="S437" s="11" t="str">
        <f t="shared" si="121"/>
        <v/>
      </c>
      <c r="T437" s="12" t="str">
        <f t="shared" si="122"/>
        <v/>
      </c>
      <c r="U437" s="11">
        <f t="shared" si="130"/>
        <v>82516.01</v>
      </c>
      <c r="V437" s="11">
        <f t="shared" si="131"/>
        <v>0</v>
      </c>
      <c r="W437" s="11">
        <f t="shared" si="132"/>
        <v>0</v>
      </c>
      <c r="X437" s="11">
        <f t="shared" si="133"/>
        <v>0</v>
      </c>
      <c r="Y437" s="11" t="str">
        <f t="shared" si="123"/>
        <v/>
      </c>
      <c r="Z437" s="13">
        <f t="shared" si="134"/>
        <v>46247</v>
      </c>
      <c r="AA437" s="10" t="str">
        <f>IF(OR($AA$116="错误",COUNTIF($G$117:G437,"待修正")&gt;0),"错误","正常")</f>
        <v>正常</v>
      </c>
      <c r="AB437" s="14">
        <f t="shared" si="135"/>
        <v>2.7686</v>
      </c>
    </row>
    <row r="438" ht="23" customHeight="1" spans="1:28">
      <c r="A438" s="15"/>
      <c r="B438" s="16"/>
      <c r="C438" s="17"/>
      <c r="D438" s="18"/>
      <c r="E438" s="19" t="str">
        <f t="shared" si="136"/>
        <v/>
      </c>
      <c r="F438" s="18"/>
      <c r="G438" s="20" t="str">
        <f t="shared" si="137"/>
        <v/>
      </c>
      <c r="H438" s="21" t="str">
        <f t="shared" si="138"/>
        <v/>
      </c>
      <c r="I438" s="10" t="str">
        <f>IF(COUNTA(A438:D438,F438)=0,"",IF(NOT(ISNUMBER(A438)),"缺少有效净值日期",IF(OR(A438&lt;=0,A438&lt;&gt;INT(A438)),"净值日期无效",IF(OR(B438="转换转入",B438="现金分红"),"该类型需实际金额，五项录入不适用",IF(NOT(OR(OR(B438="买入",B438="定投"),B438="卖出",B438="红利再投")),"请选择交易类型",IF(NOT(ISNUMBER(C438)),"缺少成交净值",IF(C438&lt;=0,"成交净值须大于零",IF(NOT(ISNUMBER(D438)),"缺少确认份额",IF(D438&lt;=0,"确认份额须大于零",IF(NOT(ISNUMBER(F438)),"缺少手续费，无费用请填 0",IF(F438&lt;0,"手续费不能为负",IF(AA437="错误","前行待修正",IF(A438&lt;Z437,"日期需按成交顺序递增",IF(AND(B438="红利再投",F438&lt;&gt;0),"红利再投手续费应填 0",IF(AND(B438="红利再投",K437&lt;=0),"红利再投前须有持仓",IF(AND(B438="卖出",D438&gt;K437+0.000001),"卖出份额超过持仓",IF(AND(B438="卖出",F438&gt;=C438*D438),"赎回费不能达到赎回总额",IF(NOT(ISNUMBER(E438)),"自动金额未生成，请检查五项输入",IF(NOT(OR(持仓总览!$C$7="利润优先",持仓总览!$C$7="本金优先")),"请选择卖出分配模式","已计入")))))))))))))))))))</f>
        <v/>
      </c>
      <c r="J438" s="11">
        <f t="shared" si="119"/>
        <v>0</v>
      </c>
      <c r="K438" s="11">
        <f t="shared" si="124"/>
        <v>34284.43</v>
      </c>
      <c r="L438" s="11" t="str">
        <f t="shared" si="125"/>
        <v/>
      </c>
      <c r="M438" s="11" t="str">
        <f t="shared" si="126"/>
        <v/>
      </c>
      <c r="N438" s="11" t="str">
        <f>IF(I438="已计入",IF(AND(B438="卖出",持仓总览!$C$7="本金优先"),MAX(0,E438-Q437),IF(OR(B438="卖出",B438="现金分红"),MIN(E438,M438),0)),"")</f>
        <v/>
      </c>
      <c r="O438" s="11" t="str">
        <f t="shared" si="127"/>
        <v/>
      </c>
      <c r="P438" s="11" t="str">
        <f t="shared" si="128"/>
        <v/>
      </c>
      <c r="Q438" s="11">
        <f t="shared" si="129"/>
        <v>82516.01</v>
      </c>
      <c r="R438" s="11" t="str">
        <f t="shared" si="120"/>
        <v/>
      </c>
      <c r="S438" s="11" t="str">
        <f t="shared" si="121"/>
        <v/>
      </c>
      <c r="T438" s="12" t="str">
        <f t="shared" si="122"/>
        <v/>
      </c>
      <c r="U438" s="11">
        <f t="shared" si="130"/>
        <v>82516.01</v>
      </c>
      <c r="V438" s="11">
        <f t="shared" si="131"/>
        <v>0</v>
      </c>
      <c r="W438" s="11">
        <f t="shared" si="132"/>
        <v>0</v>
      </c>
      <c r="X438" s="11">
        <f t="shared" si="133"/>
        <v>0</v>
      </c>
      <c r="Y438" s="11" t="str">
        <f t="shared" si="123"/>
        <v/>
      </c>
      <c r="Z438" s="13">
        <f t="shared" si="134"/>
        <v>46247</v>
      </c>
      <c r="AA438" s="10" t="str">
        <f>IF(OR($AA$116="错误",COUNTIF($G$117:G438,"待修正")&gt;0),"错误","正常")</f>
        <v>正常</v>
      </c>
      <c r="AB438" s="14">
        <f t="shared" si="135"/>
        <v>2.7686</v>
      </c>
    </row>
    <row r="439" ht="23" customHeight="1" spans="1:28">
      <c r="A439" s="15"/>
      <c r="B439" s="16"/>
      <c r="C439" s="17"/>
      <c r="D439" s="18"/>
      <c r="E439" s="19" t="str">
        <f t="shared" si="136"/>
        <v/>
      </c>
      <c r="F439" s="18"/>
      <c r="G439" s="20" t="str">
        <f t="shared" si="137"/>
        <v/>
      </c>
      <c r="H439" s="21" t="str">
        <f t="shared" si="138"/>
        <v/>
      </c>
      <c r="I439" s="10" t="str">
        <f>IF(COUNTA(A439:D439,F439)=0,"",IF(NOT(ISNUMBER(A439)),"缺少有效净值日期",IF(OR(A439&lt;=0,A439&lt;&gt;INT(A439)),"净值日期无效",IF(OR(B439="转换转入",B439="现金分红"),"该类型需实际金额，五项录入不适用",IF(NOT(OR(OR(B439="买入",B439="定投"),B439="卖出",B439="红利再投")),"请选择交易类型",IF(NOT(ISNUMBER(C439)),"缺少成交净值",IF(C439&lt;=0,"成交净值须大于零",IF(NOT(ISNUMBER(D439)),"缺少确认份额",IF(D439&lt;=0,"确认份额须大于零",IF(NOT(ISNUMBER(F439)),"缺少手续费，无费用请填 0",IF(F439&lt;0,"手续费不能为负",IF(AA438="错误","前行待修正",IF(A439&lt;Z438,"日期需按成交顺序递增",IF(AND(B439="红利再投",F439&lt;&gt;0),"红利再投手续费应填 0",IF(AND(B439="红利再投",K438&lt;=0),"红利再投前须有持仓",IF(AND(B439="卖出",D439&gt;K438+0.000001),"卖出份额超过持仓",IF(AND(B439="卖出",F439&gt;=C439*D439),"赎回费不能达到赎回总额",IF(NOT(ISNUMBER(E439)),"自动金额未生成，请检查五项输入",IF(NOT(OR(持仓总览!$C$7="利润优先",持仓总览!$C$7="本金优先")),"请选择卖出分配模式","已计入")))))))))))))))))))</f>
        <v/>
      </c>
      <c r="J439" s="11">
        <f t="shared" si="119"/>
        <v>0</v>
      </c>
      <c r="K439" s="11">
        <f t="shared" si="124"/>
        <v>34284.43</v>
      </c>
      <c r="L439" s="11" t="str">
        <f t="shared" si="125"/>
        <v/>
      </c>
      <c r="M439" s="11" t="str">
        <f t="shared" si="126"/>
        <v/>
      </c>
      <c r="N439" s="11" t="str">
        <f>IF(I439="已计入",IF(AND(B439="卖出",持仓总览!$C$7="本金优先"),MAX(0,E439-Q438),IF(OR(B439="卖出",B439="现金分红"),MIN(E439,M439),0)),"")</f>
        <v/>
      </c>
      <c r="O439" s="11" t="str">
        <f t="shared" si="127"/>
        <v/>
      </c>
      <c r="P439" s="11" t="str">
        <f t="shared" si="128"/>
        <v/>
      </c>
      <c r="Q439" s="11">
        <f t="shared" si="129"/>
        <v>82516.01</v>
      </c>
      <c r="R439" s="11" t="str">
        <f t="shared" si="120"/>
        <v/>
      </c>
      <c r="S439" s="11" t="str">
        <f t="shared" si="121"/>
        <v/>
      </c>
      <c r="T439" s="12" t="str">
        <f t="shared" si="122"/>
        <v/>
      </c>
      <c r="U439" s="11">
        <f t="shared" si="130"/>
        <v>82516.01</v>
      </c>
      <c r="V439" s="11">
        <f t="shared" si="131"/>
        <v>0</v>
      </c>
      <c r="W439" s="11">
        <f t="shared" si="132"/>
        <v>0</v>
      </c>
      <c r="X439" s="11">
        <f t="shared" si="133"/>
        <v>0</v>
      </c>
      <c r="Y439" s="11" t="str">
        <f t="shared" si="123"/>
        <v/>
      </c>
      <c r="Z439" s="13">
        <f t="shared" si="134"/>
        <v>46247</v>
      </c>
      <c r="AA439" s="10" t="str">
        <f>IF(OR($AA$116="错误",COUNTIF($G$117:G439,"待修正")&gt;0),"错误","正常")</f>
        <v>正常</v>
      </c>
      <c r="AB439" s="14">
        <f t="shared" si="135"/>
        <v>2.7686</v>
      </c>
    </row>
    <row r="440" ht="23" customHeight="1" spans="1:28">
      <c r="A440" s="15"/>
      <c r="B440" s="16"/>
      <c r="C440" s="17"/>
      <c r="D440" s="18"/>
      <c r="E440" s="19" t="str">
        <f t="shared" si="136"/>
        <v/>
      </c>
      <c r="F440" s="18"/>
      <c r="G440" s="20" t="str">
        <f t="shared" si="137"/>
        <v/>
      </c>
      <c r="H440" s="21" t="str">
        <f t="shared" si="138"/>
        <v/>
      </c>
      <c r="I440" s="10" t="str">
        <f>IF(COUNTA(A440:D440,F440)=0,"",IF(NOT(ISNUMBER(A440)),"缺少有效净值日期",IF(OR(A440&lt;=0,A440&lt;&gt;INT(A440)),"净值日期无效",IF(OR(B440="转换转入",B440="现金分红"),"该类型需实际金额，五项录入不适用",IF(NOT(OR(OR(B440="买入",B440="定投"),B440="卖出",B440="红利再投")),"请选择交易类型",IF(NOT(ISNUMBER(C440)),"缺少成交净值",IF(C440&lt;=0,"成交净值须大于零",IF(NOT(ISNUMBER(D440)),"缺少确认份额",IF(D440&lt;=0,"确认份额须大于零",IF(NOT(ISNUMBER(F440)),"缺少手续费，无费用请填 0",IF(F440&lt;0,"手续费不能为负",IF(AA439="错误","前行待修正",IF(A440&lt;Z439,"日期需按成交顺序递增",IF(AND(B440="红利再投",F440&lt;&gt;0),"红利再投手续费应填 0",IF(AND(B440="红利再投",K439&lt;=0),"红利再投前须有持仓",IF(AND(B440="卖出",D440&gt;K439+0.000001),"卖出份额超过持仓",IF(AND(B440="卖出",F440&gt;=C440*D440),"赎回费不能达到赎回总额",IF(NOT(ISNUMBER(E440)),"自动金额未生成，请检查五项输入",IF(NOT(OR(持仓总览!$C$7="利润优先",持仓总览!$C$7="本金优先")),"请选择卖出分配模式","已计入")))))))))))))))))))</f>
        <v/>
      </c>
      <c r="J440" s="11">
        <f t="shared" si="119"/>
        <v>0</v>
      </c>
      <c r="K440" s="11">
        <f t="shared" si="124"/>
        <v>34284.43</v>
      </c>
      <c r="L440" s="11" t="str">
        <f t="shared" si="125"/>
        <v/>
      </c>
      <c r="M440" s="11" t="str">
        <f t="shared" si="126"/>
        <v/>
      </c>
      <c r="N440" s="11" t="str">
        <f>IF(I440="已计入",IF(AND(B440="卖出",持仓总览!$C$7="本金优先"),MAX(0,E440-Q439),IF(OR(B440="卖出",B440="现金分红"),MIN(E440,M440),0)),"")</f>
        <v/>
      </c>
      <c r="O440" s="11" t="str">
        <f t="shared" si="127"/>
        <v/>
      </c>
      <c r="P440" s="11" t="str">
        <f t="shared" si="128"/>
        <v/>
      </c>
      <c r="Q440" s="11">
        <f t="shared" si="129"/>
        <v>82516.01</v>
      </c>
      <c r="R440" s="11" t="str">
        <f t="shared" si="120"/>
        <v/>
      </c>
      <c r="S440" s="11" t="str">
        <f t="shared" si="121"/>
        <v/>
      </c>
      <c r="T440" s="12" t="str">
        <f t="shared" si="122"/>
        <v/>
      </c>
      <c r="U440" s="11">
        <f t="shared" si="130"/>
        <v>82516.01</v>
      </c>
      <c r="V440" s="11">
        <f t="shared" si="131"/>
        <v>0</v>
      </c>
      <c r="W440" s="11">
        <f t="shared" si="132"/>
        <v>0</v>
      </c>
      <c r="X440" s="11">
        <f t="shared" si="133"/>
        <v>0</v>
      </c>
      <c r="Y440" s="11" t="str">
        <f t="shared" si="123"/>
        <v/>
      </c>
      <c r="Z440" s="13">
        <f t="shared" si="134"/>
        <v>46247</v>
      </c>
      <c r="AA440" s="10" t="str">
        <f>IF(OR($AA$116="错误",COUNTIF($G$117:G440,"待修正")&gt;0),"错误","正常")</f>
        <v>正常</v>
      </c>
      <c r="AB440" s="14">
        <f t="shared" si="135"/>
        <v>2.7686</v>
      </c>
    </row>
    <row r="441" ht="23" customHeight="1" spans="1:28">
      <c r="A441" s="15"/>
      <c r="B441" s="16"/>
      <c r="C441" s="17"/>
      <c r="D441" s="18"/>
      <c r="E441" s="19" t="str">
        <f t="shared" si="136"/>
        <v/>
      </c>
      <c r="F441" s="18"/>
      <c r="G441" s="20" t="str">
        <f t="shared" si="137"/>
        <v/>
      </c>
      <c r="H441" s="21" t="str">
        <f t="shared" si="138"/>
        <v/>
      </c>
      <c r="I441" s="10" t="str">
        <f>IF(COUNTA(A441:D441,F441)=0,"",IF(NOT(ISNUMBER(A441)),"缺少有效净值日期",IF(OR(A441&lt;=0,A441&lt;&gt;INT(A441)),"净值日期无效",IF(OR(B441="转换转入",B441="现金分红"),"该类型需实际金额，五项录入不适用",IF(NOT(OR(OR(B441="买入",B441="定投"),B441="卖出",B441="红利再投")),"请选择交易类型",IF(NOT(ISNUMBER(C441)),"缺少成交净值",IF(C441&lt;=0,"成交净值须大于零",IF(NOT(ISNUMBER(D441)),"缺少确认份额",IF(D441&lt;=0,"确认份额须大于零",IF(NOT(ISNUMBER(F441)),"缺少手续费，无费用请填 0",IF(F441&lt;0,"手续费不能为负",IF(AA440="错误","前行待修正",IF(A441&lt;Z440,"日期需按成交顺序递增",IF(AND(B441="红利再投",F441&lt;&gt;0),"红利再投手续费应填 0",IF(AND(B441="红利再投",K440&lt;=0),"红利再投前须有持仓",IF(AND(B441="卖出",D441&gt;K440+0.000001),"卖出份额超过持仓",IF(AND(B441="卖出",F441&gt;=C441*D441),"赎回费不能达到赎回总额",IF(NOT(ISNUMBER(E441)),"自动金额未生成，请检查五项输入",IF(NOT(OR(持仓总览!$C$7="利润优先",持仓总览!$C$7="本金优先")),"请选择卖出分配模式","已计入")))))))))))))))))))</f>
        <v/>
      </c>
      <c r="J441" s="11">
        <f t="shared" si="119"/>
        <v>0</v>
      </c>
      <c r="K441" s="11">
        <f t="shared" si="124"/>
        <v>34284.43</v>
      </c>
      <c r="L441" s="11" t="str">
        <f t="shared" si="125"/>
        <v/>
      </c>
      <c r="M441" s="11" t="str">
        <f t="shared" si="126"/>
        <v/>
      </c>
      <c r="N441" s="11" t="str">
        <f>IF(I441="已计入",IF(AND(B441="卖出",持仓总览!$C$7="本金优先"),MAX(0,E441-Q440),IF(OR(B441="卖出",B441="现金分红"),MIN(E441,M441),0)),"")</f>
        <v/>
      </c>
      <c r="O441" s="11" t="str">
        <f t="shared" si="127"/>
        <v/>
      </c>
      <c r="P441" s="11" t="str">
        <f t="shared" si="128"/>
        <v/>
      </c>
      <c r="Q441" s="11">
        <f t="shared" si="129"/>
        <v>82516.01</v>
      </c>
      <c r="R441" s="11" t="str">
        <f t="shared" si="120"/>
        <v/>
      </c>
      <c r="S441" s="11" t="str">
        <f t="shared" si="121"/>
        <v/>
      </c>
      <c r="T441" s="12" t="str">
        <f t="shared" si="122"/>
        <v/>
      </c>
      <c r="U441" s="11">
        <f t="shared" si="130"/>
        <v>82516.01</v>
      </c>
      <c r="V441" s="11">
        <f t="shared" si="131"/>
        <v>0</v>
      </c>
      <c r="W441" s="11">
        <f t="shared" si="132"/>
        <v>0</v>
      </c>
      <c r="X441" s="11">
        <f t="shared" si="133"/>
        <v>0</v>
      </c>
      <c r="Y441" s="11" t="str">
        <f t="shared" si="123"/>
        <v/>
      </c>
      <c r="Z441" s="13">
        <f t="shared" si="134"/>
        <v>46247</v>
      </c>
      <c r="AA441" s="10" t="str">
        <f>IF(OR($AA$116="错误",COUNTIF($G$117:G441,"待修正")&gt;0),"错误","正常")</f>
        <v>正常</v>
      </c>
      <c r="AB441" s="14">
        <f t="shared" si="135"/>
        <v>2.7686</v>
      </c>
    </row>
    <row r="442" ht="23" customHeight="1" spans="1:28">
      <c r="A442" s="15"/>
      <c r="B442" s="16"/>
      <c r="C442" s="17"/>
      <c r="D442" s="18"/>
      <c r="E442" s="19" t="str">
        <f t="shared" si="136"/>
        <v/>
      </c>
      <c r="F442" s="18"/>
      <c r="G442" s="20" t="str">
        <f t="shared" si="137"/>
        <v/>
      </c>
      <c r="H442" s="21" t="str">
        <f t="shared" si="138"/>
        <v/>
      </c>
      <c r="I442" s="10" t="str">
        <f>IF(COUNTA(A442:D442,F442)=0,"",IF(NOT(ISNUMBER(A442)),"缺少有效净值日期",IF(OR(A442&lt;=0,A442&lt;&gt;INT(A442)),"净值日期无效",IF(OR(B442="转换转入",B442="现金分红"),"该类型需实际金额，五项录入不适用",IF(NOT(OR(OR(B442="买入",B442="定投"),B442="卖出",B442="红利再投")),"请选择交易类型",IF(NOT(ISNUMBER(C442)),"缺少成交净值",IF(C442&lt;=0,"成交净值须大于零",IF(NOT(ISNUMBER(D442)),"缺少确认份额",IF(D442&lt;=0,"确认份额须大于零",IF(NOT(ISNUMBER(F442)),"缺少手续费，无费用请填 0",IF(F442&lt;0,"手续费不能为负",IF(AA441="错误","前行待修正",IF(A442&lt;Z441,"日期需按成交顺序递增",IF(AND(B442="红利再投",F442&lt;&gt;0),"红利再投手续费应填 0",IF(AND(B442="红利再投",K441&lt;=0),"红利再投前须有持仓",IF(AND(B442="卖出",D442&gt;K441+0.000001),"卖出份额超过持仓",IF(AND(B442="卖出",F442&gt;=C442*D442),"赎回费不能达到赎回总额",IF(NOT(ISNUMBER(E442)),"自动金额未生成，请检查五项输入",IF(NOT(OR(持仓总览!$C$7="利润优先",持仓总览!$C$7="本金优先")),"请选择卖出分配模式","已计入")))))))))))))))))))</f>
        <v/>
      </c>
      <c r="J442" s="11">
        <f t="shared" si="119"/>
        <v>0</v>
      </c>
      <c r="K442" s="11">
        <f t="shared" si="124"/>
        <v>34284.43</v>
      </c>
      <c r="L442" s="11" t="str">
        <f t="shared" si="125"/>
        <v/>
      </c>
      <c r="M442" s="11" t="str">
        <f t="shared" si="126"/>
        <v/>
      </c>
      <c r="N442" s="11" t="str">
        <f>IF(I442="已计入",IF(AND(B442="卖出",持仓总览!$C$7="本金优先"),MAX(0,E442-Q441),IF(OR(B442="卖出",B442="现金分红"),MIN(E442,M442),0)),"")</f>
        <v/>
      </c>
      <c r="O442" s="11" t="str">
        <f t="shared" si="127"/>
        <v/>
      </c>
      <c r="P442" s="11" t="str">
        <f t="shared" si="128"/>
        <v/>
      </c>
      <c r="Q442" s="11">
        <f t="shared" si="129"/>
        <v>82516.01</v>
      </c>
      <c r="R442" s="11" t="str">
        <f t="shared" si="120"/>
        <v/>
      </c>
      <c r="S442" s="11" t="str">
        <f t="shared" si="121"/>
        <v/>
      </c>
      <c r="T442" s="12" t="str">
        <f t="shared" si="122"/>
        <v/>
      </c>
      <c r="U442" s="11">
        <f t="shared" si="130"/>
        <v>82516.01</v>
      </c>
      <c r="V442" s="11">
        <f t="shared" si="131"/>
        <v>0</v>
      </c>
      <c r="W442" s="11">
        <f t="shared" si="132"/>
        <v>0</v>
      </c>
      <c r="X442" s="11">
        <f t="shared" si="133"/>
        <v>0</v>
      </c>
      <c r="Y442" s="11" t="str">
        <f t="shared" si="123"/>
        <v/>
      </c>
      <c r="Z442" s="13">
        <f t="shared" si="134"/>
        <v>46247</v>
      </c>
      <c r="AA442" s="10" t="str">
        <f>IF(OR($AA$116="错误",COUNTIF($G$117:G442,"待修正")&gt;0),"错误","正常")</f>
        <v>正常</v>
      </c>
      <c r="AB442" s="14">
        <f t="shared" si="135"/>
        <v>2.7686</v>
      </c>
    </row>
    <row r="443" ht="23" customHeight="1" spans="1:28">
      <c r="A443" s="15"/>
      <c r="B443" s="16"/>
      <c r="C443" s="17"/>
      <c r="D443" s="18"/>
      <c r="E443" s="19" t="str">
        <f t="shared" si="136"/>
        <v/>
      </c>
      <c r="F443" s="18"/>
      <c r="G443" s="20" t="str">
        <f t="shared" si="137"/>
        <v/>
      </c>
      <c r="H443" s="21" t="str">
        <f t="shared" si="138"/>
        <v/>
      </c>
      <c r="I443" s="10" t="str">
        <f>IF(COUNTA(A443:D443,F443)=0,"",IF(NOT(ISNUMBER(A443)),"缺少有效净值日期",IF(OR(A443&lt;=0,A443&lt;&gt;INT(A443)),"净值日期无效",IF(OR(B443="转换转入",B443="现金分红"),"该类型需实际金额，五项录入不适用",IF(NOT(OR(OR(B443="买入",B443="定投"),B443="卖出",B443="红利再投")),"请选择交易类型",IF(NOT(ISNUMBER(C443)),"缺少成交净值",IF(C443&lt;=0,"成交净值须大于零",IF(NOT(ISNUMBER(D443)),"缺少确认份额",IF(D443&lt;=0,"确认份额须大于零",IF(NOT(ISNUMBER(F443)),"缺少手续费，无费用请填 0",IF(F443&lt;0,"手续费不能为负",IF(AA442="错误","前行待修正",IF(A443&lt;Z442,"日期需按成交顺序递增",IF(AND(B443="红利再投",F443&lt;&gt;0),"红利再投手续费应填 0",IF(AND(B443="红利再投",K442&lt;=0),"红利再投前须有持仓",IF(AND(B443="卖出",D443&gt;K442+0.000001),"卖出份额超过持仓",IF(AND(B443="卖出",F443&gt;=C443*D443),"赎回费不能达到赎回总额",IF(NOT(ISNUMBER(E443)),"自动金额未生成，请检查五项输入",IF(NOT(OR(持仓总览!$C$7="利润优先",持仓总览!$C$7="本金优先")),"请选择卖出分配模式","已计入")))))))))))))))))))</f>
        <v/>
      </c>
      <c r="J443" s="11">
        <f t="shared" si="119"/>
        <v>0</v>
      </c>
      <c r="K443" s="11">
        <f t="shared" si="124"/>
        <v>34284.43</v>
      </c>
      <c r="L443" s="11" t="str">
        <f t="shared" si="125"/>
        <v/>
      </c>
      <c r="M443" s="11" t="str">
        <f t="shared" si="126"/>
        <v/>
      </c>
      <c r="N443" s="11" t="str">
        <f>IF(I443="已计入",IF(AND(B443="卖出",持仓总览!$C$7="本金优先"),MAX(0,E443-Q442),IF(OR(B443="卖出",B443="现金分红"),MIN(E443,M443),0)),"")</f>
        <v/>
      </c>
      <c r="O443" s="11" t="str">
        <f t="shared" si="127"/>
        <v/>
      </c>
      <c r="P443" s="11" t="str">
        <f t="shared" si="128"/>
        <v/>
      </c>
      <c r="Q443" s="11">
        <f t="shared" si="129"/>
        <v>82516.01</v>
      </c>
      <c r="R443" s="11" t="str">
        <f t="shared" si="120"/>
        <v/>
      </c>
      <c r="S443" s="11" t="str">
        <f t="shared" si="121"/>
        <v/>
      </c>
      <c r="T443" s="12" t="str">
        <f t="shared" si="122"/>
        <v/>
      </c>
      <c r="U443" s="11">
        <f t="shared" si="130"/>
        <v>82516.01</v>
      </c>
      <c r="V443" s="11">
        <f t="shared" si="131"/>
        <v>0</v>
      </c>
      <c r="W443" s="11">
        <f t="shared" si="132"/>
        <v>0</v>
      </c>
      <c r="X443" s="11">
        <f t="shared" si="133"/>
        <v>0</v>
      </c>
      <c r="Y443" s="11" t="str">
        <f t="shared" si="123"/>
        <v/>
      </c>
      <c r="Z443" s="13">
        <f t="shared" si="134"/>
        <v>46247</v>
      </c>
      <c r="AA443" s="10" t="str">
        <f>IF(OR($AA$116="错误",COUNTIF($G$117:G443,"待修正")&gt;0),"错误","正常")</f>
        <v>正常</v>
      </c>
      <c r="AB443" s="14">
        <f t="shared" si="135"/>
        <v>2.7686</v>
      </c>
    </row>
    <row r="444" ht="23" customHeight="1" spans="1:28">
      <c r="A444" s="15"/>
      <c r="B444" s="16"/>
      <c r="C444" s="17"/>
      <c r="D444" s="18"/>
      <c r="E444" s="19" t="str">
        <f t="shared" si="136"/>
        <v/>
      </c>
      <c r="F444" s="18"/>
      <c r="G444" s="20" t="str">
        <f t="shared" si="137"/>
        <v/>
      </c>
      <c r="H444" s="21" t="str">
        <f t="shared" si="138"/>
        <v/>
      </c>
      <c r="I444" s="10" t="str">
        <f>IF(COUNTA(A444:D444,F444)=0,"",IF(NOT(ISNUMBER(A444)),"缺少有效净值日期",IF(OR(A444&lt;=0,A444&lt;&gt;INT(A444)),"净值日期无效",IF(OR(B444="转换转入",B444="现金分红"),"该类型需实际金额，五项录入不适用",IF(NOT(OR(OR(B444="买入",B444="定投"),B444="卖出",B444="红利再投")),"请选择交易类型",IF(NOT(ISNUMBER(C444)),"缺少成交净值",IF(C444&lt;=0,"成交净值须大于零",IF(NOT(ISNUMBER(D444)),"缺少确认份额",IF(D444&lt;=0,"确认份额须大于零",IF(NOT(ISNUMBER(F444)),"缺少手续费，无费用请填 0",IF(F444&lt;0,"手续费不能为负",IF(AA443="错误","前行待修正",IF(A444&lt;Z443,"日期需按成交顺序递增",IF(AND(B444="红利再投",F444&lt;&gt;0),"红利再投手续费应填 0",IF(AND(B444="红利再投",K443&lt;=0),"红利再投前须有持仓",IF(AND(B444="卖出",D444&gt;K443+0.000001),"卖出份额超过持仓",IF(AND(B444="卖出",F444&gt;=C444*D444),"赎回费不能达到赎回总额",IF(NOT(ISNUMBER(E444)),"自动金额未生成，请检查五项输入",IF(NOT(OR(持仓总览!$C$7="利润优先",持仓总览!$C$7="本金优先")),"请选择卖出分配模式","已计入")))))))))))))))))))</f>
        <v/>
      </c>
      <c r="J444" s="11">
        <f t="shared" si="119"/>
        <v>0</v>
      </c>
      <c r="K444" s="11">
        <f t="shared" si="124"/>
        <v>34284.43</v>
      </c>
      <c r="L444" s="11" t="str">
        <f t="shared" si="125"/>
        <v/>
      </c>
      <c r="M444" s="11" t="str">
        <f t="shared" si="126"/>
        <v/>
      </c>
      <c r="N444" s="11" t="str">
        <f>IF(I444="已计入",IF(AND(B444="卖出",持仓总览!$C$7="本金优先"),MAX(0,E444-Q443),IF(OR(B444="卖出",B444="现金分红"),MIN(E444,M444),0)),"")</f>
        <v/>
      </c>
      <c r="O444" s="11" t="str">
        <f t="shared" si="127"/>
        <v/>
      </c>
      <c r="P444" s="11" t="str">
        <f t="shared" si="128"/>
        <v/>
      </c>
      <c r="Q444" s="11">
        <f t="shared" si="129"/>
        <v>82516.01</v>
      </c>
      <c r="R444" s="11" t="str">
        <f t="shared" si="120"/>
        <v/>
      </c>
      <c r="S444" s="11" t="str">
        <f t="shared" si="121"/>
        <v/>
      </c>
      <c r="T444" s="12" t="str">
        <f t="shared" si="122"/>
        <v/>
      </c>
      <c r="U444" s="11">
        <f t="shared" si="130"/>
        <v>82516.01</v>
      </c>
      <c r="V444" s="11">
        <f t="shared" si="131"/>
        <v>0</v>
      </c>
      <c r="W444" s="11">
        <f t="shared" si="132"/>
        <v>0</v>
      </c>
      <c r="X444" s="11">
        <f t="shared" si="133"/>
        <v>0</v>
      </c>
      <c r="Y444" s="11" t="str">
        <f t="shared" si="123"/>
        <v/>
      </c>
      <c r="Z444" s="13">
        <f t="shared" si="134"/>
        <v>46247</v>
      </c>
      <c r="AA444" s="10" t="str">
        <f>IF(OR($AA$116="错误",COUNTIF($G$117:G444,"待修正")&gt;0),"错误","正常")</f>
        <v>正常</v>
      </c>
      <c r="AB444" s="14">
        <f t="shared" si="135"/>
        <v>2.7686</v>
      </c>
    </row>
    <row r="445" ht="23" customHeight="1" spans="1:28">
      <c r="A445" s="15"/>
      <c r="B445" s="16"/>
      <c r="C445" s="17"/>
      <c r="D445" s="18"/>
      <c r="E445" s="19" t="str">
        <f t="shared" si="136"/>
        <v/>
      </c>
      <c r="F445" s="18"/>
      <c r="G445" s="20" t="str">
        <f t="shared" si="137"/>
        <v/>
      </c>
      <c r="H445" s="21" t="str">
        <f t="shared" si="138"/>
        <v/>
      </c>
      <c r="I445" s="10" t="str">
        <f>IF(COUNTA(A445:D445,F445)=0,"",IF(NOT(ISNUMBER(A445)),"缺少有效净值日期",IF(OR(A445&lt;=0,A445&lt;&gt;INT(A445)),"净值日期无效",IF(OR(B445="转换转入",B445="现金分红"),"该类型需实际金额，五项录入不适用",IF(NOT(OR(OR(B445="买入",B445="定投"),B445="卖出",B445="红利再投")),"请选择交易类型",IF(NOT(ISNUMBER(C445)),"缺少成交净值",IF(C445&lt;=0,"成交净值须大于零",IF(NOT(ISNUMBER(D445)),"缺少确认份额",IF(D445&lt;=0,"确认份额须大于零",IF(NOT(ISNUMBER(F445)),"缺少手续费，无费用请填 0",IF(F445&lt;0,"手续费不能为负",IF(AA444="错误","前行待修正",IF(A445&lt;Z444,"日期需按成交顺序递增",IF(AND(B445="红利再投",F445&lt;&gt;0),"红利再投手续费应填 0",IF(AND(B445="红利再投",K444&lt;=0),"红利再投前须有持仓",IF(AND(B445="卖出",D445&gt;K444+0.000001),"卖出份额超过持仓",IF(AND(B445="卖出",F445&gt;=C445*D445),"赎回费不能达到赎回总额",IF(NOT(ISNUMBER(E445)),"自动金额未生成，请检查五项输入",IF(NOT(OR(持仓总览!$C$7="利润优先",持仓总览!$C$7="本金优先")),"请选择卖出分配模式","已计入")))))))))))))))))))</f>
        <v/>
      </c>
      <c r="J445" s="11">
        <f t="shared" si="119"/>
        <v>0</v>
      </c>
      <c r="K445" s="11">
        <f t="shared" si="124"/>
        <v>34284.43</v>
      </c>
      <c r="L445" s="11" t="str">
        <f t="shared" si="125"/>
        <v/>
      </c>
      <c r="M445" s="11" t="str">
        <f t="shared" si="126"/>
        <v/>
      </c>
      <c r="N445" s="11" t="str">
        <f>IF(I445="已计入",IF(AND(B445="卖出",持仓总览!$C$7="本金优先"),MAX(0,E445-Q444),IF(OR(B445="卖出",B445="现金分红"),MIN(E445,M445),0)),"")</f>
        <v/>
      </c>
      <c r="O445" s="11" t="str">
        <f t="shared" si="127"/>
        <v/>
      </c>
      <c r="P445" s="11" t="str">
        <f t="shared" si="128"/>
        <v/>
      </c>
      <c r="Q445" s="11">
        <f t="shared" si="129"/>
        <v>82516.01</v>
      </c>
      <c r="R445" s="11" t="str">
        <f t="shared" si="120"/>
        <v/>
      </c>
      <c r="S445" s="11" t="str">
        <f t="shared" si="121"/>
        <v/>
      </c>
      <c r="T445" s="12" t="str">
        <f t="shared" si="122"/>
        <v/>
      </c>
      <c r="U445" s="11">
        <f t="shared" si="130"/>
        <v>82516.01</v>
      </c>
      <c r="V445" s="11">
        <f t="shared" si="131"/>
        <v>0</v>
      </c>
      <c r="W445" s="11">
        <f t="shared" si="132"/>
        <v>0</v>
      </c>
      <c r="X445" s="11">
        <f t="shared" si="133"/>
        <v>0</v>
      </c>
      <c r="Y445" s="11" t="str">
        <f t="shared" si="123"/>
        <v/>
      </c>
      <c r="Z445" s="13">
        <f t="shared" si="134"/>
        <v>46247</v>
      </c>
      <c r="AA445" s="10" t="str">
        <f>IF(OR($AA$116="错误",COUNTIF($G$117:G445,"待修正")&gt;0),"错误","正常")</f>
        <v>正常</v>
      </c>
      <c r="AB445" s="14">
        <f t="shared" si="135"/>
        <v>2.7686</v>
      </c>
    </row>
    <row r="446" ht="23" customHeight="1" spans="1:28">
      <c r="A446" s="15"/>
      <c r="B446" s="16"/>
      <c r="C446" s="17"/>
      <c r="D446" s="18"/>
      <c r="E446" s="19" t="str">
        <f t="shared" si="136"/>
        <v/>
      </c>
      <c r="F446" s="18"/>
      <c r="G446" s="20" t="str">
        <f t="shared" si="137"/>
        <v/>
      </c>
      <c r="H446" s="21" t="str">
        <f t="shared" si="138"/>
        <v/>
      </c>
      <c r="I446" s="10" t="str">
        <f>IF(COUNTA(A446:D446,F446)=0,"",IF(NOT(ISNUMBER(A446)),"缺少有效净值日期",IF(OR(A446&lt;=0,A446&lt;&gt;INT(A446)),"净值日期无效",IF(OR(B446="转换转入",B446="现金分红"),"该类型需实际金额，五项录入不适用",IF(NOT(OR(OR(B446="买入",B446="定投"),B446="卖出",B446="红利再投")),"请选择交易类型",IF(NOT(ISNUMBER(C446)),"缺少成交净值",IF(C446&lt;=0,"成交净值须大于零",IF(NOT(ISNUMBER(D446)),"缺少确认份额",IF(D446&lt;=0,"确认份额须大于零",IF(NOT(ISNUMBER(F446)),"缺少手续费，无费用请填 0",IF(F446&lt;0,"手续费不能为负",IF(AA445="错误","前行待修正",IF(A446&lt;Z445,"日期需按成交顺序递增",IF(AND(B446="红利再投",F446&lt;&gt;0),"红利再投手续费应填 0",IF(AND(B446="红利再投",K445&lt;=0),"红利再投前须有持仓",IF(AND(B446="卖出",D446&gt;K445+0.000001),"卖出份额超过持仓",IF(AND(B446="卖出",F446&gt;=C446*D446),"赎回费不能达到赎回总额",IF(NOT(ISNUMBER(E446)),"自动金额未生成，请检查五项输入",IF(NOT(OR(持仓总览!$C$7="利润优先",持仓总览!$C$7="本金优先")),"请选择卖出分配模式","已计入")))))))))))))))))))</f>
        <v/>
      </c>
      <c r="J446" s="11">
        <f t="shared" si="119"/>
        <v>0</v>
      </c>
      <c r="K446" s="11">
        <f t="shared" si="124"/>
        <v>34284.43</v>
      </c>
      <c r="L446" s="11" t="str">
        <f t="shared" si="125"/>
        <v/>
      </c>
      <c r="M446" s="11" t="str">
        <f t="shared" si="126"/>
        <v/>
      </c>
      <c r="N446" s="11" t="str">
        <f>IF(I446="已计入",IF(AND(B446="卖出",持仓总览!$C$7="本金优先"),MAX(0,E446-Q445),IF(OR(B446="卖出",B446="现金分红"),MIN(E446,M446),0)),"")</f>
        <v/>
      </c>
      <c r="O446" s="11" t="str">
        <f t="shared" si="127"/>
        <v/>
      </c>
      <c r="P446" s="11" t="str">
        <f t="shared" si="128"/>
        <v/>
      </c>
      <c r="Q446" s="11">
        <f t="shared" si="129"/>
        <v>82516.01</v>
      </c>
      <c r="R446" s="11" t="str">
        <f t="shared" si="120"/>
        <v/>
      </c>
      <c r="S446" s="11" t="str">
        <f t="shared" si="121"/>
        <v/>
      </c>
      <c r="T446" s="12" t="str">
        <f t="shared" si="122"/>
        <v/>
      </c>
      <c r="U446" s="11">
        <f t="shared" si="130"/>
        <v>82516.01</v>
      </c>
      <c r="V446" s="11">
        <f t="shared" si="131"/>
        <v>0</v>
      </c>
      <c r="W446" s="11">
        <f t="shared" si="132"/>
        <v>0</v>
      </c>
      <c r="X446" s="11">
        <f t="shared" si="133"/>
        <v>0</v>
      </c>
      <c r="Y446" s="11" t="str">
        <f t="shared" si="123"/>
        <v/>
      </c>
      <c r="Z446" s="13">
        <f t="shared" si="134"/>
        <v>46247</v>
      </c>
      <c r="AA446" s="10" t="str">
        <f>IF(OR($AA$116="错误",COUNTIF($G$117:G446,"待修正")&gt;0),"错误","正常")</f>
        <v>正常</v>
      </c>
      <c r="AB446" s="14">
        <f t="shared" si="135"/>
        <v>2.7686</v>
      </c>
    </row>
    <row r="447" ht="23" customHeight="1" spans="1:28">
      <c r="A447" s="15"/>
      <c r="B447" s="16"/>
      <c r="C447" s="17"/>
      <c r="D447" s="18"/>
      <c r="E447" s="19" t="str">
        <f t="shared" si="136"/>
        <v/>
      </c>
      <c r="F447" s="18"/>
      <c r="G447" s="20" t="str">
        <f t="shared" si="137"/>
        <v/>
      </c>
      <c r="H447" s="21" t="str">
        <f t="shared" si="138"/>
        <v/>
      </c>
      <c r="I447" s="10" t="str">
        <f>IF(COUNTA(A447:D447,F447)=0,"",IF(NOT(ISNUMBER(A447)),"缺少有效净值日期",IF(OR(A447&lt;=0,A447&lt;&gt;INT(A447)),"净值日期无效",IF(OR(B447="转换转入",B447="现金分红"),"该类型需实际金额，五项录入不适用",IF(NOT(OR(OR(B447="买入",B447="定投"),B447="卖出",B447="红利再投")),"请选择交易类型",IF(NOT(ISNUMBER(C447)),"缺少成交净值",IF(C447&lt;=0,"成交净值须大于零",IF(NOT(ISNUMBER(D447)),"缺少确认份额",IF(D447&lt;=0,"确认份额须大于零",IF(NOT(ISNUMBER(F447)),"缺少手续费，无费用请填 0",IF(F447&lt;0,"手续费不能为负",IF(AA446="错误","前行待修正",IF(A447&lt;Z446,"日期需按成交顺序递增",IF(AND(B447="红利再投",F447&lt;&gt;0),"红利再投手续费应填 0",IF(AND(B447="红利再投",K446&lt;=0),"红利再投前须有持仓",IF(AND(B447="卖出",D447&gt;K446+0.000001),"卖出份额超过持仓",IF(AND(B447="卖出",F447&gt;=C447*D447),"赎回费不能达到赎回总额",IF(NOT(ISNUMBER(E447)),"自动金额未生成，请检查五项输入",IF(NOT(OR(持仓总览!$C$7="利润优先",持仓总览!$C$7="本金优先")),"请选择卖出分配模式","已计入")))))))))))))))))))</f>
        <v/>
      </c>
      <c r="J447" s="11">
        <f t="shared" si="119"/>
        <v>0</v>
      </c>
      <c r="K447" s="11">
        <f t="shared" si="124"/>
        <v>34284.43</v>
      </c>
      <c r="L447" s="11" t="str">
        <f t="shared" si="125"/>
        <v/>
      </c>
      <c r="M447" s="11" t="str">
        <f t="shared" si="126"/>
        <v/>
      </c>
      <c r="N447" s="11" t="str">
        <f>IF(I447="已计入",IF(AND(B447="卖出",持仓总览!$C$7="本金优先"),MAX(0,E447-Q446),IF(OR(B447="卖出",B447="现金分红"),MIN(E447,M447),0)),"")</f>
        <v/>
      </c>
      <c r="O447" s="11" t="str">
        <f t="shared" si="127"/>
        <v/>
      </c>
      <c r="P447" s="11" t="str">
        <f t="shared" si="128"/>
        <v/>
      </c>
      <c r="Q447" s="11">
        <f t="shared" si="129"/>
        <v>82516.01</v>
      </c>
      <c r="R447" s="11" t="str">
        <f t="shared" si="120"/>
        <v/>
      </c>
      <c r="S447" s="11" t="str">
        <f t="shared" si="121"/>
        <v/>
      </c>
      <c r="T447" s="12" t="str">
        <f t="shared" si="122"/>
        <v/>
      </c>
      <c r="U447" s="11">
        <f t="shared" si="130"/>
        <v>82516.01</v>
      </c>
      <c r="V447" s="11">
        <f t="shared" si="131"/>
        <v>0</v>
      </c>
      <c r="W447" s="11">
        <f t="shared" si="132"/>
        <v>0</v>
      </c>
      <c r="X447" s="11">
        <f t="shared" si="133"/>
        <v>0</v>
      </c>
      <c r="Y447" s="11" t="str">
        <f t="shared" si="123"/>
        <v/>
      </c>
      <c r="Z447" s="13">
        <f t="shared" si="134"/>
        <v>46247</v>
      </c>
      <c r="AA447" s="10" t="str">
        <f>IF(OR($AA$116="错误",COUNTIF($G$117:G447,"待修正")&gt;0),"错误","正常")</f>
        <v>正常</v>
      </c>
      <c r="AB447" s="14">
        <f t="shared" si="135"/>
        <v>2.7686</v>
      </c>
    </row>
    <row r="448" ht="23" customHeight="1" spans="1:28">
      <c r="A448" s="15"/>
      <c r="B448" s="16"/>
      <c r="C448" s="17"/>
      <c r="D448" s="18"/>
      <c r="E448" s="19" t="str">
        <f t="shared" si="136"/>
        <v/>
      </c>
      <c r="F448" s="18"/>
      <c r="G448" s="20" t="str">
        <f t="shared" si="137"/>
        <v/>
      </c>
      <c r="H448" s="21" t="str">
        <f t="shared" si="138"/>
        <v/>
      </c>
      <c r="I448" s="10" t="str">
        <f>IF(COUNTA(A448:D448,F448)=0,"",IF(NOT(ISNUMBER(A448)),"缺少有效净值日期",IF(OR(A448&lt;=0,A448&lt;&gt;INT(A448)),"净值日期无效",IF(OR(B448="转换转入",B448="现金分红"),"该类型需实际金额，五项录入不适用",IF(NOT(OR(OR(B448="买入",B448="定投"),B448="卖出",B448="红利再投")),"请选择交易类型",IF(NOT(ISNUMBER(C448)),"缺少成交净值",IF(C448&lt;=0,"成交净值须大于零",IF(NOT(ISNUMBER(D448)),"缺少确认份额",IF(D448&lt;=0,"确认份额须大于零",IF(NOT(ISNUMBER(F448)),"缺少手续费，无费用请填 0",IF(F448&lt;0,"手续费不能为负",IF(AA447="错误","前行待修正",IF(A448&lt;Z447,"日期需按成交顺序递增",IF(AND(B448="红利再投",F448&lt;&gt;0),"红利再投手续费应填 0",IF(AND(B448="红利再投",K447&lt;=0),"红利再投前须有持仓",IF(AND(B448="卖出",D448&gt;K447+0.000001),"卖出份额超过持仓",IF(AND(B448="卖出",F448&gt;=C448*D448),"赎回费不能达到赎回总额",IF(NOT(ISNUMBER(E448)),"自动金额未生成，请检查五项输入",IF(NOT(OR(持仓总览!$C$7="利润优先",持仓总览!$C$7="本金优先")),"请选择卖出分配模式","已计入")))))))))))))))))))</f>
        <v/>
      </c>
      <c r="J448" s="11">
        <f t="shared" si="119"/>
        <v>0</v>
      </c>
      <c r="K448" s="11">
        <f t="shared" si="124"/>
        <v>34284.43</v>
      </c>
      <c r="L448" s="11" t="str">
        <f t="shared" si="125"/>
        <v/>
      </c>
      <c r="M448" s="11" t="str">
        <f t="shared" si="126"/>
        <v/>
      </c>
      <c r="N448" s="11" t="str">
        <f>IF(I448="已计入",IF(AND(B448="卖出",持仓总览!$C$7="本金优先"),MAX(0,E448-Q447),IF(OR(B448="卖出",B448="现金分红"),MIN(E448,M448),0)),"")</f>
        <v/>
      </c>
      <c r="O448" s="11" t="str">
        <f t="shared" si="127"/>
        <v/>
      </c>
      <c r="P448" s="11" t="str">
        <f t="shared" si="128"/>
        <v/>
      </c>
      <c r="Q448" s="11">
        <f t="shared" si="129"/>
        <v>82516.01</v>
      </c>
      <c r="R448" s="11" t="str">
        <f t="shared" si="120"/>
        <v/>
      </c>
      <c r="S448" s="11" t="str">
        <f t="shared" si="121"/>
        <v/>
      </c>
      <c r="T448" s="12" t="str">
        <f t="shared" si="122"/>
        <v/>
      </c>
      <c r="U448" s="11">
        <f t="shared" si="130"/>
        <v>82516.01</v>
      </c>
      <c r="V448" s="11">
        <f t="shared" si="131"/>
        <v>0</v>
      </c>
      <c r="W448" s="11">
        <f t="shared" si="132"/>
        <v>0</v>
      </c>
      <c r="X448" s="11">
        <f t="shared" si="133"/>
        <v>0</v>
      </c>
      <c r="Y448" s="11" t="str">
        <f t="shared" si="123"/>
        <v/>
      </c>
      <c r="Z448" s="13">
        <f t="shared" si="134"/>
        <v>46247</v>
      </c>
      <c r="AA448" s="10" t="str">
        <f>IF(OR($AA$116="错误",COUNTIF($G$117:G448,"待修正")&gt;0),"错误","正常")</f>
        <v>正常</v>
      </c>
      <c r="AB448" s="14">
        <f t="shared" si="135"/>
        <v>2.7686</v>
      </c>
    </row>
    <row r="449" ht="23" customHeight="1" spans="1:28">
      <c r="A449" s="15"/>
      <c r="B449" s="16"/>
      <c r="C449" s="17"/>
      <c r="D449" s="18"/>
      <c r="E449" s="19" t="str">
        <f t="shared" si="136"/>
        <v/>
      </c>
      <c r="F449" s="18"/>
      <c r="G449" s="20" t="str">
        <f t="shared" si="137"/>
        <v/>
      </c>
      <c r="H449" s="21" t="str">
        <f t="shared" si="138"/>
        <v/>
      </c>
      <c r="I449" s="10" t="str">
        <f>IF(COUNTA(A449:D449,F449)=0,"",IF(NOT(ISNUMBER(A449)),"缺少有效净值日期",IF(OR(A449&lt;=0,A449&lt;&gt;INT(A449)),"净值日期无效",IF(OR(B449="转换转入",B449="现金分红"),"该类型需实际金额，五项录入不适用",IF(NOT(OR(OR(B449="买入",B449="定投"),B449="卖出",B449="红利再投")),"请选择交易类型",IF(NOT(ISNUMBER(C449)),"缺少成交净值",IF(C449&lt;=0,"成交净值须大于零",IF(NOT(ISNUMBER(D449)),"缺少确认份额",IF(D449&lt;=0,"确认份额须大于零",IF(NOT(ISNUMBER(F449)),"缺少手续费，无费用请填 0",IF(F449&lt;0,"手续费不能为负",IF(AA448="错误","前行待修正",IF(A449&lt;Z448,"日期需按成交顺序递增",IF(AND(B449="红利再投",F449&lt;&gt;0),"红利再投手续费应填 0",IF(AND(B449="红利再投",K448&lt;=0),"红利再投前须有持仓",IF(AND(B449="卖出",D449&gt;K448+0.000001),"卖出份额超过持仓",IF(AND(B449="卖出",F449&gt;=C449*D449),"赎回费不能达到赎回总额",IF(NOT(ISNUMBER(E449)),"自动金额未生成，请检查五项输入",IF(NOT(OR(持仓总览!$C$7="利润优先",持仓总览!$C$7="本金优先")),"请选择卖出分配模式","已计入")))))))))))))))))))</f>
        <v/>
      </c>
      <c r="J449" s="11">
        <f t="shared" si="119"/>
        <v>0</v>
      </c>
      <c r="K449" s="11">
        <f t="shared" si="124"/>
        <v>34284.43</v>
      </c>
      <c r="L449" s="11" t="str">
        <f t="shared" si="125"/>
        <v/>
      </c>
      <c r="M449" s="11" t="str">
        <f t="shared" si="126"/>
        <v/>
      </c>
      <c r="N449" s="11" t="str">
        <f>IF(I449="已计入",IF(AND(B449="卖出",持仓总览!$C$7="本金优先"),MAX(0,E449-Q448),IF(OR(B449="卖出",B449="现金分红"),MIN(E449,M449),0)),"")</f>
        <v/>
      </c>
      <c r="O449" s="11" t="str">
        <f t="shared" si="127"/>
        <v/>
      </c>
      <c r="P449" s="11" t="str">
        <f t="shared" si="128"/>
        <v/>
      </c>
      <c r="Q449" s="11">
        <f t="shared" si="129"/>
        <v>82516.01</v>
      </c>
      <c r="R449" s="11" t="str">
        <f t="shared" si="120"/>
        <v/>
      </c>
      <c r="S449" s="11" t="str">
        <f t="shared" si="121"/>
        <v/>
      </c>
      <c r="T449" s="12" t="str">
        <f t="shared" si="122"/>
        <v/>
      </c>
      <c r="U449" s="11">
        <f t="shared" si="130"/>
        <v>82516.01</v>
      </c>
      <c r="V449" s="11">
        <f t="shared" si="131"/>
        <v>0</v>
      </c>
      <c r="W449" s="11">
        <f t="shared" si="132"/>
        <v>0</v>
      </c>
      <c r="X449" s="11">
        <f t="shared" si="133"/>
        <v>0</v>
      </c>
      <c r="Y449" s="11" t="str">
        <f t="shared" si="123"/>
        <v/>
      </c>
      <c r="Z449" s="13">
        <f t="shared" si="134"/>
        <v>46247</v>
      </c>
      <c r="AA449" s="10" t="str">
        <f>IF(OR($AA$116="错误",COUNTIF($G$117:G449,"待修正")&gt;0),"错误","正常")</f>
        <v>正常</v>
      </c>
      <c r="AB449" s="14">
        <f t="shared" si="135"/>
        <v>2.7686</v>
      </c>
    </row>
    <row r="450" ht="23" customHeight="1" spans="1:28">
      <c r="A450" s="15"/>
      <c r="B450" s="16"/>
      <c r="C450" s="17"/>
      <c r="D450" s="18"/>
      <c r="E450" s="19" t="str">
        <f t="shared" si="136"/>
        <v/>
      </c>
      <c r="F450" s="18"/>
      <c r="G450" s="20" t="str">
        <f t="shared" si="137"/>
        <v/>
      </c>
      <c r="H450" s="21" t="str">
        <f t="shared" si="138"/>
        <v/>
      </c>
      <c r="I450" s="10" t="str">
        <f>IF(COUNTA(A450:D450,F450)=0,"",IF(NOT(ISNUMBER(A450)),"缺少有效净值日期",IF(OR(A450&lt;=0,A450&lt;&gt;INT(A450)),"净值日期无效",IF(OR(B450="转换转入",B450="现金分红"),"该类型需实际金额，五项录入不适用",IF(NOT(OR(OR(B450="买入",B450="定投"),B450="卖出",B450="红利再投")),"请选择交易类型",IF(NOT(ISNUMBER(C450)),"缺少成交净值",IF(C450&lt;=0,"成交净值须大于零",IF(NOT(ISNUMBER(D450)),"缺少确认份额",IF(D450&lt;=0,"确认份额须大于零",IF(NOT(ISNUMBER(F450)),"缺少手续费，无费用请填 0",IF(F450&lt;0,"手续费不能为负",IF(AA449="错误","前行待修正",IF(A450&lt;Z449,"日期需按成交顺序递增",IF(AND(B450="红利再投",F450&lt;&gt;0),"红利再投手续费应填 0",IF(AND(B450="红利再投",K449&lt;=0),"红利再投前须有持仓",IF(AND(B450="卖出",D450&gt;K449+0.000001),"卖出份额超过持仓",IF(AND(B450="卖出",F450&gt;=C450*D450),"赎回费不能达到赎回总额",IF(NOT(ISNUMBER(E450)),"自动金额未生成，请检查五项输入",IF(NOT(OR(持仓总览!$C$7="利润优先",持仓总览!$C$7="本金优先")),"请选择卖出分配模式","已计入")))))))))))))))))))</f>
        <v/>
      </c>
      <c r="J450" s="11">
        <f t="shared" si="119"/>
        <v>0</v>
      </c>
      <c r="K450" s="11">
        <f t="shared" si="124"/>
        <v>34284.43</v>
      </c>
      <c r="L450" s="11" t="str">
        <f t="shared" si="125"/>
        <v/>
      </c>
      <c r="M450" s="11" t="str">
        <f t="shared" si="126"/>
        <v/>
      </c>
      <c r="N450" s="11" t="str">
        <f>IF(I450="已计入",IF(AND(B450="卖出",持仓总览!$C$7="本金优先"),MAX(0,E450-Q449),IF(OR(B450="卖出",B450="现金分红"),MIN(E450,M450),0)),"")</f>
        <v/>
      </c>
      <c r="O450" s="11" t="str">
        <f t="shared" si="127"/>
        <v/>
      </c>
      <c r="P450" s="11" t="str">
        <f t="shared" si="128"/>
        <v/>
      </c>
      <c r="Q450" s="11">
        <f t="shared" si="129"/>
        <v>82516.01</v>
      </c>
      <c r="R450" s="11" t="str">
        <f t="shared" si="120"/>
        <v/>
      </c>
      <c r="S450" s="11" t="str">
        <f t="shared" si="121"/>
        <v/>
      </c>
      <c r="T450" s="12" t="str">
        <f t="shared" si="122"/>
        <v/>
      </c>
      <c r="U450" s="11">
        <f t="shared" si="130"/>
        <v>82516.01</v>
      </c>
      <c r="V450" s="11">
        <f t="shared" si="131"/>
        <v>0</v>
      </c>
      <c r="W450" s="11">
        <f t="shared" si="132"/>
        <v>0</v>
      </c>
      <c r="X450" s="11">
        <f t="shared" si="133"/>
        <v>0</v>
      </c>
      <c r="Y450" s="11" t="str">
        <f t="shared" si="123"/>
        <v/>
      </c>
      <c r="Z450" s="13">
        <f t="shared" si="134"/>
        <v>46247</v>
      </c>
      <c r="AA450" s="10" t="str">
        <f>IF(OR($AA$116="错误",COUNTIF($G$117:G450,"待修正")&gt;0),"错误","正常")</f>
        <v>正常</v>
      </c>
      <c r="AB450" s="14">
        <f t="shared" si="135"/>
        <v>2.7686</v>
      </c>
    </row>
    <row r="451" ht="23" customHeight="1" spans="1:28">
      <c r="A451" s="15"/>
      <c r="B451" s="16"/>
      <c r="C451" s="17"/>
      <c r="D451" s="18"/>
      <c r="E451" s="19" t="str">
        <f t="shared" si="136"/>
        <v/>
      </c>
      <c r="F451" s="18"/>
      <c r="G451" s="20" t="str">
        <f t="shared" si="137"/>
        <v/>
      </c>
      <c r="H451" s="21" t="str">
        <f t="shared" si="138"/>
        <v/>
      </c>
      <c r="I451" s="10" t="str">
        <f>IF(COUNTA(A451:D451,F451)=0,"",IF(NOT(ISNUMBER(A451)),"缺少有效净值日期",IF(OR(A451&lt;=0,A451&lt;&gt;INT(A451)),"净值日期无效",IF(OR(B451="转换转入",B451="现金分红"),"该类型需实际金额，五项录入不适用",IF(NOT(OR(OR(B451="买入",B451="定投"),B451="卖出",B451="红利再投")),"请选择交易类型",IF(NOT(ISNUMBER(C451)),"缺少成交净值",IF(C451&lt;=0,"成交净值须大于零",IF(NOT(ISNUMBER(D451)),"缺少确认份额",IF(D451&lt;=0,"确认份额须大于零",IF(NOT(ISNUMBER(F451)),"缺少手续费，无费用请填 0",IF(F451&lt;0,"手续费不能为负",IF(AA450="错误","前行待修正",IF(A451&lt;Z450,"日期需按成交顺序递增",IF(AND(B451="红利再投",F451&lt;&gt;0),"红利再投手续费应填 0",IF(AND(B451="红利再投",K450&lt;=0),"红利再投前须有持仓",IF(AND(B451="卖出",D451&gt;K450+0.000001),"卖出份额超过持仓",IF(AND(B451="卖出",F451&gt;=C451*D451),"赎回费不能达到赎回总额",IF(NOT(ISNUMBER(E451)),"自动金额未生成，请检查五项输入",IF(NOT(OR(持仓总览!$C$7="利润优先",持仓总览!$C$7="本金优先")),"请选择卖出分配模式","已计入")))))))))))))))))))</f>
        <v/>
      </c>
      <c r="J451" s="11">
        <f t="shared" si="119"/>
        <v>0</v>
      </c>
      <c r="K451" s="11">
        <f t="shared" si="124"/>
        <v>34284.43</v>
      </c>
      <c r="L451" s="11" t="str">
        <f t="shared" si="125"/>
        <v/>
      </c>
      <c r="M451" s="11" t="str">
        <f t="shared" si="126"/>
        <v/>
      </c>
      <c r="N451" s="11" t="str">
        <f>IF(I451="已计入",IF(AND(B451="卖出",持仓总览!$C$7="本金优先"),MAX(0,E451-Q450),IF(OR(B451="卖出",B451="现金分红"),MIN(E451,M451),0)),"")</f>
        <v/>
      </c>
      <c r="O451" s="11" t="str">
        <f t="shared" si="127"/>
        <v/>
      </c>
      <c r="P451" s="11" t="str">
        <f t="shared" si="128"/>
        <v/>
      </c>
      <c r="Q451" s="11">
        <f t="shared" si="129"/>
        <v>82516.01</v>
      </c>
      <c r="R451" s="11" t="str">
        <f t="shared" si="120"/>
        <v/>
      </c>
      <c r="S451" s="11" t="str">
        <f t="shared" si="121"/>
        <v/>
      </c>
      <c r="T451" s="12" t="str">
        <f t="shared" si="122"/>
        <v/>
      </c>
      <c r="U451" s="11">
        <f t="shared" si="130"/>
        <v>82516.01</v>
      </c>
      <c r="V451" s="11">
        <f t="shared" si="131"/>
        <v>0</v>
      </c>
      <c r="W451" s="11">
        <f t="shared" si="132"/>
        <v>0</v>
      </c>
      <c r="X451" s="11">
        <f t="shared" si="133"/>
        <v>0</v>
      </c>
      <c r="Y451" s="11" t="str">
        <f t="shared" si="123"/>
        <v/>
      </c>
      <c r="Z451" s="13">
        <f t="shared" si="134"/>
        <v>46247</v>
      </c>
      <c r="AA451" s="10" t="str">
        <f>IF(OR($AA$116="错误",COUNTIF($G$117:G451,"待修正")&gt;0),"错误","正常")</f>
        <v>正常</v>
      </c>
      <c r="AB451" s="14">
        <f t="shared" si="135"/>
        <v>2.7686</v>
      </c>
    </row>
    <row r="452" ht="23" customHeight="1" spans="1:28">
      <c r="A452" s="15"/>
      <c r="B452" s="16"/>
      <c r="C452" s="17"/>
      <c r="D452" s="18"/>
      <c r="E452" s="19" t="str">
        <f t="shared" si="136"/>
        <v/>
      </c>
      <c r="F452" s="18"/>
      <c r="G452" s="20" t="str">
        <f t="shared" si="137"/>
        <v/>
      </c>
      <c r="H452" s="21" t="str">
        <f t="shared" si="138"/>
        <v/>
      </c>
      <c r="I452" s="10" t="str">
        <f>IF(COUNTA(A452:D452,F452)=0,"",IF(NOT(ISNUMBER(A452)),"缺少有效净值日期",IF(OR(A452&lt;=0,A452&lt;&gt;INT(A452)),"净值日期无效",IF(OR(B452="转换转入",B452="现金分红"),"该类型需实际金额，五项录入不适用",IF(NOT(OR(OR(B452="买入",B452="定投"),B452="卖出",B452="红利再投")),"请选择交易类型",IF(NOT(ISNUMBER(C452)),"缺少成交净值",IF(C452&lt;=0,"成交净值须大于零",IF(NOT(ISNUMBER(D452)),"缺少确认份额",IF(D452&lt;=0,"确认份额须大于零",IF(NOT(ISNUMBER(F452)),"缺少手续费，无费用请填 0",IF(F452&lt;0,"手续费不能为负",IF(AA451="错误","前行待修正",IF(A452&lt;Z451,"日期需按成交顺序递增",IF(AND(B452="红利再投",F452&lt;&gt;0),"红利再投手续费应填 0",IF(AND(B452="红利再投",K451&lt;=0),"红利再投前须有持仓",IF(AND(B452="卖出",D452&gt;K451+0.000001),"卖出份额超过持仓",IF(AND(B452="卖出",F452&gt;=C452*D452),"赎回费不能达到赎回总额",IF(NOT(ISNUMBER(E452)),"自动金额未生成，请检查五项输入",IF(NOT(OR(持仓总览!$C$7="利润优先",持仓总览!$C$7="本金优先")),"请选择卖出分配模式","已计入")))))))))))))))))))</f>
        <v/>
      </c>
      <c r="J452" s="11">
        <f t="shared" si="119"/>
        <v>0</v>
      </c>
      <c r="K452" s="11">
        <f t="shared" si="124"/>
        <v>34284.43</v>
      </c>
      <c r="L452" s="11" t="str">
        <f t="shared" si="125"/>
        <v/>
      </c>
      <c r="M452" s="11" t="str">
        <f t="shared" si="126"/>
        <v/>
      </c>
      <c r="N452" s="11" t="str">
        <f>IF(I452="已计入",IF(AND(B452="卖出",持仓总览!$C$7="本金优先"),MAX(0,E452-Q451),IF(OR(B452="卖出",B452="现金分红"),MIN(E452,M452),0)),"")</f>
        <v/>
      </c>
      <c r="O452" s="11" t="str">
        <f t="shared" si="127"/>
        <v/>
      </c>
      <c r="P452" s="11" t="str">
        <f t="shared" si="128"/>
        <v/>
      </c>
      <c r="Q452" s="11">
        <f t="shared" si="129"/>
        <v>82516.01</v>
      </c>
      <c r="R452" s="11" t="str">
        <f t="shared" si="120"/>
        <v/>
      </c>
      <c r="S452" s="11" t="str">
        <f t="shared" si="121"/>
        <v/>
      </c>
      <c r="T452" s="12" t="str">
        <f t="shared" si="122"/>
        <v/>
      </c>
      <c r="U452" s="11">
        <f t="shared" si="130"/>
        <v>82516.01</v>
      </c>
      <c r="V452" s="11">
        <f t="shared" si="131"/>
        <v>0</v>
      </c>
      <c r="W452" s="11">
        <f t="shared" si="132"/>
        <v>0</v>
      </c>
      <c r="X452" s="11">
        <f t="shared" si="133"/>
        <v>0</v>
      </c>
      <c r="Y452" s="11" t="str">
        <f t="shared" si="123"/>
        <v/>
      </c>
      <c r="Z452" s="13">
        <f t="shared" si="134"/>
        <v>46247</v>
      </c>
      <c r="AA452" s="10" t="str">
        <f>IF(OR($AA$116="错误",COUNTIF($G$117:G452,"待修正")&gt;0),"错误","正常")</f>
        <v>正常</v>
      </c>
      <c r="AB452" s="14">
        <f t="shared" si="135"/>
        <v>2.7686</v>
      </c>
    </row>
    <row r="453" ht="23" customHeight="1" spans="1:28">
      <c r="A453" s="15"/>
      <c r="B453" s="16"/>
      <c r="C453" s="17"/>
      <c r="D453" s="18"/>
      <c r="E453" s="19" t="str">
        <f t="shared" si="136"/>
        <v/>
      </c>
      <c r="F453" s="18"/>
      <c r="G453" s="20" t="str">
        <f t="shared" si="137"/>
        <v/>
      </c>
      <c r="H453" s="21" t="str">
        <f t="shared" si="138"/>
        <v/>
      </c>
      <c r="I453" s="10" t="str">
        <f>IF(COUNTA(A453:D453,F453)=0,"",IF(NOT(ISNUMBER(A453)),"缺少有效净值日期",IF(OR(A453&lt;=0,A453&lt;&gt;INT(A453)),"净值日期无效",IF(OR(B453="转换转入",B453="现金分红"),"该类型需实际金额，五项录入不适用",IF(NOT(OR(OR(B453="买入",B453="定投"),B453="卖出",B453="红利再投")),"请选择交易类型",IF(NOT(ISNUMBER(C453)),"缺少成交净值",IF(C453&lt;=0,"成交净值须大于零",IF(NOT(ISNUMBER(D453)),"缺少确认份额",IF(D453&lt;=0,"确认份额须大于零",IF(NOT(ISNUMBER(F453)),"缺少手续费，无费用请填 0",IF(F453&lt;0,"手续费不能为负",IF(AA452="错误","前行待修正",IF(A453&lt;Z452,"日期需按成交顺序递增",IF(AND(B453="红利再投",F453&lt;&gt;0),"红利再投手续费应填 0",IF(AND(B453="红利再投",K452&lt;=0),"红利再投前须有持仓",IF(AND(B453="卖出",D453&gt;K452+0.000001),"卖出份额超过持仓",IF(AND(B453="卖出",F453&gt;=C453*D453),"赎回费不能达到赎回总额",IF(NOT(ISNUMBER(E453)),"自动金额未生成，请检查五项输入",IF(NOT(OR(持仓总览!$C$7="利润优先",持仓总览!$C$7="本金优先")),"请选择卖出分配模式","已计入")))))))))))))))))))</f>
        <v/>
      </c>
      <c r="J453" s="11">
        <f t="shared" si="119"/>
        <v>0</v>
      </c>
      <c r="K453" s="11">
        <f t="shared" si="124"/>
        <v>34284.43</v>
      </c>
      <c r="L453" s="11" t="str">
        <f t="shared" si="125"/>
        <v/>
      </c>
      <c r="M453" s="11" t="str">
        <f t="shared" si="126"/>
        <v/>
      </c>
      <c r="N453" s="11" t="str">
        <f>IF(I453="已计入",IF(AND(B453="卖出",持仓总览!$C$7="本金优先"),MAX(0,E453-Q452),IF(OR(B453="卖出",B453="现金分红"),MIN(E453,M453),0)),"")</f>
        <v/>
      </c>
      <c r="O453" s="11" t="str">
        <f t="shared" si="127"/>
        <v/>
      </c>
      <c r="P453" s="11" t="str">
        <f t="shared" si="128"/>
        <v/>
      </c>
      <c r="Q453" s="11">
        <f t="shared" si="129"/>
        <v>82516.01</v>
      </c>
      <c r="R453" s="11" t="str">
        <f t="shared" si="120"/>
        <v/>
      </c>
      <c r="S453" s="11" t="str">
        <f t="shared" si="121"/>
        <v/>
      </c>
      <c r="T453" s="12" t="str">
        <f t="shared" si="122"/>
        <v/>
      </c>
      <c r="U453" s="11">
        <f t="shared" si="130"/>
        <v>82516.01</v>
      </c>
      <c r="V453" s="11">
        <f t="shared" si="131"/>
        <v>0</v>
      </c>
      <c r="W453" s="11">
        <f t="shared" si="132"/>
        <v>0</v>
      </c>
      <c r="X453" s="11">
        <f t="shared" si="133"/>
        <v>0</v>
      </c>
      <c r="Y453" s="11" t="str">
        <f t="shared" si="123"/>
        <v/>
      </c>
      <c r="Z453" s="13">
        <f t="shared" si="134"/>
        <v>46247</v>
      </c>
      <c r="AA453" s="10" t="str">
        <f>IF(OR($AA$116="错误",COUNTIF($G$117:G453,"待修正")&gt;0),"错误","正常")</f>
        <v>正常</v>
      </c>
      <c r="AB453" s="14">
        <f t="shared" si="135"/>
        <v>2.7686</v>
      </c>
    </row>
    <row r="454" ht="23" customHeight="1" spans="1:28">
      <c r="A454" s="15"/>
      <c r="B454" s="16"/>
      <c r="C454" s="17"/>
      <c r="D454" s="18"/>
      <c r="E454" s="19" t="str">
        <f t="shared" si="136"/>
        <v/>
      </c>
      <c r="F454" s="18"/>
      <c r="G454" s="20" t="str">
        <f t="shared" si="137"/>
        <v/>
      </c>
      <c r="H454" s="21" t="str">
        <f t="shared" si="138"/>
        <v/>
      </c>
      <c r="I454" s="10" t="str">
        <f>IF(COUNTA(A454:D454,F454)=0,"",IF(NOT(ISNUMBER(A454)),"缺少有效净值日期",IF(OR(A454&lt;=0,A454&lt;&gt;INT(A454)),"净值日期无效",IF(OR(B454="转换转入",B454="现金分红"),"该类型需实际金额，五项录入不适用",IF(NOT(OR(OR(B454="买入",B454="定投"),B454="卖出",B454="红利再投")),"请选择交易类型",IF(NOT(ISNUMBER(C454)),"缺少成交净值",IF(C454&lt;=0,"成交净值须大于零",IF(NOT(ISNUMBER(D454)),"缺少确认份额",IF(D454&lt;=0,"确认份额须大于零",IF(NOT(ISNUMBER(F454)),"缺少手续费，无费用请填 0",IF(F454&lt;0,"手续费不能为负",IF(AA453="错误","前行待修正",IF(A454&lt;Z453,"日期需按成交顺序递增",IF(AND(B454="红利再投",F454&lt;&gt;0),"红利再投手续费应填 0",IF(AND(B454="红利再投",K453&lt;=0),"红利再投前须有持仓",IF(AND(B454="卖出",D454&gt;K453+0.000001),"卖出份额超过持仓",IF(AND(B454="卖出",F454&gt;=C454*D454),"赎回费不能达到赎回总额",IF(NOT(ISNUMBER(E454)),"自动金额未生成，请检查五项输入",IF(NOT(OR(持仓总览!$C$7="利润优先",持仓总览!$C$7="本金优先")),"请选择卖出分配模式","已计入")))))))))))))))))))</f>
        <v/>
      </c>
      <c r="J454" s="11">
        <f t="shared" si="119"/>
        <v>0</v>
      </c>
      <c r="K454" s="11">
        <f t="shared" si="124"/>
        <v>34284.43</v>
      </c>
      <c r="L454" s="11" t="str">
        <f t="shared" si="125"/>
        <v/>
      </c>
      <c r="M454" s="11" t="str">
        <f t="shared" si="126"/>
        <v/>
      </c>
      <c r="N454" s="11" t="str">
        <f>IF(I454="已计入",IF(AND(B454="卖出",持仓总览!$C$7="本金优先"),MAX(0,E454-Q453),IF(OR(B454="卖出",B454="现金分红"),MIN(E454,M454),0)),"")</f>
        <v/>
      </c>
      <c r="O454" s="11" t="str">
        <f t="shared" si="127"/>
        <v/>
      </c>
      <c r="P454" s="11" t="str">
        <f t="shared" si="128"/>
        <v/>
      </c>
      <c r="Q454" s="11">
        <f t="shared" si="129"/>
        <v>82516.01</v>
      </c>
      <c r="R454" s="11" t="str">
        <f t="shared" si="120"/>
        <v/>
      </c>
      <c r="S454" s="11" t="str">
        <f t="shared" si="121"/>
        <v/>
      </c>
      <c r="T454" s="12" t="str">
        <f t="shared" si="122"/>
        <v/>
      </c>
      <c r="U454" s="11">
        <f t="shared" si="130"/>
        <v>82516.01</v>
      </c>
      <c r="V454" s="11">
        <f t="shared" si="131"/>
        <v>0</v>
      </c>
      <c r="W454" s="11">
        <f t="shared" si="132"/>
        <v>0</v>
      </c>
      <c r="X454" s="11">
        <f t="shared" si="133"/>
        <v>0</v>
      </c>
      <c r="Y454" s="11" t="str">
        <f t="shared" si="123"/>
        <v/>
      </c>
      <c r="Z454" s="13">
        <f t="shared" si="134"/>
        <v>46247</v>
      </c>
      <c r="AA454" s="10" t="str">
        <f>IF(OR($AA$116="错误",COUNTIF($G$117:G454,"待修正")&gt;0),"错误","正常")</f>
        <v>正常</v>
      </c>
      <c r="AB454" s="14">
        <f t="shared" si="135"/>
        <v>2.7686</v>
      </c>
    </row>
    <row r="455" ht="23" customHeight="1" spans="1:28">
      <c r="A455" s="15"/>
      <c r="B455" s="16"/>
      <c r="C455" s="17"/>
      <c r="D455" s="18"/>
      <c r="E455" s="19" t="str">
        <f t="shared" si="136"/>
        <v/>
      </c>
      <c r="F455" s="18"/>
      <c r="G455" s="20" t="str">
        <f t="shared" si="137"/>
        <v/>
      </c>
      <c r="H455" s="21" t="str">
        <f t="shared" si="138"/>
        <v/>
      </c>
      <c r="I455" s="10" t="str">
        <f>IF(COUNTA(A455:D455,F455)=0,"",IF(NOT(ISNUMBER(A455)),"缺少有效净值日期",IF(OR(A455&lt;=0,A455&lt;&gt;INT(A455)),"净值日期无效",IF(OR(B455="转换转入",B455="现金分红"),"该类型需实际金额，五项录入不适用",IF(NOT(OR(OR(B455="买入",B455="定投"),B455="卖出",B455="红利再投")),"请选择交易类型",IF(NOT(ISNUMBER(C455)),"缺少成交净值",IF(C455&lt;=0,"成交净值须大于零",IF(NOT(ISNUMBER(D455)),"缺少确认份额",IF(D455&lt;=0,"确认份额须大于零",IF(NOT(ISNUMBER(F455)),"缺少手续费，无费用请填 0",IF(F455&lt;0,"手续费不能为负",IF(AA454="错误","前行待修正",IF(A455&lt;Z454,"日期需按成交顺序递增",IF(AND(B455="红利再投",F455&lt;&gt;0),"红利再投手续费应填 0",IF(AND(B455="红利再投",K454&lt;=0),"红利再投前须有持仓",IF(AND(B455="卖出",D455&gt;K454+0.000001),"卖出份额超过持仓",IF(AND(B455="卖出",F455&gt;=C455*D455),"赎回费不能达到赎回总额",IF(NOT(ISNUMBER(E455)),"自动金额未生成，请检查五项输入",IF(NOT(OR(持仓总览!$C$7="利润优先",持仓总览!$C$7="本金优先")),"请选择卖出分配模式","已计入")))))))))))))))))))</f>
        <v/>
      </c>
      <c r="J455" s="11">
        <f t="shared" ref="J455:J506" si="139">IF(AA455="正常",IF(I455="已计入",IF(OR(OR(B455="买入",B455="定投",B455="转换转入"),B455="红利再投"),D455,IF(B455="卖出",-D455,0)),0),"")</f>
        <v>0</v>
      </c>
      <c r="K455" s="11">
        <f t="shared" si="124"/>
        <v>34284.43</v>
      </c>
      <c r="L455" s="11" t="str">
        <f t="shared" si="125"/>
        <v/>
      </c>
      <c r="M455" s="11" t="str">
        <f t="shared" si="126"/>
        <v/>
      </c>
      <c r="N455" s="11" t="str">
        <f>IF(I455="已计入",IF(AND(B455="卖出",持仓总览!$C$7="本金优先"),MAX(0,E455-Q454),IF(OR(B455="卖出",B455="现金分红"),MIN(E455,M455),0)),"")</f>
        <v/>
      </c>
      <c r="O455" s="11" t="str">
        <f t="shared" si="127"/>
        <v/>
      </c>
      <c r="P455" s="11" t="str">
        <f t="shared" si="128"/>
        <v/>
      </c>
      <c r="Q455" s="11">
        <f t="shared" si="129"/>
        <v>82516.01</v>
      </c>
      <c r="R455" s="11" t="str">
        <f t="shared" ref="R455:R506" si="140">IF(I455="已计入",ROUND(K455*C455,2),"")</f>
        <v/>
      </c>
      <c r="S455" s="11" t="str">
        <f t="shared" ref="S455:S506" si="141">IF(I455="已计入",ROUND(R455-Q455,2),"")</f>
        <v/>
      </c>
      <c r="T455" s="12" t="str">
        <f t="shared" ref="T455:T506" si="142">IF(I455="已计入",IF(Q455=0,"",S455/Q455),"")</f>
        <v/>
      </c>
      <c r="U455" s="11">
        <f t="shared" si="130"/>
        <v>82516.01</v>
      </c>
      <c r="V455" s="11">
        <f t="shared" si="131"/>
        <v>0</v>
      </c>
      <c r="W455" s="11">
        <f t="shared" si="132"/>
        <v>0</v>
      </c>
      <c r="X455" s="11">
        <f t="shared" si="133"/>
        <v>0</v>
      </c>
      <c r="Y455" s="11" t="str">
        <f t="shared" ref="Y455:Y506" si="143">IF(I455="已计入",ROUND(R455+V455-U455,2),"")</f>
        <v/>
      </c>
      <c r="Z455" s="13">
        <f t="shared" si="134"/>
        <v>46247</v>
      </c>
      <c r="AA455" s="10" t="str">
        <f>IF(OR($AA$116="错误",COUNTIF($G$117:G455,"待修正")&gt;0),"错误","正常")</f>
        <v>正常</v>
      </c>
      <c r="AB455" s="14">
        <f t="shared" si="135"/>
        <v>2.7686</v>
      </c>
    </row>
    <row r="456" ht="23" customHeight="1" spans="1:28">
      <c r="A456" s="15"/>
      <c r="B456" s="16"/>
      <c r="C456" s="17"/>
      <c r="D456" s="18"/>
      <c r="E456" s="19" t="str">
        <f t="shared" si="136"/>
        <v/>
      </c>
      <c r="F456" s="18"/>
      <c r="G456" s="20" t="str">
        <f t="shared" si="137"/>
        <v/>
      </c>
      <c r="H456" s="21" t="str">
        <f t="shared" si="138"/>
        <v/>
      </c>
      <c r="I456" s="10" t="str">
        <f>IF(COUNTA(A456:D456,F456)=0,"",IF(NOT(ISNUMBER(A456)),"缺少有效净值日期",IF(OR(A456&lt;=0,A456&lt;&gt;INT(A456)),"净值日期无效",IF(OR(B456="转换转入",B456="现金分红"),"该类型需实际金额，五项录入不适用",IF(NOT(OR(OR(B456="买入",B456="定投"),B456="卖出",B456="红利再投")),"请选择交易类型",IF(NOT(ISNUMBER(C456)),"缺少成交净值",IF(C456&lt;=0,"成交净值须大于零",IF(NOT(ISNUMBER(D456)),"缺少确认份额",IF(D456&lt;=0,"确认份额须大于零",IF(NOT(ISNUMBER(F456)),"缺少手续费，无费用请填 0",IF(F456&lt;0,"手续费不能为负",IF(AA455="错误","前行待修正",IF(A456&lt;Z455,"日期需按成交顺序递增",IF(AND(B456="红利再投",F456&lt;&gt;0),"红利再投手续费应填 0",IF(AND(B456="红利再投",K455&lt;=0),"红利再投前须有持仓",IF(AND(B456="卖出",D456&gt;K455+0.000001),"卖出份额超过持仓",IF(AND(B456="卖出",F456&gt;=C456*D456),"赎回费不能达到赎回总额",IF(NOT(ISNUMBER(E456)),"自动金额未生成，请检查五项输入",IF(NOT(OR(持仓总览!$C$7="利润优先",持仓总览!$C$7="本金优先")),"请选择卖出分配模式","已计入")))))))))))))))))))</f>
        <v/>
      </c>
      <c r="J456" s="11">
        <f t="shared" si="139"/>
        <v>0</v>
      </c>
      <c r="K456" s="11">
        <f t="shared" ref="K456:K506" si="144">IF(AA456="正常",ROUND(K455+J456,6),"")</f>
        <v>34284.43</v>
      </c>
      <c r="L456" s="11" t="str">
        <f t="shared" ref="L456:L506" si="145">IF(I456="已计入",ROUND(K455*C456,2),"")</f>
        <v/>
      </c>
      <c r="M456" s="11" t="str">
        <f t="shared" ref="M456:M506" si="146">IF(I456="已计入",IF(B456="卖出",MAX(0,L456-Q455-F456),IF(B456="现金分红",MAX(0,L456+E456-Q455),0)),"")</f>
        <v/>
      </c>
      <c r="N456" s="11" t="str">
        <f>IF(I456="已计入",IF(AND(B456="卖出",持仓总览!$C$7="本金优先"),MAX(0,E456-Q455),IF(OR(B456="卖出",B456="现金分红"),MIN(E456,M456),0)),"")</f>
        <v/>
      </c>
      <c r="O456" s="11" t="str">
        <f t="shared" ref="O456:O506" si="147">IF(I456="已计入",IF(OR(B456="卖出",B456="现金分红"),MIN(Q455,MAX(0,E456-N456)),0),"")</f>
        <v/>
      </c>
      <c r="P456" s="11" t="str">
        <f t="shared" ref="P456:P506" si="148">IF(I456="已计入",IF(AND(B456="卖出",K456=0),MAX(0,Q455-O456),0),"")</f>
        <v/>
      </c>
      <c r="Q456" s="11">
        <f t="shared" ref="Q456:Q506" si="149">IF(AA456="正常",IF(I456="已计入",ROUND(Q455+IF(OR(B456="买入",B456="定投",B456="转换转入"),E456,0)-O456-P456,2),Q455),"")</f>
        <v>82516.01</v>
      </c>
      <c r="R456" s="11" t="str">
        <f t="shared" si="140"/>
        <v/>
      </c>
      <c r="S456" s="11" t="str">
        <f t="shared" si="141"/>
        <v/>
      </c>
      <c r="T456" s="12" t="str">
        <f t="shared" si="142"/>
        <v/>
      </c>
      <c r="U456" s="11">
        <f t="shared" ref="U456:U506" si="150">IF(AA456="正常",U455+IF(AND(I456="已计入",OR(B456="买入",B456="定投",B456="转换转入")),E456,0),"")</f>
        <v>82516.01</v>
      </c>
      <c r="V456" s="11">
        <f t="shared" ref="V456:V506" si="151">IF(AA456="正常",V455+IF(AND(I456="已计入",OR(B456="卖出",B456="现金分红")),E456,0),"")</f>
        <v>0</v>
      </c>
      <c r="W456" s="11">
        <f t="shared" ref="W456:W506" si="152">IF(AA456="正常",W455+IF(I456="已计入",N456,0),"")</f>
        <v>0</v>
      </c>
      <c r="X456" s="11">
        <f t="shared" ref="X456:X506" si="153">IF(AA456="正常",X455+IF(I456="已计入",P456,0),"")</f>
        <v>0</v>
      </c>
      <c r="Y456" s="11" t="str">
        <f t="shared" si="143"/>
        <v/>
      </c>
      <c r="Z456" s="13">
        <f t="shared" ref="Z456:Z506" si="154">IF(AA456="正常",IF(I456="已计入",A456,Z455),"")</f>
        <v>46247</v>
      </c>
      <c r="AA456" s="10" t="str">
        <f>IF(OR($AA$116="错误",COUNTIF($G$117:G456,"待修正")&gt;0),"错误","正常")</f>
        <v>正常</v>
      </c>
      <c r="AB456" s="14">
        <f t="shared" ref="AB456:AB506" si="155">IF(AA456="正常",IF(I456="已计入",C456,AB455),"")</f>
        <v>2.7686</v>
      </c>
    </row>
    <row r="457" ht="23" customHeight="1" spans="1:28">
      <c r="A457" s="15"/>
      <c r="B457" s="16"/>
      <c r="C457" s="17"/>
      <c r="D457" s="18"/>
      <c r="E457" s="19" t="str">
        <f t="shared" si="136"/>
        <v/>
      </c>
      <c r="F457" s="18"/>
      <c r="G457" s="20" t="str">
        <f t="shared" si="137"/>
        <v/>
      </c>
      <c r="H457" s="21" t="str">
        <f t="shared" si="138"/>
        <v/>
      </c>
      <c r="I457" s="10" t="str">
        <f>IF(COUNTA(A457:D457,F457)=0,"",IF(NOT(ISNUMBER(A457)),"缺少有效净值日期",IF(OR(A457&lt;=0,A457&lt;&gt;INT(A457)),"净值日期无效",IF(OR(B457="转换转入",B457="现金分红"),"该类型需实际金额，五项录入不适用",IF(NOT(OR(OR(B457="买入",B457="定投"),B457="卖出",B457="红利再投")),"请选择交易类型",IF(NOT(ISNUMBER(C457)),"缺少成交净值",IF(C457&lt;=0,"成交净值须大于零",IF(NOT(ISNUMBER(D457)),"缺少确认份额",IF(D457&lt;=0,"确认份额须大于零",IF(NOT(ISNUMBER(F457)),"缺少手续费，无费用请填 0",IF(F457&lt;0,"手续费不能为负",IF(AA456="错误","前行待修正",IF(A457&lt;Z456,"日期需按成交顺序递增",IF(AND(B457="红利再投",F457&lt;&gt;0),"红利再投手续费应填 0",IF(AND(B457="红利再投",K456&lt;=0),"红利再投前须有持仓",IF(AND(B457="卖出",D457&gt;K456+0.000001),"卖出份额超过持仓",IF(AND(B457="卖出",F457&gt;=C457*D457),"赎回费不能达到赎回总额",IF(NOT(ISNUMBER(E457)),"自动金额未生成，请检查五项输入",IF(NOT(OR(持仓总览!$C$7="利润优先",持仓总览!$C$7="本金优先")),"请选择卖出分配模式","已计入")))))))))))))))))))</f>
        <v/>
      </c>
      <c r="J457" s="11">
        <f t="shared" si="139"/>
        <v>0</v>
      </c>
      <c r="K457" s="11">
        <f t="shared" si="144"/>
        <v>34284.43</v>
      </c>
      <c r="L457" s="11" t="str">
        <f t="shared" si="145"/>
        <v/>
      </c>
      <c r="M457" s="11" t="str">
        <f t="shared" si="146"/>
        <v/>
      </c>
      <c r="N457" s="11" t="str">
        <f>IF(I457="已计入",IF(AND(B457="卖出",持仓总览!$C$7="本金优先"),MAX(0,E457-Q456),IF(OR(B457="卖出",B457="现金分红"),MIN(E457,M457),0)),"")</f>
        <v/>
      </c>
      <c r="O457" s="11" t="str">
        <f t="shared" si="147"/>
        <v/>
      </c>
      <c r="P457" s="11" t="str">
        <f t="shared" si="148"/>
        <v/>
      </c>
      <c r="Q457" s="11">
        <f t="shared" si="149"/>
        <v>82516.01</v>
      </c>
      <c r="R457" s="11" t="str">
        <f t="shared" si="140"/>
        <v/>
      </c>
      <c r="S457" s="11" t="str">
        <f t="shared" si="141"/>
        <v/>
      </c>
      <c r="T457" s="12" t="str">
        <f t="shared" si="142"/>
        <v/>
      </c>
      <c r="U457" s="11">
        <f t="shared" si="150"/>
        <v>82516.01</v>
      </c>
      <c r="V457" s="11">
        <f t="shared" si="151"/>
        <v>0</v>
      </c>
      <c r="W457" s="11">
        <f t="shared" si="152"/>
        <v>0</v>
      </c>
      <c r="X457" s="11">
        <f t="shared" si="153"/>
        <v>0</v>
      </c>
      <c r="Y457" s="11" t="str">
        <f t="shared" si="143"/>
        <v/>
      </c>
      <c r="Z457" s="13">
        <f t="shared" si="154"/>
        <v>46247</v>
      </c>
      <c r="AA457" s="10" t="str">
        <f>IF(OR($AA$116="错误",COUNTIF($G$117:G457,"待修正")&gt;0),"错误","正常")</f>
        <v>正常</v>
      </c>
      <c r="AB457" s="14">
        <f t="shared" si="155"/>
        <v>2.7686</v>
      </c>
    </row>
    <row r="458" ht="23" customHeight="1" spans="1:28">
      <c r="A458" s="15"/>
      <c r="B458" s="16"/>
      <c r="C458" s="17"/>
      <c r="D458" s="18"/>
      <c r="E458" s="19" t="str">
        <f t="shared" si="136"/>
        <v/>
      </c>
      <c r="F458" s="18"/>
      <c r="G458" s="20" t="str">
        <f t="shared" si="137"/>
        <v/>
      </c>
      <c r="H458" s="21" t="str">
        <f t="shared" si="138"/>
        <v/>
      </c>
      <c r="I458" s="10" t="str">
        <f>IF(COUNTA(A458:D458,F458)=0,"",IF(NOT(ISNUMBER(A458)),"缺少有效净值日期",IF(OR(A458&lt;=0,A458&lt;&gt;INT(A458)),"净值日期无效",IF(OR(B458="转换转入",B458="现金分红"),"该类型需实际金额，五项录入不适用",IF(NOT(OR(OR(B458="买入",B458="定投"),B458="卖出",B458="红利再投")),"请选择交易类型",IF(NOT(ISNUMBER(C458)),"缺少成交净值",IF(C458&lt;=0,"成交净值须大于零",IF(NOT(ISNUMBER(D458)),"缺少确认份额",IF(D458&lt;=0,"确认份额须大于零",IF(NOT(ISNUMBER(F458)),"缺少手续费，无费用请填 0",IF(F458&lt;0,"手续费不能为负",IF(AA457="错误","前行待修正",IF(A458&lt;Z457,"日期需按成交顺序递增",IF(AND(B458="红利再投",F458&lt;&gt;0),"红利再投手续费应填 0",IF(AND(B458="红利再投",K457&lt;=0),"红利再投前须有持仓",IF(AND(B458="卖出",D458&gt;K457+0.000001),"卖出份额超过持仓",IF(AND(B458="卖出",F458&gt;=C458*D458),"赎回费不能达到赎回总额",IF(NOT(ISNUMBER(E458)),"自动金额未生成，请检查五项输入",IF(NOT(OR(持仓总览!$C$7="利润优先",持仓总览!$C$7="本金优先")),"请选择卖出分配模式","已计入")))))))))))))))))))</f>
        <v/>
      </c>
      <c r="J458" s="11">
        <f t="shared" si="139"/>
        <v>0</v>
      </c>
      <c r="K458" s="11">
        <f t="shared" si="144"/>
        <v>34284.43</v>
      </c>
      <c r="L458" s="11" t="str">
        <f t="shared" si="145"/>
        <v/>
      </c>
      <c r="M458" s="11" t="str">
        <f t="shared" si="146"/>
        <v/>
      </c>
      <c r="N458" s="11" t="str">
        <f>IF(I458="已计入",IF(AND(B458="卖出",持仓总览!$C$7="本金优先"),MAX(0,E458-Q457),IF(OR(B458="卖出",B458="现金分红"),MIN(E458,M458),0)),"")</f>
        <v/>
      </c>
      <c r="O458" s="11" t="str">
        <f t="shared" si="147"/>
        <v/>
      </c>
      <c r="P458" s="11" t="str">
        <f t="shared" si="148"/>
        <v/>
      </c>
      <c r="Q458" s="11">
        <f t="shared" si="149"/>
        <v>82516.01</v>
      </c>
      <c r="R458" s="11" t="str">
        <f t="shared" si="140"/>
        <v/>
      </c>
      <c r="S458" s="11" t="str">
        <f t="shared" si="141"/>
        <v/>
      </c>
      <c r="T458" s="12" t="str">
        <f t="shared" si="142"/>
        <v/>
      </c>
      <c r="U458" s="11">
        <f t="shared" si="150"/>
        <v>82516.01</v>
      </c>
      <c r="V458" s="11">
        <f t="shared" si="151"/>
        <v>0</v>
      </c>
      <c r="W458" s="11">
        <f t="shared" si="152"/>
        <v>0</v>
      </c>
      <c r="X458" s="11">
        <f t="shared" si="153"/>
        <v>0</v>
      </c>
      <c r="Y458" s="11" t="str">
        <f t="shared" si="143"/>
        <v/>
      </c>
      <c r="Z458" s="13">
        <f t="shared" si="154"/>
        <v>46247</v>
      </c>
      <c r="AA458" s="10" t="str">
        <f>IF(OR($AA$116="错误",COUNTIF($G$117:G458,"待修正")&gt;0),"错误","正常")</f>
        <v>正常</v>
      </c>
      <c r="AB458" s="14">
        <f t="shared" si="155"/>
        <v>2.7686</v>
      </c>
    </row>
    <row r="459" ht="23" customHeight="1" spans="1:28">
      <c r="A459" s="15"/>
      <c r="B459" s="16"/>
      <c r="C459" s="17"/>
      <c r="D459" s="18"/>
      <c r="E459" s="19" t="str">
        <f t="shared" si="136"/>
        <v/>
      </c>
      <c r="F459" s="18"/>
      <c r="G459" s="20" t="str">
        <f t="shared" si="137"/>
        <v/>
      </c>
      <c r="H459" s="21" t="str">
        <f t="shared" si="138"/>
        <v/>
      </c>
      <c r="I459" s="10" t="str">
        <f>IF(COUNTA(A459:D459,F459)=0,"",IF(NOT(ISNUMBER(A459)),"缺少有效净值日期",IF(OR(A459&lt;=0,A459&lt;&gt;INT(A459)),"净值日期无效",IF(OR(B459="转换转入",B459="现金分红"),"该类型需实际金额，五项录入不适用",IF(NOT(OR(OR(B459="买入",B459="定投"),B459="卖出",B459="红利再投")),"请选择交易类型",IF(NOT(ISNUMBER(C459)),"缺少成交净值",IF(C459&lt;=0,"成交净值须大于零",IF(NOT(ISNUMBER(D459)),"缺少确认份额",IF(D459&lt;=0,"确认份额须大于零",IF(NOT(ISNUMBER(F459)),"缺少手续费，无费用请填 0",IF(F459&lt;0,"手续费不能为负",IF(AA458="错误","前行待修正",IF(A459&lt;Z458,"日期需按成交顺序递增",IF(AND(B459="红利再投",F459&lt;&gt;0),"红利再投手续费应填 0",IF(AND(B459="红利再投",K458&lt;=0),"红利再投前须有持仓",IF(AND(B459="卖出",D459&gt;K458+0.000001),"卖出份额超过持仓",IF(AND(B459="卖出",F459&gt;=C459*D459),"赎回费不能达到赎回总额",IF(NOT(ISNUMBER(E459)),"自动金额未生成，请检查五项输入",IF(NOT(OR(持仓总览!$C$7="利润优先",持仓总览!$C$7="本金优先")),"请选择卖出分配模式","已计入")))))))))))))))))))</f>
        <v/>
      </c>
      <c r="J459" s="11">
        <f t="shared" si="139"/>
        <v>0</v>
      </c>
      <c r="K459" s="11">
        <f t="shared" si="144"/>
        <v>34284.43</v>
      </c>
      <c r="L459" s="11" t="str">
        <f t="shared" si="145"/>
        <v/>
      </c>
      <c r="M459" s="11" t="str">
        <f t="shared" si="146"/>
        <v/>
      </c>
      <c r="N459" s="11" t="str">
        <f>IF(I459="已计入",IF(AND(B459="卖出",持仓总览!$C$7="本金优先"),MAX(0,E459-Q458),IF(OR(B459="卖出",B459="现金分红"),MIN(E459,M459),0)),"")</f>
        <v/>
      </c>
      <c r="O459" s="11" t="str">
        <f t="shared" si="147"/>
        <v/>
      </c>
      <c r="P459" s="11" t="str">
        <f t="shared" si="148"/>
        <v/>
      </c>
      <c r="Q459" s="11">
        <f t="shared" si="149"/>
        <v>82516.01</v>
      </c>
      <c r="R459" s="11" t="str">
        <f t="shared" si="140"/>
        <v/>
      </c>
      <c r="S459" s="11" t="str">
        <f t="shared" si="141"/>
        <v/>
      </c>
      <c r="T459" s="12" t="str">
        <f t="shared" si="142"/>
        <v/>
      </c>
      <c r="U459" s="11">
        <f t="shared" si="150"/>
        <v>82516.01</v>
      </c>
      <c r="V459" s="11">
        <f t="shared" si="151"/>
        <v>0</v>
      </c>
      <c r="W459" s="11">
        <f t="shared" si="152"/>
        <v>0</v>
      </c>
      <c r="X459" s="11">
        <f t="shared" si="153"/>
        <v>0</v>
      </c>
      <c r="Y459" s="11" t="str">
        <f t="shared" si="143"/>
        <v/>
      </c>
      <c r="Z459" s="13">
        <f t="shared" si="154"/>
        <v>46247</v>
      </c>
      <c r="AA459" s="10" t="str">
        <f>IF(OR($AA$116="错误",COUNTIF($G$117:G459,"待修正")&gt;0),"错误","正常")</f>
        <v>正常</v>
      </c>
      <c r="AB459" s="14">
        <f t="shared" si="155"/>
        <v>2.7686</v>
      </c>
    </row>
    <row r="460" ht="23" customHeight="1" spans="1:28">
      <c r="A460" s="15"/>
      <c r="B460" s="16"/>
      <c r="C460" s="17"/>
      <c r="D460" s="18"/>
      <c r="E460" s="19" t="str">
        <f t="shared" si="136"/>
        <v/>
      </c>
      <c r="F460" s="18"/>
      <c r="G460" s="20" t="str">
        <f t="shared" si="137"/>
        <v/>
      </c>
      <c r="H460" s="21" t="str">
        <f t="shared" si="138"/>
        <v/>
      </c>
      <c r="I460" s="10" t="str">
        <f>IF(COUNTA(A460:D460,F460)=0,"",IF(NOT(ISNUMBER(A460)),"缺少有效净值日期",IF(OR(A460&lt;=0,A460&lt;&gt;INT(A460)),"净值日期无效",IF(OR(B460="转换转入",B460="现金分红"),"该类型需实际金额，五项录入不适用",IF(NOT(OR(OR(B460="买入",B460="定投"),B460="卖出",B460="红利再投")),"请选择交易类型",IF(NOT(ISNUMBER(C460)),"缺少成交净值",IF(C460&lt;=0,"成交净值须大于零",IF(NOT(ISNUMBER(D460)),"缺少确认份额",IF(D460&lt;=0,"确认份额须大于零",IF(NOT(ISNUMBER(F460)),"缺少手续费，无费用请填 0",IF(F460&lt;0,"手续费不能为负",IF(AA459="错误","前行待修正",IF(A460&lt;Z459,"日期需按成交顺序递增",IF(AND(B460="红利再投",F460&lt;&gt;0),"红利再投手续费应填 0",IF(AND(B460="红利再投",K459&lt;=0),"红利再投前须有持仓",IF(AND(B460="卖出",D460&gt;K459+0.000001),"卖出份额超过持仓",IF(AND(B460="卖出",F460&gt;=C460*D460),"赎回费不能达到赎回总额",IF(NOT(ISNUMBER(E460)),"自动金额未生成，请检查五项输入",IF(NOT(OR(持仓总览!$C$7="利润优先",持仓总览!$C$7="本金优先")),"请选择卖出分配模式","已计入")))))))))))))))))))</f>
        <v/>
      </c>
      <c r="J460" s="11">
        <f t="shared" si="139"/>
        <v>0</v>
      </c>
      <c r="K460" s="11">
        <f t="shared" si="144"/>
        <v>34284.43</v>
      </c>
      <c r="L460" s="11" t="str">
        <f t="shared" si="145"/>
        <v/>
      </c>
      <c r="M460" s="11" t="str">
        <f t="shared" si="146"/>
        <v/>
      </c>
      <c r="N460" s="11" t="str">
        <f>IF(I460="已计入",IF(AND(B460="卖出",持仓总览!$C$7="本金优先"),MAX(0,E460-Q459),IF(OR(B460="卖出",B460="现金分红"),MIN(E460,M460),0)),"")</f>
        <v/>
      </c>
      <c r="O460" s="11" t="str">
        <f t="shared" si="147"/>
        <v/>
      </c>
      <c r="P460" s="11" t="str">
        <f t="shared" si="148"/>
        <v/>
      </c>
      <c r="Q460" s="11">
        <f t="shared" si="149"/>
        <v>82516.01</v>
      </c>
      <c r="R460" s="11" t="str">
        <f t="shared" si="140"/>
        <v/>
      </c>
      <c r="S460" s="11" t="str">
        <f t="shared" si="141"/>
        <v/>
      </c>
      <c r="T460" s="12" t="str">
        <f t="shared" si="142"/>
        <v/>
      </c>
      <c r="U460" s="11">
        <f t="shared" si="150"/>
        <v>82516.01</v>
      </c>
      <c r="V460" s="11">
        <f t="shared" si="151"/>
        <v>0</v>
      </c>
      <c r="W460" s="11">
        <f t="shared" si="152"/>
        <v>0</v>
      </c>
      <c r="X460" s="11">
        <f t="shared" si="153"/>
        <v>0</v>
      </c>
      <c r="Y460" s="11" t="str">
        <f t="shared" si="143"/>
        <v/>
      </c>
      <c r="Z460" s="13">
        <f t="shared" si="154"/>
        <v>46247</v>
      </c>
      <c r="AA460" s="10" t="str">
        <f>IF(OR($AA$116="错误",COUNTIF($G$117:G460,"待修正")&gt;0),"错误","正常")</f>
        <v>正常</v>
      </c>
      <c r="AB460" s="14">
        <f t="shared" si="155"/>
        <v>2.7686</v>
      </c>
    </row>
    <row r="461" ht="23" customHeight="1" spans="1:28">
      <c r="A461" s="15"/>
      <c r="B461" s="16"/>
      <c r="C461" s="17"/>
      <c r="D461" s="18"/>
      <c r="E461" s="19" t="str">
        <f t="shared" si="136"/>
        <v/>
      </c>
      <c r="F461" s="18"/>
      <c r="G461" s="20" t="str">
        <f t="shared" si="137"/>
        <v/>
      </c>
      <c r="H461" s="21" t="str">
        <f t="shared" si="138"/>
        <v/>
      </c>
      <c r="I461" s="10" t="str">
        <f>IF(COUNTA(A461:D461,F461)=0,"",IF(NOT(ISNUMBER(A461)),"缺少有效净值日期",IF(OR(A461&lt;=0,A461&lt;&gt;INT(A461)),"净值日期无效",IF(OR(B461="转换转入",B461="现金分红"),"该类型需实际金额，五项录入不适用",IF(NOT(OR(OR(B461="买入",B461="定投"),B461="卖出",B461="红利再投")),"请选择交易类型",IF(NOT(ISNUMBER(C461)),"缺少成交净值",IF(C461&lt;=0,"成交净值须大于零",IF(NOT(ISNUMBER(D461)),"缺少确认份额",IF(D461&lt;=0,"确认份额须大于零",IF(NOT(ISNUMBER(F461)),"缺少手续费，无费用请填 0",IF(F461&lt;0,"手续费不能为负",IF(AA460="错误","前行待修正",IF(A461&lt;Z460,"日期需按成交顺序递增",IF(AND(B461="红利再投",F461&lt;&gt;0),"红利再投手续费应填 0",IF(AND(B461="红利再投",K460&lt;=0),"红利再投前须有持仓",IF(AND(B461="卖出",D461&gt;K460+0.000001),"卖出份额超过持仓",IF(AND(B461="卖出",F461&gt;=C461*D461),"赎回费不能达到赎回总额",IF(NOT(ISNUMBER(E461)),"自动金额未生成，请检查五项输入",IF(NOT(OR(持仓总览!$C$7="利润优先",持仓总览!$C$7="本金优先")),"请选择卖出分配模式","已计入")))))))))))))))))))</f>
        <v/>
      </c>
      <c r="J461" s="11">
        <f t="shared" si="139"/>
        <v>0</v>
      </c>
      <c r="K461" s="11">
        <f t="shared" si="144"/>
        <v>34284.43</v>
      </c>
      <c r="L461" s="11" t="str">
        <f t="shared" si="145"/>
        <v/>
      </c>
      <c r="M461" s="11" t="str">
        <f t="shared" si="146"/>
        <v/>
      </c>
      <c r="N461" s="11" t="str">
        <f>IF(I461="已计入",IF(AND(B461="卖出",持仓总览!$C$7="本金优先"),MAX(0,E461-Q460),IF(OR(B461="卖出",B461="现金分红"),MIN(E461,M461),0)),"")</f>
        <v/>
      </c>
      <c r="O461" s="11" t="str">
        <f t="shared" si="147"/>
        <v/>
      </c>
      <c r="P461" s="11" t="str">
        <f t="shared" si="148"/>
        <v/>
      </c>
      <c r="Q461" s="11">
        <f t="shared" si="149"/>
        <v>82516.01</v>
      </c>
      <c r="R461" s="11" t="str">
        <f t="shared" si="140"/>
        <v/>
      </c>
      <c r="S461" s="11" t="str">
        <f t="shared" si="141"/>
        <v/>
      </c>
      <c r="T461" s="12" t="str">
        <f t="shared" si="142"/>
        <v/>
      </c>
      <c r="U461" s="11">
        <f t="shared" si="150"/>
        <v>82516.01</v>
      </c>
      <c r="V461" s="11">
        <f t="shared" si="151"/>
        <v>0</v>
      </c>
      <c r="W461" s="11">
        <f t="shared" si="152"/>
        <v>0</v>
      </c>
      <c r="X461" s="11">
        <f t="shared" si="153"/>
        <v>0</v>
      </c>
      <c r="Y461" s="11" t="str">
        <f t="shared" si="143"/>
        <v/>
      </c>
      <c r="Z461" s="13">
        <f t="shared" si="154"/>
        <v>46247</v>
      </c>
      <c r="AA461" s="10" t="str">
        <f>IF(OR($AA$116="错误",COUNTIF($G$117:G461,"待修正")&gt;0),"错误","正常")</f>
        <v>正常</v>
      </c>
      <c r="AB461" s="14">
        <f t="shared" si="155"/>
        <v>2.7686</v>
      </c>
    </row>
    <row r="462" ht="23" customHeight="1" spans="1:28">
      <c r="A462" s="15"/>
      <c r="B462" s="16"/>
      <c r="C462" s="17"/>
      <c r="D462" s="18"/>
      <c r="E462" s="19" t="str">
        <f t="shared" si="136"/>
        <v/>
      </c>
      <c r="F462" s="18"/>
      <c r="G462" s="20" t="str">
        <f t="shared" si="137"/>
        <v/>
      </c>
      <c r="H462" s="21" t="str">
        <f t="shared" si="138"/>
        <v/>
      </c>
      <c r="I462" s="10" t="str">
        <f>IF(COUNTA(A462:D462,F462)=0,"",IF(NOT(ISNUMBER(A462)),"缺少有效净值日期",IF(OR(A462&lt;=0,A462&lt;&gt;INT(A462)),"净值日期无效",IF(OR(B462="转换转入",B462="现金分红"),"该类型需实际金额，五项录入不适用",IF(NOT(OR(OR(B462="买入",B462="定投"),B462="卖出",B462="红利再投")),"请选择交易类型",IF(NOT(ISNUMBER(C462)),"缺少成交净值",IF(C462&lt;=0,"成交净值须大于零",IF(NOT(ISNUMBER(D462)),"缺少确认份额",IF(D462&lt;=0,"确认份额须大于零",IF(NOT(ISNUMBER(F462)),"缺少手续费，无费用请填 0",IF(F462&lt;0,"手续费不能为负",IF(AA461="错误","前行待修正",IF(A462&lt;Z461,"日期需按成交顺序递增",IF(AND(B462="红利再投",F462&lt;&gt;0),"红利再投手续费应填 0",IF(AND(B462="红利再投",K461&lt;=0),"红利再投前须有持仓",IF(AND(B462="卖出",D462&gt;K461+0.000001),"卖出份额超过持仓",IF(AND(B462="卖出",F462&gt;=C462*D462),"赎回费不能达到赎回总额",IF(NOT(ISNUMBER(E462)),"自动金额未生成，请检查五项输入",IF(NOT(OR(持仓总览!$C$7="利润优先",持仓总览!$C$7="本金优先")),"请选择卖出分配模式","已计入")))))))))))))))))))</f>
        <v/>
      </c>
      <c r="J462" s="11">
        <f t="shared" si="139"/>
        <v>0</v>
      </c>
      <c r="K462" s="11">
        <f t="shared" si="144"/>
        <v>34284.43</v>
      </c>
      <c r="L462" s="11" t="str">
        <f t="shared" si="145"/>
        <v/>
      </c>
      <c r="M462" s="11" t="str">
        <f t="shared" si="146"/>
        <v/>
      </c>
      <c r="N462" s="11" t="str">
        <f>IF(I462="已计入",IF(AND(B462="卖出",持仓总览!$C$7="本金优先"),MAX(0,E462-Q461),IF(OR(B462="卖出",B462="现金分红"),MIN(E462,M462),0)),"")</f>
        <v/>
      </c>
      <c r="O462" s="11" t="str">
        <f t="shared" si="147"/>
        <v/>
      </c>
      <c r="P462" s="11" t="str">
        <f t="shared" si="148"/>
        <v/>
      </c>
      <c r="Q462" s="11">
        <f t="shared" si="149"/>
        <v>82516.01</v>
      </c>
      <c r="R462" s="11" t="str">
        <f t="shared" si="140"/>
        <v/>
      </c>
      <c r="S462" s="11" t="str">
        <f t="shared" si="141"/>
        <v/>
      </c>
      <c r="T462" s="12" t="str">
        <f t="shared" si="142"/>
        <v/>
      </c>
      <c r="U462" s="11">
        <f t="shared" si="150"/>
        <v>82516.01</v>
      </c>
      <c r="V462" s="11">
        <f t="shared" si="151"/>
        <v>0</v>
      </c>
      <c r="W462" s="11">
        <f t="shared" si="152"/>
        <v>0</v>
      </c>
      <c r="X462" s="11">
        <f t="shared" si="153"/>
        <v>0</v>
      </c>
      <c r="Y462" s="11" t="str">
        <f t="shared" si="143"/>
        <v/>
      </c>
      <c r="Z462" s="13">
        <f t="shared" si="154"/>
        <v>46247</v>
      </c>
      <c r="AA462" s="10" t="str">
        <f>IF(OR($AA$116="错误",COUNTIF($G$117:G462,"待修正")&gt;0),"错误","正常")</f>
        <v>正常</v>
      </c>
      <c r="AB462" s="14">
        <f t="shared" si="155"/>
        <v>2.7686</v>
      </c>
    </row>
    <row r="463" ht="23" customHeight="1" spans="1:28">
      <c r="A463" s="15"/>
      <c r="B463" s="16"/>
      <c r="C463" s="17"/>
      <c r="D463" s="18"/>
      <c r="E463" s="19" t="str">
        <f t="shared" si="136"/>
        <v/>
      </c>
      <c r="F463" s="18"/>
      <c r="G463" s="20" t="str">
        <f t="shared" si="137"/>
        <v/>
      </c>
      <c r="H463" s="21" t="str">
        <f t="shared" si="138"/>
        <v/>
      </c>
      <c r="I463" s="10" t="str">
        <f>IF(COUNTA(A463:D463,F463)=0,"",IF(NOT(ISNUMBER(A463)),"缺少有效净值日期",IF(OR(A463&lt;=0,A463&lt;&gt;INT(A463)),"净值日期无效",IF(OR(B463="转换转入",B463="现金分红"),"该类型需实际金额，五项录入不适用",IF(NOT(OR(OR(B463="买入",B463="定投"),B463="卖出",B463="红利再投")),"请选择交易类型",IF(NOT(ISNUMBER(C463)),"缺少成交净值",IF(C463&lt;=0,"成交净值须大于零",IF(NOT(ISNUMBER(D463)),"缺少确认份额",IF(D463&lt;=0,"确认份额须大于零",IF(NOT(ISNUMBER(F463)),"缺少手续费，无费用请填 0",IF(F463&lt;0,"手续费不能为负",IF(AA462="错误","前行待修正",IF(A463&lt;Z462,"日期需按成交顺序递增",IF(AND(B463="红利再投",F463&lt;&gt;0),"红利再投手续费应填 0",IF(AND(B463="红利再投",K462&lt;=0),"红利再投前须有持仓",IF(AND(B463="卖出",D463&gt;K462+0.000001),"卖出份额超过持仓",IF(AND(B463="卖出",F463&gt;=C463*D463),"赎回费不能达到赎回总额",IF(NOT(ISNUMBER(E463)),"自动金额未生成，请检查五项输入",IF(NOT(OR(持仓总览!$C$7="利润优先",持仓总览!$C$7="本金优先")),"请选择卖出分配模式","已计入")))))))))))))))))))</f>
        <v/>
      </c>
      <c r="J463" s="11">
        <f t="shared" si="139"/>
        <v>0</v>
      </c>
      <c r="K463" s="11">
        <f t="shared" si="144"/>
        <v>34284.43</v>
      </c>
      <c r="L463" s="11" t="str">
        <f t="shared" si="145"/>
        <v/>
      </c>
      <c r="M463" s="11" t="str">
        <f t="shared" si="146"/>
        <v/>
      </c>
      <c r="N463" s="11" t="str">
        <f>IF(I463="已计入",IF(AND(B463="卖出",持仓总览!$C$7="本金优先"),MAX(0,E463-Q462),IF(OR(B463="卖出",B463="现金分红"),MIN(E463,M463),0)),"")</f>
        <v/>
      </c>
      <c r="O463" s="11" t="str">
        <f t="shared" si="147"/>
        <v/>
      </c>
      <c r="P463" s="11" t="str">
        <f t="shared" si="148"/>
        <v/>
      </c>
      <c r="Q463" s="11">
        <f t="shared" si="149"/>
        <v>82516.01</v>
      </c>
      <c r="R463" s="11" t="str">
        <f t="shared" si="140"/>
        <v/>
      </c>
      <c r="S463" s="11" t="str">
        <f t="shared" si="141"/>
        <v/>
      </c>
      <c r="T463" s="12" t="str">
        <f t="shared" si="142"/>
        <v/>
      </c>
      <c r="U463" s="11">
        <f t="shared" si="150"/>
        <v>82516.01</v>
      </c>
      <c r="V463" s="11">
        <f t="shared" si="151"/>
        <v>0</v>
      </c>
      <c r="W463" s="11">
        <f t="shared" si="152"/>
        <v>0</v>
      </c>
      <c r="X463" s="11">
        <f t="shared" si="153"/>
        <v>0</v>
      </c>
      <c r="Y463" s="11" t="str">
        <f t="shared" si="143"/>
        <v/>
      </c>
      <c r="Z463" s="13">
        <f t="shared" si="154"/>
        <v>46247</v>
      </c>
      <c r="AA463" s="10" t="str">
        <f>IF(OR($AA$116="错误",COUNTIF($G$117:G463,"待修正")&gt;0),"错误","正常")</f>
        <v>正常</v>
      </c>
      <c r="AB463" s="14">
        <f t="shared" si="155"/>
        <v>2.7686</v>
      </c>
    </row>
    <row r="464" ht="23" customHeight="1" spans="1:28">
      <c r="A464" s="15"/>
      <c r="B464" s="16"/>
      <c r="C464" s="17"/>
      <c r="D464" s="18"/>
      <c r="E464" s="19" t="str">
        <f t="shared" si="136"/>
        <v/>
      </c>
      <c r="F464" s="18"/>
      <c r="G464" s="20" t="str">
        <f t="shared" si="137"/>
        <v/>
      </c>
      <c r="H464" s="21" t="str">
        <f t="shared" si="138"/>
        <v/>
      </c>
      <c r="I464" s="10" t="str">
        <f>IF(COUNTA(A464:D464,F464)=0,"",IF(NOT(ISNUMBER(A464)),"缺少有效净值日期",IF(OR(A464&lt;=0,A464&lt;&gt;INT(A464)),"净值日期无效",IF(OR(B464="转换转入",B464="现金分红"),"该类型需实际金额，五项录入不适用",IF(NOT(OR(OR(B464="买入",B464="定投"),B464="卖出",B464="红利再投")),"请选择交易类型",IF(NOT(ISNUMBER(C464)),"缺少成交净值",IF(C464&lt;=0,"成交净值须大于零",IF(NOT(ISNUMBER(D464)),"缺少确认份额",IF(D464&lt;=0,"确认份额须大于零",IF(NOT(ISNUMBER(F464)),"缺少手续费，无费用请填 0",IF(F464&lt;0,"手续费不能为负",IF(AA463="错误","前行待修正",IF(A464&lt;Z463,"日期需按成交顺序递增",IF(AND(B464="红利再投",F464&lt;&gt;0),"红利再投手续费应填 0",IF(AND(B464="红利再投",K463&lt;=0),"红利再投前须有持仓",IF(AND(B464="卖出",D464&gt;K463+0.000001),"卖出份额超过持仓",IF(AND(B464="卖出",F464&gt;=C464*D464),"赎回费不能达到赎回总额",IF(NOT(ISNUMBER(E464)),"自动金额未生成，请检查五项输入",IF(NOT(OR(持仓总览!$C$7="利润优先",持仓总览!$C$7="本金优先")),"请选择卖出分配模式","已计入")))))))))))))))))))</f>
        <v/>
      </c>
      <c r="J464" s="11">
        <f t="shared" si="139"/>
        <v>0</v>
      </c>
      <c r="K464" s="11">
        <f t="shared" si="144"/>
        <v>34284.43</v>
      </c>
      <c r="L464" s="11" t="str">
        <f t="shared" si="145"/>
        <v/>
      </c>
      <c r="M464" s="11" t="str">
        <f t="shared" si="146"/>
        <v/>
      </c>
      <c r="N464" s="11" t="str">
        <f>IF(I464="已计入",IF(AND(B464="卖出",持仓总览!$C$7="本金优先"),MAX(0,E464-Q463),IF(OR(B464="卖出",B464="现金分红"),MIN(E464,M464),0)),"")</f>
        <v/>
      </c>
      <c r="O464" s="11" t="str">
        <f t="shared" si="147"/>
        <v/>
      </c>
      <c r="P464" s="11" t="str">
        <f t="shared" si="148"/>
        <v/>
      </c>
      <c r="Q464" s="11">
        <f t="shared" si="149"/>
        <v>82516.01</v>
      </c>
      <c r="R464" s="11" t="str">
        <f t="shared" si="140"/>
        <v/>
      </c>
      <c r="S464" s="11" t="str">
        <f t="shared" si="141"/>
        <v/>
      </c>
      <c r="T464" s="12" t="str">
        <f t="shared" si="142"/>
        <v/>
      </c>
      <c r="U464" s="11">
        <f t="shared" si="150"/>
        <v>82516.01</v>
      </c>
      <c r="V464" s="11">
        <f t="shared" si="151"/>
        <v>0</v>
      </c>
      <c r="W464" s="11">
        <f t="shared" si="152"/>
        <v>0</v>
      </c>
      <c r="X464" s="11">
        <f t="shared" si="153"/>
        <v>0</v>
      </c>
      <c r="Y464" s="11" t="str">
        <f t="shared" si="143"/>
        <v/>
      </c>
      <c r="Z464" s="13">
        <f t="shared" si="154"/>
        <v>46247</v>
      </c>
      <c r="AA464" s="10" t="str">
        <f>IF(OR($AA$116="错误",COUNTIF($G$117:G464,"待修正")&gt;0),"错误","正常")</f>
        <v>正常</v>
      </c>
      <c r="AB464" s="14">
        <f t="shared" si="155"/>
        <v>2.7686</v>
      </c>
    </row>
    <row r="465" ht="23" customHeight="1" spans="1:28">
      <c r="A465" s="15"/>
      <c r="B465" s="16"/>
      <c r="C465" s="17"/>
      <c r="D465" s="18"/>
      <c r="E465" s="19" t="str">
        <f t="shared" si="136"/>
        <v/>
      </c>
      <c r="F465" s="18"/>
      <c r="G465" s="20" t="str">
        <f t="shared" si="137"/>
        <v/>
      </c>
      <c r="H465" s="21" t="str">
        <f t="shared" si="138"/>
        <v/>
      </c>
      <c r="I465" s="10" t="str">
        <f>IF(COUNTA(A465:D465,F465)=0,"",IF(NOT(ISNUMBER(A465)),"缺少有效净值日期",IF(OR(A465&lt;=0,A465&lt;&gt;INT(A465)),"净值日期无效",IF(OR(B465="转换转入",B465="现金分红"),"该类型需实际金额，五项录入不适用",IF(NOT(OR(OR(B465="买入",B465="定投"),B465="卖出",B465="红利再投")),"请选择交易类型",IF(NOT(ISNUMBER(C465)),"缺少成交净值",IF(C465&lt;=0,"成交净值须大于零",IF(NOT(ISNUMBER(D465)),"缺少确认份额",IF(D465&lt;=0,"确认份额须大于零",IF(NOT(ISNUMBER(F465)),"缺少手续费，无费用请填 0",IF(F465&lt;0,"手续费不能为负",IF(AA464="错误","前行待修正",IF(A465&lt;Z464,"日期需按成交顺序递增",IF(AND(B465="红利再投",F465&lt;&gt;0),"红利再投手续费应填 0",IF(AND(B465="红利再投",K464&lt;=0),"红利再投前须有持仓",IF(AND(B465="卖出",D465&gt;K464+0.000001),"卖出份额超过持仓",IF(AND(B465="卖出",F465&gt;=C465*D465),"赎回费不能达到赎回总额",IF(NOT(ISNUMBER(E465)),"自动金额未生成，请检查五项输入",IF(NOT(OR(持仓总览!$C$7="利润优先",持仓总览!$C$7="本金优先")),"请选择卖出分配模式","已计入")))))))))))))))))))</f>
        <v/>
      </c>
      <c r="J465" s="11">
        <f t="shared" si="139"/>
        <v>0</v>
      </c>
      <c r="K465" s="11">
        <f t="shared" si="144"/>
        <v>34284.43</v>
      </c>
      <c r="L465" s="11" t="str">
        <f t="shared" si="145"/>
        <v/>
      </c>
      <c r="M465" s="11" t="str">
        <f t="shared" si="146"/>
        <v/>
      </c>
      <c r="N465" s="11" t="str">
        <f>IF(I465="已计入",IF(AND(B465="卖出",持仓总览!$C$7="本金优先"),MAX(0,E465-Q464),IF(OR(B465="卖出",B465="现金分红"),MIN(E465,M465),0)),"")</f>
        <v/>
      </c>
      <c r="O465" s="11" t="str">
        <f t="shared" si="147"/>
        <v/>
      </c>
      <c r="P465" s="11" t="str">
        <f t="shared" si="148"/>
        <v/>
      </c>
      <c r="Q465" s="11">
        <f t="shared" si="149"/>
        <v>82516.01</v>
      </c>
      <c r="R465" s="11" t="str">
        <f t="shared" si="140"/>
        <v/>
      </c>
      <c r="S465" s="11" t="str">
        <f t="shared" si="141"/>
        <v/>
      </c>
      <c r="T465" s="12" t="str">
        <f t="shared" si="142"/>
        <v/>
      </c>
      <c r="U465" s="11">
        <f t="shared" si="150"/>
        <v>82516.01</v>
      </c>
      <c r="V465" s="11">
        <f t="shared" si="151"/>
        <v>0</v>
      </c>
      <c r="W465" s="11">
        <f t="shared" si="152"/>
        <v>0</v>
      </c>
      <c r="X465" s="11">
        <f t="shared" si="153"/>
        <v>0</v>
      </c>
      <c r="Y465" s="11" t="str">
        <f t="shared" si="143"/>
        <v/>
      </c>
      <c r="Z465" s="13">
        <f t="shared" si="154"/>
        <v>46247</v>
      </c>
      <c r="AA465" s="10" t="str">
        <f>IF(OR($AA$116="错误",COUNTIF($G$117:G465,"待修正")&gt;0),"错误","正常")</f>
        <v>正常</v>
      </c>
      <c r="AB465" s="14">
        <f t="shared" si="155"/>
        <v>2.7686</v>
      </c>
    </row>
    <row r="466" ht="23" customHeight="1" spans="1:28">
      <c r="A466" s="15"/>
      <c r="B466" s="16"/>
      <c r="C466" s="17"/>
      <c r="D466" s="18"/>
      <c r="E466" s="19" t="str">
        <f t="shared" si="136"/>
        <v/>
      </c>
      <c r="F466" s="18"/>
      <c r="G466" s="20" t="str">
        <f t="shared" si="137"/>
        <v/>
      </c>
      <c r="H466" s="21" t="str">
        <f t="shared" si="138"/>
        <v/>
      </c>
      <c r="I466" s="10" t="str">
        <f>IF(COUNTA(A466:D466,F466)=0,"",IF(NOT(ISNUMBER(A466)),"缺少有效净值日期",IF(OR(A466&lt;=0,A466&lt;&gt;INT(A466)),"净值日期无效",IF(OR(B466="转换转入",B466="现金分红"),"该类型需实际金额，五项录入不适用",IF(NOT(OR(OR(B466="买入",B466="定投"),B466="卖出",B466="红利再投")),"请选择交易类型",IF(NOT(ISNUMBER(C466)),"缺少成交净值",IF(C466&lt;=0,"成交净值须大于零",IF(NOT(ISNUMBER(D466)),"缺少确认份额",IF(D466&lt;=0,"确认份额须大于零",IF(NOT(ISNUMBER(F466)),"缺少手续费，无费用请填 0",IF(F466&lt;0,"手续费不能为负",IF(AA465="错误","前行待修正",IF(A466&lt;Z465,"日期需按成交顺序递增",IF(AND(B466="红利再投",F466&lt;&gt;0),"红利再投手续费应填 0",IF(AND(B466="红利再投",K465&lt;=0),"红利再投前须有持仓",IF(AND(B466="卖出",D466&gt;K465+0.000001),"卖出份额超过持仓",IF(AND(B466="卖出",F466&gt;=C466*D466),"赎回费不能达到赎回总额",IF(NOT(ISNUMBER(E466)),"自动金额未生成，请检查五项输入",IF(NOT(OR(持仓总览!$C$7="利润优先",持仓总览!$C$7="本金优先")),"请选择卖出分配模式","已计入")))))))))))))))))))</f>
        <v/>
      </c>
      <c r="J466" s="11">
        <f t="shared" si="139"/>
        <v>0</v>
      </c>
      <c r="K466" s="11">
        <f t="shared" si="144"/>
        <v>34284.43</v>
      </c>
      <c r="L466" s="11" t="str">
        <f t="shared" si="145"/>
        <v/>
      </c>
      <c r="M466" s="11" t="str">
        <f t="shared" si="146"/>
        <v/>
      </c>
      <c r="N466" s="11" t="str">
        <f>IF(I466="已计入",IF(AND(B466="卖出",持仓总览!$C$7="本金优先"),MAX(0,E466-Q465),IF(OR(B466="卖出",B466="现金分红"),MIN(E466,M466),0)),"")</f>
        <v/>
      </c>
      <c r="O466" s="11" t="str">
        <f t="shared" si="147"/>
        <v/>
      </c>
      <c r="P466" s="11" t="str">
        <f t="shared" si="148"/>
        <v/>
      </c>
      <c r="Q466" s="11">
        <f t="shared" si="149"/>
        <v>82516.01</v>
      </c>
      <c r="R466" s="11" t="str">
        <f t="shared" si="140"/>
        <v/>
      </c>
      <c r="S466" s="11" t="str">
        <f t="shared" si="141"/>
        <v/>
      </c>
      <c r="T466" s="12" t="str">
        <f t="shared" si="142"/>
        <v/>
      </c>
      <c r="U466" s="11">
        <f t="shared" si="150"/>
        <v>82516.01</v>
      </c>
      <c r="V466" s="11">
        <f t="shared" si="151"/>
        <v>0</v>
      </c>
      <c r="W466" s="11">
        <f t="shared" si="152"/>
        <v>0</v>
      </c>
      <c r="X466" s="11">
        <f t="shared" si="153"/>
        <v>0</v>
      </c>
      <c r="Y466" s="11" t="str">
        <f t="shared" si="143"/>
        <v/>
      </c>
      <c r="Z466" s="13">
        <f t="shared" si="154"/>
        <v>46247</v>
      </c>
      <c r="AA466" s="10" t="str">
        <f>IF(OR($AA$116="错误",COUNTIF($G$117:G466,"待修正")&gt;0),"错误","正常")</f>
        <v>正常</v>
      </c>
      <c r="AB466" s="14">
        <f t="shared" si="155"/>
        <v>2.7686</v>
      </c>
    </row>
    <row r="467" ht="23" customHeight="1" spans="1:28">
      <c r="A467" s="15"/>
      <c r="B467" s="16"/>
      <c r="C467" s="17"/>
      <c r="D467" s="18"/>
      <c r="E467" s="19" t="str">
        <f t="shared" si="136"/>
        <v/>
      </c>
      <c r="F467" s="18"/>
      <c r="G467" s="20" t="str">
        <f t="shared" si="137"/>
        <v/>
      </c>
      <c r="H467" s="21" t="str">
        <f t="shared" si="138"/>
        <v/>
      </c>
      <c r="I467" s="10" t="str">
        <f>IF(COUNTA(A467:D467,F467)=0,"",IF(NOT(ISNUMBER(A467)),"缺少有效净值日期",IF(OR(A467&lt;=0,A467&lt;&gt;INT(A467)),"净值日期无效",IF(OR(B467="转换转入",B467="现金分红"),"该类型需实际金额，五项录入不适用",IF(NOT(OR(OR(B467="买入",B467="定投"),B467="卖出",B467="红利再投")),"请选择交易类型",IF(NOT(ISNUMBER(C467)),"缺少成交净值",IF(C467&lt;=0,"成交净值须大于零",IF(NOT(ISNUMBER(D467)),"缺少确认份额",IF(D467&lt;=0,"确认份额须大于零",IF(NOT(ISNUMBER(F467)),"缺少手续费，无费用请填 0",IF(F467&lt;0,"手续费不能为负",IF(AA466="错误","前行待修正",IF(A467&lt;Z466,"日期需按成交顺序递增",IF(AND(B467="红利再投",F467&lt;&gt;0),"红利再投手续费应填 0",IF(AND(B467="红利再投",K466&lt;=0),"红利再投前须有持仓",IF(AND(B467="卖出",D467&gt;K466+0.000001),"卖出份额超过持仓",IF(AND(B467="卖出",F467&gt;=C467*D467),"赎回费不能达到赎回总额",IF(NOT(ISNUMBER(E467)),"自动金额未生成，请检查五项输入",IF(NOT(OR(持仓总览!$C$7="利润优先",持仓总览!$C$7="本金优先")),"请选择卖出分配模式","已计入")))))))))))))))))))</f>
        <v/>
      </c>
      <c r="J467" s="11">
        <f t="shared" si="139"/>
        <v>0</v>
      </c>
      <c r="K467" s="11">
        <f t="shared" si="144"/>
        <v>34284.43</v>
      </c>
      <c r="L467" s="11" t="str">
        <f t="shared" si="145"/>
        <v/>
      </c>
      <c r="M467" s="11" t="str">
        <f t="shared" si="146"/>
        <v/>
      </c>
      <c r="N467" s="11" t="str">
        <f>IF(I467="已计入",IF(AND(B467="卖出",持仓总览!$C$7="本金优先"),MAX(0,E467-Q466),IF(OR(B467="卖出",B467="现金分红"),MIN(E467,M467),0)),"")</f>
        <v/>
      </c>
      <c r="O467" s="11" t="str">
        <f t="shared" si="147"/>
        <v/>
      </c>
      <c r="P467" s="11" t="str">
        <f t="shared" si="148"/>
        <v/>
      </c>
      <c r="Q467" s="11">
        <f t="shared" si="149"/>
        <v>82516.01</v>
      </c>
      <c r="R467" s="11" t="str">
        <f t="shared" si="140"/>
        <v/>
      </c>
      <c r="S467" s="11" t="str">
        <f t="shared" si="141"/>
        <v/>
      </c>
      <c r="T467" s="12" t="str">
        <f t="shared" si="142"/>
        <v/>
      </c>
      <c r="U467" s="11">
        <f t="shared" si="150"/>
        <v>82516.01</v>
      </c>
      <c r="V467" s="11">
        <f t="shared" si="151"/>
        <v>0</v>
      </c>
      <c r="W467" s="11">
        <f t="shared" si="152"/>
        <v>0</v>
      </c>
      <c r="X467" s="11">
        <f t="shared" si="153"/>
        <v>0</v>
      </c>
      <c r="Y467" s="11" t="str">
        <f t="shared" si="143"/>
        <v/>
      </c>
      <c r="Z467" s="13">
        <f t="shared" si="154"/>
        <v>46247</v>
      </c>
      <c r="AA467" s="10" t="str">
        <f>IF(OR($AA$116="错误",COUNTIF($G$117:G467,"待修正")&gt;0),"错误","正常")</f>
        <v>正常</v>
      </c>
      <c r="AB467" s="14">
        <f t="shared" si="155"/>
        <v>2.7686</v>
      </c>
    </row>
    <row r="468" ht="23" customHeight="1" spans="1:28">
      <c r="A468" s="15"/>
      <c r="B468" s="16"/>
      <c r="C468" s="17"/>
      <c r="D468" s="18"/>
      <c r="E468" s="19" t="str">
        <f t="shared" si="136"/>
        <v/>
      </c>
      <c r="F468" s="18"/>
      <c r="G468" s="20" t="str">
        <f t="shared" si="137"/>
        <v/>
      </c>
      <c r="H468" s="21" t="str">
        <f t="shared" si="138"/>
        <v/>
      </c>
      <c r="I468" s="10" t="str">
        <f>IF(COUNTA(A468:D468,F468)=0,"",IF(NOT(ISNUMBER(A468)),"缺少有效净值日期",IF(OR(A468&lt;=0,A468&lt;&gt;INT(A468)),"净值日期无效",IF(OR(B468="转换转入",B468="现金分红"),"该类型需实际金额，五项录入不适用",IF(NOT(OR(OR(B468="买入",B468="定投"),B468="卖出",B468="红利再投")),"请选择交易类型",IF(NOT(ISNUMBER(C468)),"缺少成交净值",IF(C468&lt;=0,"成交净值须大于零",IF(NOT(ISNUMBER(D468)),"缺少确认份额",IF(D468&lt;=0,"确认份额须大于零",IF(NOT(ISNUMBER(F468)),"缺少手续费，无费用请填 0",IF(F468&lt;0,"手续费不能为负",IF(AA467="错误","前行待修正",IF(A468&lt;Z467,"日期需按成交顺序递增",IF(AND(B468="红利再投",F468&lt;&gt;0),"红利再投手续费应填 0",IF(AND(B468="红利再投",K467&lt;=0),"红利再投前须有持仓",IF(AND(B468="卖出",D468&gt;K467+0.000001),"卖出份额超过持仓",IF(AND(B468="卖出",F468&gt;=C468*D468),"赎回费不能达到赎回总额",IF(NOT(ISNUMBER(E468)),"自动金额未生成，请检查五项输入",IF(NOT(OR(持仓总览!$C$7="利润优先",持仓总览!$C$7="本金优先")),"请选择卖出分配模式","已计入")))))))))))))))))))</f>
        <v/>
      </c>
      <c r="J468" s="11">
        <f t="shared" si="139"/>
        <v>0</v>
      </c>
      <c r="K468" s="11">
        <f t="shared" si="144"/>
        <v>34284.43</v>
      </c>
      <c r="L468" s="11" t="str">
        <f t="shared" si="145"/>
        <v/>
      </c>
      <c r="M468" s="11" t="str">
        <f t="shared" si="146"/>
        <v/>
      </c>
      <c r="N468" s="11" t="str">
        <f>IF(I468="已计入",IF(AND(B468="卖出",持仓总览!$C$7="本金优先"),MAX(0,E468-Q467),IF(OR(B468="卖出",B468="现金分红"),MIN(E468,M468),0)),"")</f>
        <v/>
      </c>
      <c r="O468" s="11" t="str">
        <f t="shared" si="147"/>
        <v/>
      </c>
      <c r="P468" s="11" t="str">
        <f t="shared" si="148"/>
        <v/>
      </c>
      <c r="Q468" s="11">
        <f t="shared" si="149"/>
        <v>82516.01</v>
      </c>
      <c r="R468" s="11" t="str">
        <f t="shared" si="140"/>
        <v/>
      </c>
      <c r="S468" s="11" t="str">
        <f t="shared" si="141"/>
        <v/>
      </c>
      <c r="T468" s="12" t="str">
        <f t="shared" si="142"/>
        <v/>
      </c>
      <c r="U468" s="11">
        <f t="shared" si="150"/>
        <v>82516.01</v>
      </c>
      <c r="V468" s="11">
        <f t="shared" si="151"/>
        <v>0</v>
      </c>
      <c r="W468" s="11">
        <f t="shared" si="152"/>
        <v>0</v>
      </c>
      <c r="X468" s="11">
        <f t="shared" si="153"/>
        <v>0</v>
      </c>
      <c r="Y468" s="11" t="str">
        <f t="shared" si="143"/>
        <v/>
      </c>
      <c r="Z468" s="13">
        <f t="shared" si="154"/>
        <v>46247</v>
      </c>
      <c r="AA468" s="10" t="str">
        <f>IF(OR($AA$116="错误",COUNTIF($G$117:G468,"待修正")&gt;0),"错误","正常")</f>
        <v>正常</v>
      </c>
      <c r="AB468" s="14">
        <f t="shared" si="155"/>
        <v>2.7686</v>
      </c>
    </row>
    <row r="469" ht="23" customHeight="1" spans="1:28">
      <c r="A469" s="15"/>
      <c r="B469" s="16"/>
      <c r="C469" s="17"/>
      <c r="D469" s="18"/>
      <c r="E469" s="19" t="str">
        <f t="shared" si="136"/>
        <v/>
      </c>
      <c r="F469" s="18"/>
      <c r="G469" s="20" t="str">
        <f t="shared" si="137"/>
        <v/>
      </c>
      <c r="H469" s="21" t="str">
        <f t="shared" si="138"/>
        <v/>
      </c>
      <c r="I469" s="10" t="str">
        <f>IF(COUNTA(A469:D469,F469)=0,"",IF(NOT(ISNUMBER(A469)),"缺少有效净值日期",IF(OR(A469&lt;=0,A469&lt;&gt;INT(A469)),"净值日期无效",IF(OR(B469="转换转入",B469="现金分红"),"该类型需实际金额，五项录入不适用",IF(NOT(OR(OR(B469="买入",B469="定投"),B469="卖出",B469="红利再投")),"请选择交易类型",IF(NOT(ISNUMBER(C469)),"缺少成交净值",IF(C469&lt;=0,"成交净值须大于零",IF(NOT(ISNUMBER(D469)),"缺少确认份额",IF(D469&lt;=0,"确认份额须大于零",IF(NOT(ISNUMBER(F469)),"缺少手续费，无费用请填 0",IF(F469&lt;0,"手续费不能为负",IF(AA468="错误","前行待修正",IF(A469&lt;Z468,"日期需按成交顺序递增",IF(AND(B469="红利再投",F469&lt;&gt;0),"红利再投手续费应填 0",IF(AND(B469="红利再投",K468&lt;=0),"红利再投前须有持仓",IF(AND(B469="卖出",D469&gt;K468+0.000001),"卖出份额超过持仓",IF(AND(B469="卖出",F469&gt;=C469*D469),"赎回费不能达到赎回总额",IF(NOT(ISNUMBER(E469)),"自动金额未生成，请检查五项输入",IF(NOT(OR(持仓总览!$C$7="利润优先",持仓总览!$C$7="本金优先")),"请选择卖出分配模式","已计入")))))))))))))))))))</f>
        <v/>
      </c>
      <c r="J469" s="11">
        <f t="shared" si="139"/>
        <v>0</v>
      </c>
      <c r="K469" s="11">
        <f t="shared" si="144"/>
        <v>34284.43</v>
      </c>
      <c r="L469" s="11" t="str">
        <f t="shared" si="145"/>
        <v/>
      </c>
      <c r="M469" s="11" t="str">
        <f t="shared" si="146"/>
        <v/>
      </c>
      <c r="N469" s="11" t="str">
        <f>IF(I469="已计入",IF(AND(B469="卖出",持仓总览!$C$7="本金优先"),MAX(0,E469-Q468),IF(OR(B469="卖出",B469="现金分红"),MIN(E469,M469),0)),"")</f>
        <v/>
      </c>
      <c r="O469" s="11" t="str">
        <f t="shared" si="147"/>
        <v/>
      </c>
      <c r="P469" s="11" t="str">
        <f t="shared" si="148"/>
        <v/>
      </c>
      <c r="Q469" s="11">
        <f t="shared" si="149"/>
        <v>82516.01</v>
      </c>
      <c r="R469" s="11" t="str">
        <f t="shared" si="140"/>
        <v/>
      </c>
      <c r="S469" s="11" t="str">
        <f t="shared" si="141"/>
        <v/>
      </c>
      <c r="T469" s="12" t="str">
        <f t="shared" si="142"/>
        <v/>
      </c>
      <c r="U469" s="11">
        <f t="shared" si="150"/>
        <v>82516.01</v>
      </c>
      <c r="V469" s="11">
        <f t="shared" si="151"/>
        <v>0</v>
      </c>
      <c r="W469" s="11">
        <f t="shared" si="152"/>
        <v>0</v>
      </c>
      <c r="X469" s="11">
        <f t="shared" si="153"/>
        <v>0</v>
      </c>
      <c r="Y469" s="11" t="str">
        <f t="shared" si="143"/>
        <v/>
      </c>
      <c r="Z469" s="13">
        <f t="shared" si="154"/>
        <v>46247</v>
      </c>
      <c r="AA469" s="10" t="str">
        <f>IF(OR($AA$116="错误",COUNTIF($G$117:G469,"待修正")&gt;0),"错误","正常")</f>
        <v>正常</v>
      </c>
      <c r="AB469" s="14">
        <f t="shared" si="155"/>
        <v>2.7686</v>
      </c>
    </row>
    <row r="470" ht="23" customHeight="1" spans="1:28">
      <c r="A470" s="15"/>
      <c r="B470" s="16"/>
      <c r="C470" s="17"/>
      <c r="D470" s="18"/>
      <c r="E470" s="19" t="str">
        <f t="shared" si="136"/>
        <v/>
      </c>
      <c r="F470" s="18"/>
      <c r="G470" s="20" t="str">
        <f t="shared" si="137"/>
        <v/>
      </c>
      <c r="H470" s="21" t="str">
        <f t="shared" si="138"/>
        <v/>
      </c>
      <c r="I470" s="10" t="str">
        <f>IF(COUNTA(A470:D470,F470)=0,"",IF(NOT(ISNUMBER(A470)),"缺少有效净值日期",IF(OR(A470&lt;=0,A470&lt;&gt;INT(A470)),"净值日期无效",IF(OR(B470="转换转入",B470="现金分红"),"该类型需实际金额，五项录入不适用",IF(NOT(OR(OR(B470="买入",B470="定投"),B470="卖出",B470="红利再投")),"请选择交易类型",IF(NOT(ISNUMBER(C470)),"缺少成交净值",IF(C470&lt;=0,"成交净值须大于零",IF(NOT(ISNUMBER(D470)),"缺少确认份额",IF(D470&lt;=0,"确认份额须大于零",IF(NOT(ISNUMBER(F470)),"缺少手续费，无费用请填 0",IF(F470&lt;0,"手续费不能为负",IF(AA469="错误","前行待修正",IF(A470&lt;Z469,"日期需按成交顺序递增",IF(AND(B470="红利再投",F470&lt;&gt;0),"红利再投手续费应填 0",IF(AND(B470="红利再投",K469&lt;=0),"红利再投前须有持仓",IF(AND(B470="卖出",D470&gt;K469+0.000001),"卖出份额超过持仓",IF(AND(B470="卖出",F470&gt;=C470*D470),"赎回费不能达到赎回总额",IF(NOT(ISNUMBER(E470)),"自动金额未生成，请检查五项输入",IF(NOT(OR(持仓总览!$C$7="利润优先",持仓总览!$C$7="本金优先")),"请选择卖出分配模式","已计入")))))))))))))))))))</f>
        <v/>
      </c>
      <c r="J470" s="11">
        <f t="shared" si="139"/>
        <v>0</v>
      </c>
      <c r="K470" s="11">
        <f t="shared" si="144"/>
        <v>34284.43</v>
      </c>
      <c r="L470" s="11" t="str">
        <f t="shared" si="145"/>
        <v/>
      </c>
      <c r="M470" s="11" t="str">
        <f t="shared" si="146"/>
        <v/>
      </c>
      <c r="N470" s="11" t="str">
        <f>IF(I470="已计入",IF(AND(B470="卖出",持仓总览!$C$7="本金优先"),MAX(0,E470-Q469),IF(OR(B470="卖出",B470="现金分红"),MIN(E470,M470),0)),"")</f>
        <v/>
      </c>
      <c r="O470" s="11" t="str">
        <f t="shared" si="147"/>
        <v/>
      </c>
      <c r="P470" s="11" t="str">
        <f t="shared" si="148"/>
        <v/>
      </c>
      <c r="Q470" s="11">
        <f t="shared" si="149"/>
        <v>82516.01</v>
      </c>
      <c r="R470" s="11" t="str">
        <f t="shared" si="140"/>
        <v/>
      </c>
      <c r="S470" s="11" t="str">
        <f t="shared" si="141"/>
        <v/>
      </c>
      <c r="T470" s="12" t="str">
        <f t="shared" si="142"/>
        <v/>
      </c>
      <c r="U470" s="11">
        <f t="shared" si="150"/>
        <v>82516.01</v>
      </c>
      <c r="V470" s="11">
        <f t="shared" si="151"/>
        <v>0</v>
      </c>
      <c r="W470" s="11">
        <f t="shared" si="152"/>
        <v>0</v>
      </c>
      <c r="X470" s="11">
        <f t="shared" si="153"/>
        <v>0</v>
      </c>
      <c r="Y470" s="11" t="str">
        <f t="shared" si="143"/>
        <v/>
      </c>
      <c r="Z470" s="13">
        <f t="shared" si="154"/>
        <v>46247</v>
      </c>
      <c r="AA470" s="10" t="str">
        <f>IF(OR($AA$116="错误",COUNTIF($G$117:G470,"待修正")&gt;0),"错误","正常")</f>
        <v>正常</v>
      </c>
      <c r="AB470" s="14">
        <f t="shared" si="155"/>
        <v>2.7686</v>
      </c>
    </row>
    <row r="471" ht="23" customHeight="1" spans="1:28">
      <c r="A471" s="15"/>
      <c r="B471" s="16"/>
      <c r="C471" s="17"/>
      <c r="D471" s="18"/>
      <c r="E471" s="19" t="str">
        <f t="shared" si="136"/>
        <v/>
      </c>
      <c r="F471" s="18"/>
      <c r="G471" s="20" t="str">
        <f t="shared" si="137"/>
        <v/>
      </c>
      <c r="H471" s="21" t="str">
        <f t="shared" si="138"/>
        <v/>
      </c>
      <c r="I471" s="10" t="str">
        <f>IF(COUNTA(A471:D471,F471)=0,"",IF(NOT(ISNUMBER(A471)),"缺少有效净值日期",IF(OR(A471&lt;=0,A471&lt;&gt;INT(A471)),"净值日期无效",IF(OR(B471="转换转入",B471="现金分红"),"该类型需实际金额，五项录入不适用",IF(NOT(OR(OR(B471="买入",B471="定投"),B471="卖出",B471="红利再投")),"请选择交易类型",IF(NOT(ISNUMBER(C471)),"缺少成交净值",IF(C471&lt;=0,"成交净值须大于零",IF(NOT(ISNUMBER(D471)),"缺少确认份额",IF(D471&lt;=0,"确认份额须大于零",IF(NOT(ISNUMBER(F471)),"缺少手续费，无费用请填 0",IF(F471&lt;0,"手续费不能为负",IF(AA470="错误","前行待修正",IF(A471&lt;Z470,"日期需按成交顺序递增",IF(AND(B471="红利再投",F471&lt;&gt;0),"红利再投手续费应填 0",IF(AND(B471="红利再投",K470&lt;=0),"红利再投前须有持仓",IF(AND(B471="卖出",D471&gt;K470+0.000001),"卖出份额超过持仓",IF(AND(B471="卖出",F471&gt;=C471*D471),"赎回费不能达到赎回总额",IF(NOT(ISNUMBER(E471)),"自动金额未生成，请检查五项输入",IF(NOT(OR(持仓总览!$C$7="利润优先",持仓总览!$C$7="本金优先")),"请选择卖出分配模式","已计入")))))))))))))))))))</f>
        <v/>
      </c>
      <c r="J471" s="11">
        <f t="shared" si="139"/>
        <v>0</v>
      </c>
      <c r="K471" s="11">
        <f t="shared" si="144"/>
        <v>34284.43</v>
      </c>
      <c r="L471" s="11" t="str">
        <f t="shared" si="145"/>
        <v/>
      </c>
      <c r="M471" s="11" t="str">
        <f t="shared" si="146"/>
        <v/>
      </c>
      <c r="N471" s="11" t="str">
        <f>IF(I471="已计入",IF(AND(B471="卖出",持仓总览!$C$7="本金优先"),MAX(0,E471-Q470),IF(OR(B471="卖出",B471="现金分红"),MIN(E471,M471),0)),"")</f>
        <v/>
      </c>
      <c r="O471" s="11" t="str">
        <f t="shared" si="147"/>
        <v/>
      </c>
      <c r="P471" s="11" t="str">
        <f t="shared" si="148"/>
        <v/>
      </c>
      <c r="Q471" s="11">
        <f t="shared" si="149"/>
        <v>82516.01</v>
      </c>
      <c r="R471" s="11" t="str">
        <f t="shared" si="140"/>
        <v/>
      </c>
      <c r="S471" s="11" t="str">
        <f t="shared" si="141"/>
        <v/>
      </c>
      <c r="T471" s="12" t="str">
        <f t="shared" si="142"/>
        <v/>
      </c>
      <c r="U471" s="11">
        <f t="shared" si="150"/>
        <v>82516.01</v>
      </c>
      <c r="V471" s="11">
        <f t="shared" si="151"/>
        <v>0</v>
      </c>
      <c r="W471" s="11">
        <f t="shared" si="152"/>
        <v>0</v>
      </c>
      <c r="X471" s="11">
        <f t="shared" si="153"/>
        <v>0</v>
      </c>
      <c r="Y471" s="11" t="str">
        <f t="shared" si="143"/>
        <v/>
      </c>
      <c r="Z471" s="13">
        <f t="shared" si="154"/>
        <v>46247</v>
      </c>
      <c r="AA471" s="10" t="str">
        <f>IF(OR($AA$116="错误",COUNTIF($G$117:G471,"待修正")&gt;0),"错误","正常")</f>
        <v>正常</v>
      </c>
      <c r="AB471" s="14">
        <f t="shared" si="155"/>
        <v>2.7686</v>
      </c>
    </row>
    <row r="472" ht="23" customHeight="1" spans="1:28">
      <c r="A472" s="15"/>
      <c r="B472" s="16"/>
      <c r="C472" s="17"/>
      <c r="D472" s="18"/>
      <c r="E472" s="19" t="str">
        <f t="shared" si="136"/>
        <v/>
      </c>
      <c r="F472" s="18"/>
      <c r="G472" s="20" t="str">
        <f t="shared" si="137"/>
        <v/>
      </c>
      <c r="H472" s="21" t="str">
        <f t="shared" si="138"/>
        <v/>
      </c>
      <c r="I472" s="10" t="str">
        <f>IF(COUNTA(A472:D472,F472)=0,"",IF(NOT(ISNUMBER(A472)),"缺少有效净值日期",IF(OR(A472&lt;=0,A472&lt;&gt;INT(A472)),"净值日期无效",IF(OR(B472="转换转入",B472="现金分红"),"该类型需实际金额，五项录入不适用",IF(NOT(OR(OR(B472="买入",B472="定投"),B472="卖出",B472="红利再投")),"请选择交易类型",IF(NOT(ISNUMBER(C472)),"缺少成交净值",IF(C472&lt;=0,"成交净值须大于零",IF(NOT(ISNUMBER(D472)),"缺少确认份额",IF(D472&lt;=0,"确认份额须大于零",IF(NOT(ISNUMBER(F472)),"缺少手续费，无费用请填 0",IF(F472&lt;0,"手续费不能为负",IF(AA471="错误","前行待修正",IF(A472&lt;Z471,"日期需按成交顺序递增",IF(AND(B472="红利再投",F472&lt;&gt;0),"红利再投手续费应填 0",IF(AND(B472="红利再投",K471&lt;=0),"红利再投前须有持仓",IF(AND(B472="卖出",D472&gt;K471+0.000001),"卖出份额超过持仓",IF(AND(B472="卖出",F472&gt;=C472*D472),"赎回费不能达到赎回总额",IF(NOT(ISNUMBER(E472)),"自动金额未生成，请检查五项输入",IF(NOT(OR(持仓总览!$C$7="利润优先",持仓总览!$C$7="本金优先")),"请选择卖出分配模式","已计入")))))))))))))))))))</f>
        <v/>
      </c>
      <c r="J472" s="11">
        <f t="shared" si="139"/>
        <v>0</v>
      </c>
      <c r="K472" s="11">
        <f t="shared" si="144"/>
        <v>34284.43</v>
      </c>
      <c r="L472" s="11" t="str">
        <f t="shared" si="145"/>
        <v/>
      </c>
      <c r="M472" s="11" t="str">
        <f t="shared" si="146"/>
        <v/>
      </c>
      <c r="N472" s="11" t="str">
        <f>IF(I472="已计入",IF(AND(B472="卖出",持仓总览!$C$7="本金优先"),MAX(0,E472-Q471),IF(OR(B472="卖出",B472="现金分红"),MIN(E472,M472),0)),"")</f>
        <v/>
      </c>
      <c r="O472" s="11" t="str">
        <f t="shared" si="147"/>
        <v/>
      </c>
      <c r="P472" s="11" t="str">
        <f t="shared" si="148"/>
        <v/>
      </c>
      <c r="Q472" s="11">
        <f t="shared" si="149"/>
        <v>82516.01</v>
      </c>
      <c r="R472" s="11" t="str">
        <f t="shared" si="140"/>
        <v/>
      </c>
      <c r="S472" s="11" t="str">
        <f t="shared" si="141"/>
        <v/>
      </c>
      <c r="T472" s="12" t="str">
        <f t="shared" si="142"/>
        <v/>
      </c>
      <c r="U472" s="11">
        <f t="shared" si="150"/>
        <v>82516.01</v>
      </c>
      <c r="V472" s="11">
        <f t="shared" si="151"/>
        <v>0</v>
      </c>
      <c r="W472" s="11">
        <f t="shared" si="152"/>
        <v>0</v>
      </c>
      <c r="X472" s="11">
        <f t="shared" si="153"/>
        <v>0</v>
      </c>
      <c r="Y472" s="11" t="str">
        <f t="shared" si="143"/>
        <v/>
      </c>
      <c r="Z472" s="13">
        <f t="shared" si="154"/>
        <v>46247</v>
      </c>
      <c r="AA472" s="10" t="str">
        <f>IF(OR($AA$116="错误",COUNTIF($G$117:G472,"待修正")&gt;0),"错误","正常")</f>
        <v>正常</v>
      </c>
      <c r="AB472" s="14">
        <f t="shared" si="155"/>
        <v>2.7686</v>
      </c>
    </row>
    <row r="473" ht="23" customHeight="1" spans="1:28">
      <c r="A473" s="15"/>
      <c r="B473" s="16"/>
      <c r="C473" s="17"/>
      <c r="D473" s="18"/>
      <c r="E473" s="19" t="str">
        <f t="shared" si="136"/>
        <v/>
      </c>
      <c r="F473" s="18"/>
      <c r="G473" s="20" t="str">
        <f t="shared" si="137"/>
        <v/>
      </c>
      <c r="H473" s="21" t="str">
        <f t="shared" si="138"/>
        <v/>
      </c>
      <c r="I473" s="10" t="str">
        <f>IF(COUNTA(A473:D473,F473)=0,"",IF(NOT(ISNUMBER(A473)),"缺少有效净值日期",IF(OR(A473&lt;=0,A473&lt;&gt;INT(A473)),"净值日期无效",IF(OR(B473="转换转入",B473="现金分红"),"该类型需实际金额，五项录入不适用",IF(NOT(OR(OR(B473="买入",B473="定投"),B473="卖出",B473="红利再投")),"请选择交易类型",IF(NOT(ISNUMBER(C473)),"缺少成交净值",IF(C473&lt;=0,"成交净值须大于零",IF(NOT(ISNUMBER(D473)),"缺少确认份额",IF(D473&lt;=0,"确认份额须大于零",IF(NOT(ISNUMBER(F473)),"缺少手续费，无费用请填 0",IF(F473&lt;0,"手续费不能为负",IF(AA472="错误","前行待修正",IF(A473&lt;Z472,"日期需按成交顺序递增",IF(AND(B473="红利再投",F473&lt;&gt;0),"红利再投手续费应填 0",IF(AND(B473="红利再投",K472&lt;=0),"红利再投前须有持仓",IF(AND(B473="卖出",D473&gt;K472+0.000001),"卖出份额超过持仓",IF(AND(B473="卖出",F473&gt;=C473*D473),"赎回费不能达到赎回总额",IF(NOT(ISNUMBER(E473)),"自动金额未生成，请检查五项输入",IF(NOT(OR(持仓总览!$C$7="利润优先",持仓总览!$C$7="本金优先")),"请选择卖出分配模式","已计入")))))))))))))))))))</f>
        <v/>
      </c>
      <c r="J473" s="11">
        <f t="shared" si="139"/>
        <v>0</v>
      </c>
      <c r="K473" s="11">
        <f t="shared" si="144"/>
        <v>34284.43</v>
      </c>
      <c r="L473" s="11" t="str">
        <f t="shared" si="145"/>
        <v/>
      </c>
      <c r="M473" s="11" t="str">
        <f t="shared" si="146"/>
        <v/>
      </c>
      <c r="N473" s="11" t="str">
        <f>IF(I473="已计入",IF(AND(B473="卖出",持仓总览!$C$7="本金优先"),MAX(0,E473-Q472),IF(OR(B473="卖出",B473="现金分红"),MIN(E473,M473),0)),"")</f>
        <v/>
      </c>
      <c r="O473" s="11" t="str">
        <f t="shared" si="147"/>
        <v/>
      </c>
      <c r="P473" s="11" t="str">
        <f t="shared" si="148"/>
        <v/>
      </c>
      <c r="Q473" s="11">
        <f t="shared" si="149"/>
        <v>82516.01</v>
      </c>
      <c r="R473" s="11" t="str">
        <f t="shared" si="140"/>
        <v/>
      </c>
      <c r="S473" s="11" t="str">
        <f t="shared" si="141"/>
        <v/>
      </c>
      <c r="T473" s="12" t="str">
        <f t="shared" si="142"/>
        <v/>
      </c>
      <c r="U473" s="11">
        <f t="shared" si="150"/>
        <v>82516.01</v>
      </c>
      <c r="V473" s="11">
        <f t="shared" si="151"/>
        <v>0</v>
      </c>
      <c r="W473" s="11">
        <f t="shared" si="152"/>
        <v>0</v>
      </c>
      <c r="X473" s="11">
        <f t="shared" si="153"/>
        <v>0</v>
      </c>
      <c r="Y473" s="11" t="str">
        <f t="shared" si="143"/>
        <v/>
      </c>
      <c r="Z473" s="13">
        <f t="shared" si="154"/>
        <v>46247</v>
      </c>
      <c r="AA473" s="10" t="str">
        <f>IF(OR($AA$116="错误",COUNTIF($G$117:G473,"待修正")&gt;0),"错误","正常")</f>
        <v>正常</v>
      </c>
      <c r="AB473" s="14">
        <f t="shared" si="155"/>
        <v>2.7686</v>
      </c>
    </row>
    <row r="474" ht="23" customHeight="1" spans="1:28">
      <c r="A474" s="15"/>
      <c r="B474" s="16"/>
      <c r="C474" s="17"/>
      <c r="D474" s="18"/>
      <c r="E474" s="19" t="str">
        <f t="shared" si="136"/>
        <v/>
      </c>
      <c r="F474" s="18"/>
      <c r="G474" s="20" t="str">
        <f t="shared" si="137"/>
        <v/>
      </c>
      <c r="H474" s="21" t="str">
        <f t="shared" si="138"/>
        <v/>
      </c>
      <c r="I474" s="10" t="str">
        <f>IF(COUNTA(A474:D474,F474)=0,"",IF(NOT(ISNUMBER(A474)),"缺少有效净值日期",IF(OR(A474&lt;=0,A474&lt;&gt;INT(A474)),"净值日期无效",IF(OR(B474="转换转入",B474="现金分红"),"该类型需实际金额，五项录入不适用",IF(NOT(OR(OR(B474="买入",B474="定投"),B474="卖出",B474="红利再投")),"请选择交易类型",IF(NOT(ISNUMBER(C474)),"缺少成交净值",IF(C474&lt;=0,"成交净值须大于零",IF(NOT(ISNUMBER(D474)),"缺少确认份额",IF(D474&lt;=0,"确认份额须大于零",IF(NOT(ISNUMBER(F474)),"缺少手续费，无费用请填 0",IF(F474&lt;0,"手续费不能为负",IF(AA473="错误","前行待修正",IF(A474&lt;Z473,"日期需按成交顺序递增",IF(AND(B474="红利再投",F474&lt;&gt;0),"红利再投手续费应填 0",IF(AND(B474="红利再投",K473&lt;=0),"红利再投前须有持仓",IF(AND(B474="卖出",D474&gt;K473+0.000001),"卖出份额超过持仓",IF(AND(B474="卖出",F474&gt;=C474*D474),"赎回费不能达到赎回总额",IF(NOT(ISNUMBER(E474)),"自动金额未生成，请检查五项输入",IF(NOT(OR(持仓总览!$C$7="利润优先",持仓总览!$C$7="本金优先")),"请选择卖出分配模式","已计入")))))))))))))))))))</f>
        <v/>
      </c>
      <c r="J474" s="11">
        <f t="shared" si="139"/>
        <v>0</v>
      </c>
      <c r="K474" s="11">
        <f t="shared" si="144"/>
        <v>34284.43</v>
      </c>
      <c r="L474" s="11" t="str">
        <f t="shared" si="145"/>
        <v/>
      </c>
      <c r="M474" s="11" t="str">
        <f t="shared" si="146"/>
        <v/>
      </c>
      <c r="N474" s="11" t="str">
        <f>IF(I474="已计入",IF(AND(B474="卖出",持仓总览!$C$7="本金优先"),MAX(0,E474-Q473),IF(OR(B474="卖出",B474="现金分红"),MIN(E474,M474),0)),"")</f>
        <v/>
      </c>
      <c r="O474" s="11" t="str">
        <f t="shared" si="147"/>
        <v/>
      </c>
      <c r="P474" s="11" t="str">
        <f t="shared" si="148"/>
        <v/>
      </c>
      <c r="Q474" s="11">
        <f t="shared" si="149"/>
        <v>82516.01</v>
      </c>
      <c r="R474" s="11" t="str">
        <f t="shared" si="140"/>
        <v/>
      </c>
      <c r="S474" s="11" t="str">
        <f t="shared" si="141"/>
        <v/>
      </c>
      <c r="T474" s="12" t="str">
        <f t="shared" si="142"/>
        <v/>
      </c>
      <c r="U474" s="11">
        <f t="shared" si="150"/>
        <v>82516.01</v>
      </c>
      <c r="V474" s="11">
        <f t="shared" si="151"/>
        <v>0</v>
      </c>
      <c r="W474" s="11">
        <f t="shared" si="152"/>
        <v>0</v>
      </c>
      <c r="X474" s="11">
        <f t="shared" si="153"/>
        <v>0</v>
      </c>
      <c r="Y474" s="11" t="str">
        <f t="shared" si="143"/>
        <v/>
      </c>
      <c r="Z474" s="13">
        <f t="shared" si="154"/>
        <v>46247</v>
      </c>
      <c r="AA474" s="10" t="str">
        <f>IF(OR($AA$116="错误",COUNTIF($G$117:G474,"待修正")&gt;0),"错误","正常")</f>
        <v>正常</v>
      </c>
      <c r="AB474" s="14">
        <f t="shared" si="155"/>
        <v>2.7686</v>
      </c>
    </row>
    <row r="475" ht="23" customHeight="1" spans="1:28">
      <c r="A475" s="15"/>
      <c r="B475" s="16"/>
      <c r="C475" s="17"/>
      <c r="D475" s="18"/>
      <c r="E475" s="19" t="str">
        <f t="shared" si="136"/>
        <v/>
      </c>
      <c r="F475" s="18"/>
      <c r="G475" s="20" t="str">
        <f t="shared" si="137"/>
        <v/>
      </c>
      <c r="H475" s="21" t="str">
        <f t="shared" si="138"/>
        <v/>
      </c>
      <c r="I475" s="10" t="str">
        <f>IF(COUNTA(A475:D475,F475)=0,"",IF(NOT(ISNUMBER(A475)),"缺少有效净值日期",IF(OR(A475&lt;=0,A475&lt;&gt;INT(A475)),"净值日期无效",IF(OR(B475="转换转入",B475="现金分红"),"该类型需实际金额，五项录入不适用",IF(NOT(OR(OR(B475="买入",B475="定投"),B475="卖出",B475="红利再投")),"请选择交易类型",IF(NOT(ISNUMBER(C475)),"缺少成交净值",IF(C475&lt;=0,"成交净值须大于零",IF(NOT(ISNUMBER(D475)),"缺少确认份额",IF(D475&lt;=0,"确认份额须大于零",IF(NOT(ISNUMBER(F475)),"缺少手续费，无费用请填 0",IF(F475&lt;0,"手续费不能为负",IF(AA474="错误","前行待修正",IF(A475&lt;Z474,"日期需按成交顺序递增",IF(AND(B475="红利再投",F475&lt;&gt;0),"红利再投手续费应填 0",IF(AND(B475="红利再投",K474&lt;=0),"红利再投前须有持仓",IF(AND(B475="卖出",D475&gt;K474+0.000001),"卖出份额超过持仓",IF(AND(B475="卖出",F475&gt;=C475*D475),"赎回费不能达到赎回总额",IF(NOT(ISNUMBER(E475)),"自动金额未生成，请检查五项输入",IF(NOT(OR(持仓总览!$C$7="利润优先",持仓总览!$C$7="本金优先")),"请选择卖出分配模式","已计入")))))))))))))))))))</f>
        <v/>
      </c>
      <c r="J475" s="11">
        <f t="shared" si="139"/>
        <v>0</v>
      </c>
      <c r="K475" s="11">
        <f t="shared" si="144"/>
        <v>34284.43</v>
      </c>
      <c r="L475" s="11" t="str">
        <f t="shared" si="145"/>
        <v/>
      </c>
      <c r="M475" s="11" t="str">
        <f t="shared" si="146"/>
        <v/>
      </c>
      <c r="N475" s="11" t="str">
        <f>IF(I475="已计入",IF(AND(B475="卖出",持仓总览!$C$7="本金优先"),MAX(0,E475-Q474),IF(OR(B475="卖出",B475="现金分红"),MIN(E475,M475),0)),"")</f>
        <v/>
      </c>
      <c r="O475" s="11" t="str">
        <f t="shared" si="147"/>
        <v/>
      </c>
      <c r="P475" s="11" t="str">
        <f t="shared" si="148"/>
        <v/>
      </c>
      <c r="Q475" s="11">
        <f t="shared" si="149"/>
        <v>82516.01</v>
      </c>
      <c r="R475" s="11" t="str">
        <f t="shared" si="140"/>
        <v/>
      </c>
      <c r="S475" s="11" t="str">
        <f t="shared" si="141"/>
        <v/>
      </c>
      <c r="T475" s="12" t="str">
        <f t="shared" si="142"/>
        <v/>
      </c>
      <c r="U475" s="11">
        <f t="shared" si="150"/>
        <v>82516.01</v>
      </c>
      <c r="V475" s="11">
        <f t="shared" si="151"/>
        <v>0</v>
      </c>
      <c r="W475" s="11">
        <f t="shared" si="152"/>
        <v>0</v>
      </c>
      <c r="X475" s="11">
        <f t="shared" si="153"/>
        <v>0</v>
      </c>
      <c r="Y475" s="11" t="str">
        <f t="shared" si="143"/>
        <v/>
      </c>
      <c r="Z475" s="13">
        <f t="shared" si="154"/>
        <v>46247</v>
      </c>
      <c r="AA475" s="10" t="str">
        <f>IF(OR($AA$116="错误",COUNTIF($G$117:G475,"待修正")&gt;0),"错误","正常")</f>
        <v>正常</v>
      </c>
      <c r="AB475" s="14">
        <f t="shared" si="155"/>
        <v>2.7686</v>
      </c>
    </row>
    <row r="476" ht="23" customHeight="1" spans="1:28">
      <c r="A476" s="15"/>
      <c r="B476" s="16"/>
      <c r="C476" s="17"/>
      <c r="D476" s="18"/>
      <c r="E476" s="19" t="str">
        <f t="shared" si="136"/>
        <v/>
      </c>
      <c r="F476" s="18"/>
      <c r="G476" s="20" t="str">
        <f t="shared" si="137"/>
        <v/>
      </c>
      <c r="H476" s="21" t="str">
        <f t="shared" si="138"/>
        <v/>
      </c>
      <c r="I476" s="10" t="str">
        <f>IF(COUNTA(A476:D476,F476)=0,"",IF(NOT(ISNUMBER(A476)),"缺少有效净值日期",IF(OR(A476&lt;=0,A476&lt;&gt;INT(A476)),"净值日期无效",IF(OR(B476="转换转入",B476="现金分红"),"该类型需实际金额，五项录入不适用",IF(NOT(OR(OR(B476="买入",B476="定投"),B476="卖出",B476="红利再投")),"请选择交易类型",IF(NOT(ISNUMBER(C476)),"缺少成交净值",IF(C476&lt;=0,"成交净值须大于零",IF(NOT(ISNUMBER(D476)),"缺少确认份额",IF(D476&lt;=0,"确认份额须大于零",IF(NOT(ISNUMBER(F476)),"缺少手续费，无费用请填 0",IF(F476&lt;0,"手续费不能为负",IF(AA475="错误","前行待修正",IF(A476&lt;Z475,"日期需按成交顺序递增",IF(AND(B476="红利再投",F476&lt;&gt;0),"红利再投手续费应填 0",IF(AND(B476="红利再投",K475&lt;=0),"红利再投前须有持仓",IF(AND(B476="卖出",D476&gt;K475+0.000001),"卖出份额超过持仓",IF(AND(B476="卖出",F476&gt;=C476*D476),"赎回费不能达到赎回总额",IF(NOT(ISNUMBER(E476)),"自动金额未生成，请检查五项输入",IF(NOT(OR(持仓总览!$C$7="利润优先",持仓总览!$C$7="本金优先")),"请选择卖出分配模式","已计入")))))))))))))))))))</f>
        <v/>
      </c>
      <c r="J476" s="11">
        <f t="shared" si="139"/>
        <v>0</v>
      </c>
      <c r="K476" s="11">
        <f t="shared" si="144"/>
        <v>34284.43</v>
      </c>
      <c r="L476" s="11" t="str">
        <f t="shared" si="145"/>
        <v/>
      </c>
      <c r="M476" s="11" t="str">
        <f t="shared" si="146"/>
        <v/>
      </c>
      <c r="N476" s="11" t="str">
        <f>IF(I476="已计入",IF(AND(B476="卖出",持仓总览!$C$7="本金优先"),MAX(0,E476-Q475),IF(OR(B476="卖出",B476="现金分红"),MIN(E476,M476),0)),"")</f>
        <v/>
      </c>
      <c r="O476" s="11" t="str">
        <f t="shared" si="147"/>
        <v/>
      </c>
      <c r="P476" s="11" t="str">
        <f t="shared" si="148"/>
        <v/>
      </c>
      <c r="Q476" s="11">
        <f t="shared" si="149"/>
        <v>82516.01</v>
      </c>
      <c r="R476" s="11" t="str">
        <f t="shared" si="140"/>
        <v/>
      </c>
      <c r="S476" s="11" t="str">
        <f t="shared" si="141"/>
        <v/>
      </c>
      <c r="T476" s="12" t="str">
        <f t="shared" si="142"/>
        <v/>
      </c>
      <c r="U476" s="11">
        <f t="shared" si="150"/>
        <v>82516.01</v>
      </c>
      <c r="V476" s="11">
        <f t="shared" si="151"/>
        <v>0</v>
      </c>
      <c r="W476" s="11">
        <f t="shared" si="152"/>
        <v>0</v>
      </c>
      <c r="X476" s="11">
        <f t="shared" si="153"/>
        <v>0</v>
      </c>
      <c r="Y476" s="11" t="str">
        <f t="shared" si="143"/>
        <v/>
      </c>
      <c r="Z476" s="13">
        <f t="shared" si="154"/>
        <v>46247</v>
      </c>
      <c r="AA476" s="10" t="str">
        <f>IF(OR($AA$116="错误",COUNTIF($G$117:G476,"待修正")&gt;0),"错误","正常")</f>
        <v>正常</v>
      </c>
      <c r="AB476" s="14">
        <f t="shared" si="155"/>
        <v>2.7686</v>
      </c>
    </row>
    <row r="477" ht="23" customHeight="1" spans="1:28">
      <c r="A477" s="15"/>
      <c r="B477" s="16"/>
      <c r="C477" s="17"/>
      <c r="D477" s="18"/>
      <c r="E477" s="19" t="str">
        <f t="shared" si="136"/>
        <v/>
      </c>
      <c r="F477" s="18"/>
      <c r="G477" s="20" t="str">
        <f t="shared" si="137"/>
        <v/>
      </c>
      <c r="H477" s="21" t="str">
        <f t="shared" si="138"/>
        <v/>
      </c>
      <c r="I477" s="10" t="str">
        <f>IF(COUNTA(A477:D477,F477)=0,"",IF(NOT(ISNUMBER(A477)),"缺少有效净值日期",IF(OR(A477&lt;=0,A477&lt;&gt;INT(A477)),"净值日期无效",IF(OR(B477="转换转入",B477="现金分红"),"该类型需实际金额，五项录入不适用",IF(NOT(OR(OR(B477="买入",B477="定投"),B477="卖出",B477="红利再投")),"请选择交易类型",IF(NOT(ISNUMBER(C477)),"缺少成交净值",IF(C477&lt;=0,"成交净值须大于零",IF(NOT(ISNUMBER(D477)),"缺少确认份额",IF(D477&lt;=0,"确认份额须大于零",IF(NOT(ISNUMBER(F477)),"缺少手续费，无费用请填 0",IF(F477&lt;0,"手续费不能为负",IF(AA476="错误","前行待修正",IF(A477&lt;Z476,"日期需按成交顺序递增",IF(AND(B477="红利再投",F477&lt;&gt;0),"红利再投手续费应填 0",IF(AND(B477="红利再投",K476&lt;=0),"红利再投前须有持仓",IF(AND(B477="卖出",D477&gt;K476+0.000001),"卖出份额超过持仓",IF(AND(B477="卖出",F477&gt;=C477*D477),"赎回费不能达到赎回总额",IF(NOT(ISNUMBER(E477)),"自动金额未生成，请检查五项输入",IF(NOT(OR(持仓总览!$C$7="利润优先",持仓总览!$C$7="本金优先")),"请选择卖出分配模式","已计入")))))))))))))))))))</f>
        <v/>
      </c>
      <c r="J477" s="11">
        <f t="shared" si="139"/>
        <v>0</v>
      </c>
      <c r="K477" s="11">
        <f t="shared" si="144"/>
        <v>34284.43</v>
      </c>
      <c r="L477" s="11" t="str">
        <f t="shared" si="145"/>
        <v/>
      </c>
      <c r="M477" s="11" t="str">
        <f t="shared" si="146"/>
        <v/>
      </c>
      <c r="N477" s="11" t="str">
        <f>IF(I477="已计入",IF(AND(B477="卖出",持仓总览!$C$7="本金优先"),MAX(0,E477-Q476),IF(OR(B477="卖出",B477="现金分红"),MIN(E477,M477),0)),"")</f>
        <v/>
      </c>
      <c r="O477" s="11" t="str">
        <f t="shared" si="147"/>
        <v/>
      </c>
      <c r="P477" s="11" t="str">
        <f t="shared" si="148"/>
        <v/>
      </c>
      <c r="Q477" s="11">
        <f t="shared" si="149"/>
        <v>82516.01</v>
      </c>
      <c r="R477" s="11" t="str">
        <f t="shared" si="140"/>
        <v/>
      </c>
      <c r="S477" s="11" t="str">
        <f t="shared" si="141"/>
        <v/>
      </c>
      <c r="T477" s="12" t="str">
        <f t="shared" si="142"/>
        <v/>
      </c>
      <c r="U477" s="11">
        <f t="shared" si="150"/>
        <v>82516.01</v>
      </c>
      <c r="V477" s="11">
        <f t="shared" si="151"/>
        <v>0</v>
      </c>
      <c r="W477" s="11">
        <f t="shared" si="152"/>
        <v>0</v>
      </c>
      <c r="X477" s="11">
        <f t="shared" si="153"/>
        <v>0</v>
      </c>
      <c r="Y477" s="11" t="str">
        <f t="shared" si="143"/>
        <v/>
      </c>
      <c r="Z477" s="13">
        <f t="shared" si="154"/>
        <v>46247</v>
      </c>
      <c r="AA477" s="10" t="str">
        <f>IF(OR($AA$116="错误",COUNTIF($G$117:G477,"待修正")&gt;0),"错误","正常")</f>
        <v>正常</v>
      </c>
      <c r="AB477" s="14">
        <f t="shared" si="155"/>
        <v>2.7686</v>
      </c>
    </row>
    <row r="478" ht="23" customHeight="1" spans="1:28">
      <c r="A478" s="15"/>
      <c r="B478" s="16"/>
      <c r="C478" s="17"/>
      <c r="D478" s="18"/>
      <c r="E478" s="19" t="str">
        <f t="shared" si="136"/>
        <v/>
      </c>
      <c r="F478" s="18"/>
      <c r="G478" s="20" t="str">
        <f t="shared" si="137"/>
        <v/>
      </c>
      <c r="H478" s="21" t="str">
        <f t="shared" si="138"/>
        <v/>
      </c>
      <c r="I478" s="10" t="str">
        <f>IF(COUNTA(A478:D478,F478)=0,"",IF(NOT(ISNUMBER(A478)),"缺少有效净值日期",IF(OR(A478&lt;=0,A478&lt;&gt;INT(A478)),"净值日期无效",IF(OR(B478="转换转入",B478="现金分红"),"该类型需实际金额，五项录入不适用",IF(NOT(OR(OR(B478="买入",B478="定投"),B478="卖出",B478="红利再投")),"请选择交易类型",IF(NOT(ISNUMBER(C478)),"缺少成交净值",IF(C478&lt;=0,"成交净值须大于零",IF(NOT(ISNUMBER(D478)),"缺少确认份额",IF(D478&lt;=0,"确认份额须大于零",IF(NOT(ISNUMBER(F478)),"缺少手续费，无费用请填 0",IF(F478&lt;0,"手续费不能为负",IF(AA477="错误","前行待修正",IF(A478&lt;Z477,"日期需按成交顺序递增",IF(AND(B478="红利再投",F478&lt;&gt;0),"红利再投手续费应填 0",IF(AND(B478="红利再投",K477&lt;=0),"红利再投前须有持仓",IF(AND(B478="卖出",D478&gt;K477+0.000001),"卖出份额超过持仓",IF(AND(B478="卖出",F478&gt;=C478*D478),"赎回费不能达到赎回总额",IF(NOT(ISNUMBER(E478)),"自动金额未生成，请检查五项输入",IF(NOT(OR(持仓总览!$C$7="利润优先",持仓总览!$C$7="本金优先")),"请选择卖出分配模式","已计入")))))))))))))))))))</f>
        <v/>
      </c>
      <c r="J478" s="11">
        <f t="shared" si="139"/>
        <v>0</v>
      </c>
      <c r="K478" s="11">
        <f t="shared" si="144"/>
        <v>34284.43</v>
      </c>
      <c r="L478" s="11" t="str">
        <f t="shared" si="145"/>
        <v/>
      </c>
      <c r="M478" s="11" t="str">
        <f t="shared" si="146"/>
        <v/>
      </c>
      <c r="N478" s="11" t="str">
        <f>IF(I478="已计入",IF(AND(B478="卖出",持仓总览!$C$7="本金优先"),MAX(0,E478-Q477),IF(OR(B478="卖出",B478="现金分红"),MIN(E478,M478),0)),"")</f>
        <v/>
      </c>
      <c r="O478" s="11" t="str">
        <f t="shared" si="147"/>
        <v/>
      </c>
      <c r="P478" s="11" t="str">
        <f t="shared" si="148"/>
        <v/>
      </c>
      <c r="Q478" s="11">
        <f t="shared" si="149"/>
        <v>82516.01</v>
      </c>
      <c r="R478" s="11" t="str">
        <f t="shared" si="140"/>
        <v/>
      </c>
      <c r="S478" s="11" t="str">
        <f t="shared" si="141"/>
        <v/>
      </c>
      <c r="T478" s="12" t="str">
        <f t="shared" si="142"/>
        <v/>
      </c>
      <c r="U478" s="11">
        <f t="shared" si="150"/>
        <v>82516.01</v>
      </c>
      <c r="V478" s="11">
        <f t="shared" si="151"/>
        <v>0</v>
      </c>
      <c r="W478" s="11">
        <f t="shared" si="152"/>
        <v>0</v>
      </c>
      <c r="X478" s="11">
        <f t="shared" si="153"/>
        <v>0</v>
      </c>
      <c r="Y478" s="11" t="str">
        <f t="shared" si="143"/>
        <v/>
      </c>
      <c r="Z478" s="13">
        <f t="shared" si="154"/>
        <v>46247</v>
      </c>
      <c r="AA478" s="10" t="str">
        <f>IF(OR($AA$116="错误",COUNTIF($G$117:G478,"待修正")&gt;0),"错误","正常")</f>
        <v>正常</v>
      </c>
      <c r="AB478" s="14">
        <f t="shared" si="155"/>
        <v>2.7686</v>
      </c>
    </row>
    <row r="479" ht="23" customHeight="1" spans="1:28">
      <c r="A479" s="15"/>
      <c r="B479" s="16"/>
      <c r="C479" s="17"/>
      <c r="D479" s="18"/>
      <c r="E479" s="19" t="str">
        <f t="shared" si="136"/>
        <v/>
      </c>
      <c r="F479" s="18"/>
      <c r="G479" s="20" t="str">
        <f t="shared" si="137"/>
        <v/>
      </c>
      <c r="H479" s="21" t="str">
        <f t="shared" si="138"/>
        <v/>
      </c>
      <c r="I479" s="10" t="str">
        <f>IF(COUNTA(A479:D479,F479)=0,"",IF(NOT(ISNUMBER(A479)),"缺少有效净值日期",IF(OR(A479&lt;=0,A479&lt;&gt;INT(A479)),"净值日期无效",IF(OR(B479="转换转入",B479="现金分红"),"该类型需实际金额，五项录入不适用",IF(NOT(OR(OR(B479="买入",B479="定投"),B479="卖出",B479="红利再投")),"请选择交易类型",IF(NOT(ISNUMBER(C479)),"缺少成交净值",IF(C479&lt;=0,"成交净值须大于零",IF(NOT(ISNUMBER(D479)),"缺少确认份额",IF(D479&lt;=0,"确认份额须大于零",IF(NOT(ISNUMBER(F479)),"缺少手续费，无费用请填 0",IF(F479&lt;0,"手续费不能为负",IF(AA478="错误","前行待修正",IF(A479&lt;Z478,"日期需按成交顺序递增",IF(AND(B479="红利再投",F479&lt;&gt;0),"红利再投手续费应填 0",IF(AND(B479="红利再投",K478&lt;=0),"红利再投前须有持仓",IF(AND(B479="卖出",D479&gt;K478+0.000001),"卖出份额超过持仓",IF(AND(B479="卖出",F479&gt;=C479*D479),"赎回费不能达到赎回总额",IF(NOT(ISNUMBER(E479)),"自动金额未生成，请检查五项输入",IF(NOT(OR(持仓总览!$C$7="利润优先",持仓总览!$C$7="本金优先")),"请选择卖出分配模式","已计入")))))))))))))))))))</f>
        <v/>
      </c>
      <c r="J479" s="11">
        <f t="shared" si="139"/>
        <v>0</v>
      </c>
      <c r="K479" s="11">
        <f t="shared" si="144"/>
        <v>34284.43</v>
      </c>
      <c r="L479" s="11" t="str">
        <f t="shared" si="145"/>
        <v/>
      </c>
      <c r="M479" s="11" t="str">
        <f t="shared" si="146"/>
        <v/>
      </c>
      <c r="N479" s="11" t="str">
        <f>IF(I479="已计入",IF(AND(B479="卖出",持仓总览!$C$7="本金优先"),MAX(0,E479-Q478),IF(OR(B479="卖出",B479="现金分红"),MIN(E479,M479),0)),"")</f>
        <v/>
      </c>
      <c r="O479" s="11" t="str">
        <f t="shared" si="147"/>
        <v/>
      </c>
      <c r="P479" s="11" t="str">
        <f t="shared" si="148"/>
        <v/>
      </c>
      <c r="Q479" s="11">
        <f t="shared" si="149"/>
        <v>82516.01</v>
      </c>
      <c r="R479" s="11" t="str">
        <f t="shared" si="140"/>
        <v/>
      </c>
      <c r="S479" s="11" t="str">
        <f t="shared" si="141"/>
        <v/>
      </c>
      <c r="T479" s="12" t="str">
        <f t="shared" si="142"/>
        <v/>
      </c>
      <c r="U479" s="11">
        <f t="shared" si="150"/>
        <v>82516.01</v>
      </c>
      <c r="V479" s="11">
        <f t="shared" si="151"/>
        <v>0</v>
      </c>
      <c r="W479" s="11">
        <f t="shared" si="152"/>
        <v>0</v>
      </c>
      <c r="X479" s="11">
        <f t="shared" si="153"/>
        <v>0</v>
      </c>
      <c r="Y479" s="11" t="str">
        <f t="shared" si="143"/>
        <v/>
      </c>
      <c r="Z479" s="13">
        <f t="shared" si="154"/>
        <v>46247</v>
      </c>
      <c r="AA479" s="10" t="str">
        <f>IF(OR($AA$116="错误",COUNTIF($G$117:G479,"待修正")&gt;0),"错误","正常")</f>
        <v>正常</v>
      </c>
      <c r="AB479" s="14">
        <f t="shared" si="155"/>
        <v>2.7686</v>
      </c>
    </row>
    <row r="480" ht="23" customHeight="1" spans="1:28">
      <c r="A480" s="15"/>
      <c r="B480" s="16"/>
      <c r="C480" s="17"/>
      <c r="D480" s="18"/>
      <c r="E480" s="19" t="str">
        <f t="shared" si="136"/>
        <v/>
      </c>
      <c r="F480" s="18"/>
      <c r="G480" s="20" t="str">
        <f t="shared" si="137"/>
        <v/>
      </c>
      <c r="H480" s="21" t="str">
        <f t="shared" si="138"/>
        <v/>
      </c>
      <c r="I480" s="10" t="str">
        <f>IF(COUNTA(A480:D480,F480)=0,"",IF(NOT(ISNUMBER(A480)),"缺少有效净值日期",IF(OR(A480&lt;=0,A480&lt;&gt;INT(A480)),"净值日期无效",IF(OR(B480="转换转入",B480="现金分红"),"该类型需实际金额，五项录入不适用",IF(NOT(OR(OR(B480="买入",B480="定投"),B480="卖出",B480="红利再投")),"请选择交易类型",IF(NOT(ISNUMBER(C480)),"缺少成交净值",IF(C480&lt;=0,"成交净值须大于零",IF(NOT(ISNUMBER(D480)),"缺少确认份额",IF(D480&lt;=0,"确认份额须大于零",IF(NOT(ISNUMBER(F480)),"缺少手续费，无费用请填 0",IF(F480&lt;0,"手续费不能为负",IF(AA479="错误","前行待修正",IF(A480&lt;Z479,"日期需按成交顺序递增",IF(AND(B480="红利再投",F480&lt;&gt;0),"红利再投手续费应填 0",IF(AND(B480="红利再投",K479&lt;=0),"红利再投前须有持仓",IF(AND(B480="卖出",D480&gt;K479+0.000001),"卖出份额超过持仓",IF(AND(B480="卖出",F480&gt;=C480*D480),"赎回费不能达到赎回总额",IF(NOT(ISNUMBER(E480)),"自动金额未生成，请检查五项输入",IF(NOT(OR(持仓总览!$C$7="利润优先",持仓总览!$C$7="本金优先")),"请选择卖出分配模式","已计入")))))))))))))))))))</f>
        <v/>
      </c>
      <c r="J480" s="11">
        <f t="shared" si="139"/>
        <v>0</v>
      </c>
      <c r="K480" s="11">
        <f t="shared" si="144"/>
        <v>34284.43</v>
      </c>
      <c r="L480" s="11" t="str">
        <f t="shared" si="145"/>
        <v/>
      </c>
      <c r="M480" s="11" t="str">
        <f t="shared" si="146"/>
        <v/>
      </c>
      <c r="N480" s="11" t="str">
        <f>IF(I480="已计入",IF(AND(B480="卖出",持仓总览!$C$7="本金优先"),MAX(0,E480-Q479),IF(OR(B480="卖出",B480="现金分红"),MIN(E480,M480),0)),"")</f>
        <v/>
      </c>
      <c r="O480" s="11" t="str">
        <f t="shared" si="147"/>
        <v/>
      </c>
      <c r="P480" s="11" t="str">
        <f t="shared" si="148"/>
        <v/>
      </c>
      <c r="Q480" s="11">
        <f t="shared" si="149"/>
        <v>82516.01</v>
      </c>
      <c r="R480" s="11" t="str">
        <f t="shared" si="140"/>
        <v/>
      </c>
      <c r="S480" s="11" t="str">
        <f t="shared" si="141"/>
        <v/>
      </c>
      <c r="T480" s="12" t="str">
        <f t="shared" si="142"/>
        <v/>
      </c>
      <c r="U480" s="11">
        <f t="shared" si="150"/>
        <v>82516.01</v>
      </c>
      <c r="V480" s="11">
        <f t="shared" si="151"/>
        <v>0</v>
      </c>
      <c r="W480" s="11">
        <f t="shared" si="152"/>
        <v>0</v>
      </c>
      <c r="X480" s="11">
        <f t="shared" si="153"/>
        <v>0</v>
      </c>
      <c r="Y480" s="11" t="str">
        <f t="shared" si="143"/>
        <v/>
      </c>
      <c r="Z480" s="13">
        <f t="shared" si="154"/>
        <v>46247</v>
      </c>
      <c r="AA480" s="10" t="str">
        <f>IF(OR($AA$116="错误",COUNTIF($G$117:G480,"待修正")&gt;0),"错误","正常")</f>
        <v>正常</v>
      </c>
      <c r="AB480" s="14">
        <f t="shared" si="155"/>
        <v>2.7686</v>
      </c>
    </row>
    <row r="481" ht="23" customHeight="1" spans="1:28">
      <c r="A481" s="15"/>
      <c r="B481" s="16"/>
      <c r="C481" s="17"/>
      <c r="D481" s="18"/>
      <c r="E481" s="19" t="str">
        <f t="shared" si="136"/>
        <v/>
      </c>
      <c r="F481" s="18"/>
      <c r="G481" s="20" t="str">
        <f t="shared" si="137"/>
        <v/>
      </c>
      <c r="H481" s="21" t="str">
        <f t="shared" si="138"/>
        <v/>
      </c>
      <c r="I481" s="10" t="str">
        <f>IF(COUNTA(A481:D481,F481)=0,"",IF(NOT(ISNUMBER(A481)),"缺少有效净值日期",IF(OR(A481&lt;=0,A481&lt;&gt;INT(A481)),"净值日期无效",IF(OR(B481="转换转入",B481="现金分红"),"该类型需实际金额，五项录入不适用",IF(NOT(OR(OR(B481="买入",B481="定投"),B481="卖出",B481="红利再投")),"请选择交易类型",IF(NOT(ISNUMBER(C481)),"缺少成交净值",IF(C481&lt;=0,"成交净值须大于零",IF(NOT(ISNUMBER(D481)),"缺少确认份额",IF(D481&lt;=0,"确认份额须大于零",IF(NOT(ISNUMBER(F481)),"缺少手续费，无费用请填 0",IF(F481&lt;0,"手续费不能为负",IF(AA480="错误","前行待修正",IF(A481&lt;Z480,"日期需按成交顺序递增",IF(AND(B481="红利再投",F481&lt;&gt;0),"红利再投手续费应填 0",IF(AND(B481="红利再投",K480&lt;=0),"红利再投前须有持仓",IF(AND(B481="卖出",D481&gt;K480+0.000001),"卖出份额超过持仓",IF(AND(B481="卖出",F481&gt;=C481*D481),"赎回费不能达到赎回总额",IF(NOT(ISNUMBER(E481)),"自动金额未生成，请检查五项输入",IF(NOT(OR(持仓总览!$C$7="利润优先",持仓总览!$C$7="本金优先")),"请选择卖出分配模式","已计入")))))))))))))))))))</f>
        <v/>
      </c>
      <c r="J481" s="11">
        <f t="shared" si="139"/>
        <v>0</v>
      </c>
      <c r="K481" s="11">
        <f t="shared" si="144"/>
        <v>34284.43</v>
      </c>
      <c r="L481" s="11" t="str">
        <f t="shared" si="145"/>
        <v/>
      </c>
      <c r="M481" s="11" t="str">
        <f t="shared" si="146"/>
        <v/>
      </c>
      <c r="N481" s="11" t="str">
        <f>IF(I481="已计入",IF(AND(B481="卖出",持仓总览!$C$7="本金优先"),MAX(0,E481-Q480),IF(OR(B481="卖出",B481="现金分红"),MIN(E481,M481),0)),"")</f>
        <v/>
      </c>
      <c r="O481" s="11" t="str">
        <f t="shared" si="147"/>
        <v/>
      </c>
      <c r="P481" s="11" t="str">
        <f t="shared" si="148"/>
        <v/>
      </c>
      <c r="Q481" s="11">
        <f t="shared" si="149"/>
        <v>82516.01</v>
      </c>
      <c r="R481" s="11" t="str">
        <f t="shared" si="140"/>
        <v/>
      </c>
      <c r="S481" s="11" t="str">
        <f t="shared" si="141"/>
        <v/>
      </c>
      <c r="T481" s="12" t="str">
        <f t="shared" si="142"/>
        <v/>
      </c>
      <c r="U481" s="11">
        <f t="shared" si="150"/>
        <v>82516.01</v>
      </c>
      <c r="V481" s="11">
        <f t="shared" si="151"/>
        <v>0</v>
      </c>
      <c r="W481" s="11">
        <f t="shared" si="152"/>
        <v>0</v>
      </c>
      <c r="X481" s="11">
        <f t="shared" si="153"/>
        <v>0</v>
      </c>
      <c r="Y481" s="11" t="str">
        <f t="shared" si="143"/>
        <v/>
      </c>
      <c r="Z481" s="13">
        <f t="shared" si="154"/>
        <v>46247</v>
      </c>
      <c r="AA481" s="10" t="str">
        <f>IF(OR($AA$116="错误",COUNTIF($G$117:G481,"待修正")&gt;0),"错误","正常")</f>
        <v>正常</v>
      </c>
      <c r="AB481" s="14">
        <f t="shared" si="155"/>
        <v>2.7686</v>
      </c>
    </row>
    <row r="482" ht="23" customHeight="1" spans="1:28">
      <c r="A482" s="15"/>
      <c r="B482" s="16"/>
      <c r="C482" s="17"/>
      <c r="D482" s="18"/>
      <c r="E482" s="19" t="str">
        <f t="shared" si="136"/>
        <v/>
      </c>
      <c r="F482" s="18"/>
      <c r="G482" s="20" t="str">
        <f t="shared" si="137"/>
        <v/>
      </c>
      <c r="H482" s="21" t="str">
        <f t="shared" si="138"/>
        <v/>
      </c>
      <c r="I482" s="10" t="str">
        <f>IF(COUNTA(A482:D482,F482)=0,"",IF(NOT(ISNUMBER(A482)),"缺少有效净值日期",IF(OR(A482&lt;=0,A482&lt;&gt;INT(A482)),"净值日期无效",IF(OR(B482="转换转入",B482="现金分红"),"该类型需实际金额，五项录入不适用",IF(NOT(OR(OR(B482="买入",B482="定投"),B482="卖出",B482="红利再投")),"请选择交易类型",IF(NOT(ISNUMBER(C482)),"缺少成交净值",IF(C482&lt;=0,"成交净值须大于零",IF(NOT(ISNUMBER(D482)),"缺少确认份额",IF(D482&lt;=0,"确认份额须大于零",IF(NOT(ISNUMBER(F482)),"缺少手续费，无费用请填 0",IF(F482&lt;0,"手续费不能为负",IF(AA481="错误","前行待修正",IF(A482&lt;Z481,"日期需按成交顺序递增",IF(AND(B482="红利再投",F482&lt;&gt;0),"红利再投手续费应填 0",IF(AND(B482="红利再投",K481&lt;=0),"红利再投前须有持仓",IF(AND(B482="卖出",D482&gt;K481+0.000001),"卖出份额超过持仓",IF(AND(B482="卖出",F482&gt;=C482*D482),"赎回费不能达到赎回总额",IF(NOT(ISNUMBER(E482)),"自动金额未生成，请检查五项输入",IF(NOT(OR(持仓总览!$C$7="利润优先",持仓总览!$C$7="本金优先")),"请选择卖出分配模式","已计入")))))))))))))))))))</f>
        <v/>
      </c>
      <c r="J482" s="11">
        <f t="shared" si="139"/>
        <v>0</v>
      </c>
      <c r="K482" s="11">
        <f t="shared" si="144"/>
        <v>34284.43</v>
      </c>
      <c r="L482" s="11" t="str">
        <f t="shared" si="145"/>
        <v/>
      </c>
      <c r="M482" s="11" t="str">
        <f t="shared" si="146"/>
        <v/>
      </c>
      <c r="N482" s="11" t="str">
        <f>IF(I482="已计入",IF(AND(B482="卖出",持仓总览!$C$7="本金优先"),MAX(0,E482-Q481),IF(OR(B482="卖出",B482="现金分红"),MIN(E482,M482),0)),"")</f>
        <v/>
      </c>
      <c r="O482" s="11" t="str">
        <f t="shared" si="147"/>
        <v/>
      </c>
      <c r="P482" s="11" t="str">
        <f t="shared" si="148"/>
        <v/>
      </c>
      <c r="Q482" s="11">
        <f t="shared" si="149"/>
        <v>82516.01</v>
      </c>
      <c r="R482" s="11" t="str">
        <f t="shared" si="140"/>
        <v/>
      </c>
      <c r="S482" s="11" t="str">
        <f t="shared" si="141"/>
        <v/>
      </c>
      <c r="T482" s="12" t="str">
        <f t="shared" si="142"/>
        <v/>
      </c>
      <c r="U482" s="11">
        <f t="shared" si="150"/>
        <v>82516.01</v>
      </c>
      <c r="V482" s="11">
        <f t="shared" si="151"/>
        <v>0</v>
      </c>
      <c r="W482" s="11">
        <f t="shared" si="152"/>
        <v>0</v>
      </c>
      <c r="X482" s="11">
        <f t="shared" si="153"/>
        <v>0</v>
      </c>
      <c r="Y482" s="11" t="str">
        <f t="shared" si="143"/>
        <v/>
      </c>
      <c r="Z482" s="13">
        <f t="shared" si="154"/>
        <v>46247</v>
      </c>
      <c r="AA482" s="10" t="str">
        <f>IF(OR($AA$116="错误",COUNTIF($G$117:G482,"待修正")&gt;0),"错误","正常")</f>
        <v>正常</v>
      </c>
      <c r="AB482" s="14">
        <f t="shared" si="155"/>
        <v>2.7686</v>
      </c>
    </row>
    <row r="483" ht="23" customHeight="1" spans="1:28">
      <c r="A483" s="15"/>
      <c r="B483" s="16"/>
      <c r="C483" s="17"/>
      <c r="D483" s="18"/>
      <c r="E483" s="19" t="str">
        <f t="shared" si="136"/>
        <v/>
      </c>
      <c r="F483" s="18"/>
      <c r="G483" s="20" t="str">
        <f t="shared" si="137"/>
        <v/>
      </c>
      <c r="H483" s="21" t="str">
        <f t="shared" si="138"/>
        <v/>
      </c>
      <c r="I483" s="10" t="str">
        <f>IF(COUNTA(A483:D483,F483)=0,"",IF(NOT(ISNUMBER(A483)),"缺少有效净值日期",IF(OR(A483&lt;=0,A483&lt;&gt;INT(A483)),"净值日期无效",IF(OR(B483="转换转入",B483="现金分红"),"该类型需实际金额，五项录入不适用",IF(NOT(OR(OR(B483="买入",B483="定投"),B483="卖出",B483="红利再投")),"请选择交易类型",IF(NOT(ISNUMBER(C483)),"缺少成交净值",IF(C483&lt;=0,"成交净值须大于零",IF(NOT(ISNUMBER(D483)),"缺少确认份额",IF(D483&lt;=0,"确认份额须大于零",IF(NOT(ISNUMBER(F483)),"缺少手续费，无费用请填 0",IF(F483&lt;0,"手续费不能为负",IF(AA482="错误","前行待修正",IF(A483&lt;Z482,"日期需按成交顺序递增",IF(AND(B483="红利再投",F483&lt;&gt;0),"红利再投手续费应填 0",IF(AND(B483="红利再投",K482&lt;=0),"红利再投前须有持仓",IF(AND(B483="卖出",D483&gt;K482+0.000001),"卖出份额超过持仓",IF(AND(B483="卖出",F483&gt;=C483*D483),"赎回费不能达到赎回总额",IF(NOT(ISNUMBER(E483)),"自动金额未生成，请检查五项输入",IF(NOT(OR(持仓总览!$C$7="利润优先",持仓总览!$C$7="本金优先")),"请选择卖出分配模式","已计入")))))))))))))))))))</f>
        <v/>
      </c>
      <c r="J483" s="11">
        <f t="shared" si="139"/>
        <v>0</v>
      </c>
      <c r="K483" s="11">
        <f t="shared" si="144"/>
        <v>34284.43</v>
      </c>
      <c r="L483" s="11" t="str">
        <f t="shared" si="145"/>
        <v/>
      </c>
      <c r="M483" s="11" t="str">
        <f t="shared" si="146"/>
        <v/>
      </c>
      <c r="N483" s="11" t="str">
        <f>IF(I483="已计入",IF(AND(B483="卖出",持仓总览!$C$7="本金优先"),MAX(0,E483-Q482),IF(OR(B483="卖出",B483="现金分红"),MIN(E483,M483),0)),"")</f>
        <v/>
      </c>
      <c r="O483" s="11" t="str">
        <f t="shared" si="147"/>
        <v/>
      </c>
      <c r="P483" s="11" t="str">
        <f t="shared" si="148"/>
        <v/>
      </c>
      <c r="Q483" s="11">
        <f t="shared" si="149"/>
        <v>82516.01</v>
      </c>
      <c r="R483" s="11" t="str">
        <f t="shared" si="140"/>
        <v/>
      </c>
      <c r="S483" s="11" t="str">
        <f t="shared" si="141"/>
        <v/>
      </c>
      <c r="T483" s="12" t="str">
        <f t="shared" si="142"/>
        <v/>
      </c>
      <c r="U483" s="11">
        <f t="shared" si="150"/>
        <v>82516.01</v>
      </c>
      <c r="V483" s="11">
        <f t="shared" si="151"/>
        <v>0</v>
      </c>
      <c r="W483" s="11">
        <f t="shared" si="152"/>
        <v>0</v>
      </c>
      <c r="X483" s="11">
        <f t="shared" si="153"/>
        <v>0</v>
      </c>
      <c r="Y483" s="11" t="str">
        <f t="shared" si="143"/>
        <v/>
      </c>
      <c r="Z483" s="13">
        <f t="shared" si="154"/>
        <v>46247</v>
      </c>
      <c r="AA483" s="10" t="str">
        <f>IF(OR($AA$116="错误",COUNTIF($G$117:G483,"待修正")&gt;0),"错误","正常")</f>
        <v>正常</v>
      </c>
      <c r="AB483" s="14">
        <f t="shared" si="155"/>
        <v>2.7686</v>
      </c>
    </row>
    <row r="484" ht="23" customHeight="1" spans="1:28">
      <c r="A484" s="15"/>
      <c r="B484" s="16"/>
      <c r="C484" s="17"/>
      <c r="D484" s="18"/>
      <c r="E484" s="19" t="str">
        <f t="shared" si="136"/>
        <v/>
      </c>
      <c r="F484" s="18"/>
      <c r="G484" s="20" t="str">
        <f t="shared" si="137"/>
        <v/>
      </c>
      <c r="H484" s="21" t="str">
        <f t="shared" si="138"/>
        <v/>
      </c>
      <c r="I484" s="10" t="str">
        <f>IF(COUNTA(A484:D484,F484)=0,"",IF(NOT(ISNUMBER(A484)),"缺少有效净值日期",IF(OR(A484&lt;=0,A484&lt;&gt;INT(A484)),"净值日期无效",IF(OR(B484="转换转入",B484="现金分红"),"该类型需实际金额，五项录入不适用",IF(NOT(OR(OR(B484="买入",B484="定投"),B484="卖出",B484="红利再投")),"请选择交易类型",IF(NOT(ISNUMBER(C484)),"缺少成交净值",IF(C484&lt;=0,"成交净值须大于零",IF(NOT(ISNUMBER(D484)),"缺少确认份额",IF(D484&lt;=0,"确认份额须大于零",IF(NOT(ISNUMBER(F484)),"缺少手续费，无费用请填 0",IF(F484&lt;0,"手续费不能为负",IF(AA483="错误","前行待修正",IF(A484&lt;Z483,"日期需按成交顺序递增",IF(AND(B484="红利再投",F484&lt;&gt;0),"红利再投手续费应填 0",IF(AND(B484="红利再投",K483&lt;=0),"红利再投前须有持仓",IF(AND(B484="卖出",D484&gt;K483+0.000001),"卖出份额超过持仓",IF(AND(B484="卖出",F484&gt;=C484*D484),"赎回费不能达到赎回总额",IF(NOT(ISNUMBER(E484)),"自动金额未生成，请检查五项输入",IF(NOT(OR(持仓总览!$C$7="利润优先",持仓总览!$C$7="本金优先")),"请选择卖出分配模式","已计入")))))))))))))))))))</f>
        <v/>
      </c>
      <c r="J484" s="11">
        <f t="shared" si="139"/>
        <v>0</v>
      </c>
      <c r="K484" s="11">
        <f t="shared" si="144"/>
        <v>34284.43</v>
      </c>
      <c r="L484" s="11" t="str">
        <f t="shared" si="145"/>
        <v/>
      </c>
      <c r="M484" s="11" t="str">
        <f t="shared" si="146"/>
        <v/>
      </c>
      <c r="N484" s="11" t="str">
        <f>IF(I484="已计入",IF(AND(B484="卖出",持仓总览!$C$7="本金优先"),MAX(0,E484-Q483),IF(OR(B484="卖出",B484="现金分红"),MIN(E484,M484),0)),"")</f>
        <v/>
      </c>
      <c r="O484" s="11" t="str">
        <f t="shared" si="147"/>
        <v/>
      </c>
      <c r="P484" s="11" t="str">
        <f t="shared" si="148"/>
        <v/>
      </c>
      <c r="Q484" s="11">
        <f t="shared" si="149"/>
        <v>82516.01</v>
      </c>
      <c r="R484" s="11" t="str">
        <f t="shared" si="140"/>
        <v/>
      </c>
      <c r="S484" s="11" t="str">
        <f t="shared" si="141"/>
        <v/>
      </c>
      <c r="T484" s="12" t="str">
        <f t="shared" si="142"/>
        <v/>
      </c>
      <c r="U484" s="11">
        <f t="shared" si="150"/>
        <v>82516.01</v>
      </c>
      <c r="V484" s="11">
        <f t="shared" si="151"/>
        <v>0</v>
      </c>
      <c r="W484" s="11">
        <f t="shared" si="152"/>
        <v>0</v>
      </c>
      <c r="X484" s="11">
        <f t="shared" si="153"/>
        <v>0</v>
      </c>
      <c r="Y484" s="11" t="str">
        <f t="shared" si="143"/>
        <v/>
      </c>
      <c r="Z484" s="13">
        <f t="shared" si="154"/>
        <v>46247</v>
      </c>
      <c r="AA484" s="10" t="str">
        <f>IF(OR($AA$116="错误",COUNTIF($G$117:G484,"待修正")&gt;0),"错误","正常")</f>
        <v>正常</v>
      </c>
      <c r="AB484" s="14">
        <f t="shared" si="155"/>
        <v>2.7686</v>
      </c>
    </row>
    <row r="485" ht="23" customHeight="1" spans="1:28">
      <c r="A485" s="15"/>
      <c r="B485" s="16"/>
      <c r="C485" s="17"/>
      <c r="D485" s="18"/>
      <c r="E485" s="19" t="str">
        <f t="shared" si="136"/>
        <v/>
      </c>
      <c r="F485" s="18"/>
      <c r="G485" s="20" t="str">
        <f t="shared" si="137"/>
        <v/>
      </c>
      <c r="H485" s="21" t="str">
        <f t="shared" si="138"/>
        <v/>
      </c>
      <c r="I485" s="10" t="str">
        <f>IF(COUNTA(A485:D485,F485)=0,"",IF(NOT(ISNUMBER(A485)),"缺少有效净值日期",IF(OR(A485&lt;=0,A485&lt;&gt;INT(A485)),"净值日期无效",IF(OR(B485="转换转入",B485="现金分红"),"该类型需实际金额，五项录入不适用",IF(NOT(OR(OR(B485="买入",B485="定投"),B485="卖出",B485="红利再投")),"请选择交易类型",IF(NOT(ISNUMBER(C485)),"缺少成交净值",IF(C485&lt;=0,"成交净值须大于零",IF(NOT(ISNUMBER(D485)),"缺少确认份额",IF(D485&lt;=0,"确认份额须大于零",IF(NOT(ISNUMBER(F485)),"缺少手续费，无费用请填 0",IF(F485&lt;0,"手续费不能为负",IF(AA484="错误","前行待修正",IF(A485&lt;Z484,"日期需按成交顺序递增",IF(AND(B485="红利再投",F485&lt;&gt;0),"红利再投手续费应填 0",IF(AND(B485="红利再投",K484&lt;=0),"红利再投前须有持仓",IF(AND(B485="卖出",D485&gt;K484+0.000001),"卖出份额超过持仓",IF(AND(B485="卖出",F485&gt;=C485*D485),"赎回费不能达到赎回总额",IF(NOT(ISNUMBER(E485)),"自动金额未生成，请检查五项输入",IF(NOT(OR(持仓总览!$C$7="利润优先",持仓总览!$C$7="本金优先")),"请选择卖出分配模式","已计入")))))))))))))))))))</f>
        <v/>
      </c>
      <c r="J485" s="11">
        <f t="shared" si="139"/>
        <v>0</v>
      </c>
      <c r="K485" s="11">
        <f t="shared" si="144"/>
        <v>34284.43</v>
      </c>
      <c r="L485" s="11" t="str">
        <f t="shared" si="145"/>
        <v/>
      </c>
      <c r="M485" s="11" t="str">
        <f t="shared" si="146"/>
        <v/>
      </c>
      <c r="N485" s="11" t="str">
        <f>IF(I485="已计入",IF(AND(B485="卖出",持仓总览!$C$7="本金优先"),MAX(0,E485-Q484),IF(OR(B485="卖出",B485="现金分红"),MIN(E485,M485),0)),"")</f>
        <v/>
      </c>
      <c r="O485" s="11" t="str">
        <f t="shared" si="147"/>
        <v/>
      </c>
      <c r="P485" s="11" t="str">
        <f t="shared" si="148"/>
        <v/>
      </c>
      <c r="Q485" s="11">
        <f t="shared" si="149"/>
        <v>82516.01</v>
      </c>
      <c r="R485" s="11" t="str">
        <f t="shared" si="140"/>
        <v/>
      </c>
      <c r="S485" s="11" t="str">
        <f t="shared" si="141"/>
        <v/>
      </c>
      <c r="T485" s="12" t="str">
        <f t="shared" si="142"/>
        <v/>
      </c>
      <c r="U485" s="11">
        <f t="shared" si="150"/>
        <v>82516.01</v>
      </c>
      <c r="V485" s="11">
        <f t="shared" si="151"/>
        <v>0</v>
      </c>
      <c r="W485" s="11">
        <f t="shared" si="152"/>
        <v>0</v>
      </c>
      <c r="X485" s="11">
        <f t="shared" si="153"/>
        <v>0</v>
      </c>
      <c r="Y485" s="11" t="str">
        <f t="shared" si="143"/>
        <v/>
      </c>
      <c r="Z485" s="13">
        <f t="shared" si="154"/>
        <v>46247</v>
      </c>
      <c r="AA485" s="10" t="str">
        <f>IF(OR($AA$116="错误",COUNTIF($G$117:G485,"待修正")&gt;0),"错误","正常")</f>
        <v>正常</v>
      </c>
      <c r="AB485" s="14">
        <f t="shared" si="155"/>
        <v>2.7686</v>
      </c>
    </row>
    <row r="486" ht="23" customHeight="1" spans="1:28">
      <c r="A486" s="15"/>
      <c r="B486" s="16"/>
      <c r="C486" s="17"/>
      <c r="D486" s="18"/>
      <c r="E486" s="19" t="str">
        <f t="shared" si="136"/>
        <v/>
      </c>
      <c r="F486" s="18"/>
      <c r="G486" s="20" t="str">
        <f t="shared" si="137"/>
        <v/>
      </c>
      <c r="H486" s="21" t="str">
        <f t="shared" si="138"/>
        <v/>
      </c>
      <c r="I486" s="10" t="str">
        <f>IF(COUNTA(A486:D486,F486)=0,"",IF(NOT(ISNUMBER(A486)),"缺少有效净值日期",IF(OR(A486&lt;=0,A486&lt;&gt;INT(A486)),"净值日期无效",IF(OR(B486="转换转入",B486="现金分红"),"该类型需实际金额，五项录入不适用",IF(NOT(OR(OR(B486="买入",B486="定投"),B486="卖出",B486="红利再投")),"请选择交易类型",IF(NOT(ISNUMBER(C486)),"缺少成交净值",IF(C486&lt;=0,"成交净值须大于零",IF(NOT(ISNUMBER(D486)),"缺少确认份额",IF(D486&lt;=0,"确认份额须大于零",IF(NOT(ISNUMBER(F486)),"缺少手续费，无费用请填 0",IF(F486&lt;0,"手续费不能为负",IF(AA485="错误","前行待修正",IF(A486&lt;Z485,"日期需按成交顺序递增",IF(AND(B486="红利再投",F486&lt;&gt;0),"红利再投手续费应填 0",IF(AND(B486="红利再投",K485&lt;=0),"红利再投前须有持仓",IF(AND(B486="卖出",D486&gt;K485+0.000001),"卖出份额超过持仓",IF(AND(B486="卖出",F486&gt;=C486*D486),"赎回费不能达到赎回总额",IF(NOT(ISNUMBER(E486)),"自动金额未生成，请检查五项输入",IF(NOT(OR(持仓总览!$C$7="利润优先",持仓总览!$C$7="本金优先")),"请选择卖出分配模式","已计入")))))))))))))))))))</f>
        <v/>
      </c>
      <c r="J486" s="11">
        <f t="shared" si="139"/>
        <v>0</v>
      </c>
      <c r="K486" s="11">
        <f t="shared" si="144"/>
        <v>34284.43</v>
      </c>
      <c r="L486" s="11" t="str">
        <f t="shared" si="145"/>
        <v/>
      </c>
      <c r="M486" s="11" t="str">
        <f t="shared" si="146"/>
        <v/>
      </c>
      <c r="N486" s="11" t="str">
        <f>IF(I486="已计入",IF(AND(B486="卖出",持仓总览!$C$7="本金优先"),MAX(0,E486-Q485),IF(OR(B486="卖出",B486="现金分红"),MIN(E486,M486),0)),"")</f>
        <v/>
      </c>
      <c r="O486" s="11" t="str">
        <f t="shared" si="147"/>
        <v/>
      </c>
      <c r="P486" s="11" t="str">
        <f t="shared" si="148"/>
        <v/>
      </c>
      <c r="Q486" s="11">
        <f t="shared" si="149"/>
        <v>82516.01</v>
      </c>
      <c r="R486" s="11" t="str">
        <f t="shared" si="140"/>
        <v/>
      </c>
      <c r="S486" s="11" t="str">
        <f t="shared" si="141"/>
        <v/>
      </c>
      <c r="T486" s="12" t="str">
        <f t="shared" si="142"/>
        <v/>
      </c>
      <c r="U486" s="11">
        <f t="shared" si="150"/>
        <v>82516.01</v>
      </c>
      <c r="V486" s="11">
        <f t="shared" si="151"/>
        <v>0</v>
      </c>
      <c r="W486" s="11">
        <f t="shared" si="152"/>
        <v>0</v>
      </c>
      <c r="X486" s="11">
        <f t="shared" si="153"/>
        <v>0</v>
      </c>
      <c r="Y486" s="11" t="str">
        <f t="shared" si="143"/>
        <v/>
      </c>
      <c r="Z486" s="13">
        <f t="shared" si="154"/>
        <v>46247</v>
      </c>
      <c r="AA486" s="10" t="str">
        <f>IF(OR($AA$116="错误",COUNTIF($G$117:G486,"待修正")&gt;0),"错误","正常")</f>
        <v>正常</v>
      </c>
      <c r="AB486" s="14">
        <f t="shared" si="155"/>
        <v>2.7686</v>
      </c>
    </row>
    <row r="487" ht="23" customHeight="1" spans="1:28">
      <c r="A487" s="15"/>
      <c r="B487" s="16"/>
      <c r="C487" s="17"/>
      <c r="D487" s="18"/>
      <c r="E487" s="19" t="str">
        <f t="shared" si="136"/>
        <v/>
      </c>
      <c r="F487" s="18"/>
      <c r="G487" s="20" t="str">
        <f t="shared" si="137"/>
        <v/>
      </c>
      <c r="H487" s="21" t="str">
        <f t="shared" si="138"/>
        <v/>
      </c>
      <c r="I487" s="10" t="str">
        <f>IF(COUNTA(A487:D487,F487)=0,"",IF(NOT(ISNUMBER(A487)),"缺少有效净值日期",IF(OR(A487&lt;=0,A487&lt;&gt;INT(A487)),"净值日期无效",IF(OR(B487="转换转入",B487="现金分红"),"该类型需实际金额，五项录入不适用",IF(NOT(OR(OR(B487="买入",B487="定投"),B487="卖出",B487="红利再投")),"请选择交易类型",IF(NOT(ISNUMBER(C487)),"缺少成交净值",IF(C487&lt;=0,"成交净值须大于零",IF(NOT(ISNUMBER(D487)),"缺少确认份额",IF(D487&lt;=0,"确认份额须大于零",IF(NOT(ISNUMBER(F487)),"缺少手续费，无费用请填 0",IF(F487&lt;0,"手续费不能为负",IF(AA486="错误","前行待修正",IF(A487&lt;Z486,"日期需按成交顺序递增",IF(AND(B487="红利再投",F487&lt;&gt;0),"红利再投手续费应填 0",IF(AND(B487="红利再投",K486&lt;=0),"红利再投前须有持仓",IF(AND(B487="卖出",D487&gt;K486+0.000001),"卖出份额超过持仓",IF(AND(B487="卖出",F487&gt;=C487*D487),"赎回费不能达到赎回总额",IF(NOT(ISNUMBER(E487)),"自动金额未生成，请检查五项输入",IF(NOT(OR(持仓总览!$C$7="利润优先",持仓总览!$C$7="本金优先")),"请选择卖出分配模式","已计入")))))))))))))))))))</f>
        <v/>
      </c>
      <c r="J487" s="11">
        <f t="shared" si="139"/>
        <v>0</v>
      </c>
      <c r="K487" s="11">
        <f t="shared" si="144"/>
        <v>34284.43</v>
      </c>
      <c r="L487" s="11" t="str">
        <f t="shared" si="145"/>
        <v/>
      </c>
      <c r="M487" s="11" t="str">
        <f t="shared" si="146"/>
        <v/>
      </c>
      <c r="N487" s="11" t="str">
        <f>IF(I487="已计入",IF(AND(B487="卖出",持仓总览!$C$7="本金优先"),MAX(0,E487-Q486),IF(OR(B487="卖出",B487="现金分红"),MIN(E487,M487),0)),"")</f>
        <v/>
      </c>
      <c r="O487" s="11" t="str">
        <f t="shared" si="147"/>
        <v/>
      </c>
      <c r="P487" s="11" t="str">
        <f t="shared" si="148"/>
        <v/>
      </c>
      <c r="Q487" s="11">
        <f t="shared" si="149"/>
        <v>82516.01</v>
      </c>
      <c r="R487" s="11" t="str">
        <f t="shared" si="140"/>
        <v/>
      </c>
      <c r="S487" s="11" t="str">
        <f t="shared" si="141"/>
        <v/>
      </c>
      <c r="T487" s="12" t="str">
        <f t="shared" si="142"/>
        <v/>
      </c>
      <c r="U487" s="11">
        <f t="shared" si="150"/>
        <v>82516.01</v>
      </c>
      <c r="V487" s="11">
        <f t="shared" si="151"/>
        <v>0</v>
      </c>
      <c r="W487" s="11">
        <f t="shared" si="152"/>
        <v>0</v>
      </c>
      <c r="X487" s="11">
        <f t="shared" si="153"/>
        <v>0</v>
      </c>
      <c r="Y487" s="11" t="str">
        <f t="shared" si="143"/>
        <v/>
      </c>
      <c r="Z487" s="13">
        <f t="shared" si="154"/>
        <v>46247</v>
      </c>
      <c r="AA487" s="10" t="str">
        <f>IF(OR($AA$116="错误",COUNTIF($G$117:G487,"待修正")&gt;0),"错误","正常")</f>
        <v>正常</v>
      </c>
      <c r="AB487" s="14">
        <f t="shared" si="155"/>
        <v>2.7686</v>
      </c>
    </row>
    <row r="488" ht="23" customHeight="1" spans="1:28">
      <c r="A488" s="15"/>
      <c r="B488" s="16"/>
      <c r="C488" s="17"/>
      <c r="D488" s="18"/>
      <c r="E488" s="19" t="str">
        <f t="shared" si="136"/>
        <v/>
      </c>
      <c r="F488" s="18"/>
      <c r="G488" s="20" t="str">
        <f t="shared" si="137"/>
        <v/>
      </c>
      <c r="H488" s="21" t="str">
        <f t="shared" si="138"/>
        <v/>
      </c>
      <c r="I488" s="10" t="str">
        <f>IF(COUNTA(A488:D488,F488)=0,"",IF(NOT(ISNUMBER(A488)),"缺少有效净值日期",IF(OR(A488&lt;=0,A488&lt;&gt;INT(A488)),"净值日期无效",IF(OR(B488="转换转入",B488="现金分红"),"该类型需实际金额，五项录入不适用",IF(NOT(OR(OR(B488="买入",B488="定投"),B488="卖出",B488="红利再投")),"请选择交易类型",IF(NOT(ISNUMBER(C488)),"缺少成交净值",IF(C488&lt;=0,"成交净值须大于零",IF(NOT(ISNUMBER(D488)),"缺少确认份额",IF(D488&lt;=0,"确认份额须大于零",IF(NOT(ISNUMBER(F488)),"缺少手续费，无费用请填 0",IF(F488&lt;0,"手续费不能为负",IF(AA487="错误","前行待修正",IF(A488&lt;Z487,"日期需按成交顺序递增",IF(AND(B488="红利再投",F488&lt;&gt;0),"红利再投手续费应填 0",IF(AND(B488="红利再投",K487&lt;=0),"红利再投前须有持仓",IF(AND(B488="卖出",D488&gt;K487+0.000001),"卖出份额超过持仓",IF(AND(B488="卖出",F488&gt;=C488*D488),"赎回费不能达到赎回总额",IF(NOT(ISNUMBER(E488)),"自动金额未生成，请检查五项输入",IF(NOT(OR(持仓总览!$C$7="利润优先",持仓总览!$C$7="本金优先")),"请选择卖出分配模式","已计入")))))))))))))))))))</f>
        <v/>
      </c>
      <c r="J488" s="11">
        <f t="shared" si="139"/>
        <v>0</v>
      </c>
      <c r="K488" s="11">
        <f t="shared" si="144"/>
        <v>34284.43</v>
      </c>
      <c r="L488" s="11" t="str">
        <f t="shared" si="145"/>
        <v/>
      </c>
      <c r="M488" s="11" t="str">
        <f t="shared" si="146"/>
        <v/>
      </c>
      <c r="N488" s="11" t="str">
        <f>IF(I488="已计入",IF(AND(B488="卖出",持仓总览!$C$7="本金优先"),MAX(0,E488-Q487),IF(OR(B488="卖出",B488="现金分红"),MIN(E488,M488),0)),"")</f>
        <v/>
      </c>
      <c r="O488" s="11" t="str">
        <f t="shared" si="147"/>
        <v/>
      </c>
      <c r="P488" s="11" t="str">
        <f t="shared" si="148"/>
        <v/>
      </c>
      <c r="Q488" s="11">
        <f t="shared" si="149"/>
        <v>82516.01</v>
      </c>
      <c r="R488" s="11" t="str">
        <f t="shared" si="140"/>
        <v/>
      </c>
      <c r="S488" s="11" t="str">
        <f t="shared" si="141"/>
        <v/>
      </c>
      <c r="T488" s="12" t="str">
        <f t="shared" si="142"/>
        <v/>
      </c>
      <c r="U488" s="11">
        <f t="shared" si="150"/>
        <v>82516.01</v>
      </c>
      <c r="V488" s="11">
        <f t="shared" si="151"/>
        <v>0</v>
      </c>
      <c r="W488" s="11">
        <f t="shared" si="152"/>
        <v>0</v>
      </c>
      <c r="X488" s="11">
        <f t="shared" si="153"/>
        <v>0</v>
      </c>
      <c r="Y488" s="11" t="str">
        <f t="shared" si="143"/>
        <v/>
      </c>
      <c r="Z488" s="13">
        <f t="shared" si="154"/>
        <v>46247</v>
      </c>
      <c r="AA488" s="10" t="str">
        <f>IF(OR($AA$116="错误",COUNTIF($G$117:G488,"待修正")&gt;0),"错误","正常")</f>
        <v>正常</v>
      </c>
      <c r="AB488" s="14">
        <f t="shared" si="155"/>
        <v>2.7686</v>
      </c>
    </row>
    <row r="489" ht="23" customHeight="1" spans="1:28">
      <c r="A489" s="15"/>
      <c r="B489" s="16"/>
      <c r="C489" s="17"/>
      <c r="D489" s="18"/>
      <c r="E489" s="19" t="str">
        <f t="shared" si="136"/>
        <v/>
      </c>
      <c r="F489" s="18"/>
      <c r="G489" s="20" t="str">
        <f t="shared" si="137"/>
        <v/>
      </c>
      <c r="H489" s="21" t="str">
        <f t="shared" si="138"/>
        <v/>
      </c>
      <c r="I489" s="10" t="str">
        <f>IF(COUNTA(A489:D489,F489)=0,"",IF(NOT(ISNUMBER(A489)),"缺少有效净值日期",IF(OR(A489&lt;=0,A489&lt;&gt;INT(A489)),"净值日期无效",IF(OR(B489="转换转入",B489="现金分红"),"该类型需实际金额，五项录入不适用",IF(NOT(OR(OR(B489="买入",B489="定投"),B489="卖出",B489="红利再投")),"请选择交易类型",IF(NOT(ISNUMBER(C489)),"缺少成交净值",IF(C489&lt;=0,"成交净值须大于零",IF(NOT(ISNUMBER(D489)),"缺少确认份额",IF(D489&lt;=0,"确认份额须大于零",IF(NOT(ISNUMBER(F489)),"缺少手续费，无费用请填 0",IF(F489&lt;0,"手续费不能为负",IF(AA488="错误","前行待修正",IF(A489&lt;Z488,"日期需按成交顺序递增",IF(AND(B489="红利再投",F489&lt;&gt;0),"红利再投手续费应填 0",IF(AND(B489="红利再投",K488&lt;=0),"红利再投前须有持仓",IF(AND(B489="卖出",D489&gt;K488+0.000001),"卖出份额超过持仓",IF(AND(B489="卖出",F489&gt;=C489*D489),"赎回费不能达到赎回总额",IF(NOT(ISNUMBER(E489)),"自动金额未生成，请检查五项输入",IF(NOT(OR(持仓总览!$C$7="利润优先",持仓总览!$C$7="本金优先")),"请选择卖出分配模式","已计入")))))))))))))))))))</f>
        <v/>
      </c>
      <c r="J489" s="11">
        <f t="shared" si="139"/>
        <v>0</v>
      </c>
      <c r="K489" s="11">
        <f t="shared" si="144"/>
        <v>34284.43</v>
      </c>
      <c r="L489" s="11" t="str">
        <f t="shared" si="145"/>
        <v/>
      </c>
      <c r="M489" s="11" t="str">
        <f t="shared" si="146"/>
        <v/>
      </c>
      <c r="N489" s="11" t="str">
        <f>IF(I489="已计入",IF(AND(B489="卖出",持仓总览!$C$7="本金优先"),MAX(0,E489-Q488),IF(OR(B489="卖出",B489="现金分红"),MIN(E489,M489),0)),"")</f>
        <v/>
      </c>
      <c r="O489" s="11" t="str">
        <f t="shared" si="147"/>
        <v/>
      </c>
      <c r="P489" s="11" t="str">
        <f t="shared" si="148"/>
        <v/>
      </c>
      <c r="Q489" s="11">
        <f t="shared" si="149"/>
        <v>82516.01</v>
      </c>
      <c r="R489" s="11" t="str">
        <f t="shared" si="140"/>
        <v/>
      </c>
      <c r="S489" s="11" t="str">
        <f t="shared" si="141"/>
        <v/>
      </c>
      <c r="T489" s="12" t="str">
        <f t="shared" si="142"/>
        <v/>
      </c>
      <c r="U489" s="11">
        <f t="shared" si="150"/>
        <v>82516.01</v>
      </c>
      <c r="V489" s="11">
        <f t="shared" si="151"/>
        <v>0</v>
      </c>
      <c r="W489" s="11">
        <f t="shared" si="152"/>
        <v>0</v>
      </c>
      <c r="X489" s="11">
        <f t="shared" si="153"/>
        <v>0</v>
      </c>
      <c r="Y489" s="11" t="str">
        <f t="shared" si="143"/>
        <v/>
      </c>
      <c r="Z489" s="13">
        <f t="shared" si="154"/>
        <v>46247</v>
      </c>
      <c r="AA489" s="10" t="str">
        <f>IF(OR($AA$116="错误",COUNTIF($G$117:G489,"待修正")&gt;0),"错误","正常")</f>
        <v>正常</v>
      </c>
      <c r="AB489" s="14">
        <f t="shared" si="155"/>
        <v>2.7686</v>
      </c>
    </row>
    <row r="490" ht="23" customHeight="1" spans="1:28">
      <c r="A490" s="15"/>
      <c r="B490" s="16"/>
      <c r="C490" s="17"/>
      <c r="D490" s="18"/>
      <c r="E490" s="19" t="str">
        <f t="shared" si="136"/>
        <v/>
      </c>
      <c r="F490" s="18"/>
      <c r="G490" s="20" t="str">
        <f t="shared" si="137"/>
        <v/>
      </c>
      <c r="H490" s="21" t="str">
        <f t="shared" si="138"/>
        <v/>
      </c>
      <c r="I490" s="10" t="str">
        <f>IF(COUNTA(A490:D490,F490)=0,"",IF(NOT(ISNUMBER(A490)),"缺少有效净值日期",IF(OR(A490&lt;=0,A490&lt;&gt;INT(A490)),"净值日期无效",IF(OR(B490="转换转入",B490="现金分红"),"该类型需实际金额，五项录入不适用",IF(NOT(OR(OR(B490="买入",B490="定投"),B490="卖出",B490="红利再投")),"请选择交易类型",IF(NOT(ISNUMBER(C490)),"缺少成交净值",IF(C490&lt;=0,"成交净值须大于零",IF(NOT(ISNUMBER(D490)),"缺少确认份额",IF(D490&lt;=0,"确认份额须大于零",IF(NOT(ISNUMBER(F490)),"缺少手续费，无费用请填 0",IF(F490&lt;0,"手续费不能为负",IF(AA489="错误","前行待修正",IF(A490&lt;Z489,"日期需按成交顺序递增",IF(AND(B490="红利再投",F490&lt;&gt;0),"红利再投手续费应填 0",IF(AND(B490="红利再投",K489&lt;=0),"红利再投前须有持仓",IF(AND(B490="卖出",D490&gt;K489+0.000001),"卖出份额超过持仓",IF(AND(B490="卖出",F490&gt;=C490*D490),"赎回费不能达到赎回总额",IF(NOT(ISNUMBER(E490)),"自动金额未生成，请检查五项输入",IF(NOT(OR(持仓总览!$C$7="利润优先",持仓总览!$C$7="本金优先")),"请选择卖出分配模式","已计入")))))))))))))))))))</f>
        <v/>
      </c>
      <c r="J490" s="11">
        <f t="shared" si="139"/>
        <v>0</v>
      </c>
      <c r="K490" s="11">
        <f t="shared" si="144"/>
        <v>34284.43</v>
      </c>
      <c r="L490" s="11" t="str">
        <f t="shared" si="145"/>
        <v/>
      </c>
      <c r="M490" s="11" t="str">
        <f t="shared" si="146"/>
        <v/>
      </c>
      <c r="N490" s="11" t="str">
        <f>IF(I490="已计入",IF(AND(B490="卖出",持仓总览!$C$7="本金优先"),MAX(0,E490-Q489),IF(OR(B490="卖出",B490="现金分红"),MIN(E490,M490),0)),"")</f>
        <v/>
      </c>
      <c r="O490" s="11" t="str">
        <f t="shared" si="147"/>
        <v/>
      </c>
      <c r="P490" s="11" t="str">
        <f t="shared" si="148"/>
        <v/>
      </c>
      <c r="Q490" s="11">
        <f t="shared" si="149"/>
        <v>82516.01</v>
      </c>
      <c r="R490" s="11" t="str">
        <f t="shared" si="140"/>
        <v/>
      </c>
      <c r="S490" s="11" t="str">
        <f t="shared" si="141"/>
        <v/>
      </c>
      <c r="T490" s="12" t="str">
        <f t="shared" si="142"/>
        <v/>
      </c>
      <c r="U490" s="11">
        <f t="shared" si="150"/>
        <v>82516.01</v>
      </c>
      <c r="V490" s="11">
        <f t="shared" si="151"/>
        <v>0</v>
      </c>
      <c r="W490" s="11">
        <f t="shared" si="152"/>
        <v>0</v>
      </c>
      <c r="X490" s="11">
        <f t="shared" si="153"/>
        <v>0</v>
      </c>
      <c r="Y490" s="11" t="str">
        <f t="shared" si="143"/>
        <v/>
      </c>
      <c r="Z490" s="13">
        <f t="shared" si="154"/>
        <v>46247</v>
      </c>
      <c r="AA490" s="10" t="str">
        <f>IF(OR($AA$116="错误",COUNTIF($G$117:G490,"待修正")&gt;0),"错误","正常")</f>
        <v>正常</v>
      </c>
      <c r="AB490" s="14">
        <f t="shared" si="155"/>
        <v>2.7686</v>
      </c>
    </row>
    <row r="491" ht="23" customHeight="1" spans="1:28">
      <c r="A491" s="15"/>
      <c r="B491" s="16"/>
      <c r="C491" s="17"/>
      <c r="D491" s="18"/>
      <c r="E491" s="19" t="str">
        <f t="shared" si="136"/>
        <v/>
      </c>
      <c r="F491" s="18"/>
      <c r="G491" s="20" t="str">
        <f t="shared" si="137"/>
        <v/>
      </c>
      <c r="H491" s="21" t="str">
        <f t="shared" si="138"/>
        <v/>
      </c>
      <c r="I491" s="10" t="str">
        <f>IF(COUNTA(A491:D491,F491)=0,"",IF(NOT(ISNUMBER(A491)),"缺少有效净值日期",IF(OR(A491&lt;=0,A491&lt;&gt;INT(A491)),"净值日期无效",IF(OR(B491="转换转入",B491="现金分红"),"该类型需实际金额，五项录入不适用",IF(NOT(OR(OR(B491="买入",B491="定投"),B491="卖出",B491="红利再投")),"请选择交易类型",IF(NOT(ISNUMBER(C491)),"缺少成交净值",IF(C491&lt;=0,"成交净值须大于零",IF(NOT(ISNUMBER(D491)),"缺少确认份额",IF(D491&lt;=0,"确认份额须大于零",IF(NOT(ISNUMBER(F491)),"缺少手续费，无费用请填 0",IF(F491&lt;0,"手续费不能为负",IF(AA490="错误","前行待修正",IF(A491&lt;Z490,"日期需按成交顺序递增",IF(AND(B491="红利再投",F491&lt;&gt;0),"红利再投手续费应填 0",IF(AND(B491="红利再投",K490&lt;=0),"红利再投前须有持仓",IF(AND(B491="卖出",D491&gt;K490+0.000001),"卖出份额超过持仓",IF(AND(B491="卖出",F491&gt;=C491*D491),"赎回费不能达到赎回总额",IF(NOT(ISNUMBER(E491)),"自动金额未生成，请检查五项输入",IF(NOT(OR(持仓总览!$C$7="利润优先",持仓总览!$C$7="本金优先")),"请选择卖出分配模式","已计入")))))))))))))))))))</f>
        <v/>
      </c>
      <c r="J491" s="11">
        <f t="shared" si="139"/>
        <v>0</v>
      </c>
      <c r="K491" s="11">
        <f t="shared" si="144"/>
        <v>34284.43</v>
      </c>
      <c r="L491" s="11" t="str">
        <f t="shared" si="145"/>
        <v/>
      </c>
      <c r="M491" s="11" t="str">
        <f t="shared" si="146"/>
        <v/>
      </c>
      <c r="N491" s="11" t="str">
        <f>IF(I491="已计入",IF(AND(B491="卖出",持仓总览!$C$7="本金优先"),MAX(0,E491-Q490),IF(OR(B491="卖出",B491="现金分红"),MIN(E491,M491),0)),"")</f>
        <v/>
      </c>
      <c r="O491" s="11" t="str">
        <f t="shared" si="147"/>
        <v/>
      </c>
      <c r="P491" s="11" t="str">
        <f t="shared" si="148"/>
        <v/>
      </c>
      <c r="Q491" s="11">
        <f t="shared" si="149"/>
        <v>82516.01</v>
      </c>
      <c r="R491" s="11" t="str">
        <f t="shared" si="140"/>
        <v/>
      </c>
      <c r="S491" s="11" t="str">
        <f t="shared" si="141"/>
        <v/>
      </c>
      <c r="T491" s="12" t="str">
        <f t="shared" si="142"/>
        <v/>
      </c>
      <c r="U491" s="11">
        <f t="shared" si="150"/>
        <v>82516.01</v>
      </c>
      <c r="V491" s="11">
        <f t="shared" si="151"/>
        <v>0</v>
      </c>
      <c r="W491" s="11">
        <f t="shared" si="152"/>
        <v>0</v>
      </c>
      <c r="X491" s="11">
        <f t="shared" si="153"/>
        <v>0</v>
      </c>
      <c r="Y491" s="11" t="str">
        <f t="shared" si="143"/>
        <v/>
      </c>
      <c r="Z491" s="13">
        <f t="shared" si="154"/>
        <v>46247</v>
      </c>
      <c r="AA491" s="10" t="str">
        <f>IF(OR($AA$116="错误",COUNTIF($G$117:G491,"待修正")&gt;0),"错误","正常")</f>
        <v>正常</v>
      </c>
      <c r="AB491" s="14">
        <f t="shared" si="155"/>
        <v>2.7686</v>
      </c>
    </row>
    <row r="492" ht="23" customHeight="1" spans="1:28">
      <c r="A492" s="15"/>
      <c r="B492" s="16"/>
      <c r="C492" s="17"/>
      <c r="D492" s="18"/>
      <c r="E492" s="19" t="str">
        <f t="shared" si="136"/>
        <v/>
      </c>
      <c r="F492" s="18"/>
      <c r="G492" s="20" t="str">
        <f t="shared" si="137"/>
        <v/>
      </c>
      <c r="H492" s="21" t="str">
        <f t="shared" si="138"/>
        <v/>
      </c>
      <c r="I492" s="10" t="str">
        <f>IF(COUNTA(A492:D492,F492)=0,"",IF(NOT(ISNUMBER(A492)),"缺少有效净值日期",IF(OR(A492&lt;=0,A492&lt;&gt;INT(A492)),"净值日期无效",IF(OR(B492="转换转入",B492="现金分红"),"该类型需实际金额，五项录入不适用",IF(NOT(OR(OR(B492="买入",B492="定投"),B492="卖出",B492="红利再投")),"请选择交易类型",IF(NOT(ISNUMBER(C492)),"缺少成交净值",IF(C492&lt;=0,"成交净值须大于零",IF(NOT(ISNUMBER(D492)),"缺少确认份额",IF(D492&lt;=0,"确认份额须大于零",IF(NOT(ISNUMBER(F492)),"缺少手续费，无费用请填 0",IF(F492&lt;0,"手续费不能为负",IF(AA491="错误","前行待修正",IF(A492&lt;Z491,"日期需按成交顺序递增",IF(AND(B492="红利再投",F492&lt;&gt;0),"红利再投手续费应填 0",IF(AND(B492="红利再投",K491&lt;=0),"红利再投前须有持仓",IF(AND(B492="卖出",D492&gt;K491+0.000001),"卖出份额超过持仓",IF(AND(B492="卖出",F492&gt;=C492*D492),"赎回费不能达到赎回总额",IF(NOT(ISNUMBER(E492)),"自动金额未生成，请检查五项输入",IF(NOT(OR(持仓总览!$C$7="利润优先",持仓总览!$C$7="本金优先")),"请选择卖出分配模式","已计入")))))))))))))))))))</f>
        <v/>
      </c>
      <c r="J492" s="11">
        <f t="shared" si="139"/>
        <v>0</v>
      </c>
      <c r="K492" s="11">
        <f t="shared" si="144"/>
        <v>34284.43</v>
      </c>
      <c r="L492" s="11" t="str">
        <f t="shared" si="145"/>
        <v/>
      </c>
      <c r="M492" s="11" t="str">
        <f t="shared" si="146"/>
        <v/>
      </c>
      <c r="N492" s="11" t="str">
        <f>IF(I492="已计入",IF(AND(B492="卖出",持仓总览!$C$7="本金优先"),MAX(0,E492-Q491),IF(OR(B492="卖出",B492="现金分红"),MIN(E492,M492),0)),"")</f>
        <v/>
      </c>
      <c r="O492" s="11" t="str">
        <f t="shared" si="147"/>
        <v/>
      </c>
      <c r="P492" s="11" t="str">
        <f t="shared" si="148"/>
        <v/>
      </c>
      <c r="Q492" s="11">
        <f t="shared" si="149"/>
        <v>82516.01</v>
      </c>
      <c r="R492" s="11" t="str">
        <f t="shared" si="140"/>
        <v/>
      </c>
      <c r="S492" s="11" t="str">
        <f t="shared" si="141"/>
        <v/>
      </c>
      <c r="T492" s="12" t="str">
        <f t="shared" si="142"/>
        <v/>
      </c>
      <c r="U492" s="11">
        <f t="shared" si="150"/>
        <v>82516.01</v>
      </c>
      <c r="V492" s="11">
        <f t="shared" si="151"/>
        <v>0</v>
      </c>
      <c r="W492" s="11">
        <f t="shared" si="152"/>
        <v>0</v>
      </c>
      <c r="X492" s="11">
        <f t="shared" si="153"/>
        <v>0</v>
      </c>
      <c r="Y492" s="11" t="str">
        <f t="shared" si="143"/>
        <v/>
      </c>
      <c r="Z492" s="13">
        <f t="shared" si="154"/>
        <v>46247</v>
      </c>
      <c r="AA492" s="10" t="str">
        <f>IF(OR($AA$116="错误",COUNTIF($G$117:G492,"待修正")&gt;0),"错误","正常")</f>
        <v>正常</v>
      </c>
      <c r="AB492" s="14">
        <f t="shared" si="155"/>
        <v>2.7686</v>
      </c>
    </row>
    <row r="493" ht="23" customHeight="1" spans="1:28">
      <c r="A493" s="15"/>
      <c r="B493" s="16"/>
      <c r="C493" s="17"/>
      <c r="D493" s="18"/>
      <c r="E493" s="19" t="str">
        <f t="shared" si="136"/>
        <v/>
      </c>
      <c r="F493" s="18"/>
      <c r="G493" s="20" t="str">
        <f t="shared" si="137"/>
        <v/>
      </c>
      <c r="H493" s="21" t="str">
        <f t="shared" si="138"/>
        <v/>
      </c>
      <c r="I493" s="10" t="str">
        <f>IF(COUNTA(A493:D493,F493)=0,"",IF(NOT(ISNUMBER(A493)),"缺少有效净值日期",IF(OR(A493&lt;=0,A493&lt;&gt;INT(A493)),"净值日期无效",IF(OR(B493="转换转入",B493="现金分红"),"该类型需实际金额，五项录入不适用",IF(NOT(OR(OR(B493="买入",B493="定投"),B493="卖出",B493="红利再投")),"请选择交易类型",IF(NOT(ISNUMBER(C493)),"缺少成交净值",IF(C493&lt;=0,"成交净值须大于零",IF(NOT(ISNUMBER(D493)),"缺少确认份额",IF(D493&lt;=0,"确认份额须大于零",IF(NOT(ISNUMBER(F493)),"缺少手续费，无费用请填 0",IF(F493&lt;0,"手续费不能为负",IF(AA492="错误","前行待修正",IF(A493&lt;Z492,"日期需按成交顺序递增",IF(AND(B493="红利再投",F493&lt;&gt;0),"红利再投手续费应填 0",IF(AND(B493="红利再投",K492&lt;=0),"红利再投前须有持仓",IF(AND(B493="卖出",D493&gt;K492+0.000001),"卖出份额超过持仓",IF(AND(B493="卖出",F493&gt;=C493*D493),"赎回费不能达到赎回总额",IF(NOT(ISNUMBER(E493)),"自动金额未生成，请检查五项输入",IF(NOT(OR(持仓总览!$C$7="利润优先",持仓总览!$C$7="本金优先")),"请选择卖出分配模式","已计入")))))))))))))))))))</f>
        <v/>
      </c>
      <c r="J493" s="11">
        <f t="shared" si="139"/>
        <v>0</v>
      </c>
      <c r="K493" s="11">
        <f t="shared" si="144"/>
        <v>34284.43</v>
      </c>
      <c r="L493" s="11" t="str">
        <f t="shared" si="145"/>
        <v/>
      </c>
      <c r="M493" s="11" t="str">
        <f t="shared" si="146"/>
        <v/>
      </c>
      <c r="N493" s="11" t="str">
        <f>IF(I493="已计入",IF(AND(B493="卖出",持仓总览!$C$7="本金优先"),MAX(0,E493-Q492),IF(OR(B493="卖出",B493="现金分红"),MIN(E493,M493),0)),"")</f>
        <v/>
      </c>
      <c r="O493" s="11" t="str">
        <f t="shared" si="147"/>
        <v/>
      </c>
      <c r="P493" s="11" t="str">
        <f t="shared" si="148"/>
        <v/>
      </c>
      <c r="Q493" s="11">
        <f t="shared" si="149"/>
        <v>82516.01</v>
      </c>
      <c r="R493" s="11" t="str">
        <f t="shared" si="140"/>
        <v/>
      </c>
      <c r="S493" s="11" t="str">
        <f t="shared" si="141"/>
        <v/>
      </c>
      <c r="T493" s="12" t="str">
        <f t="shared" si="142"/>
        <v/>
      </c>
      <c r="U493" s="11">
        <f t="shared" si="150"/>
        <v>82516.01</v>
      </c>
      <c r="V493" s="11">
        <f t="shared" si="151"/>
        <v>0</v>
      </c>
      <c r="W493" s="11">
        <f t="shared" si="152"/>
        <v>0</v>
      </c>
      <c r="X493" s="11">
        <f t="shared" si="153"/>
        <v>0</v>
      </c>
      <c r="Y493" s="11" t="str">
        <f t="shared" si="143"/>
        <v/>
      </c>
      <c r="Z493" s="13">
        <f t="shared" si="154"/>
        <v>46247</v>
      </c>
      <c r="AA493" s="10" t="str">
        <f>IF(OR($AA$116="错误",COUNTIF($G$117:G493,"待修正")&gt;0),"错误","正常")</f>
        <v>正常</v>
      </c>
      <c r="AB493" s="14">
        <f t="shared" si="155"/>
        <v>2.7686</v>
      </c>
    </row>
    <row r="494" ht="23" customHeight="1" spans="1:28">
      <c r="A494" s="15"/>
      <c r="B494" s="16"/>
      <c r="C494" s="17"/>
      <c r="D494" s="18"/>
      <c r="E494" s="19" t="str">
        <f t="shared" si="136"/>
        <v/>
      </c>
      <c r="F494" s="18"/>
      <c r="G494" s="20" t="str">
        <f t="shared" si="137"/>
        <v/>
      </c>
      <c r="H494" s="21" t="str">
        <f t="shared" si="138"/>
        <v/>
      </c>
      <c r="I494" s="10" t="str">
        <f>IF(COUNTA(A494:D494,F494)=0,"",IF(NOT(ISNUMBER(A494)),"缺少有效净值日期",IF(OR(A494&lt;=0,A494&lt;&gt;INT(A494)),"净值日期无效",IF(OR(B494="转换转入",B494="现金分红"),"该类型需实际金额，五项录入不适用",IF(NOT(OR(OR(B494="买入",B494="定投"),B494="卖出",B494="红利再投")),"请选择交易类型",IF(NOT(ISNUMBER(C494)),"缺少成交净值",IF(C494&lt;=0,"成交净值须大于零",IF(NOT(ISNUMBER(D494)),"缺少确认份额",IF(D494&lt;=0,"确认份额须大于零",IF(NOT(ISNUMBER(F494)),"缺少手续费，无费用请填 0",IF(F494&lt;0,"手续费不能为负",IF(AA493="错误","前行待修正",IF(A494&lt;Z493,"日期需按成交顺序递增",IF(AND(B494="红利再投",F494&lt;&gt;0),"红利再投手续费应填 0",IF(AND(B494="红利再投",K493&lt;=0),"红利再投前须有持仓",IF(AND(B494="卖出",D494&gt;K493+0.000001),"卖出份额超过持仓",IF(AND(B494="卖出",F494&gt;=C494*D494),"赎回费不能达到赎回总额",IF(NOT(ISNUMBER(E494)),"自动金额未生成，请检查五项输入",IF(NOT(OR(持仓总览!$C$7="利润优先",持仓总览!$C$7="本金优先")),"请选择卖出分配模式","已计入")))))))))))))))))))</f>
        <v/>
      </c>
      <c r="J494" s="11">
        <f t="shared" si="139"/>
        <v>0</v>
      </c>
      <c r="K494" s="11">
        <f t="shared" si="144"/>
        <v>34284.43</v>
      </c>
      <c r="L494" s="11" t="str">
        <f t="shared" si="145"/>
        <v/>
      </c>
      <c r="M494" s="11" t="str">
        <f t="shared" si="146"/>
        <v/>
      </c>
      <c r="N494" s="11" t="str">
        <f>IF(I494="已计入",IF(AND(B494="卖出",持仓总览!$C$7="本金优先"),MAX(0,E494-Q493),IF(OR(B494="卖出",B494="现金分红"),MIN(E494,M494),0)),"")</f>
        <v/>
      </c>
      <c r="O494" s="11" t="str">
        <f t="shared" si="147"/>
        <v/>
      </c>
      <c r="P494" s="11" t="str">
        <f t="shared" si="148"/>
        <v/>
      </c>
      <c r="Q494" s="11">
        <f t="shared" si="149"/>
        <v>82516.01</v>
      </c>
      <c r="R494" s="11" t="str">
        <f t="shared" si="140"/>
        <v/>
      </c>
      <c r="S494" s="11" t="str">
        <f t="shared" si="141"/>
        <v/>
      </c>
      <c r="T494" s="12" t="str">
        <f t="shared" si="142"/>
        <v/>
      </c>
      <c r="U494" s="11">
        <f t="shared" si="150"/>
        <v>82516.01</v>
      </c>
      <c r="V494" s="11">
        <f t="shared" si="151"/>
        <v>0</v>
      </c>
      <c r="W494" s="11">
        <f t="shared" si="152"/>
        <v>0</v>
      </c>
      <c r="X494" s="11">
        <f t="shared" si="153"/>
        <v>0</v>
      </c>
      <c r="Y494" s="11" t="str">
        <f t="shared" si="143"/>
        <v/>
      </c>
      <c r="Z494" s="13">
        <f t="shared" si="154"/>
        <v>46247</v>
      </c>
      <c r="AA494" s="10" t="str">
        <f>IF(OR($AA$116="错误",COUNTIF($G$117:G494,"待修正")&gt;0),"错误","正常")</f>
        <v>正常</v>
      </c>
      <c r="AB494" s="14">
        <f t="shared" si="155"/>
        <v>2.7686</v>
      </c>
    </row>
    <row r="495" ht="23" customHeight="1" spans="1:28">
      <c r="A495" s="15"/>
      <c r="B495" s="16"/>
      <c r="C495" s="17"/>
      <c r="D495" s="18"/>
      <c r="E495" s="19" t="str">
        <f t="shared" si="136"/>
        <v/>
      </c>
      <c r="F495" s="18"/>
      <c r="G495" s="20" t="str">
        <f t="shared" si="137"/>
        <v/>
      </c>
      <c r="H495" s="21" t="str">
        <f t="shared" si="138"/>
        <v/>
      </c>
      <c r="I495" s="10" t="str">
        <f>IF(COUNTA(A495:D495,F495)=0,"",IF(NOT(ISNUMBER(A495)),"缺少有效净值日期",IF(OR(A495&lt;=0,A495&lt;&gt;INT(A495)),"净值日期无效",IF(OR(B495="转换转入",B495="现金分红"),"该类型需实际金额，五项录入不适用",IF(NOT(OR(OR(B495="买入",B495="定投"),B495="卖出",B495="红利再投")),"请选择交易类型",IF(NOT(ISNUMBER(C495)),"缺少成交净值",IF(C495&lt;=0,"成交净值须大于零",IF(NOT(ISNUMBER(D495)),"缺少确认份额",IF(D495&lt;=0,"确认份额须大于零",IF(NOT(ISNUMBER(F495)),"缺少手续费，无费用请填 0",IF(F495&lt;0,"手续费不能为负",IF(AA494="错误","前行待修正",IF(A495&lt;Z494,"日期需按成交顺序递增",IF(AND(B495="红利再投",F495&lt;&gt;0),"红利再投手续费应填 0",IF(AND(B495="红利再投",K494&lt;=0),"红利再投前须有持仓",IF(AND(B495="卖出",D495&gt;K494+0.000001),"卖出份额超过持仓",IF(AND(B495="卖出",F495&gt;=C495*D495),"赎回费不能达到赎回总额",IF(NOT(ISNUMBER(E495)),"自动金额未生成，请检查五项输入",IF(NOT(OR(持仓总览!$C$7="利润优先",持仓总览!$C$7="本金优先")),"请选择卖出分配模式","已计入")))))))))))))))))))</f>
        <v/>
      </c>
      <c r="J495" s="11">
        <f t="shared" si="139"/>
        <v>0</v>
      </c>
      <c r="K495" s="11">
        <f t="shared" si="144"/>
        <v>34284.43</v>
      </c>
      <c r="L495" s="11" t="str">
        <f t="shared" si="145"/>
        <v/>
      </c>
      <c r="M495" s="11" t="str">
        <f t="shared" si="146"/>
        <v/>
      </c>
      <c r="N495" s="11" t="str">
        <f>IF(I495="已计入",IF(AND(B495="卖出",持仓总览!$C$7="本金优先"),MAX(0,E495-Q494),IF(OR(B495="卖出",B495="现金分红"),MIN(E495,M495),0)),"")</f>
        <v/>
      </c>
      <c r="O495" s="11" t="str">
        <f t="shared" si="147"/>
        <v/>
      </c>
      <c r="P495" s="11" t="str">
        <f t="shared" si="148"/>
        <v/>
      </c>
      <c r="Q495" s="11">
        <f t="shared" si="149"/>
        <v>82516.01</v>
      </c>
      <c r="R495" s="11" t="str">
        <f t="shared" si="140"/>
        <v/>
      </c>
      <c r="S495" s="11" t="str">
        <f t="shared" si="141"/>
        <v/>
      </c>
      <c r="T495" s="12" t="str">
        <f t="shared" si="142"/>
        <v/>
      </c>
      <c r="U495" s="11">
        <f t="shared" si="150"/>
        <v>82516.01</v>
      </c>
      <c r="V495" s="11">
        <f t="shared" si="151"/>
        <v>0</v>
      </c>
      <c r="W495" s="11">
        <f t="shared" si="152"/>
        <v>0</v>
      </c>
      <c r="X495" s="11">
        <f t="shared" si="153"/>
        <v>0</v>
      </c>
      <c r="Y495" s="11" t="str">
        <f t="shared" si="143"/>
        <v/>
      </c>
      <c r="Z495" s="13">
        <f t="shared" si="154"/>
        <v>46247</v>
      </c>
      <c r="AA495" s="10" t="str">
        <f>IF(OR($AA$116="错误",COUNTIF($G$117:G495,"待修正")&gt;0),"错误","正常")</f>
        <v>正常</v>
      </c>
      <c r="AB495" s="14">
        <f t="shared" si="155"/>
        <v>2.7686</v>
      </c>
    </row>
    <row r="496" ht="23" customHeight="1" spans="1:28">
      <c r="A496" s="15"/>
      <c r="B496" s="16"/>
      <c r="C496" s="17"/>
      <c r="D496" s="18"/>
      <c r="E496" s="19" t="str">
        <f t="shared" si="136"/>
        <v/>
      </c>
      <c r="F496" s="18"/>
      <c r="G496" s="20" t="str">
        <f t="shared" si="137"/>
        <v/>
      </c>
      <c r="H496" s="21" t="str">
        <f t="shared" si="138"/>
        <v/>
      </c>
      <c r="I496" s="10" t="str">
        <f>IF(COUNTA(A496:D496,F496)=0,"",IF(NOT(ISNUMBER(A496)),"缺少有效净值日期",IF(OR(A496&lt;=0,A496&lt;&gt;INT(A496)),"净值日期无效",IF(OR(B496="转换转入",B496="现金分红"),"该类型需实际金额，五项录入不适用",IF(NOT(OR(OR(B496="买入",B496="定投"),B496="卖出",B496="红利再投")),"请选择交易类型",IF(NOT(ISNUMBER(C496)),"缺少成交净值",IF(C496&lt;=0,"成交净值须大于零",IF(NOT(ISNUMBER(D496)),"缺少确认份额",IF(D496&lt;=0,"确认份额须大于零",IF(NOT(ISNUMBER(F496)),"缺少手续费，无费用请填 0",IF(F496&lt;0,"手续费不能为负",IF(AA495="错误","前行待修正",IF(A496&lt;Z495,"日期需按成交顺序递增",IF(AND(B496="红利再投",F496&lt;&gt;0),"红利再投手续费应填 0",IF(AND(B496="红利再投",K495&lt;=0),"红利再投前须有持仓",IF(AND(B496="卖出",D496&gt;K495+0.000001),"卖出份额超过持仓",IF(AND(B496="卖出",F496&gt;=C496*D496),"赎回费不能达到赎回总额",IF(NOT(ISNUMBER(E496)),"自动金额未生成，请检查五项输入",IF(NOT(OR(持仓总览!$C$7="利润优先",持仓总览!$C$7="本金优先")),"请选择卖出分配模式","已计入")))))))))))))))))))</f>
        <v/>
      </c>
      <c r="J496" s="11">
        <f t="shared" si="139"/>
        <v>0</v>
      </c>
      <c r="K496" s="11">
        <f t="shared" si="144"/>
        <v>34284.43</v>
      </c>
      <c r="L496" s="11" t="str">
        <f t="shared" si="145"/>
        <v/>
      </c>
      <c r="M496" s="11" t="str">
        <f t="shared" si="146"/>
        <v/>
      </c>
      <c r="N496" s="11" t="str">
        <f>IF(I496="已计入",IF(AND(B496="卖出",持仓总览!$C$7="本金优先"),MAX(0,E496-Q495),IF(OR(B496="卖出",B496="现金分红"),MIN(E496,M496),0)),"")</f>
        <v/>
      </c>
      <c r="O496" s="11" t="str">
        <f t="shared" si="147"/>
        <v/>
      </c>
      <c r="P496" s="11" t="str">
        <f t="shared" si="148"/>
        <v/>
      </c>
      <c r="Q496" s="11">
        <f t="shared" si="149"/>
        <v>82516.01</v>
      </c>
      <c r="R496" s="11" t="str">
        <f t="shared" si="140"/>
        <v/>
      </c>
      <c r="S496" s="11" t="str">
        <f t="shared" si="141"/>
        <v/>
      </c>
      <c r="T496" s="12" t="str">
        <f t="shared" si="142"/>
        <v/>
      </c>
      <c r="U496" s="11">
        <f t="shared" si="150"/>
        <v>82516.01</v>
      </c>
      <c r="V496" s="11">
        <f t="shared" si="151"/>
        <v>0</v>
      </c>
      <c r="W496" s="11">
        <f t="shared" si="152"/>
        <v>0</v>
      </c>
      <c r="X496" s="11">
        <f t="shared" si="153"/>
        <v>0</v>
      </c>
      <c r="Y496" s="11" t="str">
        <f t="shared" si="143"/>
        <v/>
      </c>
      <c r="Z496" s="13">
        <f t="shared" si="154"/>
        <v>46247</v>
      </c>
      <c r="AA496" s="10" t="str">
        <f>IF(OR($AA$116="错误",COUNTIF($G$117:G496,"待修正")&gt;0),"错误","正常")</f>
        <v>正常</v>
      </c>
      <c r="AB496" s="14">
        <f t="shared" si="155"/>
        <v>2.7686</v>
      </c>
    </row>
    <row r="497" ht="23" customHeight="1" spans="1:28">
      <c r="A497" s="15"/>
      <c r="B497" s="16"/>
      <c r="C497" s="17"/>
      <c r="D497" s="18"/>
      <c r="E497" s="19" t="str">
        <f t="shared" si="136"/>
        <v/>
      </c>
      <c r="F497" s="18"/>
      <c r="G497" s="20" t="str">
        <f t="shared" si="137"/>
        <v/>
      </c>
      <c r="H497" s="21" t="str">
        <f t="shared" si="138"/>
        <v/>
      </c>
      <c r="I497" s="10" t="str">
        <f>IF(COUNTA(A497:D497,F497)=0,"",IF(NOT(ISNUMBER(A497)),"缺少有效净值日期",IF(OR(A497&lt;=0,A497&lt;&gt;INT(A497)),"净值日期无效",IF(OR(B497="转换转入",B497="现金分红"),"该类型需实际金额，五项录入不适用",IF(NOT(OR(OR(B497="买入",B497="定投"),B497="卖出",B497="红利再投")),"请选择交易类型",IF(NOT(ISNUMBER(C497)),"缺少成交净值",IF(C497&lt;=0,"成交净值须大于零",IF(NOT(ISNUMBER(D497)),"缺少确认份额",IF(D497&lt;=0,"确认份额须大于零",IF(NOT(ISNUMBER(F497)),"缺少手续费，无费用请填 0",IF(F497&lt;0,"手续费不能为负",IF(AA496="错误","前行待修正",IF(A497&lt;Z496,"日期需按成交顺序递增",IF(AND(B497="红利再投",F497&lt;&gt;0),"红利再投手续费应填 0",IF(AND(B497="红利再投",K496&lt;=0),"红利再投前须有持仓",IF(AND(B497="卖出",D497&gt;K496+0.000001),"卖出份额超过持仓",IF(AND(B497="卖出",F497&gt;=C497*D497),"赎回费不能达到赎回总额",IF(NOT(ISNUMBER(E497)),"自动金额未生成，请检查五项输入",IF(NOT(OR(持仓总览!$C$7="利润优先",持仓总览!$C$7="本金优先")),"请选择卖出分配模式","已计入")))))))))))))))))))</f>
        <v/>
      </c>
      <c r="J497" s="11">
        <f t="shared" si="139"/>
        <v>0</v>
      </c>
      <c r="K497" s="11">
        <f t="shared" si="144"/>
        <v>34284.43</v>
      </c>
      <c r="L497" s="11" t="str">
        <f t="shared" si="145"/>
        <v/>
      </c>
      <c r="M497" s="11" t="str">
        <f t="shared" si="146"/>
        <v/>
      </c>
      <c r="N497" s="11" t="str">
        <f>IF(I497="已计入",IF(AND(B497="卖出",持仓总览!$C$7="本金优先"),MAX(0,E497-Q496),IF(OR(B497="卖出",B497="现金分红"),MIN(E497,M497),0)),"")</f>
        <v/>
      </c>
      <c r="O497" s="11" t="str">
        <f t="shared" si="147"/>
        <v/>
      </c>
      <c r="P497" s="11" t="str">
        <f t="shared" si="148"/>
        <v/>
      </c>
      <c r="Q497" s="11">
        <f t="shared" si="149"/>
        <v>82516.01</v>
      </c>
      <c r="R497" s="11" t="str">
        <f t="shared" si="140"/>
        <v/>
      </c>
      <c r="S497" s="11" t="str">
        <f t="shared" si="141"/>
        <v/>
      </c>
      <c r="T497" s="12" t="str">
        <f t="shared" si="142"/>
        <v/>
      </c>
      <c r="U497" s="11">
        <f t="shared" si="150"/>
        <v>82516.01</v>
      </c>
      <c r="V497" s="11">
        <f t="shared" si="151"/>
        <v>0</v>
      </c>
      <c r="W497" s="11">
        <f t="shared" si="152"/>
        <v>0</v>
      </c>
      <c r="X497" s="11">
        <f t="shared" si="153"/>
        <v>0</v>
      </c>
      <c r="Y497" s="11" t="str">
        <f t="shared" si="143"/>
        <v/>
      </c>
      <c r="Z497" s="13">
        <f t="shared" si="154"/>
        <v>46247</v>
      </c>
      <c r="AA497" s="10" t="str">
        <f>IF(OR($AA$116="错误",COUNTIF($G$117:G497,"待修正")&gt;0),"错误","正常")</f>
        <v>正常</v>
      </c>
      <c r="AB497" s="14">
        <f t="shared" si="155"/>
        <v>2.7686</v>
      </c>
    </row>
    <row r="498" ht="23" customHeight="1" spans="1:28">
      <c r="A498" s="15"/>
      <c r="B498" s="16"/>
      <c r="C498" s="17"/>
      <c r="D498" s="18"/>
      <c r="E498" s="19" t="str">
        <f t="shared" si="136"/>
        <v/>
      </c>
      <c r="F498" s="18"/>
      <c r="G498" s="20" t="str">
        <f t="shared" si="137"/>
        <v/>
      </c>
      <c r="H498" s="21" t="str">
        <f t="shared" si="138"/>
        <v/>
      </c>
      <c r="I498" s="10" t="str">
        <f>IF(COUNTA(A498:D498,F498)=0,"",IF(NOT(ISNUMBER(A498)),"缺少有效净值日期",IF(OR(A498&lt;=0,A498&lt;&gt;INT(A498)),"净值日期无效",IF(OR(B498="转换转入",B498="现金分红"),"该类型需实际金额，五项录入不适用",IF(NOT(OR(OR(B498="买入",B498="定投"),B498="卖出",B498="红利再投")),"请选择交易类型",IF(NOT(ISNUMBER(C498)),"缺少成交净值",IF(C498&lt;=0,"成交净值须大于零",IF(NOT(ISNUMBER(D498)),"缺少确认份额",IF(D498&lt;=0,"确认份额须大于零",IF(NOT(ISNUMBER(F498)),"缺少手续费，无费用请填 0",IF(F498&lt;0,"手续费不能为负",IF(AA497="错误","前行待修正",IF(A498&lt;Z497,"日期需按成交顺序递增",IF(AND(B498="红利再投",F498&lt;&gt;0),"红利再投手续费应填 0",IF(AND(B498="红利再投",K497&lt;=0),"红利再投前须有持仓",IF(AND(B498="卖出",D498&gt;K497+0.000001),"卖出份额超过持仓",IF(AND(B498="卖出",F498&gt;=C498*D498),"赎回费不能达到赎回总额",IF(NOT(ISNUMBER(E498)),"自动金额未生成，请检查五项输入",IF(NOT(OR(持仓总览!$C$7="利润优先",持仓总览!$C$7="本金优先")),"请选择卖出分配模式","已计入")))))))))))))))))))</f>
        <v/>
      </c>
      <c r="J498" s="11">
        <f t="shared" si="139"/>
        <v>0</v>
      </c>
      <c r="K498" s="11">
        <f t="shared" si="144"/>
        <v>34284.43</v>
      </c>
      <c r="L498" s="11" t="str">
        <f t="shared" si="145"/>
        <v/>
      </c>
      <c r="M498" s="11" t="str">
        <f t="shared" si="146"/>
        <v/>
      </c>
      <c r="N498" s="11" t="str">
        <f>IF(I498="已计入",IF(AND(B498="卖出",持仓总览!$C$7="本金优先"),MAX(0,E498-Q497),IF(OR(B498="卖出",B498="现金分红"),MIN(E498,M498),0)),"")</f>
        <v/>
      </c>
      <c r="O498" s="11" t="str">
        <f t="shared" si="147"/>
        <v/>
      </c>
      <c r="P498" s="11" t="str">
        <f t="shared" si="148"/>
        <v/>
      </c>
      <c r="Q498" s="11">
        <f t="shared" si="149"/>
        <v>82516.01</v>
      </c>
      <c r="R498" s="11" t="str">
        <f t="shared" si="140"/>
        <v/>
      </c>
      <c r="S498" s="11" t="str">
        <f t="shared" si="141"/>
        <v/>
      </c>
      <c r="T498" s="12" t="str">
        <f t="shared" si="142"/>
        <v/>
      </c>
      <c r="U498" s="11">
        <f t="shared" si="150"/>
        <v>82516.01</v>
      </c>
      <c r="V498" s="11">
        <f t="shared" si="151"/>
        <v>0</v>
      </c>
      <c r="W498" s="11">
        <f t="shared" si="152"/>
        <v>0</v>
      </c>
      <c r="X498" s="11">
        <f t="shared" si="153"/>
        <v>0</v>
      </c>
      <c r="Y498" s="11" t="str">
        <f t="shared" si="143"/>
        <v/>
      </c>
      <c r="Z498" s="13">
        <f t="shared" si="154"/>
        <v>46247</v>
      </c>
      <c r="AA498" s="10" t="str">
        <f>IF(OR($AA$116="错误",COUNTIF($G$117:G498,"待修正")&gt;0),"错误","正常")</f>
        <v>正常</v>
      </c>
      <c r="AB498" s="14">
        <f t="shared" si="155"/>
        <v>2.7686</v>
      </c>
    </row>
    <row r="499" ht="23" customHeight="1" spans="1:28">
      <c r="A499" s="15"/>
      <c r="B499" s="16"/>
      <c r="C499" s="17"/>
      <c r="D499" s="18"/>
      <c r="E499" s="19" t="str">
        <f t="shared" si="136"/>
        <v/>
      </c>
      <c r="F499" s="18"/>
      <c r="G499" s="20" t="str">
        <f t="shared" si="137"/>
        <v/>
      </c>
      <c r="H499" s="21" t="str">
        <f t="shared" si="138"/>
        <v/>
      </c>
      <c r="I499" s="10" t="str">
        <f>IF(COUNTA(A499:D499,F499)=0,"",IF(NOT(ISNUMBER(A499)),"缺少有效净值日期",IF(OR(A499&lt;=0,A499&lt;&gt;INT(A499)),"净值日期无效",IF(OR(B499="转换转入",B499="现金分红"),"该类型需实际金额，五项录入不适用",IF(NOT(OR(OR(B499="买入",B499="定投"),B499="卖出",B499="红利再投")),"请选择交易类型",IF(NOT(ISNUMBER(C499)),"缺少成交净值",IF(C499&lt;=0,"成交净值须大于零",IF(NOT(ISNUMBER(D499)),"缺少确认份额",IF(D499&lt;=0,"确认份额须大于零",IF(NOT(ISNUMBER(F499)),"缺少手续费，无费用请填 0",IF(F499&lt;0,"手续费不能为负",IF(AA498="错误","前行待修正",IF(A499&lt;Z498,"日期需按成交顺序递增",IF(AND(B499="红利再投",F499&lt;&gt;0),"红利再投手续费应填 0",IF(AND(B499="红利再投",K498&lt;=0),"红利再投前须有持仓",IF(AND(B499="卖出",D499&gt;K498+0.000001),"卖出份额超过持仓",IF(AND(B499="卖出",F499&gt;=C499*D499),"赎回费不能达到赎回总额",IF(NOT(ISNUMBER(E499)),"自动金额未生成，请检查五项输入",IF(NOT(OR(持仓总览!$C$7="利润优先",持仓总览!$C$7="本金优先")),"请选择卖出分配模式","已计入")))))))))))))))))))</f>
        <v/>
      </c>
      <c r="J499" s="11">
        <f t="shared" si="139"/>
        <v>0</v>
      </c>
      <c r="K499" s="11">
        <f t="shared" si="144"/>
        <v>34284.43</v>
      </c>
      <c r="L499" s="11" t="str">
        <f t="shared" si="145"/>
        <v/>
      </c>
      <c r="M499" s="11" t="str">
        <f t="shared" si="146"/>
        <v/>
      </c>
      <c r="N499" s="11" t="str">
        <f>IF(I499="已计入",IF(AND(B499="卖出",持仓总览!$C$7="本金优先"),MAX(0,E499-Q498),IF(OR(B499="卖出",B499="现金分红"),MIN(E499,M499),0)),"")</f>
        <v/>
      </c>
      <c r="O499" s="11" t="str">
        <f t="shared" si="147"/>
        <v/>
      </c>
      <c r="P499" s="11" t="str">
        <f t="shared" si="148"/>
        <v/>
      </c>
      <c r="Q499" s="11">
        <f t="shared" si="149"/>
        <v>82516.01</v>
      </c>
      <c r="R499" s="11" t="str">
        <f t="shared" si="140"/>
        <v/>
      </c>
      <c r="S499" s="11" t="str">
        <f t="shared" si="141"/>
        <v/>
      </c>
      <c r="T499" s="12" t="str">
        <f t="shared" si="142"/>
        <v/>
      </c>
      <c r="U499" s="11">
        <f t="shared" si="150"/>
        <v>82516.01</v>
      </c>
      <c r="V499" s="11">
        <f t="shared" si="151"/>
        <v>0</v>
      </c>
      <c r="W499" s="11">
        <f t="shared" si="152"/>
        <v>0</v>
      </c>
      <c r="X499" s="11">
        <f t="shared" si="153"/>
        <v>0</v>
      </c>
      <c r="Y499" s="11" t="str">
        <f t="shared" si="143"/>
        <v/>
      </c>
      <c r="Z499" s="13">
        <f t="shared" si="154"/>
        <v>46247</v>
      </c>
      <c r="AA499" s="10" t="str">
        <f>IF(OR($AA$116="错误",COUNTIF($G$117:G499,"待修正")&gt;0),"错误","正常")</f>
        <v>正常</v>
      </c>
      <c r="AB499" s="14">
        <f t="shared" si="155"/>
        <v>2.7686</v>
      </c>
    </row>
    <row r="500" ht="23" customHeight="1" spans="1:28">
      <c r="A500" s="15"/>
      <c r="B500" s="16"/>
      <c r="C500" s="17"/>
      <c r="D500" s="18"/>
      <c r="E500" s="19" t="str">
        <f t="shared" si="136"/>
        <v/>
      </c>
      <c r="F500" s="18"/>
      <c r="G500" s="20" t="str">
        <f t="shared" si="137"/>
        <v/>
      </c>
      <c r="H500" s="21" t="str">
        <f t="shared" si="138"/>
        <v/>
      </c>
      <c r="I500" s="10" t="str">
        <f>IF(COUNTA(A500:D500,F500)=0,"",IF(NOT(ISNUMBER(A500)),"缺少有效净值日期",IF(OR(A500&lt;=0,A500&lt;&gt;INT(A500)),"净值日期无效",IF(OR(B500="转换转入",B500="现金分红"),"该类型需实际金额，五项录入不适用",IF(NOT(OR(OR(B500="买入",B500="定投"),B500="卖出",B500="红利再投")),"请选择交易类型",IF(NOT(ISNUMBER(C500)),"缺少成交净值",IF(C500&lt;=0,"成交净值须大于零",IF(NOT(ISNUMBER(D500)),"缺少确认份额",IF(D500&lt;=0,"确认份额须大于零",IF(NOT(ISNUMBER(F500)),"缺少手续费，无费用请填 0",IF(F500&lt;0,"手续费不能为负",IF(AA499="错误","前行待修正",IF(A500&lt;Z499,"日期需按成交顺序递增",IF(AND(B500="红利再投",F500&lt;&gt;0),"红利再投手续费应填 0",IF(AND(B500="红利再投",K499&lt;=0),"红利再投前须有持仓",IF(AND(B500="卖出",D500&gt;K499+0.000001),"卖出份额超过持仓",IF(AND(B500="卖出",F500&gt;=C500*D500),"赎回费不能达到赎回总额",IF(NOT(ISNUMBER(E500)),"自动金额未生成，请检查五项输入",IF(NOT(OR(持仓总览!$C$7="利润优先",持仓总览!$C$7="本金优先")),"请选择卖出分配模式","已计入")))))))))))))))))))</f>
        <v/>
      </c>
      <c r="J500" s="11">
        <f t="shared" si="139"/>
        <v>0</v>
      </c>
      <c r="K500" s="11">
        <f t="shared" si="144"/>
        <v>34284.43</v>
      </c>
      <c r="L500" s="11" t="str">
        <f t="shared" si="145"/>
        <v/>
      </c>
      <c r="M500" s="11" t="str">
        <f t="shared" si="146"/>
        <v/>
      </c>
      <c r="N500" s="11" t="str">
        <f>IF(I500="已计入",IF(AND(B500="卖出",持仓总览!$C$7="本金优先"),MAX(0,E500-Q499),IF(OR(B500="卖出",B500="现金分红"),MIN(E500,M500),0)),"")</f>
        <v/>
      </c>
      <c r="O500" s="11" t="str">
        <f t="shared" si="147"/>
        <v/>
      </c>
      <c r="P500" s="11" t="str">
        <f t="shared" si="148"/>
        <v/>
      </c>
      <c r="Q500" s="11">
        <f t="shared" si="149"/>
        <v>82516.01</v>
      </c>
      <c r="R500" s="11" t="str">
        <f t="shared" si="140"/>
        <v/>
      </c>
      <c r="S500" s="11" t="str">
        <f t="shared" si="141"/>
        <v/>
      </c>
      <c r="T500" s="12" t="str">
        <f t="shared" si="142"/>
        <v/>
      </c>
      <c r="U500" s="11">
        <f t="shared" si="150"/>
        <v>82516.01</v>
      </c>
      <c r="V500" s="11">
        <f t="shared" si="151"/>
        <v>0</v>
      </c>
      <c r="W500" s="11">
        <f t="shared" si="152"/>
        <v>0</v>
      </c>
      <c r="X500" s="11">
        <f t="shared" si="153"/>
        <v>0</v>
      </c>
      <c r="Y500" s="11" t="str">
        <f t="shared" si="143"/>
        <v/>
      </c>
      <c r="Z500" s="13">
        <f t="shared" si="154"/>
        <v>46247</v>
      </c>
      <c r="AA500" s="10" t="str">
        <f>IF(OR($AA$116="错误",COUNTIF($G$117:G500,"待修正")&gt;0),"错误","正常")</f>
        <v>正常</v>
      </c>
      <c r="AB500" s="14">
        <f t="shared" si="155"/>
        <v>2.7686</v>
      </c>
    </row>
    <row r="501" ht="23" customHeight="1" spans="1:28">
      <c r="A501" s="15"/>
      <c r="B501" s="16"/>
      <c r="C501" s="17"/>
      <c r="D501" s="18"/>
      <c r="E501" s="19" t="str">
        <f t="shared" ref="E501:E506" si="156">IF(AND(ISNUMBER(C501),ISNUMBER(D501),ISNUMBER(F501)),IF(OR(B501="买入",B501="定投"),ROUND(C501*D501+F501,2),IF(B501="卖出",ROUND(C501*D501-F501,2),IF(B501="红利再投",0,""))),"")</f>
        <v/>
      </c>
      <c r="F501" s="18"/>
      <c r="G501" s="20" t="str">
        <f t="shared" ref="G501:G506" si="157">IF(COUNTA(A501:D501,F501)=0,"",IF(I501="已计入","已录入","待修正"))</f>
        <v/>
      </c>
      <c r="H501" s="21" t="str">
        <f t="shared" ref="H501:H506" si="158">IF(COUNTA(A501:D501,F501)=0,"",IF(B501="红利再投","仅增加份额，不增加现金投入","金额由份额、净值和手续费推算"))</f>
        <v/>
      </c>
      <c r="I501" s="10" t="str">
        <f>IF(COUNTA(A501:D501,F501)=0,"",IF(NOT(ISNUMBER(A501)),"缺少有效净值日期",IF(OR(A501&lt;=0,A501&lt;&gt;INT(A501)),"净值日期无效",IF(OR(B501="转换转入",B501="现金分红"),"该类型需实际金额，五项录入不适用",IF(NOT(OR(OR(B501="买入",B501="定投"),B501="卖出",B501="红利再投")),"请选择交易类型",IF(NOT(ISNUMBER(C501)),"缺少成交净值",IF(C501&lt;=0,"成交净值须大于零",IF(NOT(ISNUMBER(D501)),"缺少确认份额",IF(D501&lt;=0,"确认份额须大于零",IF(NOT(ISNUMBER(F501)),"缺少手续费，无费用请填 0",IF(F501&lt;0,"手续费不能为负",IF(AA500="错误","前行待修正",IF(A501&lt;Z500,"日期需按成交顺序递增",IF(AND(B501="红利再投",F501&lt;&gt;0),"红利再投手续费应填 0",IF(AND(B501="红利再投",K500&lt;=0),"红利再投前须有持仓",IF(AND(B501="卖出",D501&gt;K500+0.000001),"卖出份额超过持仓",IF(AND(B501="卖出",F501&gt;=C501*D501),"赎回费不能达到赎回总额",IF(NOT(ISNUMBER(E501)),"自动金额未生成，请检查五项输入",IF(NOT(OR(持仓总览!$C$7="利润优先",持仓总览!$C$7="本金优先")),"请选择卖出分配模式","已计入")))))))))))))))))))</f>
        <v/>
      </c>
      <c r="J501" s="11">
        <f t="shared" si="139"/>
        <v>0</v>
      </c>
      <c r="K501" s="11">
        <f t="shared" si="144"/>
        <v>34284.43</v>
      </c>
      <c r="L501" s="11" t="str">
        <f t="shared" si="145"/>
        <v/>
      </c>
      <c r="M501" s="11" t="str">
        <f t="shared" si="146"/>
        <v/>
      </c>
      <c r="N501" s="11" t="str">
        <f>IF(I501="已计入",IF(AND(B501="卖出",持仓总览!$C$7="本金优先"),MAX(0,E501-Q500),IF(OR(B501="卖出",B501="现金分红"),MIN(E501,M501),0)),"")</f>
        <v/>
      </c>
      <c r="O501" s="11" t="str">
        <f t="shared" si="147"/>
        <v/>
      </c>
      <c r="P501" s="11" t="str">
        <f t="shared" si="148"/>
        <v/>
      </c>
      <c r="Q501" s="11">
        <f t="shared" si="149"/>
        <v>82516.01</v>
      </c>
      <c r="R501" s="11" t="str">
        <f t="shared" si="140"/>
        <v/>
      </c>
      <c r="S501" s="11" t="str">
        <f t="shared" si="141"/>
        <v/>
      </c>
      <c r="T501" s="12" t="str">
        <f t="shared" si="142"/>
        <v/>
      </c>
      <c r="U501" s="11">
        <f t="shared" si="150"/>
        <v>82516.01</v>
      </c>
      <c r="V501" s="11">
        <f t="shared" si="151"/>
        <v>0</v>
      </c>
      <c r="W501" s="11">
        <f t="shared" si="152"/>
        <v>0</v>
      </c>
      <c r="X501" s="11">
        <f t="shared" si="153"/>
        <v>0</v>
      </c>
      <c r="Y501" s="11" t="str">
        <f t="shared" si="143"/>
        <v/>
      </c>
      <c r="Z501" s="13">
        <f t="shared" si="154"/>
        <v>46247</v>
      </c>
      <c r="AA501" s="10" t="str">
        <f>IF(OR($AA$116="错误",COUNTIF($G$117:G501,"待修正")&gt;0),"错误","正常")</f>
        <v>正常</v>
      </c>
      <c r="AB501" s="14">
        <f t="shared" si="155"/>
        <v>2.7686</v>
      </c>
    </row>
    <row r="502" ht="23" customHeight="1" spans="1:28">
      <c r="A502" s="15"/>
      <c r="B502" s="16"/>
      <c r="C502" s="17"/>
      <c r="D502" s="18"/>
      <c r="E502" s="19" t="str">
        <f t="shared" si="156"/>
        <v/>
      </c>
      <c r="F502" s="18"/>
      <c r="G502" s="20" t="str">
        <f t="shared" si="157"/>
        <v/>
      </c>
      <c r="H502" s="21" t="str">
        <f t="shared" si="158"/>
        <v/>
      </c>
      <c r="I502" s="10" t="str">
        <f>IF(COUNTA(A502:D502,F502)=0,"",IF(NOT(ISNUMBER(A502)),"缺少有效净值日期",IF(OR(A502&lt;=0,A502&lt;&gt;INT(A502)),"净值日期无效",IF(OR(B502="转换转入",B502="现金分红"),"该类型需实际金额，五项录入不适用",IF(NOT(OR(OR(B502="买入",B502="定投"),B502="卖出",B502="红利再投")),"请选择交易类型",IF(NOT(ISNUMBER(C502)),"缺少成交净值",IF(C502&lt;=0,"成交净值须大于零",IF(NOT(ISNUMBER(D502)),"缺少确认份额",IF(D502&lt;=0,"确认份额须大于零",IF(NOT(ISNUMBER(F502)),"缺少手续费，无费用请填 0",IF(F502&lt;0,"手续费不能为负",IF(AA501="错误","前行待修正",IF(A502&lt;Z501,"日期需按成交顺序递增",IF(AND(B502="红利再投",F502&lt;&gt;0),"红利再投手续费应填 0",IF(AND(B502="红利再投",K501&lt;=0),"红利再投前须有持仓",IF(AND(B502="卖出",D502&gt;K501+0.000001),"卖出份额超过持仓",IF(AND(B502="卖出",F502&gt;=C502*D502),"赎回费不能达到赎回总额",IF(NOT(ISNUMBER(E502)),"自动金额未生成，请检查五项输入",IF(NOT(OR(持仓总览!$C$7="利润优先",持仓总览!$C$7="本金优先")),"请选择卖出分配模式","已计入")))))))))))))))))))</f>
        <v/>
      </c>
      <c r="J502" s="11">
        <f t="shared" si="139"/>
        <v>0</v>
      </c>
      <c r="K502" s="11">
        <f t="shared" si="144"/>
        <v>34284.43</v>
      </c>
      <c r="L502" s="11" t="str">
        <f t="shared" si="145"/>
        <v/>
      </c>
      <c r="M502" s="11" t="str">
        <f t="shared" si="146"/>
        <v/>
      </c>
      <c r="N502" s="11" t="str">
        <f>IF(I502="已计入",IF(AND(B502="卖出",持仓总览!$C$7="本金优先"),MAX(0,E502-Q501),IF(OR(B502="卖出",B502="现金分红"),MIN(E502,M502),0)),"")</f>
        <v/>
      </c>
      <c r="O502" s="11" t="str">
        <f t="shared" si="147"/>
        <v/>
      </c>
      <c r="P502" s="11" t="str">
        <f t="shared" si="148"/>
        <v/>
      </c>
      <c r="Q502" s="11">
        <f t="shared" si="149"/>
        <v>82516.01</v>
      </c>
      <c r="R502" s="11" t="str">
        <f t="shared" si="140"/>
        <v/>
      </c>
      <c r="S502" s="11" t="str">
        <f t="shared" si="141"/>
        <v/>
      </c>
      <c r="T502" s="12" t="str">
        <f t="shared" si="142"/>
        <v/>
      </c>
      <c r="U502" s="11">
        <f t="shared" si="150"/>
        <v>82516.01</v>
      </c>
      <c r="V502" s="11">
        <f t="shared" si="151"/>
        <v>0</v>
      </c>
      <c r="W502" s="11">
        <f t="shared" si="152"/>
        <v>0</v>
      </c>
      <c r="X502" s="11">
        <f t="shared" si="153"/>
        <v>0</v>
      </c>
      <c r="Y502" s="11" t="str">
        <f t="shared" si="143"/>
        <v/>
      </c>
      <c r="Z502" s="13">
        <f t="shared" si="154"/>
        <v>46247</v>
      </c>
      <c r="AA502" s="10" t="str">
        <f>IF(OR($AA$116="错误",COUNTIF($G$117:G502,"待修正")&gt;0),"错误","正常")</f>
        <v>正常</v>
      </c>
      <c r="AB502" s="14">
        <f t="shared" si="155"/>
        <v>2.7686</v>
      </c>
    </row>
    <row r="503" ht="23" customHeight="1" spans="1:28">
      <c r="A503" s="15"/>
      <c r="B503" s="16"/>
      <c r="C503" s="17"/>
      <c r="D503" s="18"/>
      <c r="E503" s="19" t="str">
        <f t="shared" si="156"/>
        <v/>
      </c>
      <c r="F503" s="18"/>
      <c r="G503" s="20" t="str">
        <f t="shared" si="157"/>
        <v/>
      </c>
      <c r="H503" s="21" t="str">
        <f t="shared" si="158"/>
        <v/>
      </c>
      <c r="I503" s="10" t="str">
        <f>IF(COUNTA(A503:D503,F503)=0,"",IF(NOT(ISNUMBER(A503)),"缺少有效净值日期",IF(OR(A503&lt;=0,A503&lt;&gt;INT(A503)),"净值日期无效",IF(OR(B503="转换转入",B503="现金分红"),"该类型需实际金额，五项录入不适用",IF(NOT(OR(OR(B503="买入",B503="定投"),B503="卖出",B503="红利再投")),"请选择交易类型",IF(NOT(ISNUMBER(C503)),"缺少成交净值",IF(C503&lt;=0,"成交净值须大于零",IF(NOT(ISNUMBER(D503)),"缺少确认份额",IF(D503&lt;=0,"确认份额须大于零",IF(NOT(ISNUMBER(F503)),"缺少手续费，无费用请填 0",IF(F503&lt;0,"手续费不能为负",IF(AA502="错误","前行待修正",IF(A503&lt;Z502,"日期需按成交顺序递增",IF(AND(B503="红利再投",F503&lt;&gt;0),"红利再投手续费应填 0",IF(AND(B503="红利再投",K502&lt;=0),"红利再投前须有持仓",IF(AND(B503="卖出",D503&gt;K502+0.000001),"卖出份额超过持仓",IF(AND(B503="卖出",F503&gt;=C503*D503),"赎回费不能达到赎回总额",IF(NOT(ISNUMBER(E503)),"自动金额未生成，请检查五项输入",IF(NOT(OR(持仓总览!$C$7="利润优先",持仓总览!$C$7="本金优先")),"请选择卖出分配模式","已计入")))))))))))))))))))</f>
        <v/>
      </c>
      <c r="J503" s="11">
        <f t="shared" si="139"/>
        <v>0</v>
      </c>
      <c r="K503" s="11">
        <f t="shared" si="144"/>
        <v>34284.43</v>
      </c>
      <c r="L503" s="11" t="str">
        <f t="shared" si="145"/>
        <v/>
      </c>
      <c r="M503" s="11" t="str">
        <f t="shared" si="146"/>
        <v/>
      </c>
      <c r="N503" s="11" t="str">
        <f>IF(I503="已计入",IF(AND(B503="卖出",持仓总览!$C$7="本金优先"),MAX(0,E503-Q502),IF(OR(B503="卖出",B503="现金分红"),MIN(E503,M503),0)),"")</f>
        <v/>
      </c>
      <c r="O503" s="11" t="str">
        <f t="shared" si="147"/>
        <v/>
      </c>
      <c r="P503" s="11" t="str">
        <f t="shared" si="148"/>
        <v/>
      </c>
      <c r="Q503" s="11">
        <f t="shared" si="149"/>
        <v>82516.01</v>
      </c>
      <c r="R503" s="11" t="str">
        <f t="shared" si="140"/>
        <v/>
      </c>
      <c r="S503" s="11" t="str">
        <f t="shared" si="141"/>
        <v/>
      </c>
      <c r="T503" s="12" t="str">
        <f t="shared" si="142"/>
        <v/>
      </c>
      <c r="U503" s="11">
        <f t="shared" si="150"/>
        <v>82516.01</v>
      </c>
      <c r="V503" s="11">
        <f t="shared" si="151"/>
        <v>0</v>
      </c>
      <c r="W503" s="11">
        <f t="shared" si="152"/>
        <v>0</v>
      </c>
      <c r="X503" s="11">
        <f t="shared" si="153"/>
        <v>0</v>
      </c>
      <c r="Y503" s="11" t="str">
        <f t="shared" si="143"/>
        <v/>
      </c>
      <c r="Z503" s="13">
        <f t="shared" si="154"/>
        <v>46247</v>
      </c>
      <c r="AA503" s="10" t="str">
        <f>IF(OR($AA$116="错误",COUNTIF($G$117:G503,"待修正")&gt;0),"错误","正常")</f>
        <v>正常</v>
      </c>
      <c r="AB503" s="14">
        <f t="shared" si="155"/>
        <v>2.7686</v>
      </c>
    </row>
    <row r="504" ht="23" customHeight="1" spans="1:28">
      <c r="A504" s="15"/>
      <c r="B504" s="16"/>
      <c r="C504" s="17"/>
      <c r="D504" s="18"/>
      <c r="E504" s="19" t="str">
        <f t="shared" si="156"/>
        <v/>
      </c>
      <c r="F504" s="18"/>
      <c r="G504" s="20" t="str">
        <f t="shared" si="157"/>
        <v/>
      </c>
      <c r="H504" s="21" t="str">
        <f t="shared" si="158"/>
        <v/>
      </c>
      <c r="I504" s="10" t="str">
        <f>IF(COUNTA(A504:D504,F504)=0,"",IF(NOT(ISNUMBER(A504)),"缺少有效净值日期",IF(OR(A504&lt;=0,A504&lt;&gt;INT(A504)),"净值日期无效",IF(OR(B504="转换转入",B504="现金分红"),"该类型需实际金额，五项录入不适用",IF(NOT(OR(OR(B504="买入",B504="定投"),B504="卖出",B504="红利再投")),"请选择交易类型",IF(NOT(ISNUMBER(C504)),"缺少成交净值",IF(C504&lt;=0,"成交净值须大于零",IF(NOT(ISNUMBER(D504)),"缺少确认份额",IF(D504&lt;=0,"确认份额须大于零",IF(NOT(ISNUMBER(F504)),"缺少手续费，无费用请填 0",IF(F504&lt;0,"手续费不能为负",IF(AA503="错误","前行待修正",IF(A504&lt;Z503,"日期需按成交顺序递增",IF(AND(B504="红利再投",F504&lt;&gt;0),"红利再投手续费应填 0",IF(AND(B504="红利再投",K503&lt;=0),"红利再投前须有持仓",IF(AND(B504="卖出",D504&gt;K503+0.000001),"卖出份额超过持仓",IF(AND(B504="卖出",F504&gt;=C504*D504),"赎回费不能达到赎回总额",IF(NOT(ISNUMBER(E504)),"自动金额未生成，请检查五项输入",IF(NOT(OR(持仓总览!$C$7="利润优先",持仓总览!$C$7="本金优先")),"请选择卖出分配模式","已计入")))))))))))))))))))</f>
        <v/>
      </c>
      <c r="J504" s="11">
        <f t="shared" si="139"/>
        <v>0</v>
      </c>
      <c r="K504" s="11">
        <f t="shared" si="144"/>
        <v>34284.43</v>
      </c>
      <c r="L504" s="11" t="str">
        <f t="shared" si="145"/>
        <v/>
      </c>
      <c r="M504" s="11" t="str">
        <f t="shared" si="146"/>
        <v/>
      </c>
      <c r="N504" s="11" t="str">
        <f>IF(I504="已计入",IF(AND(B504="卖出",持仓总览!$C$7="本金优先"),MAX(0,E504-Q503),IF(OR(B504="卖出",B504="现金分红"),MIN(E504,M504),0)),"")</f>
        <v/>
      </c>
      <c r="O504" s="11" t="str">
        <f t="shared" si="147"/>
        <v/>
      </c>
      <c r="P504" s="11" t="str">
        <f t="shared" si="148"/>
        <v/>
      </c>
      <c r="Q504" s="11">
        <f t="shared" si="149"/>
        <v>82516.01</v>
      </c>
      <c r="R504" s="11" t="str">
        <f t="shared" si="140"/>
        <v/>
      </c>
      <c r="S504" s="11" t="str">
        <f t="shared" si="141"/>
        <v/>
      </c>
      <c r="T504" s="12" t="str">
        <f t="shared" si="142"/>
        <v/>
      </c>
      <c r="U504" s="11">
        <f t="shared" si="150"/>
        <v>82516.01</v>
      </c>
      <c r="V504" s="11">
        <f t="shared" si="151"/>
        <v>0</v>
      </c>
      <c r="W504" s="11">
        <f t="shared" si="152"/>
        <v>0</v>
      </c>
      <c r="X504" s="11">
        <f t="shared" si="153"/>
        <v>0</v>
      </c>
      <c r="Y504" s="11" t="str">
        <f t="shared" si="143"/>
        <v/>
      </c>
      <c r="Z504" s="13">
        <f t="shared" si="154"/>
        <v>46247</v>
      </c>
      <c r="AA504" s="10" t="str">
        <f>IF(OR($AA$116="错误",COUNTIF($G$117:G504,"待修正")&gt;0),"错误","正常")</f>
        <v>正常</v>
      </c>
      <c r="AB504" s="14">
        <f t="shared" si="155"/>
        <v>2.7686</v>
      </c>
    </row>
    <row r="505" ht="23" customHeight="1" spans="1:28">
      <c r="A505" s="15"/>
      <c r="B505" s="16"/>
      <c r="C505" s="17"/>
      <c r="D505" s="18"/>
      <c r="E505" s="19" t="str">
        <f t="shared" si="156"/>
        <v/>
      </c>
      <c r="F505" s="18"/>
      <c r="G505" s="20" t="str">
        <f t="shared" si="157"/>
        <v/>
      </c>
      <c r="H505" s="21" t="str">
        <f t="shared" si="158"/>
        <v/>
      </c>
      <c r="I505" s="10" t="str">
        <f>IF(COUNTA(A505:D505,F505)=0,"",IF(NOT(ISNUMBER(A505)),"缺少有效净值日期",IF(OR(A505&lt;=0,A505&lt;&gt;INT(A505)),"净值日期无效",IF(OR(B505="转换转入",B505="现金分红"),"该类型需实际金额，五项录入不适用",IF(NOT(OR(OR(B505="买入",B505="定投"),B505="卖出",B505="红利再投")),"请选择交易类型",IF(NOT(ISNUMBER(C505)),"缺少成交净值",IF(C505&lt;=0,"成交净值须大于零",IF(NOT(ISNUMBER(D505)),"缺少确认份额",IF(D505&lt;=0,"确认份额须大于零",IF(NOT(ISNUMBER(F505)),"缺少手续费，无费用请填 0",IF(F505&lt;0,"手续费不能为负",IF(AA504="错误","前行待修正",IF(A505&lt;Z504,"日期需按成交顺序递增",IF(AND(B505="红利再投",F505&lt;&gt;0),"红利再投手续费应填 0",IF(AND(B505="红利再投",K504&lt;=0),"红利再投前须有持仓",IF(AND(B505="卖出",D505&gt;K504+0.000001),"卖出份额超过持仓",IF(AND(B505="卖出",F505&gt;=C505*D505),"赎回费不能达到赎回总额",IF(NOT(ISNUMBER(E505)),"自动金额未生成，请检查五项输入",IF(NOT(OR(持仓总览!$C$7="利润优先",持仓总览!$C$7="本金优先")),"请选择卖出分配模式","已计入")))))))))))))))))))</f>
        <v/>
      </c>
      <c r="J505" s="11">
        <f t="shared" si="139"/>
        <v>0</v>
      </c>
      <c r="K505" s="11">
        <f t="shared" si="144"/>
        <v>34284.43</v>
      </c>
      <c r="L505" s="11" t="str">
        <f t="shared" si="145"/>
        <v/>
      </c>
      <c r="M505" s="11" t="str">
        <f t="shared" si="146"/>
        <v/>
      </c>
      <c r="N505" s="11" t="str">
        <f>IF(I505="已计入",IF(AND(B505="卖出",持仓总览!$C$7="本金优先"),MAX(0,E505-Q504),IF(OR(B505="卖出",B505="现金分红"),MIN(E505,M505),0)),"")</f>
        <v/>
      </c>
      <c r="O505" s="11" t="str">
        <f t="shared" si="147"/>
        <v/>
      </c>
      <c r="P505" s="11" t="str">
        <f t="shared" si="148"/>
        <v/>
      </c>
      <c r="Q505" s="11">
        <f t="shared" si="149"/>
        <v>82516.01</v>
      </c>
      <c r="R505" s="11" t="str">
        <f t="shared" si="140"/>
        <v/>
      </c>
      <c r="S505" s="11" t="str">
        <f t="shared" si="141"/>
        <v/>
      </c>
      <c r="T505" s="12" t="str">
        <f t="shared" si="142"/>
        <v/>
      </c>
      <c r="U505" s="11">
        <f t="shared" si="150"/>
        <v>82516.01</v>
      </c>
      <c r="V505" s="11">
        <f t="shared" si="151"/>
        <v>0</v>
      </c>
      <c r="W505" s="11">
        <f t="shared" si="152"/>
        <v>0</v>
      </c>
      <c r="X505" s="11">
        <f t="shared" si="153"/>
        <v>0</v>
      </c>
      <c r="Y505" s="11" t="str">
        <f t="shared" si="143"/>
        <v/>
      </c>
      <c r="Z505" s="13">
        <f t="shared" si="154"/>
        <v>46247</v>
      </c>
      <c r="AA505" s="10" t="str">
        <f>IF(OR($AA$116="错误",COUNTIF($G$117:G505,"待修正")&gt;0),"错误","正常")</f>
        <v>正常</v>
      </c>
      <c r="AB505" s="14">
        <f t="shared" si="155"/>
        <v>2.7686</v>
      </c>
    </row>
    <row r="506" ht="23" customHeight="1" spans="1:28">
      <c r="A506" s="15"/>
      <c r="B506" s="16"/>
      <c r="C506" s="17"/>
      <c r="D506" s="18"/>
      <c r="E506" s="19" t="str">
        <f t="shared" si="156"/>
        <v/>
      </c>
      <c r="F506" s="18"/>
      <c r="G506" s="20" t="str">
        <f t="shared" si="157"/>
        <v/>
      </c>
      <c r="H506" s="21" t="str">
        <f t="shared" si="158"/>
        <v/>
      </c>
      <c r="I506" s="10" t="str">
        <f>IF(COUNTA(A506:D506,F506)=0,"",IF(NOT(ISNUMBER(A506)),"缺少有效净值日期",IF(OR(A506&lt;=0,A506&lt;&gt;INT(A506)),"净值日期无效",IF(OR(B506="转换转入",B506="现金分红"),"该类型需实际金额，五项录入不适用",IF(NOT(OR(OR(B506="买入",B506="定投"),B506="卖出",B506="红利再投")),"请选择交易类型",IF(NOT(ISNUMBER(C506)),"缺少成交净值",IF(C506&lt;=0,"成交净值须大于零",IF(NOT(ISNUMBER(D506)),"缺少确认份额",IF(D506&lt;=0,"确认份额须大于零",IF(NOT(ISNUMBER(F506)),"缺少手续费，无费用请填 0",IF(F506&lt;0,"手续费不能为负",IF(AA505="错误","前行待修正",IF(A506&lt;Z505,"日期需按成交顺序递增",IF(AND(B506="红利再投",F506&lt;&gt;0),"红利再投手续费应填 0",IF(AND(B506="红利再投",K505&lt;=0),"红利再投前须有持仓",IF(AND(B506="卖出",D506&gt;K505+0.000001),"卖出份额超过持仓",IF(AND(B506="卖出",F506&gt;=C506*D506),"赎回费不能达到赎回总额",IF(NOT(ISNUMBER(E506)),"自动金额未生成，请检查五项输入",IF(NOT(OR(持仓总览!$C$7="利润优先",持仓总览!$C$7="本金优先")),"请选择卖出分配模式","已计入")))))))))))))))))))</f>
        <v/>
      </c>
      <c r="J506" s="11">
        <f t="shared" si="139"/>
        <v>0</v>
      </c>
      <c r="K506" s="11">
        <f t="shared" si="144"/>
        <v>34284.43</v>
      </c>
      <c r="L506" s="11" t="str">
        <f t="shared" si="145"/>
        <v/>
      </c>
      <c r="M506" s="11" t="str">
        <f t="shared" si="146"/>
        <v/>
      </c>
      <c r="N506" s="11" t="str">
        <f>IF(I506="已计入",IF(AND(B506="卖出",持仓总览!$C$7="本金优先"),MAX(0,E506-Q505),IF(OR(B506="卖出",B506="现金分红"),MIN(E506,M506),0)),"")</f>
        <v/>
      </c>
      <c r="O506" s="11" t="str">
        <f t="shared" si="147"/>
        <v/>
      </c>
      <c r="P506" s="11" t="str">
        <f t="shared" si="148"/>
        <v/>
      </c>
      <c r="Q506" s="11">
        <f t="shared" si="149"/>
        <v>82516.01</v>
      </c>
      <c r="R506" s="11" t="str">
        <f t="shared" si="140"/>
        <v/>
      </c>
      <c r="S506" s="11" t="str">
        <f t="shared" si="141"/>
        <v/>
      </c>
      <c r="T506" s="12" t="str">
        <f t="shared" si="142"/>
        <v/>
      </c>
      <c r="U506" s="11">
        <f t="shared" si="150"/>
        <v>82516.01</v>
      </c>
      <c r="V506" s="11">
        <f t="shared" si="151"/>
        <v>0</v>
      </c>
      <c r="W506" s="11">
        <f t="shared" si="152"/>
        <v>0</v>
      </c>
      <c r="X506" s="11">
        <f t="shared" si="153"/>
        <v>0</v>
      </c>
      <c r="Y506" s="11" t="str">
        <f t="shared" si="143"/>
        <v/>
      </c>
      <c r="Z506" s="13">
        <f t="shared" si="154"/>
        <v>46247</v>
      </c>
      <c r="AA506" s="10" t="str">
        <f>IF(OR($AA$116="错误",COUNTIF($G$117:G506,"待修正")&gt;0),"错误","正常")</f>
        <v>正常</v>
      </c>
      <c r="AB506" s="14">
        <f t="shared" si="155"/>
        <v>2.7686</v>
      </c>
    </row>
  </sheetData>
  <mergeCells count="5">
    <mergeCell ref="A2:I2"/>
    <mergeCell ref="J2:T2"/>
    <mergeCell ref="A3:I3"/>
    <mergeCell ref="J3:T3"/>
    <mergeCell ref="A4:I4"/>
  </mergeCells>
  <conditionalFormatting sqref="I7:I506">
    <cfRule type="expression" dxfId="2" priority="2">
      <formula>AND($I7&lt;&gt;"",$I7&lt;&gt;"已计入",$I7&lt;&gt;"已排除",$I7&lt;&gt;"待确认")</formula>
    </cfRule>
  </conditionalFormatting>
  <conditionalFormatting sqref="J7:AA506">
    <cfRule type="expression" dxfId="3" priority="1">
      <formula>$I7&lt;&gt;"已计入"</formula>
    </cfRule>
  </conditionalFormatting>
  <conditionalFormatting sqref="S7:T506">
    <cfRule type="cellIs" dxfId="0" priority="3" operator="greaterThan">
      <formula>0</formula>
    </cfRule>
    <cfRule type="cellIs" dxfId="1" priority="4" operator="lessThan">
      <formula>0</formula>
    </cfRule>
  </conditionalFormatting>
  <dataValidations count="2">
    <dataValidation type="list" sqref="B7:B506">
      <formula1>"买入,定投,转换转入,卖出,现金分红,红利再投"</formula1>
    </dataValidation>
    <dataValidation type="list" sqref="G7:G506">
      <formula1>"已确认,历史估算,待确认,撤单,交易失败,交易关闭"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持仓总览</vt:lpstr>
      <vt:lpstr>逐笔交易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土豆女王</cp:lastModifiedBy>
  <dcterms:created xsi:type="dcterms:W3CDTF">2026-09-28T08:09:00Z</dcterms:created>
  <dcterms:modified xsi:type="dcterms:W3CDTF">2026-09-28T08:22:28Z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EDC9E70103234EABAAF1A9CA285BA404_12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
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00a763241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d379c2984e19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.00;[Red](&quot;¥&quot;#,##0.00);-"/>
    <x:numFmt numFmtId="201" formatCode="yyyy-mm-dd hh:mm:ss"/>
  </x:numFmts>
  <x:fonts count="12">
    <x:font>
      <x:sz val="11"/>
      <x:name val="Carlito"/>
    </x:font>
    <x:font>
      <x:b/>
      <x:sz val="16"/>
      <x:color rgb="FFFFFFFF"/>
      <x:name val="Carlito"/>
    </x:font>
    <x:font>
      <x:sz val="11"/>
      <x:color rgb="FF101828"/>
      <x:name val="Carlito"/>
    </x:font>
    <x:font>
      <x:b/>
      <x:sz val="11"/>
      <x:color rgb="FF17324D"/>
      <x:name val="Carlito"/>
    </x:font>
    <x:font>
      <x:b/>
      <x:sz val="11"/>
      <x:color rgb="FF101828"/>
      <x:name val="Carlito"/>
    </x:font>
    <x:font>
      <x:b/>
      <x:sz val="11"/>
      <x:color rgb="FFFFFFFF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01828"/>
      <x:name val="Microsoft YaHei"/>
    </x:font>
    <x:font>
      <x:sz val="11"/>
      <x:name val="Microsoft YaHei"/>
    </x:font>
    <x:font>
      <x:b/>
      <x:sz val="11"/>
      <x:color rgb="FF101828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2F4F7"/>
      </x:patternFill>
    </x:fill>
    <x:fill>
      <x:patternFill patternType="solid">
        <x:fgColor rgb="FF2563EB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7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7" fillId="4" borderId="7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/>
    </x:xf>
    <x:xf numFmtId="200" fontId="10" fillId="4" borderId="7" xfId="0" applyNumberFormat="1" applyFont="1" applyFill="1" applyBorder="1" applyAlignment="1">
      <x:alignment vertical="center"/>
    </x:xf>
    <x:xf numFmtId="0" fontId="11" fillId="5" borderId="8" xfId="0" applyNumberFormat="1" applyFont="1" applyFill="1" applyBorder="1" applyAlignment="1">
      <x:alignment vertical="center"/>
    </x:xf>
    <x:xf numFmtId="0" fontId="11" fillId="5" borderId="9" xfId="0" applyNumberFormat="1" applyFont="1" applyFill="1" applyBorder="1" applyAlignment="1">
      <x:alignment vertical="center"/>
    </x:xf>
    <x:xf numFmtId="0" fontId="11" fillId="5" borderId="1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157F3B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b/>
        <x:color rgb="FF157F3B"/>
      </x:font>
      <x:fill>
        <x:patternFill patternType="solid">
          <x:bgColor rgb="FFE8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ae35e21a94b44" /><Relationship Type="http://schemas.openxmlformats.org/officeDocument/2006/relationships/theme" Target="/xl/theme/theme1.xml" Id="Rbbd44958ad38444c" /><Relationship Type="http://schemas.openxmlformats.org/officeDocument/2006/relationships/sharedStrings" Target="/xl/sharedStrings.xml" Id="R06d8d91262624300" /><Relationship Type="http://schemas.openxmlformats.org/officeDocument/2006/relationships/worksheet" Target="/xl/worksheets/sheet1.xml" Id="Rd379c2984e194296" /></Relationships>
</file>

<file path=xl/tables/table1.xml><?xml version="1.0" encoding="utf-8"?>
<x:table xmlns:x="http://schemas.openxmlformats.org/spreadsheetml/2006/main" id="1" name="TransactionRecordsTable" displayName="TransactionRecordsTable" ref="A7:F94" headerRowCount="1" totalsRowCount="0" totalsRowShown="0">
  <x:autoFilter ref="A7:F94"/>
  <x:tableColumns count="6">
    <x:tableColumn id="1" name="序号"/>
    <x:tableColumn id="2" name="交易时间"/>
    <x:tableColumn id="3" name="交易类型"/>
    <x:tableColumn id="4" name="金额（元）"/>
    <x:tableColumn id="5" name="状态"/>
    <x:tableColumn id="6" name="计入有效金额（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1411b8d2c47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16" hidden="0" customWidth="1"/>
    <x:col min="5" max="5" width="13" hidden="0" customWidth="1"/>
    <x:col min="6" max="6" width="28" hidden="0" customWidth="1"/>
  </x:cols>
  <x:sheetData>
    <x:row r="1" ht="32" customHeight="1">
      <x:c r="A1" s="42" t="str">
        <x:v>广发中证500指数增强A（009608）交易记录</x:v>
      </x:c>
      <x:c r="B1" s="42"/>
      <x:c r="C1" s="42"/>
      <x:c r="D1" s="42"/>
      <x:c r="E1" s="42"/>
      <x:c r="F1" s="42"/>
    </x:row>
    <x:row r="2">
      <x:c r="A2" s="43" t="str">
        <x:v>基金名称</x:v>
      </x:c>
      <x:c r="B2" s="44" t="str">
        <x:v>广发中证500指数增强A</x:v>
      </x:c>
      <x:c r="C2" s="45" t="str">
        <x:v>基金代码</x:v>
      </x:c>
      <x:c r="D2" s="44" t="str">
        <x:v>009608</x:v>
      </x:c>
      <x:c r="E2" s="45" t="str">
        <x:v>数据范围</x:v>
      </x:c>
      <x:c r="F2" s="46" t="str">
        <x:v>2026-02-11 至 2026-08-28</x:v>
      </x:c>
    </x:row>
    <x:row r="3">
      <x:c r="A3" s="47" t="str">
        <x:v>数据来源</x:v>
      </x:c>
      <x:c r="B3" s="48" t="str">
        <x:v>009608_交易记录截图_截至2026-08-28.jpg</x:v>
      </x:c>
      <x:c r="C3" s="48"/>
      <x:c r="D3" s="48"/>
      <x:c r="E3" s="48"/>
      <x:c r="F3" s="49"/>
    </x:row>
    <x:row r="4">
      <x:c r="A4" s="50"/>
      <x:c r="B4" s="50"/>
      <x:c r="C4" s="50"/>
      <x:c r="D4" s="50"/>
      <x:c r="E4" s="50"/>
      <x:c r="F4" s="50"/>
    </x:row>
    <x:row r="5">
      <x:c r="A5" s="51" t="str">
        <x:v>全部记录</x:v>
      </x:c>
      <x:c r="B5" s="52" t="n">
        <x:f>COUNTA(B8:B94)</x:f>
        <x:v>87</x:v>
      </x:c>
      <x:c r="C5" s="52" t="str">
        <x:v>有效记录</x:v>
      </x:c>
      <x:c r="D5" s="52" t="n">
        <x:f>COUNTIF(E8:E94,"有效")</x:f>
        <x:v>83</x:v>
      </x:c>
      <x:c r="E5" s="52" t="str">
        <x:v>已撤单</x:v>
      </x:c>
      <x:c r="F5" s="52" t="n">
        <x:f>COUNTIF(E8:E94,"已撤单")</x:f>
        <x:v>4</x:v>
      </x:c>
    </x:row>
    <x:row r="6">
      <x:c r="A6" s="51" t="str">
        <x:v>有效投入</x:v>
      </x:c>
      <x:c r="B6" s="53" t="n">
        <x:f>SUM(F8:F94)</x:f>
        <x:v>6110</x:v>
      </x:c>
      <x:c r="C6" s="53" t="str">
        <x:v>撤单金额</x:v>
      </x:c>
      <x:c r="D6" s="53" t="n">
        <x:f>SUMIF(E8:E94,"已撤单",D8:D94)</x:f>
        <x:v>41000</x:v>
      </x:c>
      <x:c r="E6" s="52" t="str">
        <x:v>核对状态</x:v>
      </x:c>
      <x:c r="F6" s="52" t="str">
        <x:f>IF(AND(B5=D5+F5,ABS(B6-SUMIF(E8:E94,"有效",D8:D94))&lt;0.01),"OK","检查")</x:f>
        <x:v>OK</x:v>
      </x:c>
    </x:row>
    <x:row r="7" ht="22" customHeight="1">
      <x:c r="A7" s="54" t="str">
        <x:v>序号</x:v>
      </x:c>
      <x:c r="B7" s="55" t="str">
        <x:v>交易时间</x:v>
      </x:c>
      <x:c r="C7" s="55" t="str">
        <x:v>交易类型</x:v>
      </x:c>
      <x:c r="D7" s="55" t="str">
        <x:v>金额（元）</x:v>
      </x:c>
      <x:c r="E7" s="55" t="str">
        <x:v>状态</x:v>
      </x:c>
      <x:c r="F7" s="56" t="str">
        <x:v>计入有效金额（元）</x:v>
      </x:c>
    </x:row>
    <x:row r="8" ht="22" customHeight="1">
      <x:c r="A8" s="57" t="n">
        <x:v>1</x:v>
      </x:c>
      <x:c r="B8" s="58" t="n">
        <x:v>46262.483298611114</x:v>
      </x:c>
      <x:c r="C8" s="57" t="str">
        <x:v>定投</x:v>
      </x:c>
      <x:c r="D8" s="59" t="n">
        <x:v>100</x:v>
      </x:c>
      <x:c r="E8" s="57" t="str">
        <x:v>有效</x:v>
      </x:c>
      <x:c r="F8" s="59" t="n">
        <x:f>IF(E8="有效",D8,0)</x:f>
        <x:v>100</x:v>
      </x:c>
    </x:row>
    <x:row r="9" ht="22" customHeight="1">
      <x:c r="A9" s="57" t="n">
        <x:v>2</x:v>
      </x:c>
      <x:c r="B9" s="58" t="n">
        <x:v>46261.48884259259</x:v>
      </x:c>
      <x:c r="C9" s="57" t="str">
        <x:v>定投</x:v>
      </x:c>
      <x:c r="D9" s="59" t="n">
        <x:v>100</x:v>
      </x:c>
      <x:c r="E9" s="57" t="str">
        <x:v>有效</x:v>
      </x:c>
      <x:c r="F9" s="59" t="n">
        <x:f>IF(E9="有效",D9,0)</x:f>
        <x:v>100</x:v>
      </x:c>
    </x:row>
    <x:row r="10" ht="22" customHeight="1">
      <x:c r="A10" s="57" t="n">
        <x:v>3</x:v>
      </x:c>
      <x:c r="B10" s="58" t="n">
        <x:v>46260.48546296296</x:v>
      </x:c>
      <x:c r="C10" s="57" t="str">
        <x:v>定投</x:v>
      </x:c>
      <x:c r="D10" s="59" t="n">
        <x:v>100</x:v>
      </x:c>
      <x:c r="E10" s="57" t="str">
        <x:v>有效</x:v>
      </x:c>
      <x:c r="F10" s="59" t="n">
        <x:f>IF(E10="有效",D10,0)</x:f>
        <x:v>100</x:v>
      </x:c>
    </x:row>
    <x:row r="11" ht="22" customHeight="1">
      <x:c r="A11" s="57" t="n">
        <x:v>4</x:v>
      </x:c>
      <x:c r="B11" s="58" t="n">
        <x:v>46259.48678240741</x:v>
      </x:c>
      <x:c r="C11" s="57" t="str">
        <x:v>定投</x:v>
      </x:c>
      <x:c r="D11" s="59" t="n">
        <x:v>100</x:v>
      </x:c>
      <x:c r="E11" s="57" t="str">
        <x:v>有效</x:v>
      </x:c>
      <x:c r="F11" s="59" t="n">
        <x:f>IF(E11="有效",D11,0)</x:f>
        <x:v>100</x:v>
      </x:c>
    </x:row>
    <x:row r="12" ht="22" customHeight="1">
      <x:c r="A12" s="57" t="n">
        <x:v>5</x:v>
      </x:c>
      <x:c r="B12" s="58" t="n">
        <x:v>46258.49429398148</x:v>
      </x:c>
      <x:c r="C12" s="57" t="str">
        <x:v>定投</x:v>
      </x:c>
      <x:c r="D12" s="59" t="n">
        <x:v>100</x:v>
      </x:c>
      <x:c r="E12" s="57" t="str">
        <x:v>有效</x:v>
      </x:c>
      <x:c r="F12" s="59" t="n">
        <x:f>IF(E12="有效",D12,0)</x:f>
        <x:v>100</x:v>
      </x:c>
    </x:row>
    <x:row r="13" ht="22" customHeight="1">
      <x:c r="A13" s="57" t="n">
        <x:v>6</x:v>
      </x:c>
      <x:c r="B13" s="58" t="n">
        <x:v>46255.48559027778</x:v>
      </x:c>
      <x:c r="C13" s="57" t="str">
        <x:v>定投</x:v>
      </x:c>
      <x:c r="D13" s="59" t="n">
        <x:v>100</x:v>
      </x:c>
      <x:c r="E13" s="57" t="str">
        <x:v>有效</x:v>
      </x:c>
      <x:c r="F13" s="59" t="n">
        <x:f>IF(E13="有效",D13,0)</x:f>
        <x:v>100</x:v>
      </x:c>
    </x:row>
    <x:row r="14" ht="22" customHeight="1">
      <x:c r="A14" s="57" t="n">
        <x:v>7</x:v>
      </x:c>
      <x:c r="B14" s="58" t="n">
        <x:v>46254.49149305555</x:v>
      </x:c>
      <x:c r="C14" s="57" t="str">
        <x:v>定投</x:v>
      </x:c>
      <x:c r="D14" s="59" t="n">
        <x:v>100</x:v>
      </x:c>
      <x:c r="E14" s="57" t="str">
        <x:v>有效</x:v>
      </x:c>
      <x:c r="F14" s="59" t="n">
        <x:f>IF(E14="有效",D14,0)</x:f>
        <x:v>100</x:v>
      </x:c>
    </x:row>
    <x:row r="15" ht="22" customHeight="1">
      <x:c r="A15" s="57" t="n">
        <x:v>8</x:v>
      </x:c>
      <x:c r="B15" s="58" t="n">
        <x:v>46253.49048611111</x:v>
      </x:c>
      <x:c r="C15" s="57" t="str">
        <x:v>定投</x:v>
      </x:c>
      <x:c r="D15" s="59" t="n">
        <x:v>100</x:v>
      </x:c>
      <x:c r="E15" s="57" t="str">
        <x:v>有效</x:v>
      </x:c>
      <x:c r="F15" s="59" t="n">
        <x:f>IF(E15="有效",D15,0)</x:f>
        <x:v>100</x:v>
      </x:c>
    </x:row>
    <x:row r="16" ht="22" customHeight="1">
      <x:c r="A16" s="57" t="n">
        <x:v>9</x:v>
      </x:c>
      <x:c r="B16" s="58" t="n">
        <x:v>46252.49190972222</x:v>
      </x:c>
      <x:c r="C16" s="57" t="str">
        <x:v>定投</x:v>
      </x:c>
      <x:c r="D16" s="59" t="n">
        <x:v>100</x:v>
      </x:c>
      <x:c r="E16" s="57" t="str">
        <x:v>有效</x:v>
      </x:c>
      <x:c r="F16" s="59" t="n">
        <x:f>IF(E16="有效",D16,0)</x:f>
        <x:v>100</x:v>
      </x:c>
    </x:row>
    <x:row r="17" ht="22" customHeight="1">
      <x:c r="A17" s="57" t="n">
        <x:v>10</x:v>
      </x:c>
      <x:c r="B17" s="58" t="n">
        <x:v>46251.50053240741</x:v>
      </x:c>
      <x:c r="C17" s="57" t="str">
        <x:v>定投</x:v>
      </x:c>
      <x:c r="D17" s="59" t="n">
        <x:v>100</x:v>
      </x:c>
      <x:c r="E17" s="57" t="str">
        <x:v>有效</x:v>
      </x:c>
      <x:c r="F17" s="59" t="n">
        <x:f>IF(E17="有效",D17,0)</x:f>
        <x:v>100</x:v>
      </x:c>
    </x:row>
    <x:row r="18" ht="22" customHeight="1">
      <x:c r="A18" s="57" t="n">
        <x:v>11</x:v>
      </x:c>
      <x:c r="B18" s="58" t="n">
        <x:v>46248.49120370371</x:v>
      </x:c>
      <x:c r="C18" s="57" t="str">
        <x:v>定投</x:v>
      </x:c>
      <x:c r="D18" s="59" t="n">
        <x:v>100</x:v>
      </x:c>
      <x:c r="E18" s="57" t="str">
        <x:v>有效</x:v>
      </x:c>
      <x:c r="F18" s="59" t="n">
        <x:f>IF(E18="有效",D18,0)</x:f>
        <x:v>100</x:v>
      </x:c>
    </x:row>
    <x:row r="19" ht="22" customHeight="1">
      <x:c r="A19" s="57" t="n">
        <x:v>12</x:v>
      </x:c>
      <x:c r="B19" s="58" t="n">
        <x:v>46247.496157407404</x:v>
      </x:c>
      <x:c r="C19" s="57" t="str">
        <x:v>定投</x:v>
      </x:c>
      <x:c r="D19" s="59" t="n">
        <x:v>100</x:v>
      </x:c>
      <x:c r="E19" s="57" t="str">
        <x:v>有效</x:v>
      </x:c>
      <x:c r="F19" s="59" t="n">
        <x:f>IF(E19="有效",D19,0)</x:f>
        <x:v>100</x:v>
      </x:c>
    </x:row>
    <x:row r="20" ht="22" customHeight="1">
      <x:c r="A20" s="57" t="n">
        <x:v>13</x:v>
      </x:c>
      <x:c r="B20" s="58" t="n">
        <x:v>46246.493784722225</x:v>
      </x:c>
      <x:c r="C20" s="57" t="str">
        <x:v>定投</x:v>
      </x:c>
      <x:c r="D20" s="59" t="n">
        <x:v>100</x:v>
      </x:c>
      <x:c r="E20" s="57" t="str">
        <x:v>有效</x:v>
      </x:c>
      <x:c r="F20" s="59" t="n">
        <x:f>IF(E20="有效",D20,0)</x:f>
        <x:v>100</x:v>
      </x:c>
    </x:row>
    <x:row r="21" ht="22" customHeight="1">
      <x:c r="A21" s="57" t="n">
        <x:v>14</x:v>
      </x:c>
      <x:c r="B21" s="58" t="n">
        <x:v>46245.493680555555</x:v>
      </x:c>
      <x:c r="C21" s="57" t="str">
        <x:v>定投</x:v>
      </x:c>
      <x:c r="D21" s="59" t="n">
        <x:v>100</x:v>
      </x:c>
      <x:c r="E21" s="57" t="str">
        <x:v>有效</x:v>
      </x:c>
      <x:c r="F21" s="59" t="n">
        <x:f>IF(E21="有效",D21,0)</x:f>
        <x:v>100</x:v>
      </x:c>
    </x:row>
    <x:row r="22" ht="22" customHeight="1">
      <x:c r="A22" s="57" t="n">
        <x:v>15</x:v>
      </x:c>
      <x:c r="B22" s="58" t="n">
        <x:v>46244.50454861111</x:v>
      </x:c>
      <x:c r="C22" s="57" t="str">
        <x:v>定投</x:v>
      </x:c>
      <x:c r="D22" s="59" t="n">
        <x:v>100</x:v>
      </x:c>
      <x:c r="E22" s="57" t="str">
        <x:v>有效</x:v>
      </x:c>
      <x:c r="F22" s="59" t="n">
        <x:f>IF(E22="有效",D22,0)</x:f>
        <x:v>100</x:v>
      </x:c>
    </x:row>
    <x:row r="23" ht="22" customHeight="1">
      <x:c r="A23" s="57" t="n">
        <x:v>16</x:v>
      </x:c>
      <x:c r="B23" s="58" t="n">
        <x:v>46241.49712962963</x:v>
      </x:c>
      <x:c r="C23" s="57" t="str">
        <x:v>定投</x:v>
      </x:c>
      <x:c r="D23" s="59" t="n">
        <x:v>100</x:v>
      </x:c>
      <x:c r="E23" s="57" t="str">
        <x:v>有效</x:v>
      </x:c>
      <x:c r="F23" s="59" t="n">
        <x:f>IF(E23="有效",D23,0)</x:f>
        <x:v>100</x:v>
      </x:c>
    </x:row>
    <x:row r="24" ht="22" customHeight="1">
      <x:c r="A24" s="57" t="n">
        <x:v>17</x:v>
      </x:c>
      <x:c r="B24" s="58" t="n">
        <x:v>46240.50157407407</x:v>
      </x:c>
      <x:c r="C24" s="57" t="str">
        <x:v>定投</x:v>
      </x:c>
      <x:c r="D24" s="59" t="n">
        <x:v>100</x:v>
      </x:c>
      <x:c r="E24" s="57" t="str">
        <x:v>有效</x:v>
      </x:c>
      <x:c r="F24" s="59" t="n">
        <x:f>IF(E24="有效",D24,0)</x:f>
        <x:v>100</x:v>
      </x:c>
    </x:row>
    <x:row r="25" ht="22" customHeight="1">
      <x:c r="A25" s="57" t="n">
        <x:v>18</x:v>
      </x:c>
      <x:c r="B25" s="58" t="n">
        <x:v>46239.50048611111</x:v>
      </x:c>
      <x:c r="C25" s="57" t="str">
        <x:v>定投</x:v>
      </x:c>
      <x:c r="D25" s="59" t="n">
        <x:v>100</x:v>
      </x:c>
      <x:c r="E25" s="57" t="str">
        <x:v>有效</x:v>
      </x:c>
      <x:c r="F25" s="59" t="n">
        <x:f>IF(E25="有效",D25,0)</x:f>
        <x:v>100</x:v>
      </x:c>
    </x:row>
    <x:row r="26" ht="22" customHeight="1">
      <x:c r="A26" s="57" t="n">
        <x:v>19</x:v>
      </x:c>
      <x:c r="B26" s="58" t="n">
        <x:v>46238.4984375</x:v>
      </x:c>
      <x:c r="C26" s="57" t="str">
        <x:v>定投</x:v>
      </x:c>
      <x:c r="D26" s="59" t="n">
        <x:v>50</x:v>
      </x:c>
      <x:c r="E26" s="57" t="str">
        <x:v>有效</x:v>
      </x:c>
      <x:c r="F26" s="59" t="n">
        <x:f>IF(E26="有效",D26,0)</x:f>
        <x:v>50</x:v>
      </x:c>
    </x:row>
    <x:row r="27" ht="22" customHeight="1">
      <x:c r="A27" s="57" t="n">
        <x:v>20</x:v>
      </x:c>
      <x:c r="B27" s="58" t="n">
        <x:v>46238.34008101852</x:v>
      </x:c>
      <x:c r="C27" s="57" t="str">
        <x:v>买入</x:v>
      </x:c>
      <x:c r="D27" s="59" t="n">
        <x:v>10000</x:v>
      </x:c>
      <x:c r="E27" s="57" t="str">
        <x:v>已撤单</x:v>
      </x:c>
      <x:c r="F27" s="59" t="n">
        <x:f>IF(E27="有效",D27,0)</x:f>
        <x:v>0</x:v>
      </x:c>
    </x:row>
    <x:row r="28" ht="22" customHeight="1">
      <x:c r="A28" s="57" t="n">
        <x:v>21</x:v>
      </x:c>
      <x:c r="B28" s="58" t="n">
        <x:v>46237.51086805556</x:v>
      </x:c>
      <x:c r="C28" s="57" t="str">
        <x:v>定投</x:v>
      </x:c>
      <x:c r="D28" s="59" t="n">
        <x:v>50</x:v>
      </x:c>
      <x:c r="E28" s="57" t="str">
        <x:v>有效</x:v>
      </x:c>
      <x:c r="F28" s="59" t="n">
        <x:f>IF(E28="有效",D28,0)</x:f>
        <x:v>50</x:v>
      </x:c>
    </x:row>
    <x:row r="29" ht="22" customHeight="1">
      <x:c r="A29" s="57" t="n">
        <x:v>22</x:v>
      </x:c>
      <x:c r="B29" s="58" t="n">
        <x:v>46234.50052083333</x:v>
      </x:c>
      <x:c r="C29" s="57" t="str">
        <x:v>定投</x:v>
      </x:c>
      <x:c r="D29" s="59" t="n">
        <x:v>10</x:v>
      </x:c>
      <x:c r="E29" s="57" t="str">
        <x:v>有效</x:v>
      </x:c>
      <x:c r="F29" s="59" t="n">
        <x:f>IF(E29="有效",D29,0)</x:f>
        <x:v>10</x:v>
      </x:c>
    </x:row>
    <x:row r="30" ht="22" customHeight="1">
      <x:c r="A30" s="57" t="n">
        <x:v>23</x:v>
      </x:c>
      <x:c r="B30" s="58" t="n">
        <x:v>46233.498344907406</x:v>
      </x:c>
      <x:c r="C30" s="57" t="str">
        <x:v>定投</x:v>
      </x:c>
      <x:c r="D30" s="59" t="n">
        <x:v>100</x:v>
      </x:c>
      <x:c r="E30" s="57" t="str">
        <x:v>有效</x:v>
      </x:c>
      <x:c r="F30" s="59" t="n">
        <x:f>IF(E30="有效",D30,0)</x:f>
        <x:v>100</x:v>
      </x:c>
    </x:row>
    <x:row r="31" ht="22" customHeight="1">
      <x:c r="A31" s="57" t="n">
        <x:v>24</x:v>
      </x:c>
      <x:c r="B31" s="58" t="n">
        <x:v>46232.496979166666</x:v>
      </x:c>
      <x:c r="C31" s="57" t="str">
        <x:v>定投</x:v>
      </x:c>
      <x:c r="D31" s="59" t="n">
        <x:v>100</x:v>
      </x:c>
      <x:c r="E31" s="57" t="str">
        <x:v>有效</x:v>
      </x:c>
      <x:c r="F31" s="59" t="n">
        <x:f>IF(E31="有效",D31,0)</x:f>
        <x:v>100</x:v>
      </x:c>
    </x:row>
    <x:row r="32" ht="22" customHeight="1">
      <x:c r="A32" s="57" t="n">
        <x:v>25</x:v>
      </x:c>
      <x:c r="B32" s="58" t="n">
        <x:v>46231.499131944445</x:v>
      </x:c>
      <x:c r="C32" s="57" t="str">
        <x:v>定投</x:v>
      </x:c>
      <x:c r="D32" s="59" t="n">
        <x:v>100</x:v>
      </x:c>
      <x:c r="E32" s="57" t="str">
        <x:v>有效</x:v>
      </x:c>
      <x:c r="F32" s="59" t="n">
        <x:f>IF(E32="有效",D32,0)</x:f>
        <x:v>100</x:v>
      </x:c>
    </x:row>
    <x:row r="33" ht="22" customHeight="1">
      <x:c r="A33" s="57" t="n">
        <x:v>26</x:v>
      </x:c>
      <x:c r="B33" s="58" t="n">
        <x:v>46230.50923611111</x:v>
      </x:c>
      <x:c r="C33" s="57" t="str">
        <x:v>定投</x:v>
      </x:c>
      <x:c r="D33" s="59" t="n">
        <x:v>100</x:v>
      </x:c>
      <x:c r="E33" s="57" t="str">
        <x:v>有效</x:v>
      </x:c>
      <x:c r="F33" s="59" t="n">
        <x:f>IF(E33="有效",D33,0)</x:f>
        <x:v>100</x:v>
      </x:c>
    </x:row>
    <x:row r="34" ht="22" customHeight="1">
      <x:c r="A34" s="57" t="n">
        <x:v>27</x:v>
      </x:c>
      <x:c r="B34" s="58" t="n">
        <x:v>46227.502222222225</x:v>
      </x:c>
      <x:c r="C34" s="57" t="str">
        <x:v>定投</x:v>
      </x:c>
      <x:c r="D34" s="59" t="n">
        <x:v>100</x:v>
      </x:c>
      <x:c r="E34" s="57" t="str">
        <x:v>有效</x:v>
      </x:c>
      <x:c r="F34" s="59" t="n">
        <x:f>IF(E34="有效",D34,0)</x:f>
        <x:v>100</x:v>
      </x:c>
    </x:row>
    <x:row r="35" ht="22" customHeight="1">
      <x:c r="A35" s="57" t="n">
        <x:v>28</x:v>
      </x:c>
      <x:c r="B35" s="58" t="n">
        <x:v>46226.508055555554</x:v>
      </x:c>
      <x:c r="C35" s="57" t="str">
        <x:v>定投</x:v>
      </x:c>
      <x:c r="D35" s="59" t="n">
        <x:v>100</x:v>
      </x:c>
      <x:c r="E35" s="57" t="str">
        <x:v>有效</x:v>
      </x:c>
      <x:c r="F35" s="59" t="n">
        <x:f>IF(E35="有效",D35,0)</x:f>
        <x:v>100</x:v>
      </x:c>
    </x:row>
    <x:row r="36" ht="22" customHeight="1">
      <x:c r="A36" s="57" t="n">
        <x:v>29</x:v>
      </x:c>
      <x:c r="B36" s="58" t="n">
        <x:v>46225.507210648146</x:v>
      </x:c>
      <x:c r="C36" s="57" t="str">
        <x:v>定投</x:v>
      </x:c>
      <x:c r="D36" s="59" t="n">
        <x:v>100</x:v>
      </x:c>
      <x:c r="E36" s="57" t="str">
        <x:v>有效</x:v>
      </x:c>
      <x:c r="F36" s="59" t="n">
        <x:f>IF(E36="有效",D36,0)</x:f>
        <x:v>100</x:v>
      </x:c>
    </x:row>
    <x:row r="37" ht="22" customHeight="1">
      <x:c r="A37" s="57" t="n">
        <x:v>30</x:v>
      </x:c>
      <x:c r="B37" s="58" t="n">
        <x:v>46224.5059375</x:v>
      </x:c>
      <x:c r="C37" s="57" t="str">
        <x:v>定投</x:v>
      </x:c>
      <x:c r="D37" s="59" t="n">
        <x:v>50</x:v>
      </x:c>
      <x:c r="E37" s="57" t="str">
        <x:v>有效</x:v>
      </x:c>
      <x:c r="F37" s="59" t="n">
        <x:f>IF(E37="有效",D37,0)</x:f>
        <x:v>50</x:v>
      </x:c>
    </x:row>
    <x:row r="38" ht="22" customHeight="1">
      <x:c r="A38" s="57" t="n">
        <x:v>31</x:v>
      </x:c>
      <x:c r="B38" s="58" t="n">
        <x:v>46223.51675925926</x:v>
      </x:c>
      <x:c r="C38" s="57" t="str">
        <x:v>定投</x:v>
      </x:c>
      <x:c r="D38" s="59" t="n">
        <x:v>50</x:v>
      </x:c>
      <x:c r="E38" s="57" t="str">
        <x:v>有效</x:v>
      </x:c>
      <x:c r="F38" s="59" t="n">
        <x:f>IF(E38="有效",D38,0)</x:f>
        <x:v>50</x:v>
      </x:c>
    </x:row>
    <x:row r="39" ht="22" customHeight="1">
      <x:c r="A39" s="57" t="n">
        <x:v>32</x:v>
      </x:c>
      <x:c r="B39" s="58" t="n">
        <x:v>46220.499386574076</x:v>
      </x:c>
      <x:c r="C39" s="57" t="str">
        <x:v>定投</x:v>
      </x:c>
      <x:c r="D39" s="59" t="n">
        <x:v>100</x:v>
      </x:c>
      <x:c r="E39" s="57" t="str">
        <x:v>有效</x:v>
      </x:c>
      <x:c r="F39" s="59" t="n">
        <x:f>IF(E39="有效",D39,0)</x:f>
        <x:v>100</x:v>
      </x:c>
    </x:row>
    <x:row r="40" ht="22" customHeight="1">
      <x:c r="A40" s="57" t="n">
        <x:v>33</x:v>
      </x:c>
      <x:c r="B40" s="58" t="n">
        <x:v>46219.50625</x:v>
      </x:c>
      <x:c r="C40" s="57" t="str">
        <x:v>定投</x:v>
      </x:c>
      <x:c r="D40" s="59" t="n">
        <x:v>100</x:v>
      </x:c>
      <x:c r="E40" s="57" t="str">
        <x:v>有效</x:v>
      </x:c>
      <x:c r="F40" s="59" t="n">
        <x:f>IF(E40="有效",D40,0)</x:f>
        <x:v>100</x:v>
      </x:c>
    </x:row>
    <x:row r="41" ht="22" customHeight="1">
      <x:c r="A41" s="57" t="n">
        <x:v>34</x:v>
      </x:c>
      <x:c r="B41" s="58" t="n">
        <x:v>46218.5047337963</x:v>
      </x:c>
      <x:c r="C41" s="57" t="str">
        <x:v>定投</x:v>
      </x:c>
      <x:c r="D41" s="59" t="n">
        <x:v>100</x:v>
      </x:c>
      <x:c r="E41" s="57" t="str">
        <x:v>有效</x:v>
      </x:c>
      <x:c r="F41" s="59" t="n">
        <x:f>IF(E41="有效",D41,0)</x:f>
        <x:v>100</x:v>
      </x:c>
    </x:row>
    <x:row r="42" ht="22" customHeight="1">
      <x:c r="A42" s="57" t="n">
        <x:v>35</x:v>
      </x:c>
      <x:c r="B42" s="58" t="n">
        <x:v>46217.50729166667</x:v>
      </x:c>
      <x:c r="C42" s="57" t="str">
        <x:v>定投</x:v>
      </x:c>
      <x:c r="D42" s="59" t="n">
        <x:v>100</x:v>
      </x:c>
      <x:c r="E42" s="57" t="str">
        <x:v>有效</x:v>
      </x:c>
      <x:c r="F42" s="59" t="n">
        <x:f>IF(E42="有效",D42,0)</x:f>
        <x:v>100</x:v>
      </x:c>
    </x:row>
    <x:row r="43" ht="22" customHeight="1">
      <x:c r="A43" s="57" t="n">
        <x:v>36</x:v>
      </x:c>
      <x:c r="B43" s="58" t="n">
        <x:v>46216.517743055556</x:v>
      </x:c>
      <x:c r="C43" s="57" t="str">
        <x:v>定投</x:v>
      </x:c>
      <x:c r="D43" s="59" t="n">
        <x:v>100</x:v>
      </x:c>
      <x:c r="E43" s="57" t="str">
        <x:v>有效</x:v>
      </x:c>
      <x:c r="F43" s="59" t="n">
        <x:f>IF(E43="有效",D43,0)</x:f>
        <x:v>100</x:v>
      </x:c>
    </x:row>
    <x:row r="44" ht="22" customHeight="1">
      <x:c r="A44" s="57" t="n">
        <x:v>37</x:v>
      </x:c>
      <x:c r="B44" s="58" t="n">
        <x:v>46213.714270833334</x:v>
      </x:c>
      <x:c r="C44" s="57" t="str">
        <x:v>买入</x:v>
      </x:c>
      <x:c r="D44" s="59" t="n">
        <x:v>20000</x:v>
      </x:c>
      <x:c r="E44" s="57" t="str">
        <x:v>已撤单</x:v>
      </x:c>
      <x:c r="F44" s="59" t="n">
        <x:f>IF(E44="有效",D44,0)</x:f>
        <x:v>0</x:v>
      </x:c>
    </x:row>
    <x:row r="45" ht="22" customHeight="1">
      <x:c r="A45" s="57" t="n">
        <x:v>38</x:v>
      </x:c>
      <x:c r="B45" s="58" t="n">
        <x:v>46213.7091087963</x:v>
      </x:c>
      <x:c r="C45" s="57" t="str">
        <x:v>买入</x:v>
      </x:c>
      <x:c r="D45" s="59" t="n">
        <x:v>10000</x:v>
      </x:c>
      <x:c r="E45" s="57" t="str">
        <x:v>已撤单</x:v>
      </x:c>
      <x:c r="F45" s="59" t="n">
        <x:f>IF(E45="有效",D45,0)</x:f>
        <x:v>0</x:v>
      </x:c>
    </x:row>
    <x:row r="46" ht="22" customHeight="1">
      <x:c r="A46" s="57" t="n">
        <x:v>39</x:v>
      </x:c>
      <x:c r="B46" s="58" t="n">
        <x:v>46213.511666666665</x:v>
      </x:c>
      <x:c r="C46" s="57" t="str">
        <x:v>定投</x:v>
      </x:c>
      <x:c r="D46" s="59" t="n">
        <x:v>100</x:v>
      </x:c>
      <x:c r="E46" s="57" t="str">
        <x:v>有效</x:v>
      </x:c>
      <x:c r="F46" s="59" t="n">
        <x:f>IF(E46="有效",D46,0)</x:f>
        <x:v>100</x:v>
      </x:c>
    </x:row>
    <x:row r="47" ht="22" customHeight="1">
      <x:c r="A47" s="57" t="n">
        <x:v>40</x:v>
      </x:c>
      <x:c r="B47" s="58" t="n">
        <x:v>46212.51803240741</x:v>
      </x:c>
      <x:c r="C47" s="57" t="str">
        <x:v>定投</x:v>
      </x:c>
      <x:c r="D47" s="59" t="n">
        <x:v>100</x:v>
      </x:c>
      <x:c r="E47" s="57" t="str">
        <x:v>有效</x:v>
      </x:c>
      <x:c r="F47" s="59" t="n">
        <x:f>IF(E47="有效",D47,0)</x:f>
        <x:v>100</x:v>
      </x:c>
    </x:row>
    <x:row r="48" ht="22" customHeight="1">
      <x:c r="A48" s="57" t="n">
        <x:v>41</x:v>
      </x:c>
      <x:c r="B48" s="58" t="n">
        <x:v>46211.5190162037</x:v>
      </x:c>
      <x:c r="C48" s="57" t="str">
        <x:v>定投</x:v>
      </x:c>
      <x:c r="D48" s="59" t="n">
        <x:v>100</x:v>
      </x:c>
      <x:c r="E48" s="57" t="str">
        <x:v>有效</x:v>
      </x:c>
      <x:c r="F48" s="59" t="n">
        <x:f>IF(E48="有效",D48,0)</x:f>
        <x:v>100</x:v>
      </x:c>
    </x:row>
    <x:row r="49" ht="22" customHeight="1">
      <x:c r="A49" s="57" t="n">
        <x:v>42</x:v>
      </x:c>
      <x:c r="B49" s="58" t="n">
        <x:v>46210.52075231481</x:v>
      </x:c>
      <x:c r="C49" s="57" t="str">
        <x:v>定投</x:v>
      </x:c>
      <x:c r="D49" s="59" t="n">
        <x:v>100</x:v>
      </x:c>
      <x:c r="E49" s="57" t="str">
        <x:v>有效</x:v>
      </x:c>
      <x:c r="F49" s="59" t="n">
        <x:f>IF(E49="有效",D49,0)</x:f>
        <x:v>100</x:v>
      </x:c>
    </x:row>
    <x:row r="50" ht="22" customHeight="1">
      <x:c r="A50" s="57" t="n">
        <x:v>43</x:v>
      </x:c>
      <x:c r="B50" s="58" t="n">
        <x:v>46209.53685185185</x:v>
      </x:c>
      <x:c r="C50" s="57" t="str">
        <x:v>定投</x:v>
      </x:c>
      <x:c r="D50" s="59" t="n">
        <x:v>100</x:v>
      </x:c>
      <x:c r="E50" s="57" t="str">
        <x:v>有效</x:v>
      </x:c>
      <x:c r="F50" s="59" t="n">
        <x:f>IF(E50="有效",D50,0)</x:f>
        <x:v>100</x:v>
      </x:c>
    </x:row>
    <x:row r="51" ht="22" customHeight="1">
      <x:c r="A51" s="57" t="n">
        <x:v>44</x:v>
      </x:c>
      <x:c r="B51" s="58" t="n">
        <x:v>46206.4328125</x:v>
      </x:c>
      <x:c r="C51" s="57" t="str">
        <x:v>定投</x:v>
      </x:c>
      <x:c r="D51" s="59" t="n">
        <x:v>100</x:v>
      </x:c>
      <x:c r="E51" s="57" t="str">
        <x:v>有效</x:v>
      </x:c>
      <x:c r="F51" s="59" t="n">
        <x:f>IF(E51="有效",D51,0)</x:f>
        <x:v>100</x:v>
      </x:c>
    </x:row>
    <x:row r="52" ht="22" customHeight="1">
      <x:c r="A52" s="57" t="n">
        <x:v>45</x:v>
      </x:c>
      <x:c r="B52" s="58" t="n">
        <x:v>46205.52883101852</x:v>
      </x:c>
      <x:c r="C52" s="57" t="str">
        <x:v>定投</x:v>
      </x:c>
      <x:c r="D52" s="59" t="n">
        <x:v>50</x:v>
      </x:c>
      <x:c r="E52" s="57" t="str">
        <x:v>有效</x:v>
      </x:c>
      <x:c r="F52" s="59" t="n">
        <x:f>IF(E52="有效",D52,0)</x:f>
        <x:v>50</x:v>
      </x:c>
    </x:row>
    <x:row r="53" ht="22" customHeight="1">
      <x:c r="A53" s="57" t="n">
        <x:v>46</x:v>
      </x:c>
      <x:c r="B53" s="58" t="n">
        <x:v>46204.49475694444</x:v>
      </x:c>
      <x:c r="C53" s="57" t="str">
        <x:v>定投</x:v>
      </x:c>
      <x:c r="D53" s="59" t="n">
        <x:v>50</x:v>
      </x:c>
      <x:c r="E53" s="57" t="str">
        <x:v>有效</x:v>
      </x:c>
      <x:c r="F53" s="59" t="n">
        <x:f>IF(E53="有效",D53,0)</x:f>
        <x:v>50</x:v>
      </x:c>
    </x:row>
    <x:row r="54" ht="22" customHeight="1">
      <x:c r="A54" s="57" t="n">
        <x:v>47</x:v>
      </x:c>
      <x:c r="B54" s="58" t="n">
        <x:v>46203.341516203705</x:v>
      </x:c>
      <x:c r="C54" s="57" t="str">
        <x:v>定投</x:v>
      </x:c>
      <x:c r="D54" s="59" t="n">
        <x:v>50</x:v>
      </x:c>
      <x:c r="E54" s="57" t="str">
        <x:v>有效</x:v>
      </x:c>
      <x:c r="F54" s="59" t="n">
        <x:f>IF(E54="有效",D54,0)</x:f>
        <x:v>50</x:v>
      </x:c>
    </x:row>
    <x:row r="55" ht="22" customHeight="1">
      <x:c r="A55" s="57" t="n">
        <x:v>48</x:v>
      </x:c>
      <x:c r="B55" s="58" t="n">
        <x:v>46198.40769675926</x:v>
      </x:c>
      <x:c r="C55" s="57" t="str">
        <x:v>定投</x:v>
      </x:c>
      <x:c r="D55" s="59" t="n">
        <x:v>250</x:v>
      </x:c>
      <x:c r="E55" s="57" t="str">
        <x:v>有效</x:v>
      </x:c>
      <x:c r="F55" s="59" t="n">
        <x:f>IF(E55="有效",D55,0)</x:f>
        <x:v>250</x:v>
      </x:c>
    </x:row>
    <x:row r="56" ht="22" customHeight="1">
      <x:c r="A56" s="57" t="n">
        <x:v>49</x:v>
      </x:c>
      <x:c r="B56" s="58" t="n">
        <x:v>46163.40689814815</x:v>
      </x:c>
      <x:c r="C56" s="57" t="str">
        <x:v>定投</x:v>
      </x:c>
      <x:c r="D56" s="59" t="n">
        <x:v>1000</x:v>
      </x:c>
      <x:c r="E56" s="57" t="str">
        <x:v>已撤单</x:v>
      </x:c>
      <x:c r="F56" s="59" t="n">
        <x:f>IF(E56="有效",D56,0)</x:f>
        <x:v>0</x:v>
      </x:c>
    </x:row>
    <x:row r="57" ht="22" customHeight="1">
      <x:c r="A57" s="57" t="n">
        <x:v>50</x:v>
      </x:c>
      <x:c r="B57" s="58" t="n">
        <x:v>46162.49049768518</x:v>
      </x:c>
      <x:c r="C57" s="57" t="str">
        <x:v>定投</x:v>
      </x:c>
      <x:c r="D57" s="59" t="n">
        <x:v>50</x:v>
      </x:c>
      <x:c r="E57" s="57" t="str">
        <x:v>有效</x:v>
      </x:c>
      <x:c r="F57" s="59" t="n">
        <x:f>IF(E57="有效",D57,0)</x:f>
        <x:v>50</x:v>
      </x:c>
    </x:row>
    <x:row r="58" ht="22" customHeight="1">
      <x:c r="A58" s="57" t="n">
        <x:v>51</x:v>
      </x:c>
      <x:c r="B58" s="58" t="n">
        <x:v>46149.46505787037</x:v>
      </x:c>
      <x:c r="C58" s="57" t="str">
        <x:v>定投</x:v>
      </x:c>
      <x:c r="D58" s="59" t="n">
        <x:v>50</x:v>
      </x:c>
      <x:c r="E58" s="57" t="str">
        <x:v>有效</x:v>
      </x:c>
      <x:c r="F58" s="59" t="n">
        <x:f>IF(E58="有效",D58,0)</x:f>
        <x:v>50</x:v>
      </x:c>
    </x:row>
    <x:row r="59" ht="22" customHeight="1">
      <x:c r="A59" s="57" t="n">
        <x:v>52</x:v>
      </x:c>
      <x:c r="B59" s="58" t="n">
        <x:v>46148.49290509259</x:v>
      </x:c>
      <x:c r="C59" s="57" t="str">
        <x:v>定投</x:v>
      </x:c>
      <x:c r="D59" s="59" t="n">
        <x:v>50</x:v>
      </x:c>
      <x:c r="E59" s="57" t="str">
        <x:v>有效</x:v>
      </x:c>
      <x:c r="F59" s="59" t="n">
        <x:f>IF(E59="有效",D59,0)</x:f>
        <x:v>50</x:v>
      </x:c>
    </x:row>
    <x:row r="60" ht="22" customHeight="1">
      <x:c r="A60" s="57" t="n">
        <x:v>53</x:v>
      </x:c>
      <x:c r="B60" s="58" t="n">
        <x:v>46142.46685185185</x:v>
      </x:c>
      <x:c r="C60" s="57" t="str">
        <x:v>定投</x:v>
      </x:c>
      <x:c r="D60" s="59" t="n">
        <x:v>50</x:v>
      </x:c>
      <x:c r="E60" s="57" t="str">
        <x:v>有效</x:v>
      </x:c>
      <x:c r="F60" s="59" t="n">
        <x:f>IF(E60="有效",D60,0)</x:f>
        <x:v>50</x:v>
      </x:c>
    </x:row>
    <x:row r="61" ht="22" customHeight="1">
      <x:c r="A61" s="57" t="n">
        <x:v>54</x:v>
      </x:c>
      <x:c r="B61" s="58" t="n">
        <x:v>46141.46399305556</x:v>
      </x:c>
      <x:c r="C61" s="57" t="str">
        <x:v>定投</x:v>
      </x:c>
      <x:c r="D61" s="59" t="n">
        <x:v>50</x:v>
      </x:c>
      <x:c r="E61" s="57" t="str">
        <x:v>有效</x:v>
      </x:c>
      <x:c r="F61" s="59" t="n">
        <x:f>IF(E61="有效",D61,0)</x:f>
        <x:v>50</x:v>
      </x:c>
    </x:row>
    <x:row r="62" ht="22" customHeight="1">
      <x:c r="A62" s="57" t="n">
        <x:v>55</x:v>
      </x:c>
      <x:c r="B62" s="58" t="n">
        <x:v>46140.441516203704</x:v>
      </x:c>
      <x:c r="C62" s="57" t="str">
        <x:v>定投</x:v>
      </x:c>
      <x:c r="D62" s="59" t="n">
        <x:v>50</x:v>
      </x:c>
      <x:c r="E62" s="57" t="str">
        <x:v>有效</x:v>
      </x:c>
      <x:c r="F62" s="59" t="n">
        <x:f>IF(E62="有效",D62,0)</x:f>
        <x:v>50</x:v>
      </x:c>
    </x:row>
    <x:row r="63" ht="22" customHeight="1">
      <x:c r="A63" s="57" t="n">
        <x:v>56</x:v>
      </x:c>
      <x:c r="B63" s="58" t="n">
        <x:v>46139.448645833334</x:v>
      </x:c>
      <x:c r="C63" s="57" t="str">
        <x:v>定投</x:v>
      </x:c>
      <x:c r="D63" s="59" t="n">
        <x:v>50</x:v>
      </x:c>
      <x:c r="E63" s="57" t="str">
        <x:v>有效</x:v>
      </x:c>
      <x:c r="F63" s="59" t="n">
        <x:f>IF(E63="有效",D63,0)</x:f>
        <x:v>50</x:v>
      </x:c>
    </x:row>
    <x:row r="64" ht="22" customHeight="1">
      <x:c r="A64" s="57" t="n">
        <x:v>57</x:v>
      </x:c>
      <x:c r="B64" s="58" t="n">
        <x:v>46136.44237268518</x:v>
      </x:c>
      <x:c r="C64" s="57" t="str">
        <x:v>定投</x:v>
      </x:c>
      <x:c r="D64" s="59" t="n">
        <x:v>50</x:v>
      </x:c>
      <x:c r="E64" s="57" t="str">
        <x:v>有效</x:v>
      </x:c>
      <x:c r="F64" s="59" t="n">
        <x:f>IF(E64="有效",D64,0)</x:f>
        <x:v>50</x:v>
      </x:c>
    </x:row>
    <x:row r="65" ht="22" customHeight="1">
      <x:c r="A65" s="57" t="n">
        <x:v>58</x:v>
      </x:c>
      <x:c r="B65" s="58" t="n">
        <x:v>46135.44431712963</x:v>
      </x:c>
      <x:c r="C65" s="57" t="str">
        <x:v>定投</x:v>
      </x:c>
      <x:c r="D65" s="59" t="n">
        <x:v>50</x:v>
      </x:c>
      <x:c r="E65" s="57" t="str">
        <x:v>有效</x:v>
      </x:c>
      <x:c r="F65" s="59" t="n">
        <x:f>IF(E65="有效",D65,0)</x:f>
        <x:v>50</x:v>
      </x:c>
    </x:row>
    <x:row r="66" ht="22" customHeight="1">
      <x:c r="A66" s="57" t="n">
        <x:v>59</x:v>
      </x:c>
      <x:c r="B66" s="58" t="n">
        <x:v>46134.442083333335</x:v>
      </x:c>
      <x:c r="C66" s="57" t="str">
        <x:v>定投</x:v>
      </x:c>
      <x:c r="D66" s="59" t="n">
        <x:v>50</x:v>
      </x:c>
      <x:c r="E66" s="57" t="str">
        <x:v>有效</x:v>
      </x:c>
      <x:c r="F66" s="59" t="n">
        <x:f>IF(E66="有效",D66,0)</x:f>
        <x:v>50</x:v>
      </x:c>
    </x:row>
    <x:row r="67" ht="22" customHeight="1">
      <x:c r="A67" s="57" t="n">
        <x:v>60</x:v>
      </x:c>
      <x:c r="B67" s="58" t="n">
        <x:v>46133.44304398148</x:v>
      </x:c>
      <x:c r="C67" s="57" t="str">
        <x:v>定投</x:v>
      </x:c>
      <x:c r="D67" s="59" t="n">
        <x:v>50</x:v>
      </x:c>
      <x:c r="E67" s="57" t="str">
        <x:v>有效</x:v>
      </x:c>
      <x:c r="F67" s="59" t="n">
        <x:f>IF(E67="有效",D67,0)</x:f>
        <x:v>50</x:v>
      </x:c>
    </x:row>
    <x:row r="68" ht="22" customHeight="1">
      <x:c r="A68" s="57" t="n">
        <x:v>61</x:v>
      </x:c>
      <x:c r="B68" s="58" t="n">
        <x:v>46132.44988425926</x:v>
      </x:c>
      <x:c r="C68" s="57" t="str">
        <x:v>定投</x:v>
      </x:c>
      <x:c r="D68" s="59" t="n">
        <x:v>50</x:v>
      </x:c>
      <x:c r="E68" s="57" t="str">
        <x:v>有效</x:v>
      </x:c>
      <x:c r="F68" s="59" t="n">
        <x:f>IF(E68="有效",D68,0)</x:f>
        <x:v>50</x:v>
      </x:c>
    </x:row>
    <x:row r="69" ht="22" customHeight="1">
      <x:c r="A69" s="57" t="n">
        <x:v>62</x:v>
      </x:c>
      <x:c r="B69" s="58" t="n">
        <x:v>46129.44283564815</x:v>
      </x:c>
      <x:c r="C69" s="57" t="str">
        <x:v>定投</x:v>
      </x:c>
      <x:c r="D69" s="59" t="n">
        <x:v>50</x:v>
      </x:c>
      <x:c r="E69" s="57" t="str">
        <x:v>有效</x:v>
      </x:c>
      <x:c r="F69" s="59" t="n">
        <x:f>IF(E69="有效",D69,0)</x:f>
        <x:v>50</x:v>
      </x:c>
    </x:row>
    <x:row r="70" ht="22" customHeight="1">
      <x:c r="A70" s="57" t="n">
        <x:v>63</x:v>
      </x:c>
      <x:c r="B70" s="58" t="n">
        <x:v>46128.44920138889</x:v>
      </x:c>
      <x:c r="C70" s="57" t="str">
        <x:v>定投</x:v>
      </x:c>
      <x:c r="D70" s="59" t="n">
        <x:v>50</x:v>
      </x:c>
      <x:c r="E70" s="57" t="str">
        <x:v>有效</x:v>
      </x:c>
      <x:c r="F70" s="59" t="n">
        <x:f>IF(E70="有效",D70,0)</x:f>
        <x:v>50</x:v>
      </x:c>
    </x:row>
    <x:row r="71" ht="22" customHeight="1">
      <x:c r="A71" s="57" t="n">
        <x:v>64</x:v>
      </x:c>
      <x:c r="B71" s="58" t="n">
        <x:v>46127.44875</x:v>
      </x:c>
      <x:c r="C71" s="57" t="str">
        <x:v>定投</x:v>
      </x:c>
      <x:c r="D71" s="59" t="n">
        <x:v>50</x:v>
      </x:c>
      <x:c r="E71" s="57" t="str">
        <x:v>有效</x:v>
      </x:c>
      <x:c r="F71" s="59" t="n">
        <x:f>IF(E71="有效",D71,0)</x:f>
        <x:v>50</x:v>
      </x:c>
    </x:row>
    <x:row r="72" ht="22" customHeight="1">
      <x:c r="A72" s="57" t="n">
        <x:v>65</x:v>
      </x:c>
      <x:c r="B72" s="58" t="n">
        <x:v>46126.447604166664</x:v>
      </x:c>
      <x:c r="C72" s="57" t="str">
        <x:v>定投</x:v>
      </x:c>
      <x:c r="D72" s="59" t="n">
        <x:v>50</x:v>
      </x:c>
      <x:c r="E72" s="57" t="str">
        <x:v>有效</x:v>
      </x:c>
      <x:c r="F72" s="59" t="n">
        <x:f>IF(E72="有效",D72,0)</x:f>
        <x:v>50</x:v>
      </x:c>
    </x:row>
    <x:row r="73" ht="22" customHeight="1">
      <x:c r="A73" s="57" t="n">
        <x:v>66</x:v>
      </x:c>
      <x:c r="B73" s="58" t="n">
        <x:v>46125.4546875</x:v>
      </x:c>
      <x:c r="C73" s="57" t="str">
        <x:v>定投</x:v>
      </x:c>
      <x:c r="D73" s="59" t="n">
        <x:v>50</x:v>
      </x:c>
      <x:c r="E73" s="57" t="str">
        <x:v>有效</x:v>
      </x:c>
      <x:c r="F73" s="59" t="n">
        <x:f>IF(E73="有效",D73,0)</x:f>
        <x:v>50</x:v>
      </x:c>
    </x:row>
    <x:row r="74" ht="22" customHeight="1">
      <x:c r="A74" s="57" t="n">
        <x:v>67</x:v>
      </x:c>
      <x:c r="B74" s="58" t="n">
        <x:v>46122.44939814815</x:v>
      </x:c>
      <x:c r="C74" s="57" t="str">
        <x:v>定投</x:v>
      </x:c>
      <x:c r="D74" s="59" t="n">
        <x:v>50</x:v>
      </x:c>
      <x:c r="E74" s="57" t="str">
        <x:v>有效</x:v>
      </x:c>
      <x:c r="F74" s="59" t="n">
        <x:f>IF(E74="有效",D74,0)</x:f>
        <x:v>50</x:v>
      </x:c>
    </x:row>
    <x:row r="75" ht="22" customHeight="1">
      <x:c r="A75" s="57" t="n">
        <x:v>68</x:v>
      </x:c>
      <x:c r="B75" s="58" t="n">
        <x:v>46121.453738425924</x:v>
      </x:c>
      <x:c r="C75" s="57" t="str">
        <x:v>定投</x:v>
      </x:c>
      <x:c r="D75" s="59" t="n">
        <x:v>50</x:v>
      </x:c>
      <x:c r="E75" s="57" t="str">
        <x:v>有效</x:v>
      </x:c>
      <x:c r="F75" s="59" t="n">
        <x:f>IF(E75="有效",D75,0)</x:f>
        <x:v>50</x:v>
      </x:c>
    </x:row>
    <x:row r="76" ht="22" customHeight="1">
      <x:c r="A76" s="57" t="n">
        <x:v>69</x:v>
      </x:c>
      <x:c r="B76" s="58" t="n">
        <x:v>46120.45347222222</x:v>
      </x:c>
      <x:c r="C76" s="57" t="str">
        <x:v>定投</x:v>
      </x:c>
      <x:c r="D76" s="59" t="n">
        <x:v>50</x:v>
      </x:c>
      <x:c r="E76" s="57" t="str">
        <x:v>有效</x:v>
      </x:c>
      <x:c r="F76" s="59" t="n">
        <x:f>IF(E76="有效",D76,0)</x:f>
        <x:v>50</x:v>
      </x:c>
    </x:row>
    <x:row r="77" ht="22" customHeight="1">
      <x:c r="A77" s="57" t="n">
        <x:v>70</x:v>
      </x:c>
      <x:c r="B77" s="58" t="n">
        <x:v>46119.46111111111</x:v>
      </x:c>
      <x:c r="C77" s="57" t="str">
        <x:v>定投</x:v>
      </x:c>
      <x:c r="D77" s="59" t="n">
        <x:v>50</x:v>
      </x:c>
      <x:c r="E77" s="57" t="str">
        <x:v>有效</x:v>
      </x:c>
      <x:c r="F77" s="59" t="n">
        <x:f>IF(E77="有效",D77,0)</x:f>
        <x:v>50</x:v>
      </x:c>
    </x:row>
    <x:row r="78" ht="22" customHeight="1">
      <x:c r="A78" s="57" t="n">
        <x:v>71</x:v>
      </x:c>
      <x:c r="B78" s="58" t="n">
        <x:v>46115.418171296296</x:v>
      </x:c>
      <x:c r="C78" s="57" t="str">
        <x:v>定投</x:v>
      </x:c>
      <x:c r="D78" s="59" t="n">
        <x:v>50</x:v>
      </x:c>
      <x:c r="E78" s="57" t="str">
        <x:v>有效</x:v>
      </x:c>
      <x:c r="F78" s="59" t="n">
        <x:f>IF(E78="有效",D78,0)</x:f>
        <x:v>50</x:v>
      </x:c>
    </x:row>
    <x:row r="79" ht="22" customHeight="1">
      <x:c r="A79" s="57" t="n">
        <x:v>72</x:v>
      </x:c>
      <x:c r="B79" s="58" t="n">
        <x:v>46114.45303240741</x:v>
      </x:c>
      <x:c r="C79" s="57" t="str">
        <x:v>定投</x:v>
      </x:c>
      <x:c r="D79" s="59" t="n">
        <x:v>50</x:v>
      </x:c>
      <x:c r="E79" s="57" t="str">
        <x:v>有效</x:v>
      </x:c>
      <x:c r="F79" s="59" t="n">
        <x:f>IF(E79="有效",D79,0)</x:f>
        <x:v>50</x:v>
      </x:c>
    </x:row>
    <x:row r="80" ht="22" customHeight="1">
      <x:c r="A80" s="57" t="n">
        <x:v>73</x:v>
      </x:c>
      <x:c r="B80" s="58" t="n">
        <x:v>46113.453726851854</x:v>
      </x:c>
      <x:c r="C80" s="57" t="str">
        <x:v>定投</x:v>
      </x:c>
      <x:c r="D80" s="59" t="n">
        <x:v>50</x:v>
      </x:c>
      <x:c r="E80" s="57" t="str">
        <x:v>有效</x:v>
      </x:c>
      <x:c r="F80" s="59" t="n">
        <x:f>IF(E80="有效",D80,0)</x:f>
        <x:v>50</x:v>
      </x:c>
    </x:row>
    <x:row r="81" ht="22" customHeight="1">
      <x:c r="A81" s="57" t="n">
        <x:v>74</x:v>
      </x:c>
      <x:c r="B81" s="58" t="n">
        <x:v>46112.45166666667</x:v>
      </x:c>
      <x:c r="C81" s="57" t="str">
        <x:v>定投</x:v>
      </x:c>
      <x:c r="D81" s="59" t="n">
        <x:v>50</x:v>
      </x:c>
      <x:c r="E81" s="57" t="str">
        <x:v>有效</x:v>
      </x:c>
      <x:c r="F81" s="59" t="n">
        <x:f>IF(E81="有效",D81,0)</x:f>
        <x:v>50</x:v>
      </x:c>
    </x:row>
    <x:row r="82" ht="22" customHeight="1">
      <x:c r="A82" s="57" t="n">
        <x:v>75</x:v>
      </x:c>
      <x:c r="B82" s="58" t="n">
        <x:v>46111.459340277775</x:v>
      </x:c>
      <x:c r="C82" s="57" t="str">
        <x:v>定投</x:v>
      </x:c>
      <x:c r="D82" s="59" t="n">
        <x:v>50</x:v>
      </x:c>
      <x:c r="E82" s="57" t="str">
        <x:v>有效</x:v>
      </x:c>
      <x:c r="F82" s="59" t="n">
        <x:f>IF(E82="有效",D82,0)</x:f>
        <x:v>50</x:v>
      </x:c>
    </x:row>
    <x:row r="83" ht="22" customHeight="1">
      <x:c r="A83" s="57" t="n">
        <x:v>76</x:v>
      </x:c>
      <x:c r="B83" s="58" t="n">
        <x:v>46108.4525</x:v>
      </x:c>
      <x:c r="C83" s="57" t="str">
        <x:v>定投</x:v>
      </x:c>
      <x:c r="D83" s="59" t="n">
        <x:v>50</x:v>
      </x:c>
      <x:c r="E83" s="57" t="str">
        <x:v>有效</x:v>
      </x:c>
      <x:c r="F83" s="59" t="n">
        <x:f>IF(E83="有效",D83,0)</x:f>
        <x:v>50</x:v>
      </x:c>
    </x:row>
    <x:row r="84" ht="22" customHeight="1">
      <x:c r="A84" s="57" t="n">
        <x:v>77</x:v>
      </x:c>
      <x:c r="B84" s="58" t="n">
        <x:v>46107.45784722222</x:v>
      </x:c>
      <x:c r="C84" s="57" t="str">
        <x:v>定投</x:v>
      </x:c>
      <x:c r="D84" s="59" t="n">
        <x:v>50</x:v>
      </x:c>
      <x:c r="E84" s="57" t="str">
        <x:v>有效</x:v>
      </x:c>
      <x:c r="F84" s="59" t="n">
        <x:f>IF(E84="有效",D84,0)</x:f>
        <x:v>50</x:v>
      </x:c>
    </x:row>
    <x:row r="85" ht="22" customHeight="1">
      <x:c r="A85" s="57" t="n">
        <x:v>78</x:v>
      </x:c>
      <x:c r="B85" s="58" t="n">
        <x:v>46106.455925925926</x:v>
      </x:c>
      <x:c r="C85" s="57" t="str">
        <x:v>定投</x:v>
      </x:c>
      <x:c r="D85" s="59" t="n">
        <x:v>50</x:v>
      </x:c>
      <x:c r="E85" s="57" t="str">
        <x:v>有效</x:v>
      </x:c>
      <x:c r="F85" s="59" t="n">
        <x:f>IF(E85="有效",D85,0)</x:f>
        <x:v>50</x:v>
      </x:c>
    </x:row>
    <x:row r="86" ht="22" customHeight="1">
      <x:c r="A86" s="57" t="n">
        <x:v>79</x:v>
      </x:c>
      <x:c r="B86" s="58" t="n">
        <x:v>46105.45621527778</x:v>
      </x:c>
      <x:c r="C86" s="57" t="str">
        <x:v>定投</x:v>
      </x:c>
      <x:c r="D86" s="59" t="n">
        <x:v>50</x:v>
      </x:c>
      <x:c r="E86" s="57" t="str">
        <x:v>有效</x:v>
      </x:c>
      <x:c r="F86" s="59" t="n">
        <x:f>IF(E86="有效",D86,0)</x:f>
        <x:v>50</x:v>
      </x:c>
    </x:row>
    <x:row r="87" ht="22" customHeight="1">
      <x:c r="A87" s="57" t="n">
        <x:v>80</x:v>
      </x:c>
      <x:c r="B87" s="58" t="n">
        <x:v>46083.46071759259</x:v>
      </x:c>
      <x:c r="C87" s="57" t="str">
        <x:v>定投</x:v>
      </x:c>
      <x:c r="D87" s="59" t="n">
        <x:v>50</x:v>
      </x:c>
      <x:c r="E87" s="57" t="str">
        <x:v>有效</x:v>
      </x:c>
      <x:c r="F87" s="59" t="n">
        <x:f>IF(E87="有效",D87,0)</x:f>
        <x:v>50</x:v>
      </x:c>
    </x:row>
    <x:row r="88" ht="22" customHeight="1">
      <x:c r="A88" s="57" t="n">
        <x:v>81</x:v>
      </x:c>
      <x:c r="B88" s="58" t="n">
        <x:v>46080.45177083334</x:v>
      </x:c>
      <x:c r="C88" s="57" t="str">
        <x:v>定投</x:v>
      </x:c>
      <x:c r="D88" s="59" t="n">
        <x:v>50</x:v>
      </x:c>
      <x:c r="E88" s="57" t="str">
        <x:v>有效</x:v>
      </x:c>
      <x:c r="F88" s="59" t="n">
        <x:f>IF(E88="有效",D88,0)</x:f>
        <x:v>50</x:v>
      </x:c>
    </x:row>
    <x:row r="89" ht="22" customHeight="1">
      <x:c r="A89" s="57" t="n">
        <x:v>82</x:v>
      </x:c>
      <x:c r="B89" s="58" t="n">
        <x:v>46079.45528935185</x:v>
      </x:c>
      <x:c r="C89" s="57" t="str">
        <x:v>定投</x:v>
      </x:c>
      <x:c r="D89" s="59" t="n">
        <x:v>50</x:v>
      </x:c>
      <x:c r="E89" s="57" t="str">
        <x:v>有效</x:v>
      </x:c>
      <x:c r="F89" s="59" t="n">
        <x:f>IF(E89="有效",D89,0)</x:f>
        <x:v>50</x:v>
      </x:c>
    </x:row>
    <x:row r="90" ht="22" customHeight="1">
      <x:c r="A90" s="57" t="n">
        <x:v>83</x:v>
      </x:c>
      <x:c r="B90" s="58" t="n">
        <x:v>46078.45414351852</x:v>
      </x:c>
      <x:c r="C90" s="57" t="str">
        <x:v>定投</x:v>
      </x:c>
      <x:c r="D90" s="59" t="n">
        <x:v>50</x:v>
      </x:c>
      <x:c r="E90" s="57" t="str">
        <x:v>有效</x:v>
      </x:c>
      <x:c r="F90" s="59" t="n">
        <x:f>IF(E90="有效",D90,0)</x:f>
        <x:v>50</x:v>
      </x:c>
    </x:row>
    <x:row r="91" ht="22" customHeight="1">
      <x:c r="A91" s="57" t="n">
        <x:v>84</x:v>
      </x:c>
      <x:c r="B91" s="58" t="n">
        <x:v>46077.44464120371</x:v>
      </x:c>
      <x:c r="C91" s="57" t="str">
        <x:v>定投</x:v>
      </x:c>
      <x:c r="D91" s="59" t="n">
        <x:v>50</x:v>
      </x:c>
      <x:c r="E91" s="57" t="str">
        <x:v>有效</x:v>
      </x:c>
      <x:c r="F91" s="59" t="n">
        <x:f>IF(E91="有效",D91,0)</x:f>
        <x:v>50</x:v>
      </x:c>
    </x:row>
    <x:row r="92" ht="22" customHeight="1">
      <x:c r="A92" s="57" t="n">
        <x:v>85</x:v>
      </x:c>
      <x:c r="B92" s="58" t="n">
        <x:v>46066.45650462963</x:v>
      </x:c>
      <x:c r="C92" s="57" t="str">
        <x:v>定投</x:v>
      </x:c>
      <x:c r="D92" s="59" t="n">
        <x:v>50</x:v>
      </x:c>
      <x:c r="E92" s="57" t="str">
        <x:v>有效</x:v>
      </x:c>
      <x:c r="F92" s="59" t="n">
        <x:f>IF(E92="有效",D92,0)</x:f>
        <x:v>50</x:v>
      </x:c>
    </x:row>
    <x:row r="93" ht="22" customHeight="1">
      <x:c r="A93" s="57" t="n">
        <x:v>86</x:v>
      </x:c>
      <x:c r="B93" s="58" t="n">
        <x:v>46065.46094907408</x:v>
      </x:c>
      <x:c r="C93" s="57" t="str">
        <x:v>定投</x:v>
      </x:c>
      <x:c r="D93" s="59" t="n">
        <x:v>50</x:v>
      </x:c>
      <x:c r="E93" s="57" t="str">
        <x:v>有效</x:v>
      </x:c>
      <x:c r="F93" s="59" t="n">
        <x:f>IF(E93="有效",D93,0)</x:f>
        <x:v>50</x:v>
      </x:c>
    </x:row>
    <x:row r="94" ht="22" customHeight="1">
      <x:c r="A94" s="57" t="n">
        <x:v>87</x:v>
      </x:c>
      <x:c r="B94" s="58" t="n">
        <x:v>46064.529594907406</x:v>
      </x:c>
      <x:c r="C94" s="57" t="str">
        <x:v>定投</x:v>
      </x:c>
      <x:c r="D94" s="59" t="n">
        <x:v>50</x:v>
      </x:c>
      <x:c r="E94" s="57" t="str">
        <x:v>有效</x:v>
      </x:c>
      <x:c r="F94" s="59" t="n">
        <x:f>IF(E94="有效",D94,0)</x:f>
        <x:v>50</x:v>
      </x:c>
    </x:row>
  </x:sheetData>
  <x:mergeCells>
    <x:mergeCell ref="A1:F1"/>
    <x:mergeCell ref="B3:F3"/>
  </x:mergeCells>
  <x:conditionalFormatting sqref="F6:F6">
    <x:cfRule type="containsText" dxfId="0" priority="1" operator="containsText" text="OK"/>
    <x:cfRule type="containsText" dxfId="1" priority="2" operator="containsText" text="检查"/>
  </x:conditionalFormatting>
  <x:conditionalFormatting sqref="A8:F94">
    <x:cfRule type="expression" dxfId="2" priority="3">
      <x:formula>$E8="已撤单"</x:formula>
    </x:cfRule>
  </x:conditionalFormatting>
  <x:conditionalFormatting sqref="E8:E94">
    <x:cfRule type="containsText" dxfId="3" priority="4" operator="containsText" text="有效"/>
  </x:conditionalFormatting>
  <x:pageMargins left="0.7" right="0.7" top="0.75" bottom="0.75" header="0.3" footer="0.3"/>
  <x:tableParts count="1">
    <x:tablePart xmlns:r="http://schemas.openxmlformats.org/officeDocument/2006/relationships" r:id="R9b01411b8d2c4780"/>
  </x:tableParts>
</x:worksheet>
</file>
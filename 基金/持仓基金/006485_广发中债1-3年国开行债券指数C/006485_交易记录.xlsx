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PC\Documents\AI 投研\基金\006485_广发中债1-3年国开行债券指数C\"/>
    </mc:Choice>
  </mc:AlternateContent>
  <bookViews>
    <workbookView windowWidth="15825" windowHeight="12165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<sst xmlns="http://schemas.openxmlformats.org/spreadsheetml/2006/main" count="24" uniqueCount="8">
  <si>
    <t>交易日期</t>
  </si>
  <si>
    <t>成交净值</t>
  </si>
  <si>
    <t>确认份额</t>
  </si>
  <si>
    <t>交易类型</t>
  </si>
  <si>
    <t>金额</t>
  </si>
  <si>
    <t>手续费（元）</t>
  </si>
  <si>
    <t>买入</t>
  </si>
  <si>
    <t>卖出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</si>
</sst>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########"/>
    <numFmt numFmtId="177" formatCode="yyyy\-mm\-dd"/>
    <numFmt numFmtId="178" formatCode="0.0000########"/>
    <numFmt numFmtId="179" formatCode="0.##"/>
  </numFmts>
  <fonts count="23">
    <font>
      <sz val="11"/>
      <name val="Carlito"/>
      <charset val="134"/>
    </font>
    <font>
      <b/>
      <sz val="11"/>
      <color rgb="FFFFFFFF"/>
      <name val="Arial"/>
      <charset val="134"/>
    </font>
    <font>
      <sz val="1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9445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176" fontId="0" fillId="0" borderId="0" xfId="49" applyNumberFormat="1"/>
    <xf numFmtId="0" fontId="1" fillId="2" borderId="0" xfId="49" applyNumberFormat="1" applyFont="1" applyFill="1" applyBorder="1" applyAlignment="1">
      <alignment horizontal="center" vertical="center"/>
    </xf>
    <xf numFmtId="177" fontId="2" fillId="0" borderId="0" xfId="49" applyNumberFormat="1" applyFont="1" applyFill="1" applyBorder="1" applyAlignment="1">
      <alignment vertical="center"/>
    </xf>
    <xf numFmtId="178" fontId="2" fillId="0" borderId="0" xfId="49" applyNumberFormat="1" applyFont="1" applyFill="1" applyBorder="1" applyAlignment="1">
      <alignment horizontal="right" vertical="center"/>
    </xf>
    <xf numFmtId="179" fontId="2" fillId="0" borderId="0" xfId="49" applyNumberFormat="1" applyFont="1" applyFill="1" applyBorder="1" applyAlignment="1">
      <alignment horizontal="right" vertical="center"/>
    </xf>
    <xf numFmtId="0" fontId="2" fillId="0" borderId="0" xfId="49" applyNumberFormat="1" applyFont="1" applyFill="1" applyBorder="1" applyAlignment="1">
      <alignment horizontal="center" vertical="center"/>
    </xf>
    <xf numFmtId="4" fontId="2" fillId="0" borderId="0" xfId="49" applyNumberFormat="1" applyFont="1" applyFill="1" applyBorder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numFmt numFmtId="176" formatCode="0.00########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nsactions_006485" displayName="Transactions_006485" ref="A1:F19" totalsRowShown="0">
  <tableColumns count="6">
    <tableColumn id="1" name="交易日期"/>
    <tableColumn id="2" name="成交净值"/>
    <tableColumn id="3" name="确认份额" dataDxfId="0">
      <calculatedColumnFormula>E2/B2</calculatedColumnFormula>
    </tableColumn>
    <tableColumn id="4" name="交易类型"/>
    <tableColumn id="5" name="金额"/>
    <tableColumn id="6" name="手续费（元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showGridLines="0" tabSelected="1" workbookViewId="0">
      <pane ySplit="1" topLeftCell="A2" activePane="bottomLeft" state="frozen"/>
      <selection/>
      <selection pane="bottomLeft" activeCell="F21" sqref="F21"/>
    </sheetView>
  </sheetViews>
  <sheetFormatPr defaultColWidth="9" defaultRowHeight="14.25" outlineLevelCol="5"/>
  <cols>
    <col min="1" max="2" width="18" customWidth="1"/>
    <col min="3" max="3" width="21" style="1" customWidth="1"/>
    <col min="4" max="4" width="18" customWidth="1"/>
    <col min="5" max="5" width="22" customWidth="1"/>
    <col min="6" max="6" width="20" customWidth="1"/>
  </cols>
  <sheetData>
    <row r="1" customFormat="1" ht="23" customHeigh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3" customHeight="1" spans="1:6">
      <c r="A2" s="3">
        <v>46175</v>
      </c>
      <c r="B2" s="4">
        <v>1.0569</v>
      </c>
      <c r="C2" s="5">
        <f>E2/B2</f>
        <v>0.946163307786924</v>
      </c>
      <c r="D2" s="6" t="s">
        <v>6</v>
      </c>
      <c r="E2" s="7">
        <v>1</v>
      </c>
      <c r="F2" s="7">
        <v>0</v>
      </c>
    </row>
    <row r="3" ht="23" customHeight="1" spans="1:6">
      <c r="A3" s="3">
        <v>46178</v>
      </c>
      <c r="B3" s="4">
        <v>1.0568</v>
      </c>
      <c r="C3" s="5">
        <f>E3/B3</f>
        <v>946.252838758516</v>
      </c>
      <c r="D3" s="6" t="s">
        <v>6</v>
      </c>
      <c r="E3" s="7">
        <v>1000</v>
      </c>
      <c r="F3" s="7">
        <v>0</v>
      </c>
    </row>
    <row r="4" ht="23" customHeight="1" spans="1:6">
      <c r="A4" s="3">
        <v>46178</v>
      </c>
      <c r="B4" s="4">
        <v>1.0568</v>
      </c>
      <c r="C4" s="5">
        <f>E4/B4</f>
        <v>473.126419379258</v>
      </c>
      <c r="D4" s="6" t="s">
        <v>6</v>
      </c>
      <c r="E4" s="7">
        <v>500</v>
      </c>
      <c r="F4" s="7">
        <v>0</v>
      </c>
    </row>
    <row r="5" ht="23" customHeight="1" spans="1:6">
      <c r="A5" s="3">
        <v>46188</v>
      </c>
      <c r="B5" s="4">
        <v>1.0553</v>
      </c>
      <c r="C5" s="5">
        <f>E5/B5</f>
        <v>947.597839476926</v>
      </c>
      <c r="D5" s="6" t="s">
        <v>6</v>
      </c>
      <c r="E5" s="7">
        <v>1000</v>
      </c>
      <c r="F5" s="7">
        <v>0</v>
      </c>
    </row>
    <row r="6" ht="23" customHeight="1" spans="1:6">
      <c r="A6" s="3">
        <v>46188</v>
      </c>
      <c r="B6" s="4">
        <v>1.0561</v>
      </c>
      <c r="C6" s="5">
        <f>E6/B6</f>
        <v>894.025187008806</v>
      </c>
      <c r="D6" s="6" t="s">
        <v>6</v>
      </c>
      <c r="E6" s="7">
        <v>944.18</v>
      </c>
      <c r="F6" s="7">
        <v>0</v>
      </c>
    </row>
    <row r="7" ht="23" customHeight="1" spans="1:6">
      <c r="A7" s="3">
        <v>46198</v>
      </c>
      <c r="B7" s="4">
        <v>1.0574</v>
      </c>
      <c r="C7" s="5">
        <f>E7/B7</f>
        <v>998.997541138642</v>
      </c>
      <c r="D7" s="6" t="s">
        <v>7</v>
      </c>
      <c r="E7" s="7">
        <v>1056.34</v>
      </c>
      <c r="F7" s="7">
        <v>0</v>
      </c>
    </row>
    <row r="8" ht="23" customHeight="1" spans="1:6">
      <c r="A8" s="3">
        <v>46199</v>
      </c>
      <c r="B8" s="4">
        <v>1.0583</v>
      </c>
      <c r="C8" s="5">
        <f>E8/B8</f>
        <v>500</v>
      </c>
      <c r="D8" s="6" t="s">
        <v>7</v>
      </c>
      <c r="E8" s="7">
        <v>529.15</v>
      </c>
      <c r="F8" s="7">
        <v>0</v>
      </c>
    </row>
    <row r="9" ht="23" customHeight="1" spans="1:6">
      <c r="A9" s="3">
        <v>46204</v>
      </c>
      <c r="B9" s="4">
        <v>1.0574</v>
      </c>
      <c r="C9" s="5">
        <f>E9/B9</f>
        <v>945.715906941555</v>
      </c>
      <c r="D9" s="6" t="s">
        <v>6</v>
      </c>
      <c r="E9" s="7">
        <v>1000</v>
      </c>
      <c r="F9" s="7">
        <v>0</v>
      </c>
    </row>
    <row r="10" ht="23" customHeight="1" spans="1:6">
      <c r="A10" s="3">
        <v>46205</v>
      </c>
      <c r="B10" s="4">
        <v>1.0575</v>
      </c>
      <c r="C10" s="5">
        <f>E10/B10</f>
        <v>500</v>
      </c>
      <c r="D10" s="6" t="s">
        <v>7</v>
      </c>
      <c r="E10" s="7">
        <v>528.75</v>
      </c>
      <c r="F10" s="7">
        <v>0</v>
      </c>
    </row>
    <row r="11" ht="23" customHeight="1" spans="1:6">
      <c r="A11" s="3">
        <v>46205</v>
      </c>
      <c r="B11" s="4">
        <v>1.0575</v>
      </c>
      <c r="C11" s="5">
        <f>E11/B11</f>
        <v>500</v>
      </c>
      <c r="D11" s="6" t="s">
        <v>7</v>
      </c>
      <c r="E11" s="7">
        <v>528.75</v>
      </c>
      <c r="F11" s="7">
        <v>0</v>
      </c>
    </row>
    <row r="12" ht="23" customHeight="1" spans="1:6">
      <c r="A12" s="3">
        <v>46237</v>
      </c>
      <c r="B12" s="4">
        <v>1.0586</v>
      </c>
      <c r="C12" s="5">
        <f>E12/B12</f>
        <v>1707.67995465709</v>
      </c>
      <c r="D12" s="6" t="s">
        <v>7</v>
      </c>
      <c r="E12" s="7">
        <v>1807.75</v>
      </c>
      <c r="F12" s="7">
        <v>0</v>
      </c>
    </row>
    <row r="13" ht="23" customHeight="1" spans="1:6">
      <c r="A13" s="3">
        <v>46279</v>
      </c>
      <c r="B13" s="4">
        <v>1.0559</v>
      </c>
      <c r="C13" s="5">
        <f>E13/B13</f>
        <v>3788.23752249266</v>
      </c>
      <c r="D13" s="6" t="s">
        <v>6</v>
      </c>
      <c r="E13" s="7">
        <v>4000</v>
      </c>
      <c r="F13" s="7">
        <v>0</v>
      </c>
    </row>
    <row r="14" ht="23" customHeight="1" spans="1:6">
      <c r="A14" s="3">
        <v>46280</v>
      </c>
      <c r="B14" s="4">
        <v>1.056</v>
      </c>
      <c r="C14" s="5">
        <f>E14/B14</f>
        <v>9430.97537878788</v>
      </c>
      <c r="D14" s="6" t="s">
        <v>6</v>
      </c>
      <c r="E14" s="7">
        <v>9959.11</v>
      </c>
      <c r="F14" s="7">
        <v>0</v>
      </c>
    </row>
    <row r="15" ht="23" customHeight="1" spans="1:6">
      <c r="A15" s="3">
        <v>46297</v>
      </c>
      <c r="B15" s="4">
        <v>1.0573</v>
      </c>
      <c r="C15" s="5">
        <f>E15/B15</f>
        <v>9567.06705759955</v>
      </c>
      <c r="D15" s="6" t="s">
        <v>6</v>
      </c>
      <c r="E15" s="7">
        <v>10115.26</v>
      </c>
      <c r="F15" s="7">
        <v>0</v>
      </c>
    </row>
    <row r="16" ht="23" customHeight="1" spans="1:6">
      <c r="A16" s="3">
        <v>46310</v>
      </c>
      <c r="B16" s="4">
        <v>1.0587</v>
      </c>
      <c r="C16" s="5">
        <f>E16/B16</f>
        <v>9286.84235383017</v>
      </c>
      <c r="D16" s="6" t="s">
        <v>6</v>
      </c>
      <c r="E16" s="7">
        <v>9831.98</v>
      </c>
      <c r="F16" s="7">
        <v>0</v>
      </c>
    </row>
    <row r="17" ht="23" customHeight="1" spans="1:6">
      <c r="A17" s="3">
        <v>46310</v>
      </c>
      <c r="B17" s="4">
        <v>1.0587</v>
      </c>
      <c r="C17" s="5">
        <f>E17/B17</f>
        <v>1889.10928497214</v>
      </c>
      <c r="D17" s="6" t="s">
        <v>6</v>
      </c>
      <c r="E17" s="7">
        <v>2000</v>
      </c>
      <c r="F17" s="7">
        <v>0</v>
      </c>
    </row>
    <row r="18" ht="23" customHeight="1" spans="1:6">
      <c r="A18" s="3">
        <v>46310</v>
      </c>
      <c r="B18" s="4">
        <v>1.0587</v>
      </c>
      <c r="C18" s="5">
        <f>E18/B18</f>
        <v>755.643713988854</v>
      </c>
      <c r="D18" s="6" t="s">
        <v>6</v>
      </c>
      <c r="E18" s="7">
        <v>800</v>
      </c>
      <c r="F18" s="7">
        <v>0</v>
      </c>
    </row>
    <row r="19" spans="1:6">
      <c r="A19" s="3">
        <v>46314</v>
      </c>
      <c r="D19" s="6" t="s">
        <v>6</v>
      </c>
      <c r="E19">
        <v>10000</v>
      </c>
      <c r="F19" s="7">
        <v>0</v>
      </c>
    </row>
  </sheetData>
  <dataValidations count="1">
    <dataValidation type="list" sqref="D19 D2:D18">
      <formula1>"买入,卖出"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徐胜健</cp:lastModifiedBy>
  <dcterms:created xsi:type="dcterms:W3CDTF">2026-10-19T13:43:00Z</dcterms:created>
  <dcterms:modified xsi:type="dcterms:W3CDTF">2026-10-19T15:40:54Z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2E150D189219406BBBE9BE11F305B00E_12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
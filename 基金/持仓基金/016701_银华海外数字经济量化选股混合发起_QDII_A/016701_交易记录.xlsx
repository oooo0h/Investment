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3d024deac545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92da28da3d294576"/>
    <x:sheet xmlns:r="http://schemas.openxmlformats.org/officeDocument/2006/relationships" name="全部历史净值" sheetId="2" r:id="R4fde77c4c126481e"/>
    <x:sheet xmlns:r="http://schemas.openxmlformats.org/officeDocument/2006/relationships" name="参数" sheetId="3" r:id="Rf6129239678743ed"/>
  </x:sheets>
</x:workbook>
</file>

<file path=xl/comments1.xml><?xml version="1.0" encoding="utf-8"?>
<x:comments xmlns:x="http://schemas.openxmlformats.org/spreadsheetml/2006/main">
  <x:authors>
    <x:author>基金账本</x:author>
  </x:authors>
  <x:commentList>
    <x:comment ref="A1" authorId="0">
      <x:text>
        <x:r>
          <x:t>灰色列为自动列：新增交易只需填成交日期、交易类型、金额；确认净值、手续费和份额自动计算。</x:t>
        </x:r>
      </x:text>
    </x:comment>
    <x:comment ref="B1" authorId="0">
      <x:text>
        <x:r>
          <x:t>确认净值自动按成交日期从「全部历史净值」精确匹配；当天无净值时留空，待公布后自动填充。</x:t>
        </x:r>
      </x:text>
    </x:comment>
    <x:comment ref="C1" authorId="0">
      <x:text>
        <x:r>
          <x:t>买入/转入份额=(金额-手续费)/确认净值；卖出份额=(金额+手续费)/确认净值。历史行保留原确认值。</x:t>
        </x:r>
      </x:text>
    </x:comment>
    <x:comment ref="F1" authorId="0">
      <x:text>
        <x:r>
          <x:t>买入/转入手续费按「参数」费率自动计算；卖出赎回费请按实际填写。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\-mm\-dd"/>
    <x:numFmt numFmtId="165" formatCode="0.0000########"/>
    <x:numFmt numFmtId="166" formatCode="0.00########%"/>
    <x:numFmt numFmtId="167" formatCode="0.00_ "/>
    <x:numFmt numFmtId="168" formatCode="yyyy-mm-dd"/>
    <x:numFmt numFmtId="169" formatCode="0.00######"/>
  </x:numFmts>
  <x:fonts count="26">
    <x:font>
      <x:sz val="11"/>
      <x:name val="Carlito"/>
    </x:font>
    <x:font>
      <x:b/>
      <x:sz val="11"/>
      <x:color rgb="FFFFFFFF"/>
      <x:name val="Arial"/>
    </x:font>
    <x:font>
      <x:sz val="11"/>
      <x:name val="Arial"/>
    </x:font>
    <x:font>
      <x:sz val="11"/>
      <x:color theme="1"/>
      <x:name val="宋体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0"/>
      <x:name val="宋体"/>
    </x:font>
    <x:font>
      <x:b/>
      <x:sz val="11"/>
      <x:color rgb="FFFFFFFF"/>
      <x:name val="Arial"/>
    </x:font>
    <x:font>
      <x:sz val="11"/>
      <x:color rgb="FF1F2937"/>
      <x:name val="Arial"/>
    </x:font>
  </x:fonts>
  <x:fills count="40">
    <x:fill>
      <x:patternFill patternType="none"/>
    </x:fill>
    <x:fill>
      <x:patternFill patternType="gray125"/>
    </x:fill>
    <x:fill>
      <x:patternFill patternType="solid">
        <x:fgColor rgb="FF29445C"/>
      </x:patternFill>
    </x:fill>
    <x:fill>
      <x:patternFill patternType="solid">
        <x:fgColor rgb="FF243F5B"/>
      </x:patternFill>
    </x:fill>
    <x:fill>
      <x:patternFill patternType="solid">
        <x:fgColor rgb="FFE7E6E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9445C"/>
      </x:patternFill>
    </x:fill>
    <x:fill>
      <x:patternFill patternType="solid">
        <x:fgColor rgb="FFF2F7FB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</x:fills>
  <x:borders count="10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50">
    <x:xf numFmtId="0" fontId="0" fillId="0" borderId="0" applyAlignment="1">
      <x:alignment vertical="center"/>
    </x:xf>
    <x:xf numFmtId="43" fontId="4" fillId="0" borderId="0" applyAlignment="1">
      <x:alignment vertical="center"/>
    </x:xf>
    <x:xf numFmtId="44" fontId="4" fillId="0" borderId="0" applyAlignment="1">
      <x:alignment vertical="center"/>
    </x:xf>
    <x:xf numFmtId="9" fontId="4" fillId="0" borderId="0" applyAlignment="1">
      <x:alignment vertical="center"/>
    </x:xf>
    <x:xf numFmtId="41" fontId="4" fillId="0" borderId="0" applyAlignment="1">
      <x:alignment vertical="center"/>
    </x:xf>
    <x:xf numFmtId="42" fontId="4" fillId="0" borderId="0" applyAlignment="1">
      <x:alignment vertical="center"/>
    </x:xf>
    <x:xf numFmtId="0" fontId="5" fillId="0" borderId="0" applyAlignment="1">
      <x:alignment vertical="center"/>
    </x:xf>
    <x:xf numFmtId="0" fontId="6" fillId="0" borderId="0" applyAlignment="1">
      <x:alignment vertical="center"/>
    </x:xf>
    <x:xf numFmtId="0" fontId="4" fillId="5" borderId="1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2" applyAlignment="1">
      <x:alignment vertical="center"/>
    </x:xf>
    <x:xf numFmtId="0" fontId="11" fillId="0" borderId="2" applyAlignment="1">
      <x:alignment vertical="center"/>
    </x:xf>
    <x:xf numFmtId="0" fontId="12" fillId="0" borderId="3" applyAlignment="1">
      <x:alignment vertical="center"/>
    </x:xf>
    <x:xf numFmtId="0" fontId="12" fillId="0" borderId="0" applyAlignment="1">
      <x:alignment vertical="center"/>
    </x:xf>
    <x:xf numFmtId="0" fontId="13" fillId="6" borderId="4" applyAlignment="1">
      <x:alignment vertical="center"/>
    </x:xf>
    <x:xf numFmtId="0" fontId="14" fillId="7" borderId="5" applyAlignment="1">
      <x:alignment vertical="center"/>
    </x:xf>
    <x:xf numFmtId="0" fontId="15" fillId="7" borderId="4" applyAlignment="1">
      <x:alignment vertical="center"/>
    </x:xf>
    <x:xf numFmtId="0" fontId="16" fillId="8" borderId="6" applyAlignment="1">
      <x:alignment vertical="center"/>
    </x:xf>
    <x:xf numFmtId="0" fontId="17" fillId="0" borderId="7" applyAlignment="1">
      <x:alignment vertical="center"/>
    </x:xf>
    <x:xf numFmtId="0" fontId="18" fillId="0" borderId="8" applyAlignment="1">
      <x:alignment vertical="center"/>
    </x:xf>
    <x:xf numFmtId="0" fontId="19" fillId="9" borderId="0" applyAlignment="1">
      <x:alignment vertical="center"/>
    </x:xf>
    <x:xf numFmtId="0" fontId="20" fillId="10" borderId="0" applyAlignment="1">
      <x:alignment vertical="center"/>
    </x:xf>
    <x:xf numFmtId="0" fontId="21" fillId="11" borderId="0" applyAlignment="1">
      <x:alignment vertical="center"/>
    </x:xf>
    <x:xf numFmtId="0" fontId="22" fillId="12" borderId="0" applyAlignment="1">
      <x:alignment vertical="center"/>
    </x:xf>
    <x:xf numFmtId="0" fontId="4" fillId="13" borderId="0" applyAlignment="1">
      <x:alignment vertical="center"/>
    </x:xf>
    <x:xf numFmtId="0" fontId="4" fillId="14" borderId="0" applyAlignment="1">
      <x:alignment vertical="center"/>
    </x:xf>
    <x:xf numFmtId="0" fontId="22" fillId="15" borderId="0" applyAlignment="1">
      <x:alignment vertical="center"/>
    </x:xf>
    <x:xf numFmtId="0" fontId="22" fillId="16" borderId="0" applyAlignment="1">
      <x:alignment vertical="center"/>
    </x:xf>
    <x:xf numFmtId="0" fontId="4" fillId="17" borderId="0" applyAlignment="1">
      <x:alignment vertical="center"/>
    </x:xf>
    <x:xf numFmtId="0" fontId="4" fillId="18" borderId="0" applyAlignment="1">
      <x:alignment vertical="center"/>
    </x:xf>
    <x:xf numFmtId="0" fontId="22" fillId="19" borderId="0" applyAlignment="1">
      <x:alignment vertical="center"/>
    </x:xf>
    <x:xf numFmtId="0" fontId="22" fillId="20" borderId="0" applyAlignment="1">
      <x:alignment vertical="center"/>
    </x:xf>
    <x:xf numFmtId="0" fontId="4" fillId="21" borderId="0" applyAlignment="1">
      <x:alignment vertical="center"/>
    </x:xf>
    <x:xf numFmtId="0" fontId="4" fillId="22" borderId="0" applyAlignment="1">
      <x:alignment vertical="center"/>
    </x:xf>
    <x:xf numFmtId="0" fontId="22" fillId="23" borderId="0" applyAlignment="1">
      <x:alignment vertical="center"/>
    </x:xf>
    <x:xf numFmtId="0" fontId="22" fillId="24" borderId="0" applyAlignment="1">
      <x:alignment vertical="center"/>
    </x:xf>
    <x:xf numFmtId="0" fontId="4" fillId="25" borderId="0" applyAlignment="1">
      <x:alignment vertical="center"/>
    </x:xf>
    <x:xf numFmtId="0" fontId="4" fillId="26" borderId="0" applyAlignment="1">
      <x:alignment vertical="center"/>
    </x:xf>
    <x:xf numFmtId="0" fontId="22" fillId="27" borderId="0" applyAlignment="1">
      <x:alignment vertical="center"/>
    </x:xf>
    <x:xf numFmtId="0" fontId="22" fillId="28" borderId="0" applyAlignment="1">
      <x:alignment vertical="center"/>
    </x:xf>
    <x:xf numFmtId="0" fontId="4" fillId="29" borderId="0" applyAlignment="1">
      <x:alignment vertical="center"/>
    </x:xf>
    <x:xf numFmtId="0" fontId="4" fillId="30" borderId="0" applyAlignment="1">
      <x:alignment vertical="center"/>
    </x:xf>
    <x:xf numFmtId="0" fontId="22" fillId="31" borderId="0" applyAlignment="1">
      <x:alignment vertical="center"/>
    </x:xf>
    <x:xf numFmtId="0" fontId="22" fillId="32" borderId="0" applyAlignment="1">
      <x:alignment vertical="center"/>
    </x:xf>
    <x:xf numFmtId="0" fontId="4" fillId="33" borderId="0" applyAlignment="1">
      <x:alignment vertical="center"/>
    </x:xf>
    <x:xf numFmtId="0" fontId="4" fillId="34" borderId="0" applyAlignment="1">
      <x:alignment vertical="center"/>
    </x:xf>
    <x:xf numFmtId="0" fontId="22" fillId="35" borderId="0" applyAlignment="1">
      <x:alignment vertical="center"/>
    </x:xf>
    <x:xf numFmtId="0" fontId="0" fillId="0" borderId="0"/>
  </x:cellStyleXfs>
  <x:cellXfs count="46">
    <x:xf numFmtId="0" fontId="0" fillId="0" borderId="0" xfId="49"/>
    <x:xf numFmtId="0" fontId="0" fillId="0" borderId="0" xfId="0"/>
    <x:xf numFmtId="0" fontId="1" fillId="2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10" fontId="0" fillId="0" borderId="0" xfId="0" applyAlignment="1">
      <x:alignment vertical="top" wrapText="1"/>
    </x:xf>
    <x:xf numFmtId="0" fontId="1" fillId="3" borderId="0" xfId="0" applyAlignment="1">
      <x:alignment horizontal="center" vertical="center"/>
    </x:xf>
    <x:xf numFmtId="164" fontId="0" fillId="0" borderId="0" xfId="0"/>
    <x:xf numFmtId="165" fontId="0" fillId="0" borderId="0" xfId="0"/>
    <x:xf numFmtId="166" fontId="0" fillId="0" borderId="0" xfId="0"/>
    <x:xf numFmtId="0" fontId="1" fillId="2" borderId="0" xfId="49" applyAlignment="1">
      <x:alignment horizontal="center" vertical="center"/>
    </x:xf>
    <x:xf numFmtId="164" fontId="2" fillId="0" borderId="0" xfId="49" applyAlignment="1">
      <x:alignment vertical="center"/>
    </x:xf>
    <x:xf numFmtId="165" fontId="2" fillId="4" borderId="0" xfId="49" applyAlignment="1">
      <x:alignment horizontal="right" vertical="center"/>
    </x:xf>
    <x:xf numFmtId="0" fontId="2" fillId="0" borderId="0" xfId="49" applyAlignment="1">
      <x:alignment horizontal="center" vertical="center"/>
    </x:xf>
    <x:xf numFmtId="4" fontId="2" fillId="0" borderId="0" xfId="49" applyAlignment="1">
      <x:alignment horizontal="right" vertical="center"/>
    </x:xf>
    <x:xf numFmtId="4" fontId="2" fillId="4" borderId="0" xfId="49" applyAlignment="1">
      <x:alignment horizontal="right" vertical="center"/>
    </x:xf>
    <x:xf numFmtId="0" fontId="0" fillId="4" borderId="0" xfId="49"/>
    <x:xf numFmtId="167" fontId="0" fillId="4" borderId="0" xfId="49"/>
    <x:xf numFmtId="0" fontId="3" fillId="0" borderId="0" xfId="49"/>
    <x:xf numFmtId="164" fontId="0" fillId="0" borderId="0" xfId="49"/>
    <x:xf numFmtId="165" fontId="0" fillId="4" borderId="0" xfId="0"/>
    <x:xf numFmtId="4" fontId="0" fillId="4" borderId="0" xfId="49"/>
    <x:xf numFmtId="4" fontId="0" fillId="4" borderId="0" xfId="0"/>
    <x:xf numFmtId="0" fontId="3" fillId="0" borderId="0" xfId="0"/>
    <x:xf numFmtId="0" fontId="24" fillId="36" borderId="9" xfId="49" applyAlignment="1">
      <x:alignment horizontal="center" vertical="center"/>
    </x:xf>
    <x:xf numFmtId="168" fontId="25" fillId="37" borderId="9" xfId="49" applyAlignment="1">
      <x:alignment horizontal="center" vertical="center"/>
    </x:xf>
    <x:xf numFmtId="165" fontId="25" fillId="38" borderId="9" xfId="49" applyAlignment="1">
      <x:alignment horizontal="right" vertical="center"/>
    </x:xf>
    <x:xf numFmtId="0" fontId="25" fillId="37" borderId="9" xfId="49" applyAlignment="1">
      <x:alignment horizontal="center" vertical="center"/>
    </x:xf>
    <x:xf numFmtId="4" fontId="25" fillId="37" borderId="9" xfId="49" applyAlignment="1">
      <x:alignment horizontal="right" vertical="center"/>
    </x:xf>
    <x:xf numFmtId="4" fontId="25" fillId="38" borderId="9" xfId="49" applyAlignment="1">
      <x:alignment horizontal="right" vertical="center"/>
    </x:xf>
    <x:xf numFmtId="168" fontId="25" fillId="39" borderId="9" xfId="49" applyAlignment="1">
      <x:alignment horizontal="center" vertical="center"/>
    </x:xf>
    <x:xf numFmtId="0" fontId="25" fillId="39" borderId="9" xfId="49" applyAlignment="1">
      <x:alignment horizontal="center" vertical="center"/>
    </x:xf>
    <x:xf numFmtId="4" fontId="25" fillId="39" borderId="9" xfId="49" applyAlignment="1">
      <x:alignment horizontal="right" vertical="center"/>
    </x:xf>
    <x:xf numFmtId="165" fontId="25" fillId="38" borderId="9" xfId="0" applyAlignment="1">
      <x:alignment horizontal="right" vertical="center"/>
    </x:xf>
    <x:xf numFmtId="168" fontId="25" fillId="39" borderId="9" xfId="0" applyAlignment="1">
      <x:alignment horizontal="center" vertical="center"/>
    </x:xf>
    <x:xf numFmtId="4" fontId="25" fillId="39" borderId="9" xfId="0" applyAlignment="1">
      <x:alignment horizontal="right" vertical="center"/>
    </x:xf>
    <x:xf numFmtId="4" fontId="25" fillId="38" borderId="9" xfId="0" applyAlignment="1">
      <x:alignment horizontal="right" vertical="center"/>
    </x:xf>
    <x:xf numFmtId="168" fontId="25" fillId="37" borderId="9" xfId="0" applyAlignment="1">
      <x:alignment horizontal="center" vertical="center"/>
    </x:xf>
    <x:xf numFmtId="4" fontId="25" fillId="37" borderId="9" xfId="0" applyAlignment="1">
      <x:alignment horizontal="right" vertical="center"/>
    </x:xf>
    <x:xf numFmtId="0" fontId="25" fillId="39" borderId="9" xfId="0" applyAlignment="1">
      <x:alignment horizontal="center" vertical="center"/>
    </x:xf>
    <x:xf numFmtId="0" fontId="25" fillId="37" borderId="9" xfId="0" applyAlignment="1">
      <x:alignment horizontal="center" vertical="center"/>
    </x:xf>
    <x:xf numFmtId="164" fontId="0" fillId="0" borderId="0" xfId="0"/>
    <x:xf numFmtId="165" fontId="0" fillId="0" borderId="0" xfId="0"/>
    <x:xf numFmtId="166" fontId="0" fillId="0" borderId="0" xfId="0"/>
    <x:xf numFmtId="10" fontId="0" fillId="0" borderId="0" xfId="0" applyAlignment="1">
      <x:alignment horizontal="left" vertical="top"/>
    </x:xf>
    <x:xf numFmtId="169" fontId="25" fillId="38" borderId="9" xfId="49" applyAlignment="1">
      <x:alignment horizontal="right" vertical="center"/>
    </x:xf>
    <x:xf numFmtId="169" fontId="25" fillId="38" borderId="9" xfId="0" applyAlignment="1">
      <x:alignment horizontal="right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28474b8e444967" /><Relationship Type="http://schemas.openxmlformats.org/officeDocument/2006/relationships/theme" Target="/xl/theme/theme1.xml" Id="R7a9eb54cc3174b80" /><Relationship Type="http://schemas.openxmlformats.org/officeDocument/2006/relationships/sharedStrings" Target="/xl/sharedStrings.xml" Id="R8924fba773524d9a" /><Relationship Type="http://schemas.openxmlformats.org/officeDocument/2006/relationships/worksheet" Target="/xl/worksheets/sheet1.xml" Id="R92da28da3d294576" /><Relationship Type="http://schemas.openxmlformats.org/officeDocument/2006/relationships/worksheet" Target="/xl/worksheets/sheet2.xml" Id="R4fde77c4c126481e" /><Relationship Type="http://schemas.openxmlformats.org/officeDocument/2006/relationships/worksheet" Target="/xl/worksheets/sheet3.xml" Id="Rf6129239678743ed" /><Relationship Type="http://schemas.microsoft.com/office/2017/10/relationships/person" Target="/xl/persons/person.xml" Id="Rb4b264b5609a4506" /></Relationships>
</file>

<file path=xl/persons/person.xml><?xml version="1.0" encoding="utf-8"?>
<xltc:personList xmlns:xltc="http://schemas.microsoft.com/office/spreadsheetml/2018/threadedcomments">
  <xltc:person displayName="基金账本" id="{A8694400-99A6-F99B-F847-BADE06D043A8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8d80fd3b5ae4f08" /><Relationship Type="http://schemas.openxmlformats.org/officeDocument/2006/relationships/vmlDrawing" Target="/xl/drawings/vmldrawing.vml" Id="Rf62c1c810bdf42d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4.25"/>
  <x:cols>
    <x:col min="1" max="2" width="18" style="1" customWidth="1"/>
    <x:col min="3" max="3" width="21" style="1" customWidth="1"/>
    <x:col min="4" max="4" width="18" style="1" customWidth="1"/>
    <x:col min="5" max="5" width="22" style="1" customWidth="1"/>
    <x:col min="6" max="6" width="20" style="1" customWidth="1"/>
  </x:cols>
  <x:sheetData>
    <x:row r="1" s="1" customFormat="1" ht="23" customHeight="1">
      <x:c r="A1" s="23" t="inlineStr">
        <x:is>
          <x:t xml:space="preserve">成交日期</x:t>
        </x:is>
      </x:c>
      <x:c r="B1" s="23" t="inlineStr">
        <x:is>
          <x:t xml:space="preserve">成交净值</x:t>
        </x:is>
      </x:c>
      <x:c r="C1" s="23" t="inlineStr">
        <x:is>
          <x:t xml:space="preserve">确认份额</x:t>
        </x:is>
      </x:c>
      <x:c r="D1" s="23" t="inlineStr">
        <x:is>
          <x:t xml:space="preserve">交易类型</x:t>
        </x:is>
      </x:c>
      <x:c r="E1" s="23" t="inlineStr">
        <x:is>
          <x:t xml:space="preserve">金额</x:t>
        </x:is>
      </x:c>
      <x:c r="F1" s="23" t="inlineStr">
        <x:is>
          <x:t xml:space="preserve">手续费（元）</x:t>
        </x:is>
      </x:c>
    </x:row>
    <x:row r="2" s="1" customFormat="1" ht="23" customHeight="1">
      <x:c r="A2" s="24" t="n">
        <x:v>46310</x:v>
      </x:c>
      <x:c r="B2" s="25" t="n">
        <x:v>2.1134</x:v>
      </x:c>
      <x:c r="C2" s="44" t="n">
        <x:v>4.72</x:v>
      </x:c>
      <x:c r="D2" s="26" t="inlineStr">
        <x:is>
          <x:t xml:space="preserve">买入</x:t>
        </x:is>
      </x:c>
      <x:c r="E2" s="27" t="n">
        <x:v>10</x:v>
      </x:c>
      <x:c r="F2" s="28" t="n">
        <x:v>0.01</x:v>
      </x:c>
    </x:row>
    <x:row r="3" s="1" customFormat="1" ht="23" customHeight="1">
      <x:c r="A3" s="29" t="n">
        <x:v>46310</x:v>
      </x:c>
      <x:c r="B3" s="25" t="n">
        <x:v>2.1134</x:v>
      </x:c>
      <x:c r="C3" s="44" t="n">
        <x:v>2362.31</x:v>
      </x:c>
      <x:c r="D3" s="30" t="inlineStr">
        <x:is>
          <x:t xml:space="preserve">买入</x:t>
        </x:is>
      </x:c>
      <x:c r="E3" s="31" t="n">
        <x:v>5000</x:v>
      </x:c>
      <x:c r="F3" s="28" t="n">
        <x:v>7.48</x:v>
      </x:c>
    </x:row>
    <x:row r="4" s="1" customFormat="1" ht="23" customHeight="1">
      <x:c r="A4" s="24" t="n">
        <x:v>46315</x:v>
      </x:c>
      <x:c r="B4" s="25" t="n">
        <x:v>2.0547</x:v>
      </x:c>
      <x:c r="C4" s="44" t="n">
        <x:f>IF(OR($A4="",$B4="",$D4="",$E4=""),"",IF(OR($D4="买入",$D4="定投",$D4="转入",$D4="转换转入"),ROUND(($E4-$F4)/$B4,6),IF($D4="卖出",ROUND(($E4+$F4)/$B4,6),"")))</x:f>
        <x:v>2459.823819</x:v>
      </x:c>
      <x:c r="D4" s="26" t="inlineStr">
        <x:is>
          <x:t xml:space="preserve">转入</x:t>
        </x:is>
      </x:c>
      <x:c r="E4" s="27" t="n">
        <x:v>5061.78</x:v>
      </x:c>
      <x:c r="F4" s="28" t="n">
        <x:v>7.58</x:v>
      </x:c>
    </x:row>
    <x:row r="5" s="1" customFormat="1" ht="23" customHeight="1">
      <x:c r="A5" s="29" t="n">
        <x:v>46315</x:v>
      </x:c>
      <x:c r="B5" s="25" t="n">
        <x:v>2.0547</x:v>
      </x:c>
      <x:c r="C5" s="44" t="n">
        <x:f>IF(OR($A5="",$B5="",$D5="",$E5=""),"",IF(OR($D5="买入",$D5="定投",$D5="转入",$D5="转换转入"),ROUND(($E5-$F5)/$B5,6),IF($D5="卖出",ROUND(($E5+$F5)/$B5,6),"")))</x:f>
        <x:v>2152.611087</x:v>
      </x:c>
      <x:c r="D5" s="30" t="inlineStr">
        <x:is>
          <x:t xml:space="preserve">买入</x:t>
        </x:is>
      </x:c>
      <x:c r="E5" s="31" t="n">
        <x:v>4429.6</x:v>
      </x:c>
      <x:c r="F5" s="28" t="n">
        <x:v>6.63</x:v>
      </x:c>
    </x:row>
    <x:row r="6" s="1" customFormat="1" ht="23" customHeight="1">
      <x:c r="A6" s="24" t="n">
        <x:v>46315</x:v>
      </x:c>
      <x:c r="B6" s="32" t="n">
        <x:f>IF($A6="","",IFERROR(VLOOKUP($A6,全部历史净值!$A:$B,2,FALSE),""))</x:f>
        <x:v>2.0744</x:v>
      </x:c>
      <x:c r="C6" s="45" t="n">
        <x:f>IF(OR($A6="",$B6="",$D6="",$E6=""),"",IF(OR($D6="买入",$D6="定投",$D6="转入",$D6="转换转入"),ROUND(($E6-$F6)/$B6,6),IF($D6="卖出",ROUND(($E6+$F6)/$B6,6),"")))</x:f>
        <x:v>1444.032009</x:v>
      </x:c>
      <x:c r="D6" s="26" t="inlineStr">
        <x:is>
          <x:t xml:space="preserve">买入</x:t>
        </x:is>
      </x:c>
      <x:c r="E6" s="27" t="n">
        <x:v>3000</x:v>
      </x:c>
      <x:c r="F6" s="28" t="n">
        <x:f>IF($E6="","",IF($D6="卖出","",ROUND($E6*参数!$B$4,2)))</x:f>
        <x:v>4.5</x:v>
      </x:c>
    </x:row>
    <x:row r="7" s="1" customFormat="1" ht="23" customHeight="1">
      <x:c r="A7" s="33" t="n">
        <x:v>46316</x:v>
      </x:c>
      <x:c r="B7" s="32" t="str">
        <x:f>IF($A7="","",IFERROR(VLOOKUP($A7,全部历史净值!$A:$B,2,FALSE),""))</x:f>
      </x:c>
      <x:c r="C7" s="45" t="str">
        <x:f>IF(OR($A7="",$B7="",$D7="",$E7=""),"",IF(OR($D7="买入",$D7="定投",$D7="转入",$D7="转换转入"),ROUND(($E7-$F7)/$B7,6),IF($D7="卖出",ROUND(($E7+$F7)/$B7,6),"")))</x:f>
      </x:c>
      <x:c r="D7" s="30" t="inlineStr">
        <x:is>
          <x:t xml:space="preserve">买入</x:t>
        </x:is>
      </x:c>
      <x:c r="E7" s="34" t="n">
        <x:v>1000</x:v>
      </x:c>
      <x:c r="F7" s="35" t="n">
        <x:f>IF($E7="","",IF($D7="卖出","",ROUND($E7*参数!$B$4,2)))</x:f>
        <x:v>1.5</x:v>
      </x:c>
    </x:row>
    <x:row r="8" s="1" customFormat="1" ht="23" customHeight="1">
      <x:c r="A8" s="36" t="n">
        <x:v>46317</x:v>
      </x:c>
      <x:c r="B8" s="32" t="str">
        <x:f>IF($A8="","",IFERROR(VLOOKUP($A8,全部历史净值!$A:$B,2,FALSE),""))</x:f>
      </x:c>
      <x:c r="C8" s="45" t="str">
        <x:f>IF(OR($A8="",$B8="",$D8="",$E8=""),"",IF(OR($D8="买入",$D8="定投",$D8="转入",$D8="转换转入"),ROUND(($E8-$F8)/$B8,6),IF($D8="卖出",ROUND(($E8+$F8)/$B8,6),"")))</x:f>
      </x:c>
      <x:c r="D8" s="26" t="inlineStr">
        <x:is>
          <x:t xml:space="preserve">买入</x:t>
        </x:is>
      </x:c>
      <x:c r="E8" s="37" t="n">
        <x:v>10000</x:v>
      </x:c>
      <x:c r="F8" s="35" t="n">
        <x:f>IF($E8="","",IF($D8="卖出","",ROUND($E8*参数!$B$4,2)))</x:f>
        <x:v>15</x:v>
      </x:c>
    </x:row>
    <x:row r="9" s="1" customFormat="1" ht="23" customHeight="1">
      <x:c r="A9" s="33" t="n"/>
      <x:c r="B9" s="32" t="str">
        <x:f>IF($A9="","",IFERROR(VLOOKUP($A9,全部历史净值!$A:$B,2,FALSE),""))</x:f>
      </x:c>
      <x:c r="C9" s="45" t="str">
        <x:f>IF(OR($A9="",$B9="",$D9="",$E9=""),"",IF(OR($D9="买入",$D9="定投",$D9="转入",$D9="转换转入"),ROUND(($E9-$F9)/$B9,6),IF($D9="卖出",ROUND(($E9+$F9)/$B9,6),"")))</x:f>
      </x:c>
      <x:c r="D9" s="38" t="n"/>
      <x:c r="E9" s="34" t="n"/>
      <x:c r="F9" s="35" t="str">
        <x:f>IF($E9="","",IF($D9="卖出","",ROUND($E9*参数!$B$4,2)))</x:f>
      </x:c>
    </x:row>
    <x:row r="10" s="1" customFormat="1" ht="23" customHeight="1">
      <x:c r="A10" s="36" t="n"/>
      <x:c r="B10" s="32" t="str">
        <x:f>IF($A10="","",IFERROR(VLOOKUP($A10,全部历史净值!$A:$B,2,FALSE),""))</x:f>
      </x:c>
      <x:c r="C10" s="45" t="str">
        <x:f>IF(OR($A10="",$B10="",$D10="",$E10=""),"",IF(OR($D10="买入",$D10="定投",$D10="转入",$D10="转换转入"),ROUND(($E10-$F10)/$B10,6),IF($D10="卖出",ROUND(($E10+$F10)/$B10,6),"")))</x:f>
      </x:c>
      <x:c r="D10" s="39" t="n"/>
      <x:c r="E10" s="37" t="n"/>
      <x:c r="F10" s="35" t="str">
        <x:f>IF($E10="","",IF($D10="卖出","",ROUND($E10*参数!$B$4,2)))</x:f>
      </x:c>
    </x:row>
    <x:row r="11" s="1" customFormat="1" ht="23" customHeight="1">
      <x:c r="A11" s="33" t="n"/>
      <x:c r="B11" s="32" t="str">
        <x:f>IF($A11="","",IFERROR(VLOOKUP($A11,全部历史净值!$A:$B,2,FALSE),""))</x:f>
      </x:c>
      <x:c r="C11" s="45" t="str">
        <x:f>IF(OR($A11="",$B11="",$D11="",$E11=""),"",IF(OR($D11="买入",$D11="定投",$D11="转入",$D11="转换转入"),ROUND(($E11-$F11)/$B11,6),IF($D11="卖出",ROUND(($E11+$F11)/$B11,6),"")))</x:f>
      </x:c>
      <x:c r="D11" s="38" t="n"/>
      <x:c r="E11" s="34" t="n"/>
      <x:c r="F11" s="35" t="str">
        <x:f>IF($E11="","",IF($D11="卖出","",ROUND($E11*参数!$B$4,2)))</x:f>
      </x:c>
    </x:row>
    <x:row r="12" s="1" customFormat="1" ht="23" customHeight="1">
      <x:c r="A12" s="36" t="n"/>
      <x:c r="B12" s="32" t="str">
        <x:f>IF($A12="","",IFERROR(VLOOKUP($A12,全部历史净值!$A:$B,2,FALSE),""))</x:f>
      </x:c>
      <x:c r="C12" s="45" t="str">
        <x:f>IF(OR($A12="",$B12="",$D12="",$E12=""),"",IF(OR($D12="买入",$D12="定投",$D12="转入",$D12="转换转入"),ROUND(($E12-$F12)/$B12,6),IF($D12="卖出",ROUND(($E12+$F12)/$B12,6),"")))</x:f>
      </x:c>
      <x:c r="D12" s="39" t="n"/>
      <x:c r="E12" s="37" t="n"/>
      <x:c r="F12" s="35" t="str">
        <x:f>IF($E12="","",IF($D12="卖出","",ROUND($E12*参数!$B$4,2)))</x:f>
      </x:c>
    </x:row>
    <x:row r="13" s="1" customFormat="1" ht="23" customHeight="1">
      <x:c r="A13" s="33" t="n"/>
      <x:c r="B13" s="32" t="str">
        <x:f>IF($A13="","",IFERROR(VLOOKUP($A13,全部历史净值!$A:$B,2,FALSE),""))</x:f>
      </x:c>
      <x:c r="C13" s="45" t="str">
        <x:f>IF(OR($A13="",$B13="",$D13="",$E13=""),"",IF(OR($D13="买入",$D13="定投",$D13="转入",$D13="转换转入"),ROUND(($E13-$F13)/$B13,6),IF($D13="卖出",ROUND(($E13+$F13)/$B13,6),"")))</x:f>
      </x:c>
      <x:c r="D13" s="38" t="n"/>
      <x:c r="E13" s="34" t="n"/>
      <x:c r="F13" s="35" t="str">
        <x:f>IF($E13="","",IF($D13="卖出","",ROUND($E13*参数!$B$4,2)))</x:f>
      </x:c>
    </x:row>
    <x:row r="14" s="1" customFormat="1" ht="23" customHeight="1">
      <x:c r="A14" s="36" t="n"/>
      <x:c r="B14" s="32" t="str">
        <x:f>IF($A14="","",IFERROR(VLOOKUP($A14,全部历史净值!$A:$B,2,FALSE),""))</x:f>
      </x:c>
      <x:c r="C14" s="45" t="str">
        <x:f>IF(OR($A14="",$B14="",$D14="",$E14=""),"",IF(OR($D14="买入",$D14="定投",$D14="转入",$D14="转换转入"),ROUND(($E14-$F14)/$B14,6),IF($D14="卖出",ROUND(($E14+$F14)/$B14,6),"")))</x:f>
      </x:c>
      <x:c r="D14" s="39" t="n"/>
      <x:c r="E14" s="37" t="n"/>
      <x:c r="F14" s="35" t="str">
        <x:f>IF($E14="","",IF($D14="卖出","",ROUND($E14*参数!$B$4,2)))</x:f>
      </x:c>
    </x:row>
    <x:row r="15" s="1" customFormat="1" ht="23" customHeight="1">
      <x:c r="A15" s="33" t="n"/>
      <x:c r="B15" s="32" t="str">
        <x:f>IF($A15="","",IFERROR(VLOOKUP($A15,全部历史净值!$A:$B,2,FALSE),""))</x:f>
      </x:c>
      <x:c r="C15" s="45" t="str">
        <x:f>IF(OR($A15="",$B15="",$D15="",$E15=""),"",IF(OR($D15="买入",$D15="定投",$D15="转入",$D15="转换转入"),ROUND(($E15-$F15)/$B15,6),IF($D15="卖出",ROUND(($E15+$F15)/$B15,6),"")))</x:f>
      </x:c>
      <x:c r="D15" s="38" t="n"/>
      <x:c r="E15" s="34" t="n"/>
      <x:c r="F15" s="35" t="str">
        <x:f>IF($E15="","",IF($D15="卖出","",ROUND($E15*参数!$B$4,2)))</x:f>
      </x:c>
    </x:row>
    <x:row r="16" s="1" customFormat="1" ht="23" customHeight="1">
      <x:c r="A16" s="36" t="n"/>
      <x:c r="B16" s="32" t="str">
        <x:f>IF($A16="","",IFERROR(VLOOKUP($A16,全部历史净值!$A:$B,2,FALSE),""))</x:f>
      </x:c>
      <x:c r="C16" s="45" t="str">
        <x:f>IF(OR($A16="",$B16="",$D16="",$E16=""),"",IF(OR($D16="买入",$D16="定投",$D16="转入",$D16="转换转入"),ROUND(($E16-$F16)/$B16,6),IF($D16="卖出",ROUND(($E16+$F16)/$B16,6),"")))</x:f>
      </x:c>
      <x:c r="D16" s="39" t="n"/>
      <x:c r="E16" s="37" t="n"/>
      <x:c r="F16" s="35" t="str">
        <x:f>IF($E16="","",IF($D16="卖出","",ROUND($E16*参数!$B$4,2)))</x:f>
      </x:c>
    </x:row>
    <x:row r="17" s="1" customFormat="1" ht="23" customHeight="1">
      <x:c r="A17" s="33" t="n"/>
      <x:c r="B17" s="32" t="str">
        <x:f>IF($A17="","",IFERROR(VLOOKUP($A17,全部历史净值!$A:$B,2,FALSE),""))</x:f>
      </x:c>
      <x:c r="C17" s="45" t="str">
        <x:f>IF(OR($A17="",$B17="",$D17="",$E17=""),"",IF(OR($D17="买入",$D17="定投",$D17="转入",$D17="转换转入"),ROUND(($E17-$F17)/$B17,6),IF($D17="卖出",ROUND(($E17+$F17)/$B17,6),"")))</x:f>
      </x:c>
      <x:c r="D17" s="38" t="n"/>
      <x:c r="E17" s="34" t="n"/>
      <x:c r="F17" s="35" t="str">
        <x:f>IF($E17="","",IF($D17="卖出","",ROUND($E17*参数!$B$4,2)))</x:f>
      </x:c>
    </x:row>
    <x:row r="18" s="1" customFormat="1" ht="23" customHeight="1">
      <x:c r="A18" s="36" t="n"/>
      <x:c r="B18" s="32" t="str">
        <x:f>IF($A18="","",IFERROR(VLOOKUP($A18,全部历史净值!$A:$B,2,FALSE),""))</x:f>
      </x:c>
      <x:c r="C18" s="45" t="str">
        <x:f>IF(OR($A18="",$B18="",$D18="",$E18=""),"",IF(OR($D18="买入",$D18="定投",$D18="转入",$D18="转换转入"),ROUND(($E18-$F18)/$B18,6),IF($D18="卖出",ROUND(($E18+$F18)/$B18,6),"")))</x:f>
      </x:c>
      <x:c r="D18" s="39" t="n"/>
      <x:c r="E18" s="37" t="n"/>
      <x:c r="F18" s="35" t="str">
        <x:f>IF($E18="","",IF($D18="卖出","",ROUND($E18*参数!$B$4,2)))</x:f>
      </x:c>
    </x:row>
    <x:row r="19" s="1" customFormat="1" ht="23" customHeight="1">
      <x:c r="A19" s="33" t="n"/>
      <x:c r="B19" s="32" t="str">
        <x:f>IF($A19="","",IFERROR(VLOOKUP($A19,全部历史净值!$A:$B,2,FALSE),""))</x:f>
      </x:c>
      <x:c r="C19" s="45" t="str">
        <x:f>IF(OR($A19="",$B19="",$D19="",$E19=""),"",IF(OR($D19="买入",$D19="定投",$D19="转入",$D19="转换转入"),ROUND(($E19-$F19)/$B19,6),IF($D19="卖出",ROUND(($E19+$F19)/$B19,6),"")))</x:f>
      </x:c>
      <x:c r="D19" s="38" t="n"/>
      <x:c r="E19" s="34" t="n"/>
      <x:c r="F19" s="35" t="str">
        <x:f>IF($E19="","",IF($D19="卖出","",ROUND($E19*参数!$B$4,2)))</x:f>
      </x:c>
    </x:row>
    <x:row r="20" s="1" customFormat="1" ht="23" customHeight="1">
      <x:c r="A20" s="36" t="n"/>
      <x:c r="B20" s="32" t="str">
        <x:f>IF($A20="","",IFERROR(VLOOKUP($A20,全部历史净值!$A:$B,2,FALSE),""))</x:f>
      </x:c>
      <x:c r="C20" s="45" t="str">
        <x:f>IF(OR($A20="",$B20="",$D20="",$E20=""),"",IF(OR($D20="买入",$D20="定投",$D20="转入",$D20="转换转入"),ROUND(($E20-$F20)/$B20,6),IF($D20="卖出",ROUND(($E20+$F20)/$B20,6),"")))</x:f>
      </x:c>
      <x:c r="D20" s="39" t="n"/>
      <x:c r="E20" s="37" t="n"/>
      <x:c r="F20" s="35" t="str">
        <x:f>IF($E20="","",IF($D20="卖出","",ROUND($E20*参数!$B$4,2)))</x:f>
      </x:c>
    </x:row>
    <x:row r="21" s="1" customFormat="1" ht="23" customHeight="1">
      <x:c r="A21" s="33" t="n"/>
      <x:c r="B21" s="32" t="str">
        <x:f>IF($A21="","",IFERROR(VLOOKUP($A21,全部历史净值!$A:$B,2,FALSE),""))</x:f>
      </x:c>
      <x:c r="C21" s="45" t="str">
        <x:f>IF(OR($A21="",$B21="",$D21="",$E21=""),"",IF(OR($D21="买入",$D21="定投",$D21="转入",$D21="转换转入"),ROUND(($E21-$F21)/$B21,6),IF($D21="卖出",ROUND(($E21+$F21)/$B21,6),"")))</x:f>
      </x:c>
      <x:c r="D21" s="38" t="n"/>
      <x:c r="E21" s="34" t="n"/>
      <x:c r="F21" s="35" t="str">
        <x:f>IF($E21="","",IF($D21="卖出","",ROUND($E21*参数!$B$4,2)))</x:f>
      </x:c>
    </x:row>
    <x:row r="22" s="1" customFormat="1" ht="23" customHeight="1">
      <x:c r="A22" s="36" t="n"/>
      <x:c r="B22" s="32" t="str">
        <x:f>IF($A22="","",IFERROR(VLOOKUP($A22,全部历史净值!$A:$B,2,FALSE),""))</x:f>
      </x:c>
      <x:c r="C22" s="45" t="str">
        <x:f>IF(OR($A22="",$B22="",$D22="",$E22=""),"",IF(OR($D22="买入",$D22="定投",$D22="转入",$D22="转换转入"),ROUND(($E22-$F22)/$B22,6),IF($D22="卖出",ROUND(($E22+$F22)/$B22,6),"")))</x:f>
      </x:c>
      <x:c r="D22" s="39" t="n"/>
      <x:c r="E22" s="37" t="n"/>
      <x:c r="F22" s="35" t="str">
        <x:f>IF($E22="","",IF($D22="卖出","",ROUND($E22*参数!$B$4,2)))</x:f>
      </x:c>
    </x:row>
    <x:row r="23" s="1" customFormat="1" ht="23" customHeight="1">
      <x:c r="A23" s="33" t="n"/>
      <x:c r="B23" s="32" t="str">
        <x:f>IF($A23="","",IFERROR(VLOOKUP($A23,全部历史净值!$A:$B,2,FALSE),""))</x:f>
      </x:c>
      <x:c r="C23" s="45" t="str">
        <x:f>IF(OR($A23="",$B23="",$D23="",$E23=""),"",IF(OR($D23="买入",$D23="定投",$D23="转入",$D23="转换转入"),ROUND(($E23-$F23)/$B23,6),IF($D23="卖出",ROUND(($E23+$F23)/$B23,6),"")))</x:f>
      </x:c>
      <x:c r="D23" s="38" t="n"/>
      <x:c r="E23" s="34" t="n"/>
      <x:c r="F23" s="35" t="str">
        <x:f>IF($E23="","",IF($D23="卖出","",ROUND($E23*参数!$B$4,2)))</x:f>
      </x:c>
    </x:row>
    <x:row r="24" s="1" customFormat="1" ht="23" customHeight="1">
      <x:c r="A24" s="36" t="n"/>
      <x:c r="B24" s="32" t="str">
        <x:f>IF($A24="","",IFERROR(VLOOKUP($A24,全部历史净值!$A:$B,2,FALSE),""))</x:f>
      </x:c>
      <x:c r="C24" s="45" t="str">
        <x:f>IF(OR($A24="",$B24="",$D24="",$E24=""),"",IF(OR($D24="买入",$D24="定投",$D24="转入",$D24="转换转入"),ROUND(($E24-$F24)/$B24,6),IF($D24="卖出",ROUND(($E24+$F24)/$B24,6),"")))</x:f>
      </x:c>
      <x:c r="D24" s="39" t="n"/>
      <x:c r="E24" s="37" t="n"/>
      <x:c r="F24" s="35" t="str">
        <x:f>IF($E24="","",IF($D24="卖出","",ROUND($E24*参数!$B$4,2)))</x:f>
      </x:c>
    </x:row>
    <x:row r="25" s="1" customFormat="1" ht="23" customHeight="1">
      <x:c r="A25" s="33" t="n"/>
      <x:c r="B25" s="32" t="str">
        <x:f>IF($A25="","",IFERROR(VLOOKUP($A25,全部历史净值!$A:$B,2,FALSE),""))</x:f>
      </x:c>
      <x:c r="C25" s="45" t="str">
        <x:f>IF(OR($A25="",$B25="",$D25="",$E25=""),"",IF(OR($D25="买入",$D25="定投",$D25="转入",$D25="转换转入"),ROUND(($E25-$F25)/$B25,6),IF($D25="卖出",ROUND(($E25+$F25)/$B25,6),"")))</x:f>
      </x:c>
      <x:c r="D25" s="38" t="n"/>
      <x:c r="E25" s="34" t="n"/>
      <x:c r="F25" s="35" t="str">
        <x:f>IF($E25="","",IF($D25="卖出","",ROUND($E25*参数!$B$4,2)))</x:f>
      </x:c>
    </x:row>
    <x:row r="26" s="1" customFormat="1" ht="23" customHeight="1">
      <x:c r="A26" s="36" t="n"/>
      <x:c r="B26" s="32" t="str">
        <x:f>IF($A26="","",IFERROR(VLOOKUP($A26,全部历史净值!$A:$B,2,FALSE),""))</x:f>
      </x:c>
      <x:c r="C26" s="45" t="str">
        <x:f>IF(OR($A26="",$B26="",$D26="",$E26=""),"",IF(OR($D26="买入",$D26="定投",$D26="转入",$D26="转换转入"),ROUND(($E26-$F26)/$B26,6),IF($D26="卖出",ROUND(($E26+$F26)/$B26,6),"")))</x:f>
      </x:c>
      <x:c r="D26" s="39" t="n"/>
      <x:c r="E26" s="37" t="n"/>
      <x:c r="F26" s="35" t="str">
        <x:f>IF($E26="","",IF($D26="卖出","",ROUND($E26*参数!$B$4,2)))</x:f>
      </x:c>
    </x:row>
    <x:row r="27" s="1" customFormat="1" ht="23" customHeight="1">
      <x:c r="A27" s="33" t="n"/>
      <x:c r="B27" s="32" t="str">
        <x:f>IF($A27="","",IFERROR(VLOOKUP($A27,全部历史净值!$A:$B,2,FALSE),""))</x:f>
      </x:c>
      <x:c r="C27" s="45" t="str">
        <x:f>IF(OR($A27="",$B27="",$D27="",$E27=""),"",IF(OR($D27="买入",$D27="定投",$D27="转入",$D27="转换转入"),ROUND(($E27-$F27)/$B27,6),IF($D27="卖出",ROUND(($E27+$F27)/$B27,6),"")))</x:f>
      </x:c>
      <x:c r="D27" s="38" t="n"/>
      <x:c r="E27" s="34" t="n"/>
      <x:c r="F27" s="35" t="str">
        <x:f>IF($E27="","",IF($D27="卖出","",ROUND($E27*参数!$B$4,2)))</x:f>
      </x:c>
    </x:row>
    <x:row r="28" s="1" customFormat="1" ht="23" customHeight="1">
      <x:c r="A28" s="36" t="n"/>
      <x:c r="B28" s="32" t="str">
        <x:f>IF($A28="","",IFERROR(VLOOKUP($A28,全部历史净值!$A:$B,2,FALSE),""))</x:f>
      </x:c>
      <x:c r="C28" s="45" t="str">
        <x:f>IF(OR($A28="",$B28="",$D28="",$E28=""),"",IF(OR($D28="买入",$D28="定投",$D28="转入",$D28="转换转入"),ROUND(($E28-$F28)/$B28,6),IF($D28="卖出",ROUND(($E28+$F28)/$B28,6),"")))</x:f>
      </x:c>
      <x:c r="D28" s="39" t="n"/>
      <x:c r="E28" s="37" t="n"/>
      <x:c r="F28" s="35" t="str">
        <x:f>IF($E28="","",IF($D28="卖出","",ROUND($E28*参数!$B$4,2)))</x:f>
      </x:c>
    </x:row>
    <x:row r="29" s="1" customFormat="1" ht="23" customHeight="1">
      <x:c r="A29" s="33" t="n"/>
      <x:c r="B29" s="32" t="str">
        <x:f>IF($A29="","",IFERROR(VLOOKUP($A29,全部历史净值!$A:$B,2,FALSE),""))</x:f>
      </x:c>
      <x:c r="C29" s="45" t="str">
        <x:f>IF(OR($A29="",$B29="",$D29="",$E29=""),"",IF(OR($D29="买入",$D29="定投",$D29="转入",$D29="转换转入"),ROUND(($E29-$F29)/$B29,6),IF($D29="卖出",ROUND(($E29+$F29)/$B29,6),"")))</x:f>
      </x:c>
      <x:c r="D29" s="38" t="n"/>
      <x:c r="E29" s="34" t="n"/>
      <x:c r="F29" s="35" t="str">
        <x:f>IF($E29="","",IF($D29="卖出","",ROUND($E29*参数!$B$4,2)))</x:f>
      </x:c>
    </x:row>
    <x:row r="30" s="1" customFormat="1" ht="23" customHeight="1">
      <x:c r="A30" s="36" t="n"/>
      <x:c r="B30" s="32" t="str">
        <x:f>IF($A30="","",IFERROR(VLOOKUP($A30,全部历史净值!$A:$B,2,FALSE),""))</x:f>
      </x:c>
      <x:c r="C30" s="45" t="str">
        <x:f>IF(OR($A30="",$B30="",$D30="",$E30=""),"",IF(OR($D30="买入",$D30="定投",$D30="转入",$D30="转换转入"),ROUND(($E30-$F30)/$B30,6),IF($D30="卖出",ROUND(($E30+$F30)/$B30,6),"")))</x:f>
      </x:c>
      <x:c r="D30" s="39" t="n"/>
      <x:c r="E30" s="37" t="n"/>
      <x:c r="F30" s="35" t="str">
        <x:f>IF($E30="","",IF($D30="卖出","",ROUND($E30*参数!$B$4,2)))</x:f>
      </x:c>
    </x:row>
    <x:row r="31" s="1" customFormat="1" ht="23" customHeight="1">
      <x:c r="A31" s="33" t="n"/>
      <x:c r="B31" s="32" t="str">
        <x:f>IF($A31="","",IFERROR(VLOOKUP($A31,全部历史净值!$A:$B,2,FALSE),""))</x:f>
      </x:c>
      <x:c r="C31" s="45" t="str">
        <x:f>IF(OR($A31="",$B31="",$D31="",$E31=""),"",IF(OR($D31="买入",$D31="定投",$D31="转入",$D31="转换转入"),ROUND(($E31-$F31)/$B31,6),IF($D31="卖出",ROUND(($E31+$F31)/$B31,6),"")))</x:f>
      </x:c>
      <x:c r="D31" s="38" t="n"/>
      <x:c r="E31" s="34" t="n"/>
      <x:c r="F31" s="35" t="str">
        <x:f>IF($E31="","",IF($D31="卖出","",ROUND($E31*参数!$B$4,2)))</x:f>
      </x:c>
    </x:row>
    <x:row r="32" s="1" customFormat="1" ht="23" customHeight="1">
      <x:c r="A32" s="36" t="n"/>
      <x:c r="B32" s="32" t="str">
        <x:f>IF($A32="","",IFERROR(VLOOKUP($A32,全部历史净值!$A:$B,2,FALSE),""))</x:f>
      </x:c>
      <x:c r="C32" s="45" t="str">
        <x:f>IF(OR($A32="",$B32="",$D32="",$E32=""),"",IF(OR($D32="买入",$D32="定投",$D32="转入",$D32="转换转入"),ROUND(($E32-$F32)/$B32,6),IF($D32="卖出",ROUND(($E32+$F32)/$B32,6),"")))</x:f>
      </x:c>
      <x:c r="D32" s="39" t="n"/>
      <x:c r="E32" s="37" t="n"/>
      <x:c r="F32" s="35" t="str">
        <x:f>IF($E32="","",IF($D32="卖出","",ROUND($E32*参数!$B$4,2)))</x:f>
      </x:c>
    </x:row>
    <x:row r="33" s="1" customFormat="1" ht="23" customHeight="1">
      <x:c r="A33" s="33" t="n"/>
      <x:c r="B33" s="32" t="str">
        <x:f>IF($A33="","",IFERROR(VLOOKUP($A33,全部历史净值!$A:$B,2,FALSE),""))</x:f>
      </x:c>
      <x:c r="C33" s="45" t="str">
        <x:f>IF(OR($A33="",$B33="",$D33="",$E33=""),"",IF(OR($D33="买入",$D33="定投",$D33="转入",$D33="转换转入"),ROUND(($E33-$F33)/$B33,6),IF($D33="卖出",ROUND(($E33+$F33)/$B33,6),"")))</x:f>
      </x:c>
      <x:c r="D33" s="38" t="n"/>
      <x:c r="E33" s="34" t="n"/>
      <x:c r="F33" s="35" t="str">
        <x:f>IF($E33="","",IF($D33="卖出","",ROUND($E33*参数!$B$4,2)))</x:f>
      </x:c>
    </x:row>
    <x:row r="34" s="1" customFormat="1" ht="23" customHeight="1">
      <x:c r="A34" s="36" t="n"/>
      <x:c r="B34" s="32" t="str">
        <x:f>IF($A34="","",IFERROR(VLOOKUP($A34,全部历史净值!$A:$B,2,FALSE),""))</x:f>
      </x:c>
      <x:c r="C34" s="45" t="str">
        <x:f>IF(OR($A34="",$B34="",$D34="",$E34=""),"",IF(OR($D34="买入",$D34="定投",$D34="转入",$D34="转换转入"),ROUND(($E34-$F34)/$B34,6),IF($D34="卖出",ROUND(($E34+$F34)/$B34,6),"")))</x:f>
      </x:c>
      <x:c r="D34" s="39" t="n"/>
      <x:c r="E34" s="37" t="n"/>
      <x:c r="F34" s="35" t="str">
        <x:f>IF($E34="","",IF($D34="卖出","",ROUND($E34*参数!$B$4,2)))</x:f>
      </x:c>
    </x:row>
    <x:row r="35" s="1" customFormat="1" ht="23" customHeight="1">
      <x:c r="A35" s="33" t="n"/>
      <x:c r="B35" s="32" t="str">
        <x:f>IF($A35="","",IFERROR(VLOOKUP($A35,全部历史净值!$A:$B,2,FALSE),""))</x:f>
      </x:c>
      <x:c r="C35" s="45" t="str">
        <x:f>IF(OR($A35="",$B35="",$D35="",$E35=""),"",IF(OR($D35="买入",$D35="定投",$D35="转入",$D35="转换转入"),ROUND(($E35-$F35)/$B35,6),IF($D35="卖出",ROUND(($E35+$F35)/$B35,6),"")))</x:f>
      </x:c>
      <x:c r="D35" s="38" t="n"/>
      <x:c r="E35" s="34" t="n"/>
      <x:c r="F35" s="35" t="str">
        <x:f>IF($E35="","",IF($D35="卖出","",ROUND($E35*参数!$B$4,2)))</x:f>
      </x:c>
    </x:row>
    <x:row r="36" s="1" customFormat="1" ht="23" customHeight="1">
      <x:c r="A36" s="36" t="n"/>
      <x:c r="B36" s="32" t="str">
        <x:f>IF($A36="","",IFERROR(VLOOKUP($A36,全部历史净值!$A:$B,2,FALSE),""))</x:f>
      </x:c>
      <x:c r="C36" s="45" t="str">
        <x:f>IF(OR($A36="",$B36="",$D36="",$E36=""),"",IF(OR($D36="买入",$D36="定投",$D36="转入",$D36="转换转入"),ROUND(($E36-$F36)/$B36,6),IF($D36="卖出",ROUND(($E36+$F36)/$B36,6),"")))</x:f>
      </x:c>
      <x:c r="D36" s="39" t="n"/>
      <x:c r="E36" s="37" t="n"/>
      <x:c r="F36" s="35" t="str">
        <x:f>IF($E36="","",IF($D36="卖出","",ROUND($E36*参数!$B$4,2)))</x:f>
      </x:c>
    </x:row>
    <x:row r="37" s="1" customFormat="1" ht="23" customHeight="1">
      <x:c r="A37" s="33" t="n"/>
      <x:c r="B37" s="32" t="str">
        <x:f>IF($A37="","",IFERROR(VLOOKUP($A37,全部历史净值!$A:$B,2,FALSE),""))</x:f>
      </x:c>
      <x:c r="C37" s="45" t="str">
        <x:f>IF(OR($A37="",$B37="",$D37="",$E37=""),"",IF(OR($D37="买入",$D37="定投",$D37="转入",$D37="转换转入"),ROUND(($E37-$F37)/$B37,6),IF($D37="卖出",ROUND(($E37+$F37)/$B37,6),"")))</x:f>
      </x:c>
      <x:c r="D37" s="38" t="n"/>
      <x:c r="E37" s="34" t="n"/>
      <x:c r="F37" s="35" t="str">
        <x:f>IF($E37="","",IF($D37="卖出","",ROUND($E37*参数!$B$4,2)))</x:f>
      </x:c>
    </x:row>
    <x:row r="38" s="1" customFormat="1" ht="23" customHeight="1">
      <x:c r="A38" s="36" t="n"/>
      <x:c r="B38" s="32" t="str">
        <x:f>IF($A38="","",IFERROR(VLOOKUP($A38,全部历史净值!$A:$B,2,FALSE),""))</x:f>
      </x:c>
      <x:c r="C38" s="45" t="str">
        <x:f>IF(OR($A38="",$B38="",$D38="",$E38=""),"",IF(OR($D38="买入",$D38="定投",$D38="转入",$D38="转换转入"),ROUND(($E38-$F38)/$B38,6),IF($D38="卖出",ROUND(($E38+$F38)/$B38,6),"")))</x:f>
      </x:c>
      <x:c r="D38" s="39" t="n"/>
      <x:c r="E38" s="37" t="n"/>
      <x:c r="F38" s="35" t="str">
        <x:f>IF($E38="","",IF($D38="卖出","",ROUND($E38*参数!$B$4,2)))</x:f>
      </x:c>
    </x:row>
    <x:row r="39" s="1" customFormat="1" ht="23" customHeight="1">
      <x:c r="A39" s="33" t="n"/>
      <x:c r="B39" s="32" t="str">
        <x:f>IF($A39="","",IFERROR(VLOOKUP($A39,全部历史净值!$A:$B,2,FALSE),""))</x:f>
      </x:c>
      <x:c r="C39" s="45" t="str">
        <x:f>IF(OR($A39="",$B39="",$D39="",$E39=""),"",IF(OR($D39="买入",$D39="定投",$D39="转入",$D39="转换转入"),ROUND(($E39-$F39)/$B39,6),IF($D39="卖出",ROUND(($E39+$F39)/$B39,6),"")))</x:f>
      </x:c>
      <x:c r="D39" s="38" t="n"/>
      <x:c r="E39" s="34" t="n"/>
      <x:c r="F39" s="35" t="str">
        <x:f>IF($E39="","",IF($D39="卖出","",ROUND($E39*参数!$B$4,2)))</x:f>
      </x:c>
    </x:row>
    <x:row r="40" s="1" customFormat="1" ht="23" customHeight="1">
      <x:c r="A40" s="36" t="n"/>
      <x:c r="B40" s="32" t="str">
        <x:f>IF($A40="","",IFERROR(VLOOKUP($A40,全部历史净值!$A:$B,2,FALSE),""))</x:f>
      </x:c>
      <x:c r="C40" s="45" t="str">
        <x:f>IF(OR($A40="",$B40="",$D40="",$E40=""),"",IF(OR($D40="买入",$D40="定投",$D40="转入",$D40="转换转入"),ROUND(($E40-$F40)/$B40,6),IF($D40="卖出",ROUND(($E40+$F40)/$B40,6),"")))</x:f>
      </x:c>
      <x:c r="D40" s="39" t="n"/>
      <x:c r="E40" s="37" t="n"/>
      <x:c r="F40" s="35" t="str">
        <x:f>IF($E40="","",IF($D40="卖出","",ROUND($E40*参数!$B$4,2)))</x:f>
      </x:c>
    </x:row>
    <x:row r="41" s="1" customFormat="1" ht="23" customHeight="1">
      <x:c r="A41" s="33" t="n"/>
      <x:c r="B41" s="32" t="str">
        <x:f>IF($A41="","",IFERROR(VLOOKUP($A41,全部历史净值!$A:$B,2,FALSE),""))</x:f>
      </x:c>
      <x:c r="C41" s="45" t="str">
        <x:f>IF(OR($A41="",$B41="",$D41="",$E41=""),"",IF(OR($D41="买入",$D41="定投",$D41="转入",$D41="转换转入"),ROUND(($E41-$F41)/$B41,6),IF($D41="卖出",ROUND(($E41+$F41)/$B41,6),"")))</x:f>
      </x:c>
      <x:c r="D41" s="38" t="n"/>
      <x:c r="E41" s="34" t="n"/>
      <x:c r="F41" s="35" t="str">
        <x:f>IF($E41="","",IF($D41="卖出","",ROUND($E41*参数!$B$4,2)))</x:f>
      </x:c>
    </x:row>
    <x:row r="42" s="1" customFormat="1" ht="23" customHeight="1">
      <x:c r="A42" s="36" t="n"/>
      <x:c r="B42" s="32" t="str">
        <x:f>IF($A42="","",IFERROR(VLOOKUP($A42,全部历史净值!$A:$B,2,FALSE),""))</x:f>
      </x:c>
      <x:c r="C42" s="45" t="str">
        <x:f>IF(OR($A42="",$B42="",$D42="",$E42=""),"",IF(OR($D42="买入",$D42="定投",$D42="转入",$D42="转换转入"),ROUND(($E42-$F42)/$B42,6),IF($D42="卖出",ROUND(($E42+$F42)/$B42,6),"")))</x:f>
      </x:c>
      <x:c r="D42" s="39" t="n"/>
      <x:c r="E42" s="37" t="n"/>
      <x:c r="F42" s="35" t="str">
        <x:f>IF($E42="","",IF($D42="卖出","",ROUND($E42*参数!$B$4,2)))</x:f>
      </x:c>
    </x:row>
    <x:row r="43" s="1" customFormat="1" ht="23" customHeight="1">
      <x:c r="A43" s="33" t="n"/>
      <x:c r="B43" s="32" t="str">
        <x:f>IF($A43="","",IFERROR(VLOOKUP($A43,全部历史净值!$A:$B,2,FALSE),""))</x:f>
      </x:c>
      <x:c r="C43" s="45" t="str">
        <x:f>IF(OR($A43="",$B43="",$D43="",$E43=""),"",IF(OR($D43="买入",$D43="定投",$D43="转入",$D43="转换转入"),ROUND(($E43-$F43)/$B43,6),IF($D43="卖出",ROUND(($E43+$F43)/$B43,6),"")))</x:f>
      </x:c>
      <x:c r="D43" s="38" t="n"/>
      <x:c r="E43" s="34" t="n"/>
      <x:c r="F43" s="35" t="str">
        <x:f>IF($E43="","",IF($D43="卖出","",ROUND($E43*参数!$B$4,2)))</x:f>
      </x:c>
    </x:row>
    <x:row r="44" s="1" customFormat="1" ht="23" customHeight="1">
      <x:c r="A44" s="36" t="n"/>
      <x:c r="B44" s="32" t="str">
        <x:f>IF($A44="","",IFERROR(VLOOKUP($A44,全部历史净值!$A:$B,2,FALSE),""))</x:f>
      </x:c>
      <x:c r="C44" s="45" t="str">
        <x:f>IF(OR($A44="",$B44="",$D44="",$E44=""),"",IF(OR($D44="买入",$D44="定投",$D44="转入",$D44="转换转入"),ROUND(($E44-$F44)/$B44,6),IF($D44="卖出",ROUND(($E44+$F44)/$B44,6),"")))</x:f>
      </x:c>
      <x:c r="D44" s="39" t="n"/>
      <x:c r="E44" s="37" t="n"/>
      <x:c r="F44" s="35" t="str">
        <x:f>IF($E44="","",IF($D44="卖出","",ROUND($E44*参数!$B$4,2)))</x:f>
      </x:c>
    </x:row>
    <x:row r="45" s="1" customFormat="1" ht="23" customHeight="1">
      <x:c r="A45" s="33" t="n"/>
      <x:c r="B45" s="32" t="str">
        <x:f>IF($A45="","",IFERROR(VLOOKUP($A45,全部历史净值!$A:$B,2,FALSE),""))</x:f>
      </x:c>
      <x:c r="C45" s="45" t="str">
        <x:f>IF(OR($A45="",$B45="",$D45="",$E45=""),"",IF(OR($D45="买入",$D45="定投",$D45="转入",$D45="转换转入"),ROUND(($E45-$F45)/$B45,6),IF($D45="卖出",ROUND(($E45+$F45)/$B45,6),"")))</x:f>
      </x:c>
      <x:c r="D45" s="38" t="n"/>
      <x:c r="E45" s="34" t="n"/>
      <x:c r="F45" s="35" t="str">
        <x:f>IF($E45="","",IF($D45="卖出","",ROUND($E45*参数!$B$4,2)))</x:f>
      </x:c>
    </x:row>
    <x:row r="46" s="1" customFormat="1" ht="23" customHeight="1">
      <x:c r="A46" s="36" t="n"/>
      <x:c r="B46" s="32" t="str">
        <x:f>IF($A46="","",IFERROR(VLOOKUP($A46,全部历史净值!$A:$B,2,FALSE),""))</x:f>
      </x:c>
      <x:c r="C46" s="45" t="str">
        <x:f>IF(OR($A46="",$B46="",$D46="",$E46=""),"",IF(OR($D46="买入",$D46="定投",$D46="转入",$D46="转换转入"),ROUND(($E46-$F46)/$B46,6),IF($D46="卖出",ROUND(($E46+$F46)/$B46,6),"")))</x:f>
      </x:c>
      <x:c r="D46" s="39" t="n"/>
      <x:c r="E46" s="37" t="n"/>
      <x:c r="F46" s="35" t="str">
        <x:f>IF($E46="","",IF($D46="卖出","",ROUND($E46*参数!$B$4,2)))</x:f>
      </x:c>
    </x:row>
    <x:row r="47" s="1" customFormat="1" ht="23" customHeight="1">
      <x:c r="A47" s="33" t="n"/>
      <x:c r="B47" s="32" t="str">
        <x:f>IF($A47="","",IFERROR(VLOOKUP($A47,全部历史净值!$A:$B,2,FALSE),""))</x:f>
      </x:c>
      <x:c r="C47" s="45" t="str">
        <x:f>IF(OR($A47="",$B47="",$D47="",$E47=""),"",IF(OR($D47="买入",$D47="定投",$D47="转入",$D47="转换转入"),ROUND(($E47-$F47)/$B47,6),IF($D47="卖出",ROUND(($E47+$F47)/$B47,6),"")))</x:f>
      </x:c>
      <x:c r="D47" s="38" t="n"/>
      <x:c r="E47" s="34" t="n"/>
      <x:c r="F47" s="35" t="str">
        <x:f>IF($E47="","",IF($D47="卖出","",ROUND($E47*参数!$B$4,2)))</x:f>
      </x:c>
    </x:row>
    <x:row r="48" s="1" customFormat="1" ht="23" customHeight="1">
      <x:c r="A48" s="36" t="n"/>
      <x:c r="B48" s="32" t="str">
        <x:f>IF($A48="","",IFERROR(VLOOKUP($A48,全部历史净值!$A:$B,2,FALSE),""))</x:f>
      </x:c>
      <x:c r="C48" s="45" t="str">
        <x:f>IF(OR($A48="",$B48="",$D48="",$E48=""),"",IF(OR($D48="买入",$D48="定投",$D48="转入",$D48="转换转入"),ROUND(($E48-$F48)/$B48,6),IF($D48="卖出",ROUND(($E48+$F48)/$B48,6),"")))</x:f>
      </x:c>
      <x:c r="D48" s="39" t="n"/>
      <x:c r="E48" s="37" t="n"/>
      <x:c r="F48" s="35" t="str">
        <x:f>IF($E48="","",IF($D48="卖出","",ROUND($E48*参数!$B$4,2)))</x:f>
      </x:c>
    </x:row>
    <x:row r="49" s="1" customFormat="1" ht="23" customHeight="1">
      <x:c r="A49" s="33" t="n"/>
      <x:c r="B49" s="32" t="str">
        <x:f>IF($A49="","",IFERROR(VLOOKUP($A49,全部历史净值!$A:$B,2,FALSE),""))</x:f>
      </x:c>
      <x:c r="C49" s="45" t="str">
        <x:f>IF(OR($A49="",$B49="",$D49="",$E49=""),"",IF(OR($D49="买入",$D49="定投",$D49="转入",$D49="转换转入"),ROUND(($E49-$F49)/$B49,6),IF($D49="卖出",ROUND(($E49+$F49)/$B49,6),"")))</x:f>
      </x:c>
      <x:c r="D49" s="38" t="n"/>
      <x:c r="E49" s="34" t="n"/>
      <x:c r="F49" s="35" t="str">
        <x:f>IF($E49="","",IF($D49="卖出","",ROUND($E49*参数!$B$4,2)))</x:f>
      </x:c>
    </x:row>
    <x:row r="50" s="1" customFormat="1" ht="23" customHeight="1">
      <x:c r="A50" s="36" t="n"/>
      <x:c r="B50" s="32" t="str">
        <x:f>IF($A50="","",IFERROR(VLOOKUP($A50,全部历史净值!$A:$B,2,FALSE),""))</x:f>
      </x:c>
      <x:c r="C50" s="45" t="str">
        <x:f>IF(OR($A50="",$B50="",$D50="",$E50=""),"",IF(OR($D50="买入",$D50="定投",$D50="转入",$D50="转换转入"),ROUND(($E50-$F50)/$B50,6),IF($D50="卖出",ROUND(($E50+$F50)/$B50,6),"")))</x:f>
      </x:c>
      <x:c r="D50" s="39" t="n"/>
      <x:c r="E50" s="37" t="n"/>
      <x:c r="F50" s="35" t="str">
        <x:f>IF($E50="","",IF($D50="卖出","",ROUND($E50*参数!$B$4,2)))</x:f>
      </x:c>
    </x:row>
    <x:row r="51" s="1" customFormat="1" ht="23" customHeight="1">
      <x:c r="A51" s="33" t="n"/>
      <x:c r="B51" s="32" t="str">
        <x:f>IF($A51="","",IFERROR(VLOOKUP($A51,全部历史净值!$A:$B,2,FALSE),""))</x:f>
      </x:c>
      <x:c r="C51" s="45" t="str">
        <x:f>IF(OR($A51="",$B51="",$D51="",$E51=""),"",IF(OR($D51="买入",$D51="定投",$D51="转入",$D51="转换转入"),ROUND(($E51-$F51)/$B51,6),IF($D51="卖出",ROUND(($E51+$F51)/$B51,6),"")))</x:f>
      </x:c>
      <x:c r="D51" s="38" t="n"/>
      <x:c r="E51" s="34" t="n"/>
      <x:c r="F51" s="35" t="str">
        <x:f>IF($E51="","",IF($D51="卖出","",ROUND($E51*参数!$B$4,2)))</x:f>
      </x:c>
    </x:row>
    <x:row r="52" s="1" customFormat="1" ht="23" customHeight="1">
      <x:c r="A52" s="36" t="n"/>
      <x:c r="B52" s="32" t="str">
        <x:f>IF($A52="","",IFERROR(VLOOKUP($A52,全部历史净值!$A:$B,2,FALSE),""))</x:f>
      </x:c>
      <x:c r="C52" s="45" t="str">
        <x:f>IF(OR($A52="",$B52="",$D52="",$E52=""),"",IF(OR($D52="买入",$D52="定投",$D52="转入",$D52="转换转入"),ROUND(($E52-$F52)/$B52,6),IF($D52="卖出",ROUND(($E52+$F52)/$B52,6),"")))</x:f>
      </x:c>
      <x:c r="D52" s="39" t="n"/>
      <x:c r="E52" s="37" t="n"/>
      <x:c r="F52" s="35" t="str">
        <x:f>IF($E52="","",IF($D52="卖出","",ROUND($E52*参数!$B$4,2)))</x:f>
      </x:c>
    </x:row>
    <x:row r="53" s="1" customFormat="1" ht="23" customHeight="1">
      <x:c r="A53" s="33" t="n"/>
      <x:c r="B53" s="32" t="str">
        <x:f>IF($A53="","",IFERROR(VLOOKUP($A53,全部历史净值!$A:$B,2,FALSE),""))</x:f>
      </x:c>
      <x:c r="C53" s="45" t="str">
        <x:f>IF(OR($A53="",$B53="",$D53="",$E53=""),"",IF(OR($D53="买入",$D53="定投",$D53="转入",$D53="转换转入"),ROUND(($E53-$F53)/$B53,6),IF($D53="卖出",ROUND(($E53+$F53)/$B53,6),"")))</x:f>
      </x:c>
      <x:c r="D53" s="38" t="n"/>
      <x:c r="E53" s="34" t="n"/>
      <x:c r="F53" s="35" t="str">
        <x:f>IF($E53="","",IF($D53="卖出","",ROUND($E53*参数!$B$4,2)))</x:f>
      </x:c>
    </x:row>
    <x:row r="54" s="1" customFormat="1" ht="23" customHeight="1">
      <x:c r="A54" s="36" t="n"/>
      <x:c r="B54" s="32" t="str">
        <x:f>IF($A54="","",IFERROR(VLOOKUP($A54,全部历史净值!$A:$B,2,FALSE),""))</x:f>
      </x:c>
      <x:c r="C54" s="45" t="str">
        <x:f>IF(OR($A54="",$B54="",$D54="",$E54=""),"",IF(OR($D54="买入",$D54="定投",$D54="转入",$D54="转换转入"),ROUND(($E54-$F54)/$B54,6),IF($D54="卖出",ROUND(($E54+$F54)/$B54,6),"")))</x:f>
      </x:c>
      <x:c r="D54" s="39" t="n"/>
      <x:c r="E54" s="37" t="n"/>
      <x:c r="F54" s="35" t="str">
        <x:f>IF($E54="","",IF($D54="卖出","",ROUND($E54*参数!$B$4,2)))</x:f>
      </x:c>
    </x:row>
    <x:row r="55" s="1" customFormat="1" ht="23" customHeight="1">
      <x:c r="A55" s="33" t="n"/>
      <x:c r="B55" s="32" t="str">
        <x:f>IF($A55="","",IFERROR(VLOOKUP($A55,全部历史净值!$A:$B,2,FALSE),""))</x:f>
      </x:c>
      <x:c r="C55" s="45" t="str">
        <x:f>IF(OR($A55="",$B55="",$D55="",$E55=""),"",IF(OR($D55="买入",$D55="定投",$D55="转入",$D55="转换转入"),ROUND(($E55-$F55)/$B55,6),IF($D55="卖出",ROUND(($E55+$F55)/$B55,6),"")))</x:f>
      </x:c>
      <x:c r="D55" s="38" t="n"/>
      <x:c r="E55" s="34" t="n"/>
      <x:c r="F55" s="35" t="str">
        <x:f>IF($E55="","",IF($D55="卖出","",ROUND($E55*参数!$B$4,2)))</x:f>
      </x:c>
    </x:row>
    <x:row r="56" s="1" customFormat="1" ht="23" customHeight="1">
      <x:c r="A56" s="36" t="n"/>
      <x:c r="B56" s="32" t="str">
        <x:f>IF($A56="","",IFERROR(VLOOKUP($A56,全部历史净值!$A:$B,2,FALSE),""))</x:f>
      </x:c>
      <x:c r="C56" s="45" t="str">
        <x:f>IF(OR($A56="",$B56="",$D56="",$E56=""),"",IF(OR($D56="买入",$D56="定投",$D56="转入",$D56="转换转入"),ROUND(($E56-$F56)/$B56,6),IF($D56="卖出",ROUND(($E56+$F56)/$B56,6),"")))</x:f>
      </x:c>
      <x:c r="D56" s="39" t="n"/>
      <x:c r="E56" s="37" t="n"/>
      <x:c r="F56" s="35" t="str">
        <x:f>IF($E56="","",IF($D56="卖出","",ROUND($E56*参数!$B$4,2)))</x:f>
      </x:c>
    </x:row>
    <x:row r="57" s="1" customFormat="1" ht="23" customHeight="1">
      <x:c r="A57" s="33" t="n"/>
      <x:c r="B57" s="32" t="str">
        <x:f>IF($A57="","",IFERROR(VLOOKUP($A57,全部历史净值!$A:$B,2,FALSE),""))</x:f>
      </x:c>
      <x:c r="C57" s="45" t="str">
        <x:f>IF(OR($A57="",$B57="",$D57="",$E57=""),"",IF(OR($D57="买入",$D57="定投",$D57="转入",$D57="转换转入"),ROUND(($E57-$F57)/$B57,6),IF($D57="卖出",ROUND(($E57+$F57)/$B57,6),"")))</x:f>
      </x:c>
      <x:c r="D57" s="38" t="n"/>
      <x:c r="E57" s="34" t="n"/>
      <x:c r="F57" s="35" t="str">
        <x:f>IF($E57="","",IF($D57="卖出","",ROUND($E57*参数!$B$4,2)))</x:f>
      </x:c>
    </x:row>
    <x:row r="58" s="1" customFormat="1" ht="23" customHeight="1">
      <x:c r="A58" s="36" t="n"/>
      <x:c r="B58" s="32" t="str">
        <x:f>IF($A58="","",IFERROR(VLOOKUP($A58,全部历史净值!$A:$B,2,FALSE),""))</x:f>
      </x:c>
      <x:c r="C58" s="45" t="str">
        <x:f>IF(OR($A58="",$B58="",$D58="",$E58=""),"",IF(OR($D58="买入",$D58="定投",$D58="转入",$D58="转换转入"),ROUND(($E58-$F58)/$B58,6),IF($D58="卖出",ROUND(($E58+$F58)/$B58,6),"")))</x:f>
      </x:c>
      <x:c r="D58" s="39" t="n"/>
      <x:c r="E58" s="37" t="n"/>
      <x:c r="F58" s="35" t="str">
        <x:f>IF($E58="","",IF($D58="卖出","",ROUND($E58*参数!$B$4,2)))</x:f>
      </x:c>
    </x:row>
    <x:row r="59" s="1" customFormat="1" ht="23" customHeight="1">
      <x:c r="A59" s="33" t="n"/>
      <x:c r="B59" s="32" t="str">
        <x:f>IF($A59="","",IFERROR(VLOOKUP($A59,全部历史净值!$A:$B,2,FALSE),""))</x:f>
      </x:c>
      <x:c r="C59" s="45" t="str">
        <x:f>IF(OR($A59="",$B59="",$D59="",$E59=""),"",IF(OR($D59="买入",$D59="定投",$D59="转入",$D59="转换转入"),ROUND(($E59-$F59)/$B59,6),IF($D59="卖出",ROUND(($E59+$F59)/$B59,6),"")))</x:f>
      </x:c>
      <x:c r="D59" s="38" t="n"/>
      <x:c r="E59" s="34" t="n"/>
      <x:c r="F59" s="35" t="str">
        <x:f>IF($E59="","",IF($D59="卖出","",ROUND($E59*参数!$B$4,2)))</x:f>
      </x:c>
    </x:row>
    <x:row r="60" s="1" customFormat="1" ht="23" customHeight="1">
      <x:c r="A60" s="36" t="n"/>
      <x:c r="B60" s="32" t="str">
        <x:f>IF($A60="","",IFERROR(VLOOKUP($A60,全部历史净值!$A:$B,2,FALSE),""))</x:f>
      </x:c>
      <x:c r="C60" s="45" t="str">
        <x:f>IF(OR($A60="",$B60="",$D60="",$E60=""),"",IF(OR($D60="买入",$D60="定投",$D60="转入",$D60="转换转入"),ROUND(($E60-$F60)/$B60,6),IF($D60="卖出",ROUND(($E60+$F60)/$B60,6),"")))</x:f>
      </x:c>
      <x:c r="D60" s="39" t="n"/>
      <x:c r="E60" s="37" t="n"/>
      <x:c r="F60" s="35" t="str">
        <x:f>IF($E60="","",IF($D60="卖出","",ROUND($E60*参数!$B$4,2)))</x:f>
      </x:c>
    </x:row>
    <x:row r="61" s="1" customFormat="1" ht="23" customHeight="1">
      <x:c r="A61" s="33" t="n"/>
      <x:c r="B61" s="32" t="str">
        <x:f>IF($A61="","",IFERROR(VLOOKUP($A61,全部历史净值!$A:$B,2,FALSE),""))</x:f>
      </x:c>
      <x:c r="C61" s="45" t="str">
        <x:f>IF(OR($A61="",$B61="",$D61="",$E61=""),"",IF(OR($D61="买入",$D61="定投",$D61="转入",$D61="转换转入"),ROUND(($E61-$F61)/$B61,6),IF($D61="卖出",ROUND(($E61+$F61)/$B61,6),"")))</x:f>
      </x:c>
      <x:c r="D61" s="38" t="n"/>
      <x:c r="E61" s="34" t="n"/>
      <x:c r="F61" s="35" t="str">
        <x:f>IF($E61="","",IF($D61="卖出","",ROUND($E61*参数!$B$4,2)))</x:f>
      </x:c>
    </x:row>
    <x:row r="62" s="1" customFormat="1" ht="23" customHeight="1">
      <x:c r="A62" s="36" t="n"/>
      <x:c r="B62" s="32" t="str">
        <x:f>IF($A62="","",IFERROR(VLOOKUP($A62,全部历史净值!$A:$B,2,FALSE),""))</x:f>
      </x:c>
      <x:c r="C62" s="45" t="str">
        <x:f>IF(OR($A62="",$B62="",$D62="",$E62=""),"",IF(OR($D62="买入",$D62="定投",$D62="转入",$D62="转换转入"),ROUND(($E62-$F62)/$B62,6),IF($D62="卖出",ROUND(($E62+$F62)/$B62,6),"")))</x:f>
      </x:c>
      <x:c r="D62" s="39" t="n"/>
      <x:c r="E62" s="37" t="n"/>
      <x:c r="F62" s="35" t="str">
        <x:f>IF($E62="","",IF($D62="卖出","",ROUND($E62*参数!$B$4,2)))</x:f>
      </x:c>
    </x:row>
    <x:row r="63" s="1" customFormat="1" ht="23" customHeight="1">
      <x:c r="A63" s="33" t="n"/>
      <x:c r="B63" s="32" t="str">
        <x:f>IF($A63="","",IFERROR(VLOOKUP($A63,全部历史净值!$A:$B,2,FALSE),""))</x:f>
      </x:c>
      <x:c r="C63" s="45" t="str">
        <x:f>IF(OR($A63="",$B63="",$D63="",$E63=""),"",IF(OR($D63="买入",$D63="定投",$D63="转入",$D63="转换转入"),ROUND(($E63-$F63)/$B63,6),IF($D63="卖出",ROUND(($E63+$F63)/$B63,6),"")))</x:f>
      </x:c>
      <x:c r="D63" s="38" t="n"/>
      <x:c r="E63" s="34" t="n"/>
      <x:c r="F63" s="35" t="str">
        <x:f>IF($E63="","",IF($D63="卖出","",ROUND($E63*参数!$B$4,2)))</x:f>
      </x:c>
    </x:row>
    <x:row r="64" s="1" customFormat="1" ht="23" customHeight="1">
      <x:c r="A64" s="36" t="n"/>
      <x:c r="B64" s="32" t="str">
        <x:f>IF($A64="","",IFERROR(VLOOKUP($A64,全部历史净值!$A:$B,2,FALSE),""))</x:f>
      </x:c>
      <x:c r="C64" s="45" t="str">
        <x:f>IF(OR($A64="",$B64="",$D64="",$E64=""),"",IF(OR($D64="买入",$D64="定投",$D64="转入",$D64="转换转入"),ROUND(($E64-$F64)/$B64,6),IF($D64="卖出",ROUND(($E64+$F64)/$B64,6),"")))</x:f>
      </x:c>
      <x:c r="D64" s="39" t="n"/>
      <x:c r="E64" s="37" t="n"/>
      <x:c r="F64" s="35" t="str">
        <x:f>IF($E64="","",IF($D64="卖出","",ROUND($E64*参数!$B$4,2)))</x:f>
      </x:c>
    </x:row>
    <x:row r="65" s="1" customFormat="1" ht="23" customHeight="1">
      <x:c r="A65" s="33" t="n"/>
      <x:c r="B65" s="32" t="str">
        <x:f>IF($A65="","",IFERROR(VLOOKUP($A65,全部历史净值!$A:$B,2,FALSE),""))</x:f>
      </x:c>
      <x:c r="C65" s="45" t="str">
        <x:f>IF(OR($A65="",$B65="",$D65="",$E65=""),"",IF(OR($D65="买入",$D65="定投",$D65="转入",$D65="转换转入"),ROUND(($E65-$F65)/$B65,6),IF($D65="卖出",ROUND(($E65+$F65)/$B65,6),"")))</x:f>
      </x:c>
      <x:c r="D65" s="38" t="n"/>
      <x:c r="E65" s="34" t="n"/>
      <x:c r="F65" s="35" t="str">
        <x:f>IF($E65="","",IF($D65="卖出","",ROUND($E65*参数!$B$4,2)))</x:f>
      </x:c>
    </x:row>
    <x:row r="66" s="1" customFormat="1" ht="23" customHeight="1">
      <x:c r="A66" s="36" t="n"/>
      <x:c r="B66" s="32" t="str">
        <x:f>IF($A66="","",IFERROR(VLOOKUP($A66,全部历史净值!$A:$B,2,FALSE),""))</x:f>
      </x:c>
      <x:c r="C66" s="45" t="str">
        <x:f>IF(OR($A66="",$B66="",$D66="",$E66=""),"",IF(OR($D66="买入",$D66="定投",$D66="转入",$D66="转换转入"),ROUND(($E66-$F66)/$B66,6),IF($D66="卖出",ROUND(($E66+$F66)/$B66,6),"")))</x:f>
      </x:c>
      <x:c r="D66" s="39" t="n"/>
      <x:c r="E66" s="37" t="n"/>
      <x:c r="F66" s="35" t="str">
        <x:f>IF($E66="","",IF($D66="卖出","",ROUND($E66*参数!$B$4,2)))</x:f>
      </x:c>
    </x:row>
    <x:row r="67" s="1" customFormat="1" ht="23" customHeight="1">
      <x:c r="A67" s="33" t="n"/>
      <x:c r="B67" s="32" t="str">
        <x:f>IF($A67="","",IFERROR(VLOOKUP($A67,全部历史净值!$A:$B,2,FALSE),""))</x:f>
      </x:c>
      <x:c r="C67" s="45" t="str">
        <x:f>IF(OR($A67="",$B67="",$D67="",$E67=""),"",IF(OR($D67="买入",$D67="定投",$D67="转入",$D67="转换转入"),ROUND(($E67-$F67)/$B67,6),IF($D67="卖出",ROUND(($E67+$F67)/$B67,6),"")))</x:f>
      </x:c>
      <x:c r="D67" s="38" t="n"/>
      <x:c r="E67" s="34" t="n"/>
      <x:c r="F67" s="35" t="str">
        <x:f>IF($E67="","",IF($D67="卖出","",ROUND($E67*参数!$B$4,2)))</x:f>
      </x:c>
    </x:row>
    <x:row r="68" s="1" customFormat="1" ht="23" customHeight="1">
      <x:c r="A68" s="36" t="n"/>
      <x:c r="B68" s="32" t="str">
        <x:f>IF($A68="","",IFERROR(VLOOKUP($A68,全部历史净值!$A:$B,2,FALSE),""))</x:f>
      </x:c>
      <x:c r="C68" s="45" t="str">
        <x:f>IF(OR($A68="",$B68="",$D68="",$E68=""),"",IF(OR($D68="买入",$D68="定投",$D68="转入",$D68="转换转入"),ROUND(($E68-$F68)/$B68,6),IF($D68="卖出",ROUND(($E68+$F68)/$B68,6),"")))</x:f>
      </x:c>
      <x:c r="D68" s="39" t="n"/>
      <x:c r="E68" s="37" t="n"/>
      <x:c r="F68" s="35" t="str">
        <x:f>IF($E68="","",IF($D68="卖出","",ROUND($E68*参数!$B$4,2)))</x:f>
      </x:c>
    </x:row>
    <x:row r="69" s="1" customFormat="1" ht="23" customHeight="1">
      <x:c r="A69" s="33" t="n"/>
      <x:c r="B69" s="32" t="str">
        <x:f>IF($A69="","",IFERROR(VLOOKUP($A69,全部历史净值!$A:$B,2,FALSE),""))</x:f>
      </x:c>
      <x:c r="C69" s="45" t="str">
        <x:f>IF(OR($A69="",$B69="",$D69="",$E69=""),"",IF(OR($D69="买入",$D69="定投",$D69="转入",$D69="转换转入"),ROUND(($E69-$F69)/$B69,6),IF($D69="卖出",ROUND(($E69+$F69)/$B69,6),"")))</x:f>
      </x:c>
      <x:c r="D69" s="38" t="n"/>
      <x:c r="E69" s="34" t="n"/>
      <x:c r="F69" s="35" t="str">
        <x:f>IF($E69="","",IF($D69="卖出","",ROUND($E69*参数!$B$4,2)))</x:f>
      </x:c>
    </x:row>
    <x:row r="70" s="1" customFormat="1" ht="23" customHeight="1">
      <x:c r="A70" s="36" t="n"/>
      <x:c r="B70" s="32" t="str">
        <x:f>IF($A70="","",IFERROR(VLOOKUP($A70,全部历史净值!$A:$B,2,FALSE),""))</x:f>
      </x:c>
      <x:c r="C70" s="45" t="str">
        <x:f>IF(OR($A70="",$B70="",$D70="",$E70=""),"",IF(OR($D70="买入",$D70="定投",$D70="转入",$D70="转换转入"),ROUND(($E70-$F70)/$B70,6),IF($D70="卖出",ROUND(($E70+$F70)/$B70,6),"")))</x:f>
      </x:c>
      <x:c r="D70" s="39" t="n"/>
      <x:c r="E70" s="37" t="n"/>
      <x:c r="F70" s="35" t="str">
        <x:f>IF($E70="","",IF($D70="卖出","",ROUND($E70*参数!$B$4,2)))</x:f>
      </x:c>
    </x:row>
    <x:row r="71" s="1" customFormat="1" ht="23" customHeight="1">
      <x:c r="A71" s="33" t="n"/>
      <x:c r="B71" s="32" t="str">
        <x:f>IF($A71="","",IFERROR(VLOOKUP($A71,全部历史净值!$A:$B,2,FALSE),""))</x:f>
      </x:c>
      <x:c r="C71" s="45" t="str">
        <x:f>IF(OR($A71="",$B71="",$D71="",$E71=""),"",IF(OR($D71="买入",$D71="定投",$D71="转入",$D71="转换转入"),ROUND(($E71-$F71)/$B71,6),IF($D71="卖出",ROUND(($E71+$F71)/$B71,6),"")))</x:f>
      </x:c>
      <x:c r="D71" s="38" t="n"/>
      <x:c r="E71" s="34" t="n"/>
      <x:c r="F71" s="35" t="str">
        <x:f>IF($E71="","",IF($D71="卖出","",ROUND($E71*参数!$B$4,2)))</x:f>
      </x:c>
    </x:row>
    <x:row r="72" s="1" customFormat="1" ht="23" customHeight="1">
      <x:c r="A72" s="36" t="n"/>
      <x:c r="B72" s="32" t="str">
        <x:f>IF($A72="","",IFERROR(VLOOKUP($A72,全部历史净值!$A:$B,2,FALSE),""))</x:f>
      </x:c>
      <x:c r="C72" s="45" t="str">
        <x:f>IF(OR($A72="",$B72="",$D72="",$E72=""),"",IF(OR($D72="买入",$D72="定投",$D72="转入",$D72="转换转入"),ROUND(($E72-$F72)/$B72,6),IF($D72="卖出",ROUND(($E72+$F72)/$B72,6),"")))</x:f>
      </x:c>
      <x:c r="D72" s="39" t="n"/>
      <x:c r="E72" s="37" t="n"/>
      <x:c r="F72" s="35" t="str">
        <x:f>IF($E72="","",IF($D72="卖出","",ROUND($E72*参数!$B$4,2)))</x:f>
      </x:c>
    </x:row>
    <x:row r="73" s="1" customFormat="1" ht="23" customHeight="1">
      <x:c r="A73" s="33" t="n"/>
      <x:c r="B73" s="32" t="str">
        <x:f>IF($A73="","",IFERROR(VLOOKUP($A73,全部历史净值!$A:$B,2,FALSE),""))</x:f>
      </x:c>
      <x:c r="C73" s="45" t="str">
        <x:f>IF(OR($A73="",$B73="",$D73="",$E73=""),"",IF(OR($D73="买入",$D73="定投",$D73="转入",$D73="转换转入"),ROUND(($E73-$F73)/$B73,6),IF($D73="卖出",ROUND(($E73+$F73)/$B73,6),"")))</x:f>
      </x:c>
      <x:c r="D73" s="38" t="n"/>
      <x:c r="E73" s="34" t="n"/>
      <x:c r="F73" s="35" t="str">
        <x:f>IF($E73="","",IF($D73="卖出","",ROUND($E73*参数!$B$4,2)))</x:f>
      </x:c>
    </x:row>
    <x:row r="74" s="1" customFormat="1" ht="23" customHeight="1">
      <x:c r="A74" s="36" t="n"/>
      <x:c r="B74" s="32" t="str">
        <x:f>IF($A74="","",IFERROR(VLOOKUP($A74,全部历史净值!$A:$B,2,FALSE),""))</x:f>
      </x:c>
      <x:c r="C74" s="45" t="str">
        <x:f>IF(OR($A74="",$B74="",$D74="",$E74=""),"",IF(OR($D74="买入",$D74="定投",$D74="转入",$D74="转换转入"),ROUND(($E74-$F74)/$B74,6),IF($D74="卖出",ROUND(($E74+$F74)/$B74,6),"")))</x:f>
      </x:c>
      <x:c r="D74" s="39" t="n"/>
      <x:c r="E74" s="37" t="n"/>
      <x:c r="F74" s="35" t="str">
        <x:f>IF($E74="","",IF($D74="卖出","",ROUND($E74*参数!$B$4,2)))</x:f>
      </x:c>
    </x:row>
    <x:row r="75" s="1" customFormat="1" ht="23" customHeight="1">
      <x:c r="A75" s="33" t="n"/>
      <x:c r="B75" s="32" t="str">
        <x:f>IF($A75="","",IFERROR(VLOOKUP($A75,全部历史净值!$A:$B,2,FALSE),""))</x:f>
      </x:c>
      <x:c r="C75" s="45" t="str">
        <x:f>IF(OR($A75="",$B75="",$D75="",$E75=""),"",IF(OR($D75="买入",$D75="定投",$D75="转入",$D75="转换转入"),ROUND(($E75-$F75)/$B75,6),IF($D75="卖出",ROUND(($E75+$F75)/$B75,6),"")))</x:f>
      </x:c>
      <x:c r="D75" s="38" t="n"/>
      <x:c r="E75" s="34" t="n"/>
      <x:c r="F75" s="35" t="str">
        <x:f>IF($E75="","",IF($D75="卖出","",ROUND($E75*参数!$B$4,2)))</x:f>
      </x:c>
    </x:row>
    <x:row r="76" s="1" customFormat="1" ht="23" customHeight="1">
      <x:c r="A76" s="36" t="n"/>
      <x:c r="B76" s="32" t="str">
        <x:f>IF($A76="","",IFERROR(VLOOKUP($A76,全部历史净值!$A:$B,2,FALSE),""))</x:f>
      </x:c>
      <x:c r="C76" s="45" t="str">
        <x:f>IF(OR($A76="",$B76="",$D76="",$E76=""),"",IF(OR($D76="买入",$D76="定投",$D76="转入",$D76="转换转入"),ROUND(($E76-$F76)/$B76,6),IF($D76="卖出",ROUND(($E76+$F76)/$B76,6),"")))</x:f>
      </x:c>
      <x:c r="D76" s="39" t="n"/>
      <x:c r="E76" s="37" t="n"/>
      <x:c r="F76" s="35" t="str">
        <x:f>IF($E76="","",IF($D76="卖出","",ROUND($E76*参数!$B$4,2)))</x:f>
      </x:c>
    </x:row>
    <x:row r="77" s="1" customFormat="1" ht="23" customHeight="1">
      <x:c r="A77" s="33" t="n"/>
      <x:c r="B77" s="32" t="str">
        <x:f>IF($A77="","",IFERROR(VLOOKUP($A77,全部历史净值!$A:$B,2,FALSE),""))</x:f>
      </x:c>
      <x:c r="C77" s="45" t="str">
        <x:f>IF(OR($A77="",$B77="",$D77="",$E77=""),"",IF(OR($D77="买入",$D77="定投",$D77="转入",$D77="转换转入"),ROUND(($E77-$F77)/$B77,6),IF($D77="卖出",ROUND(($E77+$F77)/$B77,6),"")))</x:f>
      </x:c>
      <x:c r="D77" s="38" t="n"/>
      <x:c r="E77" s="34" t="n"/>
      <x:c r="F77" s="35" t="str">
        <x:f>IF($E77="","",IF($D77="卖出","",ROUND($E77*参数!$B$4,2)))</x:f>
      </x:c>
    </x:row>
    <x:row r="78" s="1" customFormat="1" ht="23" customHeight="1">
      <x:c r="A78" s="36" t="n"/>
      <x:c r="B78" s="32" t="str">
        <x:f>IF($A78="","",IFERROR(VLOOKUP($A78,全部历史净值!$A:$B,2,FALSE),""))</x:f>
      </x:c>
      <x:c r="C78" s="45" t="str">
        <x:f>IF(OR($A78="",$B78="",$D78="",$E78=""),"",IF(OR($D78="买入",$D78="定投",$D78="转入",$D78="转换转入"),ROUND(($E78-$F78)/$B78,6),IF($D78="卖出",ROUND(($E78+$F78)/$B78,6),"")))</x:f>
      </x:c>
      <x:c r="D78" s="39" t="n"/>
      <x:c r="E78" s="37" t="n"/>
      <x:c r="F78" s="35" t="str">
        <x:f>IF($E78="","",IF($D78="卖出","",ROUND($E78*参数!$B$4,2)))</x:f>
      </x:c>
    </x:row>
    <x:row r="79" s="1" customFormat="1" ht="23" customHeight="1">
      <x:c r="A79" s="33" t="n"/>
      <x:c r="B79" s="32" t="str">
        <x:f>IF($A79="","",IFERROR(VLOOKUP($A79,全部历史净值!$A:$B,2,FALSE),""))</x:f>
      </x:c>
      <x:c r="C79" s="45" t="str">
        <x:f>IF(OR($A79="",$B79="",$D79="",$E79=""),"",IF(OR($D79="买入",$D79="定投",$D79="转入",$D79="转换转入"),ROUND(($E79-$F79)/$B79,6),IF($D79="卖出",ROUND(($E79+$F79)/$B79,6),"")))</x:f>
      </x:c>
      <x:c r="D79" s="38" t="n"/>
      <x:c r="E79" s="34" t="n"/>
      <x:c r="F79" s="35" t="str">
        <x:f>IF($E79="","",IF($D79="卖出","",ROUND($E79*参数!$B$4,2)))</x:f>
      </x:c>
    </x:row>
    <x:row r="80" s="1" customFormat="1" ht="23" customHeight="1">
      <x:c r="A80" s="36" t="n"/>
      <x:c r="B80" s="32" t="str">
        <x:f>IF($A80="","",IFERROR(VLOOKUP($A80,全部历史净值!$A:$B,2,FALSE),""))</x:f>
      </x:c>
      <x:c r="C80" s="45" t="str">
        <x:f>IF(OR($A80="",$B80="",$D80="",$E80=""),"",IF(OR($D80="买入",$D80="定投",$D80="转入",$D80="转换转入"),ROUND(($E80-$F80)/$B80,6),IF($D80="卖出",ROUND(($E80+$F80)/$B80,6),"")))</x:f>
      </x:c>
      <x:c r="D80" s="39" t="n"/>
      <x:c r="E80" s="37" t="n"/>
      <x:c r="F80" s="35" t="str">
        <x:f>IF($E80="","",IF($D80="卖出","",ROUND($E80*参数!$B$4,2)))</x:f>
      </x:c>
    </x:row>
    <x:row r="81" s="1" customFormat="1" ht="23" customHeight="1">
      <x:c r="A81" s="33" t="n"/>
      <x:c r="B81" s="32" t="str">
        <x:f>IF($A81="","",IFERROR(VLOOKUP($A81,全部历史净值!$A:$B,2,FALSE),""))</x:f>
      </x:c>
      <x:c r="C81" s="45" t="str">
        <x:f>IF(OR($A81="",$B81="",$D81="",$E81=""),"",IF(OR($D81="买入",$D81="定投",$D81="转入",$D81="转换转入"),ROUND(($E81-$F81)/$B81,6),IF($D81="卖出",ROUND(($E81+$F81)/$B81,6),"")))</x:f>
      </x:c>
      <x:c r="D81" s="38" t="n"/>
      <x:c r="E81" s="34" t="n"/>
      <x:c r="F81" s="35" t="str">
        <x:f>IF($E81="","",IF($D81="卖出","",ROUND($E81*参数!$B$4,2)))</x:f>
      </x:c>
    </x:row>
    <x:row r="82" s="1" customFormat="1" ht="23" customHeight="1">
      <x:c r="A82" s="36" t="n"/>
      <x:c r="B82" s="32" t="str">
        <x:f>IF($A82="","",IFERROR(VLOOKUP($A82,全部历史净值!$A:$B,2,FALSE),""))</x:f>
      </x:c>
      <x:c r="C82" s="45" t="str">
        <x:f>IF(OR($A82="",$B82="",$D82="",$E82=""),"",IF(OR($D82="买入",$D82="定投",$D82="转入",$D82="转换转入"),ROUND(($E82-$F82)/$B82,6),IF($D82="卖出",ROUND(($E82+$F82)/$B82,6),"")))</x:f>
      </x:c>
      <x:c r="D82" s="39" t="n"/>
      <x:c r="E82" s="37" t="n"/>
      <x:c r="F82" s="35" t="str">
        <x:f>IF($E82="","",IF($D82="卖出","",ROUND($E82*参数!$B$4,2)))</x:f>
      </x:c>
    </x:row>
    <x:row r="83" s="1" customFormat="1" ht="23" customHeight="1">
      <x:c r="A83" s="33" t="n"/>
      <x:c r="B83" s="32" t="str">
        <x:f>IF($A83="","",IFERROR(VLOOKUP($A83,全部历史净值!$A:$B,2,FALSE),""))</x:f>
      </x:c>
      <x:c r="C83" s="45" t="str">
        <x:f>IF(OR($A83="",$B83="",$D83="",$E83=""),"",IF(OR($D83="买入",$D83="定投",$D83="转入",$D83="转换转入"),ROUND(($E83-$F83)/$B83,6),IF($D83="卖出",ROUND(($E83+$F83)/$B83,6),"")))</x:f>
      </x:c>
      <x:c r="D83" s="38" t="n"/>
      <x:c r="E83" s="34" t="n"/>
      <x:c r="F83" s="35" t="str">
        <x:f>IF($E83="","",IF($D83="卖出","",ROUND($E83*参数!$B$4,2)))</x:f>
      </x:c>
    </x:row>
    <x:row r="84" s="1" customFormat="1" ht="23" customHeight="1">
      <x:c r="A84" s="36" t="n"/>
      <x:c r="B84" s="32" t="str">
        <x:f>IF($A84="","",IFERROR(VLOOKUP($A84,全部历史净值!$A:$B,2,FALSE),""))</x:f>
      </x:c>
      <x:c r="C84" s="45" t="str">
        <x:f>IF(OR($A84="",$B84="",$D84="",$E84=""),"",IF(OR($D84="买入",$D84="定投",$D84="转入",$D84="转换转入"),ROUND(($E84-$F84)/$B84,6),IF($D84="卖出",ROUND(($E84+$F84)/$B84,6),"")))</x:f>
      </x:c>
      <x:c r="D84" s="39" t="n"/>
      <x:c r="E84" s="37" t="n"/>
      <x:c r="F84" s="35" t="str">
        <x:f>IF($E84="","",IF($D84="卖出","",ROUND($E84*参数!$B$4,2)))</x:f>
      </x:c>
    </x:row>
    <x:row r="85" s="1" customFormat="1" ht="23" customHeight="1">
      <x:c r="A85" s="33" t="n"/>
      <x:c r="B85" s="32" t="str">
        <x:f>IF($A85="","",IFERROR(VLOOKUP($A85,全部历史净值!$A:$B,2,FALSE),""))</x:f>
      </x:c>
      <x:c r="C85" s="45" t="str">
        <x:f>IF(OR($A85="",$B85="",$D85="",$E85=""),"",IF(OR($D85="买入",$D85="定投",$D85="转入",$D85="转换转入"),ROUND(($E85-$F85)/$B85,6),IF($D85="卖出",ROUND(($E85+$F85)/$B85,6),"")))</x:f>
      </x:c>
      <x:c r="D85" s="38" t="n"/>
      <x:c r="E85" s="34" t="n"/>
      <x:c r="F85" s="35" t="str">
        <x:f>IF($E85="","",IF($D85="卖出","",ROUND($E85*参数!$B$4,2)))</x:f>
      </x:c>
    </x:row>
    <x:row r="86" s="1" customFormat="1" ht="23" customHeight="1">
      <x:c r="A86" s="36" t="n"/>
      <x:c r="B86" s="32" t="str">
        <x:f>IF($A86="","",IFERROR(VLOOKUP($A86,全部历史净值!$A:$B,2,FALSE),""))</x:f>
      </x:c>
      <x:c r="C86" s="45" t="str">
        <x:f>IF(OR($A86="",$B86="",$D86="",$E86=""),"",IF(OR($D86="买入",$D86="定投",$D86="转入",$D86="转换转入"),ROUND(($E86-$F86)/$B86,6),IF($D86="卖出",ROUND(($E86+$F86)/$B86,6),"")))</x:f>
      </x:c>
      <x:c r="D86" s="39" t="n"/>
      <x:c r="E86" s="37" t="n"/>
      <x:c r="F86" s="35" t="str">
        <x:f>IF($E86="","",IF($D86="卖出","",ROUND($E86*参数!$B$4,2)))</x:f>
      </x:c>
    </x:row>
    <x:row r="87" s="1" customFormat="1" ht="23" customHeight="1">
      <x:c r="A87" s="33" t="n"/>
      <x:c r="B87" s="32" t="str">
        <x:f>IF($A87="","",IFERROR(VLOOKUP($A87,全部历史净值!$A:$B,2,FALSE),""))</x:f>
      </x:c>
      <x:c r="C87" s="45" t="str">
        <x:f>IF(OR($A87="",$B87="",$D87="",$E87=""),"",IF(OR($D87="买入",$D87="定投",$D87="转入",$D87="转换转入"),ROUND(($E87-$F87)/$B87,6),IF($D87="卖出",ROUND(($E87+$F87)/$B87,6),"")))</x:f>
      </x:c>
      <x:c r="D87" s="38" t="n"/>
      <x:c r="E87" s="34" t="n"/>
      <x:c r="F87" s="35" t="str">
        <x:f>IF($E87="","",IF($D87="卖出","",ROUND($E87*参数!$B$4,2)))</x:f>
      </x:c>
    </x:row>
    <x:row r="88" s="1" customFormat="1" ht="23" customHeight="1">
      <x:c r="A88" s="36" t="n"/>
      <x:c r="B88" s="32" t="str">
        <x:f>IF($A88="","",IFERROR(VLOOKUP($A88,全部历史净值!$A:$B,2,FALSE),""))</x:f>
      </x:c>
      <x:c r="C88" s="45" t="str">
        <x:f>IF(OR($A88="",$B88="",$D88="",$E88=""),"",IF(OR($D88="买入",$D88="定投",$D88="转入",$D88="转换转入"),ROUND(($E88-$F88)/$B88,6),IF($D88="卖出",ROUND(($E88+$F88)/$B88,6),"")))</x:f>
      </x:c>
      <x:c r="D88" s="39" t="n"/>
      <x:c r="E88" s="37" t="n"/>
      <x:c r="F88" s="35" t="str">
        <x:f>IF($E88="","",IF($D88="卖出","",ROUND($E88*参数!$B$4,2)))</x:f>
      </x:c>
    </x:row>
    <x:row r="89" s="1" customFormat="1" ht="23" customHeight="1">
      <x:c r="A89" s="33" t="n"/>
      <x:c r="B89" s="32" t="str">
        <x:f>IF($A89="","",IFERROR(VLOOKUP($A89,全部历史净值!$A:$B,2,FALSE),""))</x:f>
      </x:c>
      <x:c r="C89" s="45" t="str">
        <x:f>IF(OR($A89="",$B89="",$D89="",$E89=""),"",IF(OR($D89="买入",$D89="定投",$D89="转入",$D89="转换转入"),ROUND(($E89-$F89)/$B89,6),IF($D89="卖出",ROUND(($E89+$F89)/$B89,6),"")))</x:f>
      </x:c>
      <x:c r="D89" s="38" t="n"/>
      <x:c r="E89" s="34" t="n"/>
      <x:c r="F89" s="35" t="str">
        <x:f>IF($E89="","",IF($D89="卖出","",ROUND($E89*参数!$B$4,2)))</x:f>
      </x:c>
    </x:row>
    <x:row r="90" s="1" customFormat="1" ht="23" customHeight="1">
      <x:c r="A90" s="36" t="n"/>
      <x:c r="B90" s="32" t="str">
        <x:f>IF($A90="","",IFERROR(VLOOKUP($A90,全部历史净值!$A:$B,2,FALSE),""))</x:f>
      </x:c>
      <x:c r="C90" s="45" t="str">
        <x:f>IF(OR($A90="",$B90="",$D90="",$E90=""),"",IF(OR($D90="买入",$D90="定投",$D90="转入",$D90="转换转入"),ROUND(($E90-$F90)/$B90,6),IF($D90="卖出",ROUND(($E90+$F90)/$B90,6),"")))</x:f>
      </x:c>
      <x:c r="D90" s="39" t="n"/>
      <x:c r="E90" s="37" t="n"/>
      <x:c r="F90" s="35" t="str">
        <x:f>IF($E90="","",IF($D90="卖出","",ROUND($E90*参数!$B$4,2)))</x:f>
      </x:c>
    </x:row>
    <x:row r="91" s="1" customFormat="1" ht="23" customHeight="1">
      <x:c r="A91" s="33" t="n"/>
      <x:c r="B91" s="32" t="str">
        <x:f>IF($A91="","",IFERROR(VLOOKUP($A91,全部历史净值!$A:$B,2,FALSE),""))</x:f>
      </x:c>
      <x:c r="C91" s="45" t="str">
        <x:f>IF(OR($A91="",$B91="",$D91="",$E91=""),"",IF(OR($D91="买入",$D91="定投",$D91="转入",$D91="转换转入"),ROUND(($E91-$F91)/$B91,6),IF($D91="卖出",ROUND(($E91+$F91)/$B91,6),"")))</x:f>
      </x:c>
      <x:c r="D91" s="38" t="n"/>
      <x:c r="E91" s="34" t="n"/>
      <x:c r="F91" s="35" t="str">
        <x:f>IF($E91="","",IF($D91="卖出","",ROUND($E91*参数!$B$4,2)))</x:f>
      </x:c>
    </x:row>
    <x:row r="92" s="1" customFormat="1" ht="23" customHeight="1">
      <x:c r="A92" s="36" t="n"/>
      <x:c r="B92" s="32" t="str">
        <x:f>IF($A92="","",IFERROR(VLOOKUP($A92,全部历史净值!$A:$B,2,FALSE),""))</x:f>
      </x:c>
      <x:c r="C92" s="45" t="str">
        <x:f>IF(OR($A92="",$B92="",$D92="",$E92=""),"",IF(OR($D92="买入",$D92="定投",$D92="转入",$D92="转换转入"),ROUND(($E92-$F92)/$B92,6),IF($D92="卖出",ROUND(($E92+$F92)/$B92,6),"")))</x:f>
      </x:c>
      <x:c r="D92" s="39" t="n"/>
      <x:c r="E92" s="37" t="n"/>
      <x:c r="F92" s="35" t="str">
        <x:f>IF($E92="","",IF($D92="卖出","",ROUND($E92*参数!$B$4,2)))</x:f>
      </x:c>
    </x:row>
    <x:row r="93" s="1" customFormat="1" ht="23" customHeight="1">
      <x:c r="A93" s="33" t="n"/>
      <x:c r="B93" s="32" t="str">
        <x:f>IF($A93="","",IFERROR(VLOOKUP($A93,全部历史净值!$A:$B,2,FALSE),""))</x:f>
      </x:c>
      <x:c r="C93" s="45" t="str">
        <x:f>IF(OR($A93="",$B93="",$D93="",$E93=""),"",IF(OR($D93="买入",$D93="定投",$D93="转入",$D93="转换转入"),ROUND(($E93-$F93)/$B93,6),IF($D93="卖出",ROUND(($E93+$F93)/$B93,6),"")))</x:f>
      </x:c>
      <x:c r="D93" s="38" t="n"/>
      <x:c r="E93" s="34" t="n"/>
      <x:c r="F93" s="35" t="str">
        <x:f>IF($E93="","",IF($D93="卖出","",ROUND($E93*参数!$B$4,2)))</x:f>
      </x:c>
    </x:row>
    <x:row r="94" s="1" customFormat="1" ht="23" customHeight="1">
      <x:c r="A94" s="36" t="n"/>
      <x:c r="B94" s="32" t="str">
        <x:f>IF($A94="","",IFERROR(VLOOKUP($A94,全部历史净值!$A:$B,2,FALSE),""))</x:f>
      </x:c>
      <x:c r="C94" s="45" t="str">
        <x:f>IF(OR($A94="",$B94="",$D94="",$E94=""),"",IF(OR($D94="买入",$D94="定投",$D94="转入",$D94="转换转入"),ROUND(($E94-$F94)/$B94,6),IF($D94="卖出",ROUND(($E94+$F94)/$B94,6),"")))</x:f>
      </x:c>
      <x:c r="D94" s="39" t="n"/>
      <x:c r="E94" s="37" t="n"/>
      <x:c r="F94" s="35" t="str">
        <x:f>IF($E94="","",IF($D94="卖出","",ROUND($E94*参数!$B$4,2)))</x:f>
      </x:c>
    </x:row>
    <x:row r="95" s="1" customFormat="1" ht="23" customHeight="1">
      <x:c r="A95" s="33" t="n"/>
      <x:c r="B95" s="32" t="str">
        <x:f>IF($A95="","",IFERROR(VLOOKUP($A95,全部历史净值!$A:$B,2,FALSE),""))</x:f>
      </x:c>
      <x:c r="C95" s="45" t="str">
        <x:f>IF(OR($A95="",$B95="",$D95="",$E95=""),"",IF(OR($D95="买入",$D95="定投",$D95="转入",$D95="转换转入"),ROUND(($E95-$F95)/$B95,6),IF($D95="卖出",ROUND(($E95+$F95)/$B95,6),"")))</x:f>
      </x:c>
      <x:c r="D95" s="38" t="n"/>
      <x:c r="E95" s="34" t="n"/>
      <x:c r="F95" s="35" t="str">
        <x:f>IF($E95="","",IF($D95="卖出","",ROUND($E95*参数!$B$4,2)))</x:f>
      </x:c>
    </x:row>
    <x:row r="96" s="1" customFormat="1" ht="23" customHeight="1">
      <x:c r="A96" s="36" t="n"/>
      <x:c r="B96" s="32" t="str">
        <x:f>IF($A96="","",IFERROR(VLOOKUP($A96,全部历史净值!$A:$B,2,FALSE),""))</x:f>
      </x:c>
      <x:c r="C96" s="45" t="str">
        <x:f>IF(OR($A96="",$B96="",$D96="",$E96=""),"",IF(OR($D96="买入",$D96="定投",$D96="转入",$D96="转换转入"),ROUND(($E96-$F96)/$B96,6),IF($D96="卖出",ROUND(($E96+$F96)/$B96,6),"")))</x:f>
      </x:c>
      <x:c r="D96" s="39" t="n"/>
      <x:c r="E96" s="37" t="n"/>
      <x:c r="F96" s="35" t="str">
        <x:f>IF($E96="","",IF($D96="卖出","",ROUND($E96*参数!$B$4,2)))</x:f>
      </x:c>
    </x:row>
    <x:row r="97" s="1" customFormat="1" ht="23" customHeight="1">
      <x:c r="A97" s="33" t="n"/>
      <x:c r="B97" s="32" t="str">
        <x:f>IF($A97="","",IFERROR(VLOOKUP($A97,全部历史净值!$A:$B,2,FALSE),""))</x:f>
      </x:c>
      <x:c r="C97" s="45" t="str">
        <x:f>IF(OR($A97="",$B97="",$D97="",$E97=""),"",IF(OR($D97="买入",$D97="定投",$D97="转入",$D97="转换转入"),ROUND(($E97-$F97)/$B97,6),IF($D97="卖出",ROUND(($E97+$F97)/$B97,6),"")))</x:f>
      </x:c>
      <x:c r="D97" s="38" t="n"/>
      <x:c r="E97" s="34" t="n"/>
      <x:c r="F97" s="35" t="str">
        <x:f>IF($E97="","",IF($D97="卖出","",ROUND($E97*参数!$B$4,2)))</x:f>
      </x:c>
    </x:row>
    <x:row r="98" s="1" customFormat="1" ht="23" customHeight="1">
      <x:c r="A98" s="36" t="n"/>
      <x:c r="B98" s="32" t="str">
        <x:f>IF($A98="","",IFERROR(VLOOKUP($A98,全部历史净值!$A:$B,2,FALSE),""))</x:f>
      </x:c>
      <x:c r="C98" s="45" t="str">
        <x:f>IF(OR($A98="",$B98="",$D98="",$E98=""),"",IF(OR($D98="买入",$D98="定投",$D98="转入",$D98="转换转入"),ROUND(($E98-$F98)/$B98,6),IF($D98="卖出",ROUND(($E98+$F98)/$B98,6),"")))</x:f>
      </x:c>
      <x:c r="D98" s="39" t="n"/>
      <x:c r="E98" s="37" t="n"/>
      <x:c r="F98" s="35" t="str">
        <x:f>IF($E98="","",IF($D98="卖出","",ROUND($E98*参数!$B$4,2)))</x:f>
      </x:c>
    </x:row>
    <x:row r="99" s="1" customFormat="1" ht="23" customHeight="1">
      <x:c r="A99" s="33" t="n"/>
      <x:c r="B99" s="32" t="str">
        <x:f>IF($A99="","",IFERROR(VLOOKUP($A99,全部历史净值!$A:$B,2,FALSE),""))</x:f>
      </x:c>
      <x:c r="C99" s="45" t="str">
        <x:f>IF(OR($A99="",$B99="",$D99="",$E99=""),"",IF(OR($D99="买入",$D99="定投",$D99="转入",$D99="转换转入"),ROUND(($E99-$F99)/$B99,6),IF($D99="卖出",ROUND(($E99+$F99)/$B99,6),"")))</x:f>
      </x:c>
      <x:c r="D99" s="38" t="n"/>
      <x:c r="E99" s="34" t="n"/>
      <x:c r="F99" s="35" t="str">
        <x:f>IF($E99="","",IF($D99="卖出","",ROUND($E99*参数!$B$4,2)))</x:f>
      </x:c>
    </x:row>
    <x:row r="100" s="1" customFormat="1" ht="23" customHeight="1">
      <x:c r="A100" s="36" t="n"/>
      <x:c r="B100" s="32" t="str">
        <x:f>IF($A100="","",IFERROR(VLOOKUP($A100,全部历史净值!$A:$B,2,FALSE),""))</x:f>
      </x:c>
      <x:c r="C100" s="45" t="str">
        <x:f>IF(OR($A100="",$B100="",$D100="",$E100=""),"",IF(OR($D100="买入",$D100="定投",$D100="转入",$D100="转换转入"),ROUND(($E100-$F100)/$B100,6),IF($D100="卖出",ROUND(($E100+$F100)/$B100,6),"")))</x:f>
      </x:c>
      <x:c r="D100" s="39" t="n"/>
      <x:c r="E100" s="37" t="n"/>
      <x:c r="F100" s="35" t="str">
        <x:f>IF($E100="","",IF($D100="卖出","",ROUND($E100*参数!$B$4,2)))</x:f>
      </x:c>
    </x:row>
    <x:row r="101" s="1" customFormat="1" ht="23" customHeight="1">
      <x:c r="A101" s="33" t="n"/>
      <x:c r="B101" s="32" t="str">
        <x:f>IF($A101="","",IFERROR(VLOOKUP($A101,全部历史净值!$A:$B,2,FALSE),""))</x:f>
      </x:c>
      <x:c r="C101" s="45" t="str">
        <x:f>IF(OR($A101="",$B101="",$D101="",$E101=""),"",IF(OR($D101="买入",$D101="定投",$D101="转入",$D101="转换转入"),ROUND(($E101-$F101)/$B101,6),IF($D101="卖出",ROUND(($E101+$F101)/$B101,6),"")))</x:f>
      </x:c>
      <x:c r="D101" s="38" t="n"/>
      <x:c r="E101" s="34" t="n"/>
      <x:c r="F101" s="35" t="str">
        <x:f>IF($E101="","",IF($D101="卖出","",ROUND($E101*参数!$B$4,2)))</x:f>
      </x:c>
    </x:row>
    <x:row r="102" s="1" customFormat="1" ht="23" customHeight="1">
      <x:c r="A102" s="36" t="n"/>
      <x:c r="B102" s="32" t="str">
        <x:f>IF($A102="","",IFERROR(VLOOKUP($A102,全部历史净值!$A:$B,2,FALSE),""))</x:f>
      </x:c>
      <x:c r="C102" s="45" t="str">
        <x:f>IF(OR($A102="",$B102="",$D102="",$E102=""),"",IF(OR($D102="买入",$D102="定投",$D102="转入",$D102="转换转入"),ROUND(($E102-$F102)/$B102,6),IF($D102="卖出",ROUND(($E102+$F102)/$B102,6),"")))</x:f>
      </x:c>
      <x:c r="D102" s="39" t="n"/>
      <x:c r="E102" s="37" t="n"/>
      <x:c r="F102" s="35" t="str">
        <x:f>IF($E102="","",IF($D102="卖出","",ROUND($E102*参数!$B$4,2)))</x:f>
      </x:c>
    </x:row>
    <x:row r="103" s="1" customFormat="1" ht="23" customHeight="1">
      <x:c r="A103" s="33" t="n"/>
      <x:c r="B103" s="32" t="str">
        <x:f>IF($A103="","",IFERROR(VLOOKUP($A103,全部历史净值!$A:$B,2,FALSE),""))</x:f>
      </x:c>
      <x:c r="C103" s="45" t="str">
        <x:f>IF(OR($A103="",$B103="",$D103="",$E103=""),"",IF(OR($D103="买入",$D103="定投",$D103="转入",$D103="转换转入"),ROUND(($E103-$F103)/$B103,6),IF($D103="卖出",ROUND(($E103+$F103)/$B103,6),"")))</x:f>
      </x:c>
      <x:c r="D103" s="38" t="n"/>
      <x:c r="E103" s="34" t="n"/>
      <x:c r="F103" s="35" t="str">
        <x:f>IF($E103="","",IF($D103="卖出","",ROUND($E103*参数!$B$4,2)))</x:f>
      </x:c>
    </x:row>
    <x:row r="104" s="1" customFormat="1" ht="23" customHeight="1">
      <x:c r="A104" s="36" t="n"/>
      <x:c r="B104" s="32" t="str">
        <x:f>IF($A104="","",IFERROR(VLOOKUP($A104,全部历史净值!$A:$B,2,FALSE),""))</x:f>
      </x:c>
      <x:c r="C104" s="45" t="str">
        <x:f>IF(OR($A104="",$B104="",$D104="",$E104=""),"",IF(OR($D104="买入",$D104="定投",$D104="转入",$D104="转换转入"),ROUND(($E104-$F104)/$B104,6),IF($D104="卖出",ROUND(($E104+$F104)/$B104,6),"")))</x:f>
      </x:c>
      <x:c r="D104" s="39" t="n"/>
      <x:c r="E104" s="37" t="n"/>
      <x:c r="F104" s="35" t="str">
        <x:f>IF($E104="","",IF($D104="卖出","",ROUND($E104*参数!$B$4,2)))</x:f>
      </x:c>
    </x:row>
    <x:row r="105" s="1" customFormat="1" ht="23" customHeight="1">
      <x:c r="A105" s="33" t="n"/>
      <x:c r="B105" s="32" t="str">
        <x:f>IF($A105="","",IFERROR(VLOOKUP($A105,全部历史净值!$A:$B,2,FALSE),""))</x:f>
      </x:c>
      <x:c r="C105" s="45" t="str">
        <x:f>IF(OR($A105="",$B105="",$D105="",$E105=""),"",IF(OR($D105="买入",$D105="定投",$D105="转入",$D105="转换转入"),ROUND(($E105-$F105)/$B105,6),IF($D105="卖出",ROUND(($E105+$F105)/$B105,6),"")))</x:f>
      </x:c>
      <x:c r="D105" s="38" t="n"/>
      <x:c r="E105" s="34" t="n"/>
      <x:c r="F105" s="35" t="str">
        <x:f>IF($E105="","",IF($D105="卖出","",ROUND($E105*参数!$B$4,2)))</x:f>
      </x:c>
    </x:row>
    <x:row r="106" s="1" customFormat="1" ht="23" customHeight="1">
      <x:c r="A106" s="36" t="n"/>
      <x:c r="B106" s="32" t="str">
        <x:f>IF($A106="","",IFERROR(VLOOKUP($A106,全部历史净值!$A:$B,2,FALSE),""))</x:f>
      </x:c>
      <x:c r="C106" s="45" t="str">
        <x:f>IF(OR($A106="",$B106="",$D106="",$E106=""),"",IF(OR($D106="买入",$D106="定投",$D106="转入",$D106="转换转入"),ROUND(($E106-$F106)/$B106,6),IF($D106="卖出",ROUND(($E106+$F106)/$B106,6),"")))</x:f>
      </x:c>
      <x:c r="D106" s="39" t="n"/>
      <x:c r="E106" s="37" t="n"/>
      <x:c r="F106" s="35" t="str">
        <x:f>IF($E106="","",IF($D106="卖出","",ROUND($E106*参数!$B$4,2)))</x:f>
      </x:c>
    </x:row>
  </x:sheetData>
  <x:dataValidations count="1">
    <x:dataValidation type="list" allowBlank="0" showDropDown="0" showInputMessage="0" showErrorMessage="0" sqref="D2:D106">
      <x:formula1>"买入,卖出,转入"</x:formula1>
    </x:dataValidation>
  </x:dataValidations>
  <x:pageMargins left="0.7" right="0.7" top="0.75" bottom="0.75" header="0.3" footer="0.3"/>
  <x:legacyDrawing xmlns:r="http://schemas.openxmlformats.org/officeDocument/2006/relationships" r:id="Rf62c1c810bdf42d9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4.25"/>
  <x:cols>
    <x:col min="1" max="1" width="18" style="1" customWidth="1"/>
    <x:col min="2" max="3" width="22" style="1" customWidth="1"/>
  </x:cols>
  <x:sheetData>
    <x:row r="1" s="1" customFormat="1" ht="26" customHeight="1">
      <x:c r="A1" s="5" t="inlineStr">
        <x:is>
          <x:t xml:space="preserve">日期</x:t>
        </x:is>
      </x:c>
      <x:c r="B1" s="5" t="inlineStr">
        <x:is>
          <x:t xml:space="preserve">净值</x:t>
        </x:is>
      </x:c>
      <x:c r="C1" s="5" t="inlineStr">
        <x:is>
          <x:t xml:space="preserve">日增长率</x:t>
        </x:is>
      </x:c>
    </x:row>
    <x:row r="2" s="1" customFormat="1" ht="20" customHeight="1">
      <x:c r="A2" s="40" t="n">
        <x:v>45000</x:v>
      </x:c>
      <x:c r="B2" s="41" t="n">
        <x:v>1</x:v>
      </x:c>
      <x:c r="C2" s="42" t="n"/>
    </x:row>
    <x:row r="3" s="1" customFormat="1" ht="20" customHeight="1">
      <x:c r="A3" s="40" t="n">
        <x:v>45001</x:v>
      </x:c>
      <x:c r="B3" s="41" t="n">
        <x:v>0.9999</x:v>
      </x:c>
      <x:c r="C3" s="42" t="n">
        <x:v>-0.0001</x:v>
      </x:c>
    </x:row>
    <x:row r="4" s="1" customFormat="1" ht="20" customHeight="1">
      <x:c r="A4" s="40" t="n">
        <x:v>45008</x:v>
      </x:c>
      <x:c r="B4" s="41" t="n">
        <x:v>0.9996</x:v>
      </x:c>
      <x:c r="C4" s="42" t="n"/>
    </x:row>
    <x:row r="5" s="1" customFormat="1" ht="20" customHeight="1">
      <x:c r="A5" s="40" t="n">
        <x:v>45015</x:v>
      </x:c>
      <x:c r="B5" s="41" t="n">
        <x:v>0.9992</x:v>
      </x:c>
      <x:c r="C5" s="42" t="n"/>
    </x:row>
    <x:row r="6" s="1" customFormat="1" ht="20" customHeight="1">
      <x:c r="A6" s="40" t="n">
        <x:v>45022</x:v>
      </x:c>
      <x:c r="B6" s="41" t="n">
        <x:v>0.9988</x:v>
      </x:c>
      <x:c r="C6" s="42" t="n"/>
    </x:row>
    <x:row r="7" s="1" customFormat="1" ht="20" customHeight="1">
      <x:c r="A7" s="40" t="n">
        <x:v>45029</x:v>
      </x:c>
      <x:c r="B7" s="41" t="n">
        <x:v>0.997</x:v>
      </x:c>
      <x:c r="C7" s="42" t="n"/>
    </x:row>
    <x:row r="8" s="1" customFormat="1" ht="20" customHeight="1">
      <x:c r="A8" s="40" t="n">
        <x:v>45036</x:v>
      </x:c>
      <x:c r="B8" s="41" t="n">
        <x:v>0.9989</x:v>
      </x:c>
      <x:c r="C8" s="42" t="n"/>
    </x:row>
    <x:row r="9" s="1" customFormat="1" ht="20" customHeight="1">
      <x:c r="A9" s="40" t="n">
        <x:v>45043</x:v>
      </x:c>
      <x:c r="B9" s="41" t="n">
        <x:v>1.0006</x:v>
      </x:c>
      <x:c r="C9" s="42" t="n"/>
    </x:row>
    <x:row r="10" s="1" customFormat="1" ht="20" customHeight="1">
      <x:c r="A10" s="40" t="n">
        <x:v>45050</x:v>
      </x:c>
      <x:c r="B10" s="41" t="n">
        <x:v>0.9961</x:v>
      </x:c>
      <x:c r="C10" s="42" t="n"/>
    </x:row>
    <x:row r="11" s="1" customFormat="1" ht="20" customHeight="1">
      <x:c r="A11" s="40" t="n">
        <x:v>45057</x:v>
      </x:c>
      <x:c r="B11" s="41" t="n">
        <x:v>0.9913999999999999</x:v>
      </x:c>
      <x:c r="C11" s="42" t="n"/>
    </x:row>
    <x:row r="12" s="1" customFormat="1" ht="20" customHeight="1">
      <x:c r="A12" s="40" t="n">
        <x:v>45064</x:v>
      </x:c>
      <x:c r="B12" s="41" t="n">
        <x:v>1.0141</x:v>
      </x:c>
      <x:c r="C12" s="42" t="n"/>
    </x:row>
    <x:row r="13" s="1" customFormat="1" ht="20" customHeight="1">
      <x:c r="A13" s="40" t="n">
        <x:v>45071</x:v>
      </x:c>
      <x:c r="B13" s="41" t="n">
        <x:v>1.023</x:v>
      </x:c>
      <x:c r="C13" s="42" t="n"/>
    </x:row>
    <x:row r="14" s="1" customFormat="1" ht="20" customHeight="1">
      <x:c r="A14" s="40" t="n">
        <x:v>45078</x:v>
      </x:c>
      <x:c r="B14" s="41" t="n">
        <x:v>1.0515</x:v>
      </x:c>
      <x:c r="C14" s="42" t="n"/>
    </x:row>
    <x:row r="15" s="1" customFormat="1" ht="20" customHeight="1">
      <x:c r="A15" s="40" t="n">
        <x:v>45085</x:v>
      </x:c>
      <x:c r="B15" s="41" t="n">
        <x:v>1.0613</x:v>
      </x:c>
      <x:c r="C15" s="42" t="n"/>
    </x:row>
    <x:row r="16" s="1" customFormat="1" ht="20" customHeight="1">
      <x:c r="A16" s="40" t="n">
        <x:v>45089</x:v>
      </x:c>
      <x:c r="B16" s="41" t="n">
        <x:v>1.0784</x:v>
      </x:c>
      <x:c r="C16" s="42" t="n"/>
    </x:row>
    <x:row r="17" s="1" customFormat="1" ht="20" customHeight="1">
      <x:c r="A17" s="40" t="n">
        <x:v>45090</x:v>
      </x:c>
      <x:c r="B17" s="41" t="n">
        <x:v>1.0924</x:v>
      </x:c>
      <x:c r="C17" s="42" t="n">
        <x:v>0.013</x:v>
      </x:c>
    </x:row>
    <x:row r="18" s="1" customFormat="1" ht="20" customHeight="1">
      <x:c r="A18" s="40" t="n">
        <x:v>45091</x:v>
      </x:c>
      <x:c r="B18" s="41" t="n">
        <x:v>1.1002</x:v>
      </x:c>
      <x:c r="C18" s="42" t="n">
        <x:v>0.0071</x:v>
      </x:c>
    </x:row>
    <x:row r="19" s="1" customFormat="1" ht="20" customHeight="1">
      <x:c r="A19" s="40" t="n">
        <x:v>45092</x:v>
      </x:c>
      <x:c r="B19" s="41" t="n">
        <x:v>1.1107</x:v>
      </x:c>
      <x:c r="C19" s="42" t="n">
        <x:v>0.0095</x:v>
      </x:c>
    </x:row>
    <x:row r="20" s="1" customFormat="1" ht="20" customHeight="1">
      <x:c r="A20" s="40" t="n">
        <x:v>45093</x:v>
      </x:c>
      <x:c r="B20" s="41" t="n">
        <x:v>1.1046</x:v>
      </x:c>
      <x:c r="C20" s="42" t="n">
        <x:v>-0.0055</x:v>
      </x:c>
    </x:row>
    <x:row r="21" s="1" customFormat="1" ht="20" customHeight="1">
      <x:c r="A21" s="40" t="n">
        <x:v>45097</x:v>
      </x:c>
      <x:c r="B21" s="41" t="n">
        <x:v>1.103</x:v>
      </x:c>
      <x:c r="C21" s="42" t="n"/>
    </x:row>
    <x:row r="22" s="1" customFormat="1" ht="20" customHeight="1">
      <x:c r="A22" s="40" t="n">
        <x:v>45098</x:v>
      </x:c>
      <x:c r="B22" s="41" t="n">
        <x:v>1.0863</x:v>
      </x:c>
      <x:c r="C22" s="42" t="n">
        <x:v>-0.0151</x:v>
      </x:c>
    </x:row>
    <x:row r="23" s="1" customFormat="1" ht="20" customHeight="1">
      <x:c r="A23" s="40" t="n">
        <x:v>45103</x:v>
      </x:c>
      <x:c r="B23" s="41" t="n">
        <x:v>1.0767</x:v>
      </x:c>
      <x:c r="C23" s="42" t="n">
        <x:v>-0.008800000000000001</x:v>
      </x:c>
    </x:row>
    <x:row r="24" s="1" customFormat="1" ht="20" customHeight="1">
      <x:c r="A24" s="40" t="n">
        <x:v>45104</x:v>
      </x:c>
      <x:c r="B24" s="41" t="n">
        <x:v>1.0963</x:v>
      </x:c>
      <x:c r="C24" s="42" t="n">
        <x:v>0.0182</x:v>
      </x:c>
    </x:row>
    <x:row r="25" s="1" customFormat="1" ht="20" customHeight="1">
      <x:c r="A25" s="40" t="n">
        <x:v>45105</x:v>
      </x:c>
      <x:c r="B25" s="41" t="n">
        <x:v>1.096</x:v>
      </x:c>
      <x:c r="C25" s="42" t="n">
        <x:v>-0.0003</x:v>
      </x:c>
    </x:row>
    <x:row r="26" s="1" customFormat="1" ht="20" customHeight="1">
      <x:c r="A26" s="40" t="n">
        <x:v>45106</x:v>
      </x:c>
      <x:c r="B26" s="41" t="n">
        <x:v>1.0906</x:v>
      </x:c>
      <x:c r="C26" s="42" t="n">
        <x:v>-0.0049</x:v>
      </x:c>
    </x:row>
    <x:row r="27" s="1" customFormat="1" ht="20" customHeight="1">
      <x:c r="A27" s="40" t="n">
        <x:v>45107</x:v>
      </x:c>
      <x:c r="B27" s="41" t="n">
        <x:v>1.1025</x:v>
      </x:c>
      <x:c r="C27" s="42" t="n">
        <x:v>0.0109</x:v>
      </x:c>
    </x:row>
    <x:row r="28" s="1" customFormat="1" ht="20" customHeight="1">
      <x:c r="A28" s="40" t="n">
        <x:v>45110</x:v>
      </x:c>
      <x:c r="B28" s="41" t="n">
        <x:v>1.1044</x:v>
      </x:c>
      <x:c r="C28" s="42" t="n">
        <x:v>0.0017</x:v>
      </x:c>
    </x:row>
    <x:row r="29" s="1" customFormat="1" ht="20" customHeight="1">
      <x:c r="A29" s="40" t="n">
        <x:v>45112</x:v>
      </x:c>
      <x:c r="B29" s="41" t="n">
        <x:v>1.1</x:v>
      </x:c>
      <x:c r="C29" s="42" t="n"/>
    </x:row>
    <x:row r="30" s="1" customFormat="1" ht="20" customHeight="1">
      <x:c r="A30" s="40" t="n">
        <x:v>45113</x:v>
      </x:c>
      <x:c r="B30" s="41" t="n">
        <x:v>1.0906</x:v>
      </x:c>
      <x:c r="C30" s="42" t="n">
        <x:v>-0.008500000000000001</x:v>
      </x:c>
    </x:row>
    <x:row r="31" s="1" customFormat="1" ht="20" customHeight="1">
      <x:c r="A31" s="40" t="n">
        <x:v>45114</x:v>
      </x:c>
      <x:c r="B31" s="41" t="n">
        <x:v>1.0865</x:v>
      </x:c>
      <x:c r="C31" s="42" t="n">
        <x:v>-0.0038</x:v>
      </x:c>
    </x:row>
    <x:row r="32" s="1" customFormat="1" ht="20" customHeight="1">
      <x:c r="A32" s="40" t="n">
        <x:v>45117</x:v>
      </x:c>
      <x:c r="B32" s="41" t="n">
        <x:v>1.0821</x:v>
      </x:c>
      <x:c r="C32" s="42" t="n">
        <x:v>-0.004</x:v>
      </x:c>
    </x:row>
    <x:row r="33" s="1" customFormat="1" ht="20" customHeight="1">
      <x:c r="A33" s="40" t="n">
        <x:v>45118</x:v>
      </x:c>
      <x:c r="B33" s="41" t="n">
        <x:v>1.0905</x:v>
      </x:c>
      <x:c r="C33" s="42" t="n">
        <x:v>0.0078</x:v>
      </x:c>
    </x:row>
    <x:row r="34" s="1" customFormat="1" ht="20" customHeight="1">
      <x:c r="A34" s="40" t="n">
        <x:v>45119</x:v>
      </x:c>
      <x:c r="B34" s="41" t="n">
        <x:v>1.1088</x:v>
      </x:c>
      <x:c r="C34" s="42" t="n">
        <x:v>0.0168</x:v>
      </x:c>
    </x:row>
    <x:row r="35" s="1" customFormat="1" ht="20" customHeight="1">
      <x:c r="A35" s="40" t="n">
        <x:v>45120</x:v>
      </x:c>
      <x:c r="B35" s="41" t="n">
        <x:v>1.1343</x:v>
      </x:c>
      <x:c r="C35" s="42" t="n">
        <x:v>0.023</x:v>
      </x:c>
    </x:row>
    <x:row r="36" s="1" customFormat="1" ht="20" customHeight="1">
      <x:c r="A36" s="40" t="n">
        <x:v>45121</x:v>
      </x:c>
      <x:c r="B36" s="41" t="n">
        <x:v>1.1274</x:v>
      </x:c>
      <x:c r="C36" s="42" t="n">
        <x:v>-0.0061</x:v>
      </x:c>
    </x:row>
    <x:row r="37" s="1" customFormat="1" ht="20" customHeight="1">
      <x:c r="A37" s="40" t="n">
        <x:v>45125</x:v>
      </x:c>
      <x:c r="B37" s="41" t="n">
        <x:v>1.1375</x:v>
      </x:c>
      <x:c r="C37" s="42" t="n"/>
    </x:row>
    <x:row r="38" s="1" customFormat="1" ht="20" customHeight="1">
      <x:c r="A38" s="40" t="n">
        <x:v>45126</x:v>
      </x:c>
      <x:c r="B38" s="41" t="n">
        <x:v>1.1389</x:v>
      </x:c>
      <x:c r="C38" s="42" t="n">
        <x:v>0.0012</x:v>
      </x:c>
    </x:row>
    <x:row r="39" s="1" customFormat="1" ht="20" customHeight="1">
      <x:c r="A39" s="40" t="n">
        <x:v>45127</x:v>
      </x:c>
      <x:c r="B39" s="41" t="n">
        <x:v>1.1043</x:v>
      </x:c>
      <x:c r="C39" s="42" t="n">
        <x:v>-0.0304</x:v>
      </x:c>
    </x:row>
    <x:row r="40" s="1" customFormat="1" ht="20" customHeight="1">
      <x:c r="A40" s="40" t="n">
        <x:v>45128</x:v>
      </x:c>
      <x:c r="B40" s="41" t="n">
        <x:v>1.0994</x:v>
      </x:c>
      <x:c r="C40" s="42" t="n">
        <x:v>-0.0044</x:v>
      </x:c>
    </x:row>
    <x:row r="41" s="1" customFormat="1" ht="20" customHeight="1">
      <x:c r="A41" s="40" t="n">
        <x:v>45131</x:v>
      </x:c>
      <x:c r="B41" s="41" t="n">
        <x:v>1.0963</x:v>
      </x:c>
      <x:c r="C41" s="42" t="n">
        <x:v>-0.0028</x:v>
      </x:c>
    </x:row>
    <x:row r="42" s="1" customFormat="1" ht="20" customHeight="1">
      <x:c r="A42" s="40" t="n">
        <x:v>45132</x:v>
      </x:c>
      <x:c r="B42" s="41" t="n">
        <x:v>1.1152</x:v>
      </x:c>
      <x:c r="C42" s="42" t="n">
        <x:v>0.0172</x:v>
      </x:c>
    </x:row>
    <x:row r="43" s="1" customFormat="1" ht="20" customHeight="1">
      <x:c r="A43" s="40" t="n">
        <x:v>45133</x:v>
      </x:c>
      <x:c r="B43" s="41" t="n">
        <x:v>1.1124</x:v>
      </x:c>
      <x:c r="C43" s="42" t="n">
        <x:v>-0.0025</x:v>
      </x:c>
    </x:row>
    <x:row r="44" s="1" customFormat="1" ht="20" customHeight="1">
      <x:c r="A44" s="40" t="n">
        <x:v>45134</x:v>
      </x:c>
      <x:c r="B44" s="41" t="n">
        <x:v>1.1166</x:v>
      </x:c>
      <x:c r="C44" s="42" t="n">
        <x:v>0.0038</x:v>
      </x:c>
    </x:row>
    <x:row r="45" s="1" customFormat="1" ht="20" customHeight="1">
      <x:c r="A45" s="40" t="n">
        <x:v>45135</x:v>
      </x:c>
      <x:c r="B45" s="41" t="n">
        <x:v>1.1441</x:v>
      </x:c>
      <x:c r="C45" s="42" t="n">
        <x:v>0.0246</x:v>
      </x:c>
    </x:row>
    <x:row r="46" s="1" customFormat="1" ht="20" customHeight="1">
      <x:c r="A46" s="40" t="n">
        <x:v>45138</x:v>
      </x:c>
      <x:c r="B46" s="41" t="n">
        <x:v>1.1478</x:v>
      </x:c>
      <x:c r="C46" s="42" t="n">
        <x:v>0.0032</x:v>
      </x:c>
    </x:row>
    <x:row r="47" s="1" customFormat="1" ht="20" customHeight="1">
      <x:c r="A47" s="40" t="n">
        <x:v>45139</x:v>
      </x:c>
      <x:c r="B47" s="41" t="n">
        <x:v>1.1458</x:v>
      </x:c>
      <x:c r="C47" s="42" t="n">
        <x:v>-0.0017</x:v>
      </x:c>
    </x:row>
    <x:row r="48" s="1" customFormat="1" ht="20" customHeight="1">
      <x:c r="A48" s="40" t="n">
        <x:v>45140</x:v>
      </x:c>
      <x:c r="B48" s="41" t="n">
        <x:v>1.1152</x:v>
      </x:c>
      <x:c r="C48" s="42" t="n">
        <x:v>-0.0267</x:v>
      </x:c>
    </x:row>
    <x:row r="49" s="1" customFormat="1" ht="20" customHeight="1">
      <x:c r="A49" s="40" t="n">
        <x:v>45141</x:v>
      </x:c>
      <x:c r="B49" s="41" t="n">
        <x:v>1.1152</x:v>
      </x:c>
      <x:c r="C49" s="42" t="n">
        <x:v>0</x:v>
      </x:c>
    </x:row>
    <x:row r="50" s="1" customFormat="1" ht="20" customHeight="1">
      <x:c r="A50" s="40" t="n">
        <x:v>45142</x:v>
      </x:c>
      <x:c r="B50" s="41" t="n">
        <x:v>1.1182</x:v>
      </x:c>
      <x:c r="C50" s="42" t="n">
        <x:v>0.0027</x:v>
      </x:c>
    </x:row>
    <x:row r="51" s="1" customFormat="1" ht="20" customHeight="1">
      <x:c r="A51" s="40" t="n">
        <x:v>45145</x:v>
      </x:c>
      <x:c r="B51" s="41" t="n">
        <x:v>1.1219</x:v>
      </x:c>
      <x:c r="C51" s="42" t="n">
        <x:v>0.0033</x:v>
      </x:c>
    </x:row>
    <x:row r="52" s="1" customFormat="1" ht="20" customHeight="1">
      <x:c r="A52" s="40" t="n">
        <x:v>45146</x:v>
      </x:c>
      <x:c r="B52" s="41" t="n">
        <x:v>1.11</x:v>
      </x:c>
      <x:c r="C52" s="42" t="n">
        <x:v>-0.0106</x:v>
      </x:c>
    </x:row>
    <x:row r="53" s="1" customFormat="1" ht="20" customHeight="1">
      <x:c r="A53" s="40" t="n">
        <x:v>45147</x:v>
      </x:c>
      <x:c r="B53" s="41" t="n">
        <x:v>1.096</x:v>
      </x:c>
      <x:c r="C53" s="42" t="n">
        <x:v>-0.0126</x:v>
      </x:c>
    </x:row>
    <x:row r="54" s="1" customFormat="1" ht="20" customHeight="1">
      <x:c r="A54" s="40" t="n">
        <x:v>45148</x:v>
      </x:c>
      <x:c r="B54" s="41" t="n">
        <x:v>1.0961</x:v>
      </x:c>
      <x:c r="C54" s="42" t="n">
        <x:v>0.0001</x:v>
      </x:c>
    </x:row>
    <x:row r="55" s="1" customFormat="1" ht="20" customHeight="1">
      <x:c r="A55" s="40" t="n">
        <x:v>45149</x:v>
      </x:c>
      <x:c r="B55" s="41" t="n">
        <x:v>1.0853</x:v>
      </x:c>
      <x:c r="C55" s="42" t="n">
        <x:v>-0.009900000000000001</x:v>
      </x:c>
    </x:row>
    <x:row r="56" s="1" customFormat="1" ht="20" customHeight="1">
      <x:c r="A56" s="40" t="n">
        <x:v>45152</x:v>
      </x:c>
      <x:c r="B56" s="41" t="n">
        <x:v>1.0994</x:v>
      </x:c>
      <x:c r="C56" s="42" t="n">
        <x:v>0.013</x:v>
      </x:c>
    </x:row>
    <x:row r="57" s="1" customFormat="1" ht="20" customHeight="1">
      <x:c r="A57" s="40" t="n">
        <x:v>45153</x:v>
      </x:c>
      <x:c r="B57" s="41" t="n">
        <x:v>1.0895</x:v>
      </x:c>
      <x:c r="C57" s="42" t="n">
        <x:v>-0.008999999999999999</x:v>
      </x:c>
    </x:row>
    <x:row r="58" s="1" customFormat="1" ht="20" customHeight="1">
      <x:c r="A58" s="40" t="n">
        <x:v>45154</x:v>
      </x:c>
      <x:c r="B58" s="41" t="n">
        <x:v>1.0789</x:v>
      </x:c>
      <x:c r="C58" s="42" t="n">
        <x:v>-0.0097</x:v>
      </x:c>
    </x:row>
    <x:row r="59" s="1" customFormat="1" ht="20" customHeight="1">
      <x:c r="A59" s="40" t="n">
        <x:v>45155</x:v>
      </x:c>
      <x:c r="B59" s="41" t="n">
        <x:v>1.0715</x:v>
      </x:c>
      <x:c r="C59" s="42" t="n">
        <x:v>-0.0069</x:v>
      </x:c>
    </x:row>
    <x:row r="60" s="1" customFormat="1" ht="20" customHeight="1">
      <x:c r="A60" s="40" t="n">
        <x:v>45156</x:v>
      </x:c>
      <x:c r="B60" s="41" t="n">
        <x:v>1.0624</x:v>
      </x:c>
      <x:c r="C60" s="42" t="n">
        <x:v>-0.008500000000000001</x:v>
      </x:c>
    </x:row>
    <x:row r="61" s="1" customFormat="1" ht="20" customHeight="1">
      <x:c r="A61" s="40" t="n">
        <x:v>45159</x:v>
      </x:c>
      <x:c r="B61" s="41" t="n">
        <x:v>1.0775</x:v>
      </x:c>
      <x:c r="C61" s="42" t="n">
        <x:v>0.0142</x:v>
      </x:c>
    </x:row>
    <x:row r="62" s="1" customFormat="1" ht="20" customHeight="1">
      <x:c r="A62" s="40" t="n">
        <x:v>45160</x:v>
      </x:c>
      <x:c r="B62" s="41" t="n">
        <x:v>1.0765</x:v>
      </x:c>
      <x:c r="C62" s="42" t="n">
        <x:v>-0.0009</x:v>
      </x:c>
    </x:row>
    <x:row r="63" s="1" customFormat="1" ht="20" customHeight="1">
      <x:c r="A63" s="40" t="n">
        <x:v>45161</x:v>
      </x:c>
      <x:c r="B63" s="41" t="n">
        <x:v>1.093</x:v>
      </x:c>
      <x:c r="C63" s="42" t="n">
        <x:v>0.0153</x:v>
      </x:c>
    </x:row>
    <x:row r="64" s="1" customFormat="1" ht="20" customHeight="1">
      <x:c r="A64" s="40" t="n">
        <x:v>45162</x:v>
      </x:c>
      <x:c r="B64" s="41" t="n">
        <x:v>1.0783</x:v>
      </x:c>
      <x:c r="C64" s="42" t="n">
        <x:v>-0.0134</x:v>
      </x:c>
    </x:row>
    <x:row r="65" s="1" customFormat="1" ht="20" customHeight="1">
      <x:c r="A65" s="40" t="n">
        <x:v>45163</x:v>
      </x:c>
      <x:c r="B65" s="41" t="n">
        <x:v>1.0761</x:v>
      </x:c>
      <x:c r="C65" s="42" t="n">
        <x:v>-0.002</x:v>
      </x:c>
    </x:row>
    <x:row r="66" s="1" customFormat="1" ht="20" customHeight="1">
      <x:c r="A66" s="40" t="n">
        <x:v>45166</x:v>
      </x:c>
      <x:c r="B66" s="41" t="n">
        <x:v>1.0851</x:v>
      </x:c>
      <x:c r="C66" s="42" t="n">
        <x:v>0.008399999999999999</x:v>
      </x:c>
    </x:row>
    <x:row r="67" s="1" customFormat="1" ht="20" customHeight="1">
      <x:c r="A67" s="40" t="n">
        <x:v>45167</x:v>
      </x:c>
      <x:c r="B67" s="41" t="n">
        <x:v>1.1119</x:v>
      </x:c>
      <x:c r="C67" s="42" t="n">
        <x:v>0.0247</x:v>
      </x:c>
    </x:row>
    <x:row r="68" s="1" customFormat="1" ht="20" customHeight="1">
      <x:c r="A68" s="40" t="n">
        <x:v>45168</x:v>
      </x:c>
      <x:c r="B68" s="41" t="n">
        <x:v>1.1144</x:v>
      </x:c>
      <x:c r="C68" s="42" t="n">
        <x:v>0.0022</x:v>
      </x:c>
    </x:row>
    <x:row r="69" s="1" customFormat="1" ht="20" customHeight="1">
      <x:c r="A69" s="40" t="n">
        <x:v>45169</x:v>
      </x:c>
      <x:c r="B69" s="41" t="n">
        <x:v>1.1174</x:v>
      </x:c>
      <x:c r="C69" s="42" t="n">
        <x:v>0.0027</x:v>
      </x:c>
    </x:row>
    <x:row r="70" s="1" customFormat="1" ht="20" customHeight="1">
      <x:c r="A70" s="40" t="n">
        <x:v>45174</x:v>
      </x:c>
      <x:c r="B70" s="41" t="n">
        <x:v>1.1237</x:v>
      </x:c>
      <x:c r="C70" s="42" t="n"/>
    </x:row>
    <x:row r="71" s="1" customFormat="1" ht="20" customHeight="1">
      <x:c r="A71" s="40" t="n">
        <x:v>45175</x:v>
      </x:c>
      <x:c r="B71" s="41" t="n">
        <x:v>1.1154</x:v>
      </x:c>
      <x:c r="C71" s="42" t="n">
        <x:v>-0.0074</x:v>
      </x:c>
    </x:row>
    <x:row r="72" s="1" customFormat="1" ht="20" customHeight="1">
      <x:c r="A72" s="40" t="n">
        <x:v>45176</x:v>
      </x:c>
      <x:c r="B72" s="41" t="n">
        <x:v>1.1064</x:v>
      </x:c>
      <x:c r="C72" s="42" t="n">
        <x:v>-0.0081</x:v>
      </x:c>
    </x:row>
    <x:row r="73" s="1" customFormat="1" ht="20" customHeight="1">
      <x:c r="A73" s="40" t="n">
        <x:v>45180</x:v>
      </x:c>
      <x:c r="B73" s="41" t="n">
        <x:v>1.1222</x:v>
      </x:c>
      <x:c r="C73" s="42" t="n"/>
    </x:row>
    <x:row r="74" s="1" customFormat="1" ht="20" customHeight="1">
      <x:c r="A74" s="40" t="n">
        <x:v>45181</x:v>
      </x:c>
      <x:c r="B74" s="41" t="n">
        <x:v>1.1072</x:v>
      </x:c>
      <x:c r="C74" s="42" t="n">
        <x:v>-0.0134</x:v>
      </x:c>
    </x:row>
    <x:row r="75" s="1" customFormat="1" ht="20" customHeight="1">
      <x:c r="A75" s="40" t="n">
        <x:v>45182</x:v>
      </x:c>
      <x:c r="B75" s="41" t="n">
        <x:v>1.1102</x:v>
      </x:c>
      <x:c r="C75" s="42" t="n">
        <x:v>0.0027</x:v>
      </x:c>
    </x:row>
    <x:row r="76" s="1" customFormat="1" ht="20" customHeight="1">
      <x:c r="A76" s="40" t="n">
        <x:v>45183</x:v>
      </x:c>
      <x:c r="B76" s="41" t="n">
        <x:v>1.1146</x:v>
      </x:c>
      <x:c r="C76" s="42" t="n">
        <x:v>0.004</x:v>
      </x:c>
    </x:row>
    <x:row r="77" s="1" customFormat="1" ht="20" customHeight="1">
      <x:c r="A77" s="40" t="n">
        <x:v>45184</x:v>
      </x:c>
      <x:c r="B77" s="41" t="n">
        <x:v>1.0961</x:v>
      </x:c>
      <x:c r="C77" s="42" t="n">
        <x:v>-0.0166</x:v>
      </x:c>
    </x:row>
    <x:row r="78" s="1" customFormat="1" ht="20" customHeight="1">
      <x:c r="A78" s="40" t="n">
        <x:v>45187</x:v>
      </x:c>
      <x:c r="B78" s="41" t="n">
        <x:v>1.0903</x:v>
      </x:c>
      <x:c r="C78" s="42" t="n">
        <x:v>-0.0053</x:v>
      </x:c>
    </x:row>
    <x:row r="79" s="1" customFormat="1" ht="20" customHeight="1">
      <x:c r="A79" s="40" t="n">
        <x:v>45188</x:v>
      </x:c>
      <x:c r="B79" s="41" t="n">
        <x:v>1.0881</x:v>
      </x:c>
      <x:c r="C79" s="42" t="n">
        <x:v>-0.002</x:v>
      </x:c>
    </x:row>
    <x:row r="80" s="1" customFormat="1" ht="20" customHeight="1">
      <x:c r="A80" s="40" t="n">
        <x:v>45189</x:v>
      </x:c>
      <x:c r="B80" s="41" t="n">
        <x:v>1.0677</x:v>
      </x:c>
      <x:c r="C80" s="42" t="n">
        <x:v>-0.0187</x:v>
      </x:c>
    </x:row>
    <x:row r="81" s="1" customFormat="1" ht="20" customHeight="1">
      <x:c r="A81" s="40" t="n">
        <x:v>45190</x:v>
      </x:c>
      <x:c r="B81" s="41" t="n">
        <x:v>1.0467</x:v>
      </x:c>
      <x:c r="C81" s="42" t="n">
        <x:v>-0.0197</x:v>
      </x:c>
    </x:row>
    <x:row r="82" s="1" customFormat="1" ht="20" customHeight="1">
      <x:c r="A82" s="40" t="n">
        <x:v>45191</x:v>
      </x:c>
      <x:c r="B82" s="41" t="n">
        <x:v>1.0536</x:v>
      </x:c>
      <x:c r="C82" s="42" t="n">
        <x:v>0.0066</x:v>
      </x:c>
    </x:row>
    <x:row r="83" s="1" customFormat="1" ht="20" customHeight="1">
      <x:c r="A83" s="40" t="n">
        <x:v>45194</x:v>
      </x:c>
      <x:c r="B83" s="41" t="n">
        <x:v>1.0545</x:v>
      </x:c>
      <x:c r="C83" s="42" t="n">
        <x:v>0.0009</x:v>
      </x:c>
    </x:row>
    <x:row r="84" s="1" customFormat="1" ht="20" customHeight="1">
      <x:c r="A84" s="40" t="n">
        <x:v>45195</x:v>
      </x:c>
      <x:c r="B84" s="41" t="n">
        <x:v>1.0399</x:v>
      </x:c>
      <x:c r="C84" s="42" t="n">
        <x:v>-0.0138</x:v>
      </x:c>
    </x:row>
    <x:row r="85" s="1" customFormat="1" ht="20" customHeight="1">
      <x:c r="A85" s="40" t="n">
        <x:v>45196</x:v>
      </x:c>
      <x:c r="B85" s="41" t="n">
        <x:v>1.0416</x:v>
      </x:c>
      <x:c r="C85" s="42" t="n">
        <x:v>0.0016</x:v>
      </x:c>
    </x:row>
    <x:row r="86" s="1" customFormat="1" ht="20" customHeight="1">
      <x:c r="A86" s="40" t="n">
        <x:v>45197</x:v>
      </x:c>
      <x:c r="B86" s="41" t="n">
        <x:v>1.0483</x:v>
      </x:c>
      <x:c r="C86" s="42" t="n">
        <x:v>0.0064</x:v>
      </x:c>
    </x:row>
    <x:row r="87" s="1" customFormat="1" ht="20" customHeight="1">
      <x:c r="A87" s="40" t="n">
        <x:v>45208</x:v>
      </x:c>
      <x:c r="B87" s="41" t="n">
        <x:v>1.0797</x:v>
      </x:c>
      <x:c r="C87" s="42" t="n">
        <x:v>0.03</x:v>
      </x:c>
    </x:row>
    <x:row r="88" s="1" customFormat="1" ht="20" customHeight="1">
      <x:c r="A88" s="40" t="n">
        <x:v>45209</x:v>
      </x:c>
      <x:c r="B88" s="41" t="n">
        <x:v>1.0853</x:v>
      </x:c>
      <x:c r="C88" s="42" t="n">
        <x:v>0.0052</x:v>
      </x:c>
    </x:row>
    <x:row r="89" s="1" customFormat="1" ht="20" customHeight="1">
      <x:c r="A89" s="40" t="n">
        <x:v>45210</x:v>
      </x:c>
      <x:c r="B89" s="41" t="n">
        <x:v>1.0978</x:v>
      </x:c>
      <x:c r="C89" s="42" t="n">
        <x:v>0.0115</x:v>
      </x:c>
    </x:row>
    <x:row r="90" s="1" customFormat="1" ht="20" customHeight="1">
      <x:c r="A90" s="40" t="n">
        <x:v>45211</x:v>
      </x:c>
      <x:c r="B90" s="41" t="n">
        <x:v>1.0979</x:v>
      </x:c>
      <x:c r="C90" s="42" t="n">
        <x:v>0.0001</x:v>
      </x:c>
    </x:row>
    <x:row r="91" s="1" customFormat="1" ht="20" customHeight="1">
      <x:c r="A91" s="40" t="n">
        <x:v>45212</x:v>
      </x:c>
      <x:c r="B91" s="41" t="n">
        <x:v>1.0751</x:v>
      </x:c>
      <x:c r="C91" s="42" t="n">
        <x:v>-0.0208</x:v>
      </x:c>
    </x:row>
    <x:row r="92" s="1" customFormat="1" ht="20" customHeight="1">
      <x:c r="A92" s="40" t="n">
        <x:v>45215</x:v>
      </x:c>
      <x:c r="B92" s="41" t="n">
        <x:v>1.082</x:v>
      </x:c>
      <x:c r="C92" s="42" t="n">
        <x:v>0.0064</x:v>
      </x:c>
    </x:row>
    <x:row r="93" s="1" customFormat="1" ht="20" customHeight="1">
      <x:c r="A93" s="40" t="n">
        <x:v>45216</x:v>
      </x:c>
      <x:c r="B93" s="41" t="n">
        <x:v>1.0774</x:v>
      </x:c>
      <x:c r="C93" s="42" t="n">
        <x:v>-0.0043</x:v>
      </x:c>
    </x:row>
    <x:row r="94" s="1" customFormat="1" ht="20" customHeight="1">
      <x:c r="A94" s="40" t="n">
        <x:v>45217</x:v>
      </x:c>
      <x:c r="B94" s="41" t="n">
        <x:v>1.0577</x:v>
      </x:c>
      <x:c r="C94" s="42" t="n">
        <x:v>-0.0183</x:v>
      </x:c>
    </x:row>
    <x:row r="95" s="1" customFormat="1" ht="20" customHeight="1">
      <x:c r="A95" s="40" t="n">
        <x:v>45218</x:v>
      </x:c>
      <x:c r="B95" s="41" t="n">
        <x:v>1.0491</x:v>
      </x:c>
      <x:c r="C95" s="42" t="n">
        <x:v>-0.0081</x:v>
      </x:c>
    </x:row>
    <x:row r="96" s="1" customFormat="1" ht="20" customHeight="1">
      <x:c r="A96" s="40" t="n">
        <x:v>45219</x:v>
      </x:c>
      <x:c r="B96" s="41" t="n">
        <x:v>1.0343</x:v>
      </x:c>
      <x:c r="C96" s="42" t="n">
        <x:v>-0.0141</x:v>
      </x:c>
    </x:row>
    <x:row r="97" s="1" customFormat="1" ht="20" customHeight="1">
      <x:c r="A97" s="40" t="n">
        <x:v>45223</x:v>
      </x:c>
      <x:c r="B97" s="41" t="n">
        <x:v>1.0451</x:v>
      </x:c>
      <x:c r="C97" s="42" t="n"/>
    </x:row>
    <x:row r="98" s="1" customFormat="1" ht="20" customHeight="1">
      <x:c r="A98" s="40" t="n">
        <x:v>45224</x:v>
      </x:c>
      <x:c r="B98" s="41" t="n">
        <x:v>1.0216</x:v>
      </x:c>
      <x:c r="C98" s="42" t="n">
        <x:v>-0.0225</x:v>
      </x:c>
    </x:row>
    <x:row r="99" s="1" customFormat="1" ht="20" customHeight="1">
      <x:c r="A99" s="40" t="n">
        <x:v>45225</x:v>
      </x:c>
      <x:c r="B99" s="41" t="n">
        <x:v>1.0029</x:v>
      </x:c>
      <x:c r="C99" s="42" t="n">
        <x:v>-0.0183</x:v>
      </x:c>
    </x:row>
    <x:row r="100" s="1" customFormat="1" ht="20" customHeight="1">
      <x:c r="A100" s="40" t="n">
        <x:v>45226</x:v>
      </x:c>
      <x:c r="B100" s="41" t="n">
        <x:v>1.0181</x:v>
      </x:c>
      <x:c r="C100" s="42" t="n">
        <x:v>0.0152</x:v>
      </x:c>
    </x:row>
    <x:row r="101" s="1" customFormat="1" ht="20" customHeight="1">
      <x:c r="A101" s="40" t="n">
        <x:v>45229</x:v>
      </x:c>
      <x:c r="B101" s="41" t="n">
        <x:v>1.0287</x:v>
      </x:c>
      <x:c r="C101" s="42" t="n">
        <x:v>0.0104</x:v>
      </x:c>
    </x:row>
    <x:row r="102" s="1" customFormat="1" ht="20" customHeight="1">
      <x:c r="A102" s="40" t="n">
        <x:v>45230</x:v>
      </x:c>
      <x:c r="B102" s="41" t="n">
        <x:v>1.0266</x:v>
      </x:c>
      <x:c r="C102" s="42" t="n">
        <x:v>-0.002</x:v>
      </x:c>
    </x:row>
    <x:row r="103" s="1" customFormat="1" ht="20" customHeight="1">
      <x:c r="A103" s="40" t="n">
        <x:v>45231</x:v>
      </x:c>
      <x:c r="B103" s="41" t="n">
        <x:v>1.0435</x:v>
      </x:c>
      <x:c r="C103" s="42" t="n">
        <x:v>0.0165</x:v>
      </x:c>
    </x:row>
    <x:row r="104" s="1" customFormat="1" ht="20" customHeight="1">
      <x:c r="A104" s="40" t="n">
        <x:v>45232</x:v>
      </x:c>
      <x:c r="B104" s="41" t="n">
        <x:v>1.0587</x:v>
      </x:c>
      <x:c r="C104" s="42" t="n">
        <x:v>0.0146</x:v>
      </x:c>
    </x:row>
    <x:row r="105" s="1" customFormat="1" ht="20" customHeight="1">
      <x:c r="A105" s="40" t="n">
        <x:v>45233</x:v>
      </x:c>
      <x:c r="B105" s="41" t="n">
        <x:v>1.0745</x:v>
      </x:c>
      <x:c r="C105" s="42" t="n">
        <x:v>0.0149</x:v>
      </x:c>
    </x:row>
    <x:row r="106" s="1" customFormat="1" ht="20" customHeight="1">
      <x:c r="A106" s="40" t="n">
        <x:v>45236</x:v>
      </x:c>
      <x:c r="B106" s="41" t="n">
        <x:v>1.0861</x:v>
      </x:c>
      <x:c r="C106" s="42" t="n">
        <x:v>0.0108</x:v>
      </x:c>
    </x:row>
    <x:row r="107" s="1" customFormat="1" ht="20" customHeight="1">
      <x:c r="A107" s="40" t="n">
        <x:v>45237</x:v>
      </x:c>
      <x:c r="B107" s="41" t="n">
        <x:v>1.0926</x:v>
      </x:c>
      <x:c r="C107" s="42" t="n">
        <x:v>0.006</x:v>
      </x:c>
    </x:row>
    <x:row r="108" s="1" customFormat="1" ht="20" customHeight="1">
      <x:c r="A108" s="40" t="n">
        <x:v>45238</x:v>
      </x:c>
      <x:c r="B108" s="41" t="n">
        <x:v>1.0955</x:v>
      </x:c>
      <x:c r="C108" s="42" t="n">
        <x:v>0.0027</x:v>
      </x:c>
    </x:row>
    <x:row r="109" s="1" customFormat="1" ht="20" customHeight="1">
      <x:c r="A109" s="40" t="n">
        <x:v>45239</x:v>
      </x:c>
      <x:c r="B109" s="41" t="n">
        <x:v>1.0897</x:v>
      </x:c>
      <x:c r="C109" s="42" t="n">
        <x:v>-0.0053</x:v>
      </x:c>
    </x:row>
    <x:row r="110" s="1" customFormat="1" ht="20" customHeight="1">
      <x:c r="A110" s="40" t="n">
        <x:v>45240</x:v>
      </x:c>
      <x:c r="B110" s="41" t="n">
        <x:v>1.1045</x:v>
      </x:c>
      <x:c r="C110" s="42" t="n">
        <x:v>0.0136</x:v>
      </x:c>
    </x:row>
    <x:row r="111" s="1" customFormat="1" ht="20" customHeight="1">
      <x:c r="A111" s="40" t="n">
        <x:v>45243</x:v>
      </x:c>
      <x:c r="B111" s="41" t="n">
        <x:v>1.1084</x:v>
      </x:c>
      <x:c r="C111" s="42" t="n">
        <x:v>0.0035</x:v>
      </x:c>
    </x:row>
    <x:row r="112" s="1" customFormat="1" ht="20" customHeight="1">
      <x:c r="A112" s="40" t="n">
        <x:v>45244</x:v>
      </x:c>
      <x:c r="B112" s="41" t="n">
        <x:v>1.1236</x:v>
      </x:c>
      <x:c r="C112" s="42" t="n">
        <x:v>0.0137</x:v>
      </x:c>
    </x:row>
    <x:row r="113" s="1" customFormat="1" ht="20" customHeight="1">
      <x:c r="A113" s="40" t="n">
        <x:v>45245</x:v>
      </x:c>
      <x:c r="B113" s="41" t="n">
        <x:v>1.1291</x:v>
      </x:c>
      <x:c r="C113" s="42" t="n">
        <x:v>0.0049</x:v>
      </x:c>
    </x:row>
    <x:row r="114" s="1" customFormat="1" ht="20" customHeight="1">
      <x:c r="A114" s="40" t="n">
        <x:v>45246</x:v>
      </x:c>
      <x:c r="B114" s="41" t="n">
        <x:v>1.1319</x:v>
      </x:c>
      <x:c r="C114" s="42" t="n">
        <x:v>0.0025</x:v>
      </x:c>
    </x:row>
    <x:row r="115" s="1" customFormat="1" ht="20" customHeight="1">
      <x:c r="A115" s="40" t="n">
        <x:v>45247</x:v>
      </x:c>
      <x:c r="B115" s="41" t="n">
        <x:v>1.1255</x:v>
      </x:c>
      <x:c r="C115" s="42" t="n">
        <x:v>-0.0057</x:v>
      </x:c>
    </x:row>
    <x:row r="116" s="1" customFormat="1" ht="20" customHeight="1">
      <x:c r="A116" s="40" t="n">
        <x:v>45250</x:v>
      </x:c>
      <x:c r="B116" s="41" t="n">
        <x:v>1.1384</x:v>
      </x:c>
      <x:c r="C116" s="42" t="n">
        <x:v>0.0115</x:v>
      </x:c>
    </x:row>
    <x:row r="117" s="1" customFormat="1" ht="20" customHeight="1">
      <x:c r="A117" s="40" t="n">
        <x:v>45251</x:v>
      </x:c>
      <x:c r="B117" s="41" t="n">
        <x:v>1.1301</x:v>
      </x:c>
      <x:c r="C117" s="42" t="n">
        <x:v>-0.0073</x:v>
      </x:c>
    </x:row>
    <x:row r="118" s="1" customFormat="1" ht="20" customHeight="1">
      <x:c r="A118" s="40" t="n">
        <x:v>45252</x:v>
      </x:c>
      <x:c r="B118" s="41" t="n">
        <x:v>1.1324</x:v>
      </x:c>
      <x:c r="C118" s="42" t="n">
        <x:v>0.002</x:v>
      </x:c>
    </x:row>
    <x:row r="119" s="1" customFormat="1" ht="20" customHeight="1">
      <x:c r="A119" s="40" t="n">
        <x:v>45253</x:v>
      </x:c>
      <x:c r="B119" s="41" t="n">
        <x:v>1.1362</x:v>
      </x:c>
      <x:c r="C119" s="42" t="n">
        <x:v>0.0034</x:v>
      </x:c>
    </x:row>
    <x:row r="120" s="1" customFormat="1" ht="20" customHeight="1">
      <x:c r="A120" s="40" t="n">
        <x:v>45254</x:v>
      </x:c>
      <x:c r="B120" s="41" t="n">
        <x:v>1.126</x:v>
      </x:c>
      <x:c r="C120" s="42" t="n">
        <x:v>-0.008999999999999999</x:v>
      </x:c>
    </x:row>
    <x:row r="121" s="1" customFormat="1" ht="20" customHeight="1">
      <x:c r="A121" s="40" t="n">
        <x:v>45257</x:v>
      </x:c>
      <x:c r="B121" s="41" t="n">
        <x:v>1.1271</x:v>
      </x:c>
      <x:c r="C121" s="42" t="n">
        <x:v>0.001</x:v>
      </x:c>
    </x:row>
    <x:row r="122" s="1" customFormat="1" ht="20" customHeight="1">
      <x:c r="A122" s="40" t="n">
        <x:v>45258</x:v>
      </x:c>
      <x:c r="B122" s="41" t="n">
        <x:v>1.1284</x:v>
      </x:c>
      <x:c r="C122" s="42" t="n">
        <x:v>0.0012</x:v>
      </x:c>
    </x:row>
    <x:row r="123" s="1" customFormat="1" ht="20" customHeight="1">
      <x:c r="A123" s="40" t="n">
        <x:v>45259</x:v>
      </x:c>
      <x:c r="B123" s="41" t="n">
        <x:v>1.1191</x:v>
      </x:c>
      <x:c r="C123" s="42" t="n">
        <x:v>-0.008200000000000001</x:v>
      </x:c>
    </x:row>
    <x:row r="124" s="1" customFormat="1" ht="20" customHeight="1">
      <x:c r="A124" s="40" t="n">
        <x:v>45260</x:v>
      </x:c>
      <x:c r="B124" s="41" t="n">
        <x:v>1.1137</x:v>
      </x:c>
      <x:c r="C124" s="42" t="n">
        <x:v>-0.0048</x:v>
      </x:c>
    </x:row>
    <x:row r="125" s="1" customFormat="1" ht="20" customHeight="1">
      <x:c r="A125" s="40" t="n">
        <x:v>45261</x:v>
      </x:c>
      <x:c r="B125" s="41" t="n">
        <x:v>1.111</x:v>
      </x:c>
      <x:c r="C125" s="42" t="n">
        <x:v>-0.0024</x:v>
      </x:c>
    </x:row>
    <x:row r="126" s="1" customFormat="1" ht="20" customHeight="1">
      <x:c r="A126" s="40" t="n">
        <x:v>45264</x:v>
      </x:c>
      <x:c r="B126" s="41" t="n">
        <x:v>1.0918</x:v>
      </x:c>
      <x:c r="C126" s="42" t="n">
        <x:v>-0.0173</x:v>
      </x:c>
    </x:row>
    <x:row r="127" s="1" customFormat="1" ht="20" customHeight="1">
      <x:c r="A127" s="40" t="n">
        <x:v>45265</x:v>
      </x:c>
      <x:c r="B127" s="41" t="n">
        <x:v>1.0956</x:v>
      </x:c>
      <x:c r="C127" s="42" t="n">
        <x:v>0.0035</x:v>
      </x:c>
    </x:row>
    <x:row r="128" s="1" customFormat="1" ht="20" customHeight="1">
      <x:c r="A128" s="40" t="n">
        <x:v>45266</x:v>
      </x:c>
      <x:c r="B128" s="41" t="n">
        <x:v>1.0915</x:v>
      </x:c>
      <x:c r="C128" s="42" t="n">
        <x:v>-0.0037</x:v>
      </x:c>
    </x:row>
    <x:row r="129" s="1" customFormat="1" ht="20" customHeight="1">
      <x:c r="A129" s="40" t="n">
        <x:v>45267</x:v>
      </x:c>
      <x:c r="B129" s="41" t="n">
        <x:v>1.109</x:v>
      </x:c>
      <x:c r="C129" s="42" t="n">
        <x:v>0.016</x:v>
      </x:c>
    </x:row>
    <x:row r="130" s="1" customFormat="1" ht="20" customHeight="1">
      <x:c r="A130" s="40" t="n">
        <x:v>45268</x:v>
      </x:c>
      <x:c r="B130" s="41" t="n">
        <x:v>1.1144</x:v>
      </x:c>
      <x:c r="C130" s="42" t="n">
        <x:v>0.0049</x:v>
      </x:c>
    </x:row>
    <x:row r="131" s="1" customFormat="1" ht="20" customHeight="1">
      <x:c r="A131" s="40" t="n">
        <x:v>45271</x:v>
      </x:c>
      <x:c r="B131" s="41" t="n">
        <x:v>1.108</x:v>
      </x:c>
      <x:c r="C131" s="42" t="n">
        <x:v>-0.0057</x:v>
      </x:c>
    </x:row>
    <x:row r="132" s="1" customFormat="1" ht="20" customHeight="1">
      <x:c r="A132" s="40" t="n">
        <x:v>45272</x:v>
      </x:c>
      <x:c r="B132" s="41" t="n">
        <x:v>1.1204</x:v>
      </x:c>
      <x:c r="C132" s="42" t="n">
        <x:v>0.0112</x:v>
      </x:c>
    </x:row>
    <x:row r="133" s="1" customFormat="1" ht="20" customHeight="1">
      <x:c r="A133" s="40" t="n">
        <x:v>45273</x:v>
      </x:c>
      <x:c r="B133" s="41" t="n">
        <x:v>1.1252</x:v>
      </x:c>
      <x:c r="C133" s="42" t="n">
        <x:v>0.0043</x:v>
      </x:c>
    </x:row>
    <x:row r="134" s="1" customFormat="1" ht="20" customHeight="1">
      <x:c r="A134" s="40" t="n">
        <x:v>45274</x:v>
      </x:c>
      <x:c r="B134" s="41" t="n">
        <x:v>1.1231</x:v>
      </x:c>
      <x:c r="C134" s="42" t="n">
        <x:v>-0.0019</x:v>
      </x:c>
    </x:row>
    <x:row r="135" s="1" customFormat="1" ht="20" customHeight="1">
      <x:c r="A135" s="40" t="n">
        <x:v>45275</x:v>
      </x:c>
      <x:c r="B135" s="41" t="n">
        <x:v>1.1328</x:v>
      </x:c>
      <x:c r="C135" s="42" t="n">
        <x:v>0.0086</x:v>
      </x:c>
    </x:row>
    <x:row r="136" s="1" customFormat="1" ht="20" customHeight="1">
      <x:c r="A136" s="40" t="n">
        <x:v>45278</x:v>
      </x:c>
      <x:c r="B136" s="41" t="n">
        <x:v>1.1409</x:v>
      </x:c>
      <x:c r="C136" s="42" t="n">
        <x:v>0.0072</x:v>
      </x:c>
    </x:row>
    <x:row r="137" s="1" customFormat="1" ht="20" customHeight="1">
      <x:c r="A137" s="40" t="n">
        <x:v>45279</x:v>
      </x:c>
      <x:c r="B137" s="41" t="n">
        <x:v>1.1462</x:v>
      </x:c>
      <x:c r="C137" s="42" t="n">
        <x:v>0.0046</x:v>
      </x:c>
    </x:row>
    <x:row r="138" s="1" customFormat="1" ht="20" customHeight="1">
      <x:c r="A138" s="40" t="n">
        <x:v>45280</x:v>
      </x:c>
      <x:c r="B138" s="41" t="n">
        <x:v>1.1348</x:v>
      </x:c>
      <x:c r="C138" s="42" t="n">
        <x:v>-0.009900000000000001</x:v>
      </x:c>
    </x:row>
    <x:row r="139" s="1" customFormat="1" ht="20" customHeight="1">
      <x:c r="A139" s="40" t="n">
        <x:v>45281</x:v>
      </x:c>
      <x:c r="B139" s="41" t="n">
        <x:v>1.1486</x:v>
      </x:c>
      <x:c r="C139" s="42" t="n">
        <x:v>0.0122</x:v>
      </x:c>
    </x:row>
    <x:row r="140" s="1" customFormat="1" ht="20" customHeight="1">
      <x:c r="A140" s="40" t="n">
        <x:v>45282</x:v>
      </x:c>
      <x:c r="B140" s="41" t="n">
        <x:v>1.1308</x:v>
      </x:c>
      <x:c r="C140" s="42" t="n">
        <x:v>-0.0155</x:v>
      </x:c>
    </x:row>
    <x:row r="141" s="1" customFormat="1" ht="20" customHeight="1">
      <x:c r="A141" s="40" t="n">
        <x:v>45287</x:v>
      </x:c>
      <x:c r="B141" s="41" t="n">
        <x:v>1.1457</x:v>
      </x:c>
      <x:c r="C141" s="42" t="n"/>
    </x:row>
    <x:row r="142" s="1" customFormat="1" ht="20" customHeight="1">
      <x:c r="A142" s="40" t="n">
        <x:v>45288</x:v>
      </x:c>
      <x:c r="B142" s="41" t="n">
        <x:v>1.1504</x:v>
      </x:c>
      <x:c r="C142" s="42" t="n">
        <x:v>0.0041</x:v>
      </x:c>
    </x:row>
    <x:row r="143" s="1" customFormat="1" ht="20" customHeight="1">
      <x:c r="A143" s="40" t="n">
        <x:v>45289</x:v>
      </x:c>
      <x:c r="B143" s="41" t="n">
        <x:v>1.1422</x:v>
      </x:c>
      <x:c r="C143" s="42" t="n">
        <x:v>-0.0071</x:v>
      </x:c>
    </x:row>
    <x:row r="144" s="1" customFormat="1" ht="20" customHeight="1">
      <x:c r="A144" s="40" t="n">
        <x:v>45291</x:v>
      </x:c>
      <x:c r="B144" s="41" t="n">
        <x:v>1.1422</x:v>
      </x:c>
      <x:c r="C144" s="42" t="n">
        <x:v>0</x:v>
      </x:c>
    </x:row>
    <x:row r="145" s="1" customFormat="1" ht="20" customHeight="1">
      <x:c r="A145" s="40" t="n">
        <x:v>45293</x:v>
      </x:c>
      <x:c r="B145" s="41" t="n">
        <x:v>1.1196</x:v>
      </x:c>
      <x:c r="C145" s="42" t="n">
        <x:v>-0.0198</x:v>
      </x:c>
    </x:row>
    <x:row r="146" s="1" customFormat="1" ht="20" customHeight="1">
      <x:c r="A146" s="40" t="n">
        <x:v>45294</x:v>
      </x:c>
      <x:c r="B146" s="41" t="n">
        <x:v>1.1136</x:v>
      </x:c>
      <x:c r="C146" s="42" t="n">
        <x:v>-0.0054</x:v>
      </x:c>
    </x:row>
    <x:row r="147" s="1" customFormat="1" ht="20" customHeight="1">
      <x:c r="A147" s="40" t="n">
        <x:v>45295</x:v>
      </x:c>
      <x:c r="B147" s="41" t="n">
        <x:v>1.1096</x:v>
      </x:c>
      <x:c r="C147" s="42" t="n">
        <x:v>-0.0036</x:v>
      </x:c>
    </x:row>
    <x:row r="148" s="1" customFormat="1" ht="20" customHeight="1">
      <x:c r="A148" s="40" t="n">
        <x:v>45296</x:v>
      </x:c>
      <x:c r="B148" s="41" t="n">
        <x:v>1.1118</x:v>
      </x:c>
      <x:c r="C148" s="42" t="n">
        <x:v>0.002</x:v>
      </x:c>
    </x:row>
    <x:row r="149" s="1" customFormat="1" ht="20" customHeight="1">
      <x:c r="A149" s="40" t="n">
        <x:v>45299</x:v>
      </x:c>
      <x:c r="B149" s="41" t="n">
        <x:v>1.1329</x:v>
      </x:c>
      <x:c r="C149" s="42" t="n">
        <x:v>0.019</x:v>
      </x:c>
    </x:row>
    <x:row r="150" s="1" customFormat="1" ht="20" customHeight="1">
      <x:c r="A150" s="40" t="n">
        <x:v>45300</x:v>
      </x:c>
      <x:c r="B150" s="41" t="n">
        <x:v>1.1342</x:v>
      </x:c>
      <x:c r="C150" s="42" t="n">
        <x:v>0.0011</x:v>
      </x:c>
    </x:row>
    <x:row r="151" s="1" customFormat="1" ht="20" customHeight="1">
      <x:c r="A151" s="40" t="n">
        <x:v>45301</x:v>
      </x:c>
      <x:c r="B151" s="41" t="n">
        <x:v>1.1456</x:v>
      </x:c>
      <x:c r="C151" s="42" t="n">
        <x:v>0.0101</x:v>
      </x:c>
    </x:row>
    <x:row r="152" s="1" customFormat="1" ht="20" customHeight="1">
      <x:c r="A152" s="40" t="n">
        <x:v>45302</x:v>
      </x:c>
      <x:c r="B152" s="41" t="n">
        <x:v>1.1498</x:v>
      </x:c>
      <x:c r="C152" s="42" t="n">
        <x:v>0.0037</x:v>
      </x:c>
    </x:row>
    <x:row r="153" s="1" customFormat="1" ht="20" customHeight="1">
      <x:c r="A153" s="40" t="n">
        <x:v>45303</x:v>
      </x:c>
      <x:c r="B153" s="41" t="n">
        <x:v>1.1497</x:v>
      </x:c>
      <x:c r="C153" s="42" t="n">
        <x:v>-0.0001</x:v>
      </x:c>
    </x:row>
    <x:row r="154" s="1" customFormat="1" ht="20" customHeight="1">
      <x:c r="A154" s="40" t="n">
        <x:v>45307</x:v>
      </x:c>
      <x:c r="B154" s="41" t="n">
        <x:v>1.1453</x:v>
      </x:c>
      <x:c r="C154" s="42" t="n"/>
    </x:row>
    <x:row r="155" s="1" customFormat="1" ht="20" customHeight="1">
      <x:c r="A155" s="40" t="n">
        <x:v>45308</x:v>
      </x:c>
      <x:c r="B155" s="41" t="n">
        <x:v>1.1348</x:v>
      </x:c>
      <x:c r="C155" s="42" t="n">
        <x:v>-0.0092</x:v>
      </x:c>
    </x:row>
    <x:row r="156" s="1" customFormat="1" ht="20" customHeight="1">
      <x:c r="A156" s="40" t="n">
        <x:v>45309</x:v>
      </x:c>
      <x:c r="B156" s="41" t="n">
        <x:v>1.1507</x:v>
      </x:c>
      <x:c r="C156" s="42" t="n">
        <x:v>0.014</x:v>
      </x:c>
    </x:row>
    <x:row r="157" s="1" customFormat="1" ht="20" customHeight="1">
      <x:c r="A157" s="40" t="n">
        <x:v>45310</x:v>
      </x:c>
      <x:c r="B157" s="41" t="n">
        <x:v>1.1691</x:v>
      </x:c>
      <x:c r="C157" s="42" t="n">
        <x:v>0.016</x:v>
      </x:c>
    </x:row>
    <x:row r="158" s="1" customFormat="1" ht="20" customHeight="1">
      <x:c r="A158" s="40" t="n">
        <x:v>45313</x:v>
      </x:c>
      <x:c r="B158" s="41" t="n">
        <x:v>1.1626</x:v>
      </x:c>
      <x:c r="C158" s="42" t="n">
        <x:v>-0.0056</x:v>
      </x:c>
    </x:row>
    <x:row r="159" s="1" customFormat="1" ht="20" customHeight="1">
      <x:c r="A159" s="40" t="n">
        <x:v>45314</x:v>
      </x:c>
      <x:c r="B159" s="41" t="n">
        <x:v>1.1727</x:v>
      </x:c>
      <x:c r="C159" s="42" t="n">
        <x:v>0.008699999999999999</x:v>
      </x:c>
    </x:row>
    <x:row r="160" s="1" customFormat="1" ht="20" customHeight="1">
      <x:c r="A160" s="40" t="n">
        <x:v>45315</x:v>
      </x:c>
      <x:c r="B160" s="41" t="n">
        <x:v>1.1902</x:v>
      </x:c>
      <x:c r="C160" s="42" t="n">
        <x:v>0.0149</x:v>
      </x:c>
    </x:row>
    <x:row r="161" s="1" customFormat="1" ht="20" customHeight="1">
      <x:c r="A161" s="40" t="n">
        <x:v>45316</x:v>
      </x:c>
      <x:c r="B161" s="41" t="n">
        <x:v>1.1916</x:v>
      </x:c>
      <x:c r="C161" s="42" t="n">
        <x:v>0.0012</x:v>
      </x:c>
    </x:row>
    <x:row r="162" s="1" customFormat="1" ht="20" customHeight="1">
      <x:c r="A162" s="40" t="n">
        <x:v>45317</x:v>
      </x:c>
      <x:c r="B162" s="41" t="n">
        <x:v>1.1824</x:v>
      </x:c>
      <x:c r="C162" s="42" t="n">
        <x:v>-0.0077</x:v>
      </x:c>
    </x:row>
    <x:row r="163" s="1" customFormat="1" ht="20" customHeight="1">
      <x:c r="A163" s="40" t="n">
        <x:v>45320</x:v>
      </x:c>
      <x:c r="B163" s="41" t="n">
        <x:v>1.1957</x:v>
      </x:c>
      <x:c r="C163" s="42" t="n">
        <x:v>0.0112</x:v>
      </x:c>
    </x:row>
    <x:row r="164" s="1" customFormat="1" ht="20" customHeight="1">
      <x:c r="A164" s="40" t="n">
        <x:v>45321</x:v>
      </x:c>
      <x:c r="B164" s="41" t="n">
        <x:v>1.1818</x:v>
      </x:c>
      <x:c r="C164" s="42" t="n">
        <x:v>-0.0116</x:v>
      </x:c>
    </x:row>
    <x:row r="165" s="1" customFormat="1" ht="20" customHeight="1">
      <x:c r="A165" s="40" t="n">
        <x:v>45322</x:v>
      </x:c>
      <x:c r="B165" s="41" t="n">
        <x:v>1.1552</x:v>
      </x:c>
      <x:c r="C165" s="42" t="n">
        <x:v>-0.0225</x:v>
      </x:c>
    </x:row>
    <x:row r="166" s="1" customFormat="1" ht="20" customHeight="1">
      <x:c r="A166" s="40" t="n">
        <x:v>45323</x:v>
      </x:c>
      <x:c r="B166" s="41" t="n">
        <x:v>1.1689</x:v>
      </x:c>
      <x:c r="C166" s="42" t="n">
        <x:v>0.0119</x:v>
      </x:c>
    </x:row>
    <x:row r="167" s="1" customFormat="1" ht="20" customHeight="1">
      <x:c r="A167" s="40" t="n">
        <x:v>45324</x:v>
      </x:c>
      <x:c r="B167" s="41" t="n">
        <x:v>1.2072</x:v>
      </x:c>
      <x:c r="C167" s="42" t="n">
        <x:v>0.0328</x:v>
      </x:c>
    </x:row>
    <x:row r="168" s="1" customFormat="1" ht="20" customHeight="1">
      <x:c r="A168" s="40" t="n">
        <x:v>45327</x:v>
      </x:c>
      <x:c r="B168" s="41" t="n">
        <x:v>1.206</x:v>
      </x:c>
      <x:c r="C168" s="42" t="n">
        <x:v>-0.001</x:v>
      </x:c>
    </x:row>
    <x:row r="169" s="1" customFormat="1" ht="20" customHeight="1">
      <x:c r="A169" s="40" t="n">
        <x:v>45328</x:v>
      </x:c>
      <x:c r="B169" s="41" t="n">
        <x:v>1.208</x:v>
      </x:c>
      <x:c r="C169" s="42" t="n">
        <x:v>0.0017</x:v>
      </x:c>
    </x:row>
    <x:row r="170" s="1" customFormat="1" ht="20" customHeight="1">
      <x:c r="A170" s="40" t="n">
        <x:v>45329</x:v>
      </x:c>
      <x:c r="B170" s="41" t="n">
        <x:v>1.2223</x:v>
      </x:c>
      <x:c r="C170" s="42" t="n">
        <x:v>0.0118</x:v>
      </x:c>
    </x:row>
    <x:row r="171" s="1" customFormat="1" ht="20" customHeight="1">
      <x:c r="A171" s="40" t="n">
        <x:v>45330</x:v>
      </x:c>
      <x:c r="B171" s="41" t="n">
        <x:v>1.2328</x:v>
      </x:c>
      <x:c r="C171" s="42" t="n">
        <x:v>0.0086</x:v>
      </x:c>
    </x:row>
    <x:row r="172" s="1" customFormat="1" ht="20" customHeight="1">
      <x:c r="A172" s="40" t="n">
        <x:v>45342</x:v>
      </x:c>
      <x:c r="B172" s="41" t="n">
        <x:v>1.2234</x:v>
      </x:c>
      <x:c r="C172" s="42" t="n"/>
    </x:row>
    <x:row r="173" s="1" customFormat="1" ht="20" customHeight="1">
      <x:c r="A173" s="40" t="n">
        <x:v>45343</x:v>
      </x:c>
      <x:c r="B173" s="41" t="n">
        <x:v>1.2219</x:v>
      </x:c>
      <x:c r="C173" s="42" t="n">
        <x:v>-0.0012</x:v>
      </x:c>
    </x:row>
    <x:row r="174" s="1" customFormat="1" ht="20" customHeight="1">
      <x:c r="A174" s="40" t="n">
        <x:v>45344</x:v>
      </x:c>
      <x:c r="B174" s="41" t="n">
        <x:v>1.2622</x:v>
      </x:c>
      <x:c r="C174" s="42" t="n">
        <x:v>0.033</x:v>
      </x:c>
    </x:row>
    <x:row r="175" s="1" customFormat="1" ht="20" customHeight="1">
      <x:c r="A175" s="40" t="n">
        <x:v>45345</x:v>
      </x:c>
      <x:c r="B175" s="41" t="n">
        <x:v>1.2577</x:v>
      </x:c>
      <x:c r="C175" s="42" t="n">
        <x:v>-0.0036</x:v>
      </x:c>
    </x:row>
    <x:row r="176" s="1" customFormat="1" ht="20" customHeight="1">
      <x:c r="A176" s="40" t="n">
        <x:v>45348</x:v>
      </x:c>
      <x:c r="B176" s="41" t="n">
        <x:v>1.2583</x:v>
      </x:c>
      <x:c r="C176" s="42" t="n">
        <x:v>0.0005</x:v>
      </x:c>
    </x:row>
    <x:row r="177" s="1" customFormat="1" ht="20" customHeight="1">
      <x:c r="A177" s="40" t="n">
        <x:v>45349</x:v>
      </x:c>
      <x:c r="B177" s="41" t="n">
        <x:v>1.2576</x:v>
      </x:c>
      <x:c r="C177" s="42" t="n">
        <x:v>-0.0005999999999999999</x:v>
      </x:c>
    </x:row>
    <x:row r="178" s="1" customFormat="1" ht="20" customHeight="1">
      <x:c r="A178" s="40" t="n">
        <x:v>45350</x:v>
      </x:c>
      <x:c r="B178" s="41" t="n">
        <x:v>1.248</x:v>
      </x:c>
      <x:c r="C178" s="42" t="n">
        <x:v>-0.0076</x:v>
      </x:c>
    </x:row>
    <x:row r="179" s="1" customFormat="1" ht="20" customHeight="1">
      <x:c r="A179" s="40" t="n">
        <x:v>45351</x:v>
      </x:c>
      <x:c r="B179" s="41" t="n">
        <x:v>1.2637</x:v>
      </x:c>
      <x:c r="C179" s="42" t="n">
        <x:v>0.0126</x:v>
      </x:c>
    </x:row>
    <x:row r="180" s="1" customFormat="1" ht="20" customHeight="1">
      <x:c r="A180" s="40" t="n">
        <x:v>45352</x:v>
      </x:c>
      <x:c r="B180" s="41" t="n">
        <x:v>1.2834</x:v>
      </x:c>
      <x:c r="C180" s="42" t="n">
        <x:v>0.0156</x:v>
      </x:c>
    </x:row>
    <x:row r="181" s="1" customFormat="1" ht="20" customHeight="1">
      <x:c r="A181" s="40" t="n">
        <x:v>45355</x:v>
      </x:c>
      <x:c r="B181" s="41" t="n">
        <x:v>1.2781</x:v>
      </x:c>
      <x:c r="C181" s="42" t="n">
        <x:v>-0.0041</x:v>
      </x:c>
    </x:row>
    <x:row r="182" s="1" customFormat="1" ht="20" customHeight="1">
      <x:c r="A182" s="40" t="n">
        <x:v>45356</x:v>
      </x:c>
      <x:c r="B182" s="41" t="n">
        <x:v>1.2572</x:v>
      </x:c>
      <x:c r="C182" s="42" t="n">
        <x:v>-0.0164</x:v>
      </x:c>
    </x:row>
    <x:row r="183" s="1" customFormat="1" ht="20" customHeight="1">
      <x:c r="A183" s="40" t="n">
        <x:v>45357</x:v>
      </x:c>
      <x:c r="B183" s="41" t="n">
        <x:v>1.2654</x:v>
      </x:c>
      <x:c r="C183" s="42" t="n">
        <x:v>0.0065</x:v>
      </x:c>
    </x:row>
    <x:row r="184" s="1" customFormat="1" ht="20" customHeight="1">
      <x:c r="A184" s="40" t="n">
        <x:v>45358</x:v>
      </x:c>
      <x:c r="B184" s="41" t="n">
        <x:v>1.2831</x:v>
      </x:c>
      <x:c r="C184" s="42" t="n">
        <x:v>0.014</x:v>
      </x:c>
    </x:row>
    <x:row r="185" s="1" customFormat="1" ht="20" customHeight="1">
      <x:c r="A185" s="40" t="n">
        <x:v>45359</x:v>
      </x:c>
      <x:c r="B185" s="41" t="n">
        <x:v>1.2607</x:v>
      </x:c>
      <x:c r="C185" s="42" t="n">
        <x:v>-0.0175</x:v>
      </x:c>
    </x:row>
    <x:row r="186" s="1" customFormat="1" ht="20" customHeight="1">
      <x:c r="A186" s="40" t="n">
        <x:v>45362</x:v>
      </x:c>
      <x:c r="B186" s="41" t="n">
        <x:v>1.2447</x:v>
      </x:c>
      <x:c r="C186" s="42" t="n">
        <x:v>-0.0127</x:v>
      </x:c>
    </x:row>
    <x:row r="187" s="1" customFormat="1" ht="20" customHeight="1">
      <x:c r="A187" s="40" t="n">
        <x:v>45363</x:v>
      </x:c>
      <x:c r="B187" s="41" t="n">
        <x:v>1.2713</x:v>
      </x:c>
      <x:c r="C187" s="42" t="n">
        <x:v>0.0214</x:v>
      </x:c>
    </x:row>
    <x:row r="188" s="1" customFormat="1" ht="20" customHeight="1">
      <x:c r="A188" s="40" t="n">
        <x:v>45364</x:v>
      </x:c>
      <x:c r="B188" s="41" t="n">
        <x:v>1.26</x:v>
      </x:c>
      <x:c r="C188" s="42" t="n">
        <x:v>-0.0089</x:v>
      </x:c>
    </x:row>
    <x:row r="189" s="1" customFormat="1" ht="20" customHeight="1">
      <x:c r="A189" s="40" t="n">
        <x:v>45365</x:v>
      </x:c>
      <x:c r="B189" s="41" t="n">
        <x:v>1.2561</x:v>
      </x:c>
      <x:c r="C189" s="42" t="n">
        <x:v>-0.0031</x:v>
      </x:c>
    </x:row>
    <x:row r="190" s="1" customFormat="1" ht="20" customHeight="1">
      <x:c r="A190" s="40" t="n">
        <x:v>45366</x:v>
      </x:c>
      <x:c r="B190" s="41" t="n">
        <x:v>1.2412</x:v>
      </x:c>
      <x:c r="C190" s="42" t="n">
        <x:v>-0.0119</x:v>
      </x:c>
    </x:row>
    <x:row r="191" s="1" customFormat="1" ht="20" customHeight="1">
      <x:c r="A191" s="40" t="n">
        <x:v>45369</x:v>
      </x:c>
      <x:c r="B191" s="41" t="n">
        <x:v>1.248</x:v>
      </x:c>
      <x:c r="C191" s="42" t="n">
        <x:v>0.0055</x:v>
      </x:c>
    </x:row>
    <x:row r="192" s="1" customFormat="1" ht="20" customHeight="1">
      <x:c r="A192" s="40" t="n">
        <x:v>45370</x:v>
      </x:c>
      <x:c r="B192" s="41" t="n">
        <x:v>1.2448</x:v>
      </x:c>
      <x:c r="C192" s="42" t="n">
        <x:v>-0.0026</x:v>
      </x:c>
    </x:row>
    <x:row r="193" s="1" customFormat="1" ht="20" customHeight="1">
      <x:c r="A193" s="40" t="n">
        <x:v>45371</x:v>
      </x:c>
      <x:c r="B193" s="41" t="n">
        <x:v>1.2452</x:v>
      </x:c>
      <x:c r="C193" s="42" t="n">
        <x:v>0.0003</x:v>
      </x:c>
    </x:row>
    <x:row r="194" s="1" customFormat="1" ht="20" customHeight="1">
      <x:c r="A194" s="40" t="n">
        <x:v>45372</x:v>
      </x:c>
      <x:c r="B194" s="41" t="n">
        <x:v>1.2485</x:v>
      </x:c>
      <x:c r="C194" s="42" t="n">
        <x:v>0.0027</x:v>
      </x:c>
    </x:row>
    <x:row r="195" s="1" customFormat="1" ht="20" customHeight="1">
      <x:c r="A195" s="40" t="n">
        <x:v>45373</x:v>
      </x:c>
      <x:c r="B195" s="41" t="n">
        <x:v>1.2536</x:v>
      </x:c>
      <x:c r="C195" s="42" t="n">
        <x:v>0.0041</x:v>
      </x:c>
    </x:row>
    <x:row r="196" s="1" customFormat="1" ht="20" customHeight="1">
      <x:c r="A196" s="40" t="n">
        <x:v>45376</x:v>
      </x:c>
      <x:c r="B196" s="41" t="n">
        <x:v>1.2529</x:v>
      </x:c>
      <x:c r="C196" s="42" t="n">
        <x:v>-0.0005999999999999999</x:v>
      </x:c>
    </x:row>
    <x:row r="197" s="1" customFormat="1" ht="20" customHeight="1">
      <x:c r="A197" s="40" t="n">
        <x:v>45377</x:v>
      </x:c>
      <x:c r="B197" s="41" t="n">
        <x:v>1.2404</x:v>
      </x:c>
      <x:c r="C197" s="42" t="n">
        <x:v>-0.01</x:v>
      </x:c>
    </x:row>
    <x:row r="198" s="1" customFormat="1" ht="20" customHeight="1">
      <x:c r="A198" s="40" t="n">
        <x:v>45378</x:v>
      </x:c>
      <x:c r="B198" s="41" t="n">
        <x:v>1.2368</x:v>
      </x:c>
      <x:c r="C198" s="42" t="n">
        <x:v>-0.0029</x:v>
      </x:c>
    </x:row>
    <x:row r="199" s="1" customFormat="1" ht="20" customHeight="1">
      <x:c r="A199" s="40" t="n">
        <x:v>45379</x:v>
      </x:c>
      <x:c r="B199" s="41" t="n">
        <x:v>1.2344</x:v>
      </x:c>
      <x:c r="C199" s="42" t="n">
        <x:v>-0.0019</x:v>
      </x:c>
    </x:row>
    <x:row r="200" s="1" customFormat="1" ht="20" customHeight="1">
      <x:c r="A200" s="40" t="n">
        <x:v>45384</x:v>
      </x:c>
      <x:c r="B200" s="41" t="n">
        <x:v>1.2362</x:v>
      </x:c>
      <x:c r="C200" s="42" t="n"/>
    </x:row>
    <x:row r="201" s="1" customFormat="1" ht="20" customHeight="1">
      <x:c r="A201" s="40" t="n">
        <x:v>45385</x:v>
      </x:c>
      <x:c r="B201" s="41" t="n">
        <x:v>1.2422</x:v>
      </x:c>
      <x:c r="C201" s="42" t="n">
        <x:v>0.0049</x:v>
      </x:c>
    </x:row>
    <x:row r="202" s="1" customFormat="1" ht="20" customHeight="1">
      <x:c r="A202" s="40" t="n">
        <x:v>45390</x:v>
      </x:c>
      <x:c r="B202" s="41" t="n">
        <x:v>1.2421</x:v>
      </x:c>
      <x:c r="C202" s="42" t="n">
        <x:v>-0.0001</x:v>
      </x:c>
    </x:row>
    <x:row r="203" s="1" customFormat="1" ht="20" customHeight="1">
      <x:c r="A203" s="40" t="n">
        <x:v>45391</x:v>
      </x:c>
      <x:c r="B203" s="41" t="n">
        <x:v>1.2425</x:v>
      </x:c>
      <x:c r="C203" s="42" t="n">
        <x:v>0.0003</x:v>
      </x:c>
    </x:row>
    <x:row r="204" s="1" customFormat="1" ht="20" customHeight="1">
      <x:c r="A204" s="40" t="n">
        <x:v>45392</x:v>
      </x:c>
      <x:c r="B204" s="41" t="n">
        <x:v>1.2346</x:v>
      </x:c>
      <x:c r="C204" s="42" t="n">
        <x:v>-0.0064</x:v>
      </x:c>
    </x:row>
    <x:row r="205" s="1" customFormat="1" ht="20" customHeight="1">
      <x:c r="A205" s="40" t="n">
        <x:v>45393</x:v>
      </x:c>
      <x:c r="B205" s="41" t="n">
        <x:v>1.2569</x:v>
      </x:c>
      <x:c r="C205" s="42" t="n">
        <x:v>0.0181</x:v>
      </x:c>
    </x:row>
    <x:row r="206" s="1" customFormat="1" ht="20" customHeight="1">
      <x:c r="A206" s="40" t="n">
        <x:v>45394</x:v>
      </x:c>
      <x:c r="B206" s="41" t="n">
        <x:v>1.2331</x:v>
      </x:c>
      <x:c r="C206" s="42" t="n">
        <x:v>-0.0189</x:v>
      </x:c>
    </x:row>
    <x:row r="207" s="1" customFormat="1" ht="20" customHeight="1">
      <x:c r="A207" s="40" t="n">
        <x:v>45397</x:v>
      </x:c>
      <x:c r="B207" s="41" t="n">
        <x:v>1.2095</x:v>
      </x:c>
      <x:c r="C207" s="42" t="n">
        <x:v>-0.0191</x:v>
      </x:c>
    </x:row>
    <x:row r="208" s="1" customFormat="1" ht="20" customHeight="1">
      <x:c r="A208" s="40" t="n">
        <x:v>45398</x:v>
      </x:c>
      <x:c r="B208" s="41" t="n">
        <x:v>1.2115</x:v>
      </x:c>
      <x:c r="C208" s="42" t="n">
        <x:v>0.0017</x:v>
      </x:c>
    </x:row>
    <x:row r="209" s="1" customFormat="1" ht="20" customHeight="1">
      <x:c r="A209" s="40" t="n">
        <x:v>45399</x:v>
      </x:c>
      <x:c r="B209" s="41" t="n">
        <x:v>1.1939</x:v>
      </x:c>
      <x:c r="C209" s="42" t="n">
        <x:v>-0.0145</x:v>
      </x:c>
    </x:row>
    <x:row r="210" s="1" customFormat="1" ht="20" customHeight="1">
      <x:c r="A210" s="40" t="n">
        <x:v>45400</x:v>
      </x:c>
      <x:c r="B210" s="41" t="n">
        <x:v>1.1847</x:v>
      </x:c>
      <x:c r="C210" s="42" t="n">
        <x:v>-0.0077</x:v>
      </x:c>
    </x:row>
    <x:row r="211" s="1" customFormat="1" ht="20" customHeight="1">
      <x:c r="A211" s="40" t="n">
        <x:v>45401</x:v>
      </x:c>
      <x:c r="B211" s="41" t="n">
        <x:v>1.145</x:v>
      </x:c>
      <x:c r="C211" s="42" t="n">
        <x:v>-0.0335</x:v>
      </x:c>
    </x:row>
    <x:row r="212" s="1" customFormat="1" ht="20" customHeight="1">
      <x:c r="A212" s="40" t="n">
        <x:v>45404</x:v>
      </x:c>
      <x:c r="B212" s="41" t="n">
        <x:v>1.1572</x:v>
      </x:c>
      <x:c r="C212" s="42" t="n">
        <x:v>0.0107</x:v>
      </x:c>
    </x:row>
    <x:row r="213" s="1" customFormat="1" ht="20" customHeight="1">
      <x:c r="A213" s="40" t="n">
        <x:v>45405</x:v>
      </x:c>
      <x:c r="B213" s="41" t="n">
        <x:v>1.1799</x:v>
      </x:c>
      <x:c r="C213" s="42" t="n">
        <x:v>0.0196</x:v>
      </x:c>
    </x:row>
    <x:row r="214" s="1" customFormat="1" ht="20" customHeight="1">
      <x:c r="A214" s="40" t="n">
        <x:v>45406</x:v>
      </x:c>
      <x:c r="B214" s="41" t="n">
        <x:v>1.1805</x:v>
      </x:c>
      <x:c r="C214" s="42" t="n">
        <x:v>0.0005</x:v>
      </x:c>
    </x:row>
    <x:row r="215" s="1" customFormat="1" ht="20" customHeight="1">
      <x:c r="A215" s="40" t="n">
        <x:v>45407</x:v>
      </x:c>
      <x:c r="B215" s="41" t="n">
        <x:v>1.1726</x:v>
      </x:c>
      <x:c r="C215" s="42" t="n">
        <x:v>-0.0067</x:v>
      </x:c>
    </x:row>
    <x:row r="216" s="1" customFormat="1" ht="20" customHeight="1">
      <x:c r="A216" s="40" t="n">
        <x:v>45408</x:v>
      </x:c>
      <x:c r="B216" s="41" t="n">
        <x:v>1.202</x:v>
      </x:c>
      <x:c r="C216" s="42" t="n">
        <x:v>0.0251</x:v>
      </x:c>
    </x:row>
    <x:row r="217" s="1" customFormat="1" ht="20" customHeight="1">
      <x:c r="A217" s="40" t="n">
        <x:v>45411</x:v>
      </x:c>
      <x:c r="B217" s="41" t="n">
        <x:v>1.2047</x:v>
      </x:c>
      <x:c r="C217" s="42" t="n">
        <x:v>0.0022</x:v>
      </x:c>
    </x:row>
    <x:row r="218" s="1" customFormat="1" ht="20" customHeight="1">
      <x:c r="A218" s="40" t="n">
        <x:v>45412</x:v>
      </x:c>
      <x:c r="B218" s="41" t="n">
        <x:v>1.1816</x:v>
      </x:c>
      <x:c r="C218" s="42" t="n">
        <x:v>-0.0192</x:v>
      </x:c>
    </x:row>
    <x:row r="219" s="1" customFormat="1" ht="20" customHeight="1">
      <x:c r="A219" s="40" t="n">
        <x:v>45418</x:v>
      </x:c>
      <x:c r="B219" s="41" t="n">
        <x:v>1.2387</x:v>
      </x:c>
      <x:c r="C219" s="42" t="n">
        <x:v>0.0483</x:v>
      </x:c>
    </x:row>
    <x:row r="220" s="1" customFormat="1" ht="20" customHeight="1">
      <x:c r="A220" s="40" t="n">
        <x:v>45419</x:v>
      </x:c>
      <x:c r="B220" s="41" t="n">
        <x:v>1.2352</x:v>
      </x:c>
      <x:c r="C220" s="42" t="n">
        <x:v>-0.0028</x:v>
      </x:c>
    </x:row>
    <x:row r="221" s="1" customFormat="1" ht="20" customHeight="1">
      <x:c r="A221" s="40" t="n">
        <x:v>45420</x:v>
      </x:c>
      <x:c r="B221" s="41" t="n">
        <x:v>1.2359</x:v>
      </x:c>
      <x:c r="C221" s="42" t="n">
        <x:v>0.0005999999999999999</x:v>
      </x:c>
    </x:row>
    <x:row r="222" s="1" customFormat="1" ht="20" customHeight="1">
      <x:c r="A222" s="40" t="n">
        <x:v>45421</x:v>
      </x:c>
      <x:c r="B222" s="41" t="n">
        <x:v>1.2356</x:v>
      </x:c>
      <x:c r="C222" s="42" t="n">
        <x:v>-0.0002</x:v>
      </x:c>
    </x:row>
    <x:row r="223" s="1" customFormat="1" ht="20" customHeight="1">
      <x:c r="A223" s="40" t="n">
        <x:v>45422</x:v>
      </x:c>
      <x:c r="B223" s="41" t="n">
        <x:v>1.2417</x:v>
      </x:c>
      <x:c r="C223" s="42" t="n">
        <x:v>0.0049</x:v>
      </x:c>
    </x:row>
    <x:row r="224" s="1" customFormat="1" ht="20" customHeight="1">
      <x:c r="A224" s="40" t="n">
        <x:v>45425</x:v>
      </x:c>
      <x:c r="B224" s="41" t="n">
        <x:v>1.2427</x:v>
      </x:c>
      <x:c r="C224" s="42" t="n">
        <x:v>0.0008</x:v>
      </x:c>
    </x:row>
    <x:row r="225" s="1" customFormat="1" ht="20" customHeight="1">
      <x:c r="A225" s="40" t="n">
        <x:v>45426</x:v>
      </x:c>
      <x:c r="B225" s="41" t="n">
        <x:v>1.2556</x:v>
      </x:c>
      <x:c r="C225" s="42" t="n">
        <x:v>0.0104</x:v>
      </x:c>
    </x:row>
    <x:row r="226" s="1" customFormat="1" ht="20" customHeight="1">
      <x:c r="A226" s="40" t="n">
        <x:v>45428</x:v>
      </x:c>
      <x:c r="B226" s="41" t="n">
        <x:v>1.2709</x:v>
      </x:c>
      <x:c r="C226" s="42" t="n"/>
    </x:row>
    <x:row r="227" s="1" customFormat="1" ht="20" customHeight="1">
      <x:c r="A227" s="40" t="n">
        <x:v>45429</x:v>
      </x:c>
      <x:c r="B227" s="41" t="n">
        <x:v>1.2693</x:v>
      </x:c>
      <x:c r="C227" s="42" t="n">
        <x:v>-0.0013</x:v>
      </x:c>
    </x:row>
    <x:row r="228" s="1" customFormat="1" ht="20" customHeight="1">
      <x:c r="A228" s="40" t="n">
        <x:v>45432</x:v>
      </x:c>
      <x:c r="B228" s="41" t="n">
        <x:v>1.2792</x:v>
      </x:c>
      <x:c r="C228" s="42" t="n">
        <x:v>0.0078</x:v>
      </x:c>
    </x:row>
    <x:row r="229" s="1" customFormat="1" ht="20" customHeight="1">
      <x:c r="A229" s="40" t="n">
        <x:v>45433</x:v>
      </x:c>
      <x:c r="B229" s="41" t="n">
        <x:v>1.2814</x:v>
      </x:c>
      <x:c r="C229" s="42" t="n">
        <x:v>0.0017</x:v>
      </x:c>
    </x:row>
    <x:row r="230" s="1" customFormat="1" ht="20" customHeight="1">
      <x:c r="A230" s="40" t="n">
        <x:v>45434</x:v>
      </x:c>
      <x:c r="B230" s="41" t="n">
        <x:v>1.2794</x:v>
      </x:c>
      <x:c r="C230" s="42" t="n">
        <x:v>-0.0016</x:v>
      </x:c>
    </x:row>
    <x:row r="231" s="1" customFormat="1" ht="20" customHeight="1">
      <x:c r="A231" s="40" t="n">
        <x:v>45435</x:v>
      </x:c>
      <x:c r="B231" s="41" t="n">
        <x:v>1.2788</x:v>
      </x:c>
      <x:c r="C231" s="42" t="n">
        <x:v>-0.0005</x:v>
      </x:c>
    </x:row>
    <x:row r="232" s="1" customFormat="1" ht="20" customHeight="1">
      <x:c r="A232" s="40" t="n">
        <x:v>45436</x:v>
      </x:c>
      <x:c r="B232" s="41" t="n">
        <x:v>1.2943</x:v>
      </x:c>
      <x:c r="C232" s="42" t="n">
        <x:v>0.0121</x:v>
      </x:c>
    </x:row>
    <x:row r="233" s="1" customFormat="1" ht="20" customHeight="1">
      <x:c r="A233" s="40" t="n">
        <x:v>45440</x:v>
      </x:c>
      <x:c r="B233" s="41" t="n">
        <x:v>1.3105</x:v>
      </x:c>
      <x:c r="C233" s="42" t="n"/>
    </x:row>
    <x:row r="234" s="1" customFormat="1" ht="20" customHeight="1">
      <x:c r="A234" s="40" t="n">
        <x:v>45441</x:v>
      </x:c>
      <x:c r="B234" s="41" t="n">
        <x:v>1.3057</x:v>
      </x:c>
      <x:c r="C234" s="42" t="n">
        <x:v>-0.0037</x:v>
      </x:c>
    </x:row>
    <x:row r="235" s="1" customFormat="1" ht="20" customHeight="1">
      <x:c r="A235" s="40" t="n">
        <x:v>45442</x:v>
      </x:c>
      <x:c r="B235" s="41" t="n">
        <x:v>1.2786</x:v>
      </x:c>
      <x:c r="C235" s="42" t="n">
        <x:v>-0.0208</x:v>
      </x:c>
    </x:row>
    <x:row r="236" s="1" customFormat="1" ht="20" customHeight="1">
      <x:c r="A236" s="40" t="n">
        <x:v>45443</x:v>
      </x:c>
      <x:c r="B236" s="41" t="n">
        <x:v>1.2687</x:v>
      </x:c>
      <x:c r="C236" s="42" t="n">
        <x:v>-0.0077</x:v>
      </x:c>
    </x:row>
    <x:row r="237" s="1" customFormat="1" ht="20" customHeight="1">
      <x:c r="A237" s="40" t="n">
        <x:v>45446</x:v>
      </x:c>
      <x:c r="B237" s="41" t="n">
        <x:v>1.282</x:v>
      </x:c>
      <x:c r="C237" s="42" t="n">
        <x:v>0.0105</x:v>
      </x:c>
    </x:row>
    <x:row r="238" s="1" customFormat="1" ht="20" customHeight="1">
      <x:c r="A238" s="40" t="n">
        <x:v>45447</x:v>
      </x:c>
      <x:c r="B238" s="41" t="n">
        <x:v>1.2814</x:v>
      </x:c>
      <x:c r="C238" s="42" t="n">
        <x:v>-0.0005</x:v>
      </x:c>
    </x:row>
    <x:row r="239" s="1" customFormat="1" ht="20" customHeight="1">
      <x:c r="A239" s="40" t="n">
        <x:v>45448</x:v>
      </x:c>
      <x:c r="B239" s="41" t="n">
        <x:v>1.3141</x:v>
      </x:c>
      <x:c r="C239" s="42" t="n">
        <x:v>0.0255</x:v>
      </x:c>
    </x:row>
    <x:row r="240" s="1" customFormat="1" ht="20" customHeight="1">
      <x:c r="A240" s="40" t="n">
        <x:v>45449</x:v>
      </x:c>
      <x:c r="B240" s="41" t="n">
        <x:v>1.3115</x:v>
      </x:c>
      <x:c r="C240" s="42" t="n">
        <x:v>-0.002</x:v>
      </x:c>
    </x:row>
    <x:row r="241" s="1" customFormat="1" ht="20" customHeight="1">
      <x:c r="A241" s="40" t="n">
        <x:v>45450</x:v>
      </x:c>
      <x:c r="B241" s="41" t="n">
        <x:v>1.3096</x:v>
      </x:c>
      <x:c r="C241" s="42" t="n">
        <x:v>-0.0014</x:v>
      </x:c>
    </x:row>
    <x:row r="242" s="1" customFormat="1" ht="20" customHeight="1">
      <x:c r="A242" s="40" t="n">
        <x:v>45454</x:v>
      </x:c>
      <x:c r="B242" s="41" t="n">
        <x:v>1.3337</x:v>
      </x:c>
      <x:c r="C242" s="42" t="n">
        <x:v>0.0184</x:v>
      </x:c>
    </x:row>
    <x:row r="243" s="1" customFormat="1" ht="20" customHeight="1">
      <x:c r="A243" s="40" t="n">
        <x:v>45455</x:v>
      </x:c>
      <x:c r="B243" s="41" t="n">
        <x:v>1.3576</x:v>
      </x:c>
      <x:c r="C243" s="42" t="n">
        <x:v>0.0179</x:v>
      </x:c>
    </x:row>
    <x:row r="244" s="1" customFormat="1" ht="20" customHeight="1">
      <x:c r="A244" s="40" t="n">
        <x:v>45456</x:v>
      </x:c>
      <x:c r="B244" s="41" t="n">
        <x:v>1.3732</x:v>
      </x:c>
      <x:c r="C244" s="42" t="n">
        <x:v>0.0115</x:v>
      </x:c>
    </x:row>
    <x:row r="245" s="1" customFormat="1" ht="20" customHeight="1">
      <x:c r="A245" s="40" t="n">
        <x:v>45457</x:v>
      </x:c>
      <x:c r="B245" s="41" t="n">
        <x:v>1.3763</x:v>
      </x:c>
      <x:c r="C245" s="42" t="n">
        <x:v>0.0023</x:v>
      </x:c>
    </x:row>
    <x:row r="246" s="1" customFormat="1" ht="20" customHeight="1">
      <x:c r="A246" s="40" t="n">
        <x:v>45460</x:v>
      </x:c>
      <x:c r="B246" s="41" t="n">
        <x:v>1.393</x:v>
      </x:c>
      <x:c r="C246" s="42" t="n">
        <x:v>0.0121</x:v>
      </x:c>
    </x:row>
    <x:row r="247" s="1" customFormat="1" ht="20" customHeight="1">
      <x:c r="A247" s="40" t="n">
        <x:v>45461</x:v>
      </x:c>
      <x:c r="B247" s="41" t="n">
        <x:v>1.4022</x:v>
      </x:c>
      <x:c r="C247" s="42" t="n">
        <x:v>0.0066</x:v>
      </x:c>
    </x:row>
    <x:row r="248" s="1" customFormat="1" ht="20" customHeight="1">
      <x:c r="A248" s="40" t="n">
        <x:v>45463</x:v>
      </x:c>
      <x:c r="B248" s="41" t="n">
        <x:v>1.3824</x:v>
      </x:c>
      <x:c r="C248" s="42" t="n"/>
    </x:row>
    <x:row r="249" s="1" customFormat="1" ht="20" customHeight="1">
      <x:c r="A249" s="40" t="n">
        <x:v>45464</x:v>
      </x:c>
      <x:c r="B249" s="41" t="n">
        <x:v>1.3734</x:v>
      </x:c>
      <x:c r="C249" s="42" t="n">
        <x:v>-0.0065</x:v>
      </x:c>
    </x:row>
    <x:row r="250" s="1" customFormat="1" ht="20" customHeight="1">
      <x:c r="A250" s="40" t="n">
        <x:v>45467</x:v>
      </x:c>
      <x:c r="B250" s="41" t="n">
        <x:v>1.3481</x:v>
      </x:c>
      <x:c r="C250" s="42" t="n">
        <x:v>-0.0184</x:v>
      </x:c>
    </x:row>
    <x:row r="251" s="1" customFormat="1" ht="20" customHeight="1">
      <x:c r="A251" s="40" t="n">
        <x:v>45468</x:v>
      </x:c>
      <x:c r="B251" s="41" t="n">
        <x:v>1.3681</x:v>
      </x:c>
      <x:c r="C251" s="42" t="n">
        <x:v>0.0148</x:v>
      </x:c>
    </x:row>
    <x:row r="252" s="1" customFormat="1" ht="20" customHeight="1">
      <x:c r="A252" s="40" t="n">
        <x:v>45469</x:v>
      </x:c>
      <x:c r="B252" s="41" t="n">
        <x:v>1.3762</x:v>
      </x:c>
      <x:c r="C252" s="42" t="n">
        <x:v>0.0059</x:v>
      </x:c>
    </x:row>
    <x:row r="253" s="1" customFormat="1" ht="20" customHeight="1">
      <x:c r="A253" s="40" t="n">
        <x:v>45470</x:v>
      </x:c>
      <x:c r="B253" s="41" t="n">
        <x:v>1.3794</x:v>
      </x:c>
      <x:c r="C253" s="42" t="n">
        <x:v>0.0023</x:v>
      </x:c>
    </x:row>
    <x:row r="254" s="1" customFormat="1" ht="20" customHeight="1">
      <x:c r="A254" s="40" t="n">
        <x:v>45471</x:v>
      </x:c>
      <x:c r="B254" s="41" t="n">
        <x:v>1.3688</x:v>
      </x:c>
      <x:c r="C254" s="42" t="n">
        <x:v>-0.0077</x:v>
      </x:c>
    </x:row>
    <x:row r="255" s="1" customFormat="1" ht="20" customHeight="1">
      <x:c r="A255" s="40" t="n">
        <x:v>45473</x:v>
      </x:c>
      <x:c r="B255" s="41" t="n">
        <x:v>1.3687</x:v>
      </x:c>
      <x:c r="C255" s="42" t="n">
        <x:v>-0.0001</x:v>
      </x:c>
    </x:row>
    <x:row r="256" s="1" customFormat="1" ht="20" customHeight="1">
      <x:c r="A256" s="40" t="n">
        <x:v>45475</x:v>
      </x:c>
      <x:c r="B256" s="41" t="n">
        <x:v>1.3856</x:v>
      </x:c>
      <x:c r="C256" s="42" t="n"/>
    </x:row>
    <x:row r="257" s="1" customFormat="1" ht="20" customHeight="1">
      <x:c r="A257" s="40" t="n">
        <x:v>45476</x:v>
      </x:c>
      <x:c r="B257" s="41" t="n">
        <x:v>1.3976</x:v>
      </x:c>
      <x:c r="C257" s="42" t="n">
        <x:v>0.008699999999999999</x:v>
      </x:c>
    </x:row>
    <x:row r="258" s="1" customFormat="1" ht="20" customHeight="1">
      <x:c r="A258" s="40" t="n">
        <x:v>45478</x:v>
      </x:c>
      <x:c r="B258" s="41" t="n">
        <x:v>1.4115</x:v>
      </x:c>
      <x:c r="C258" s="42" t="n"/>
    </x:row>
    <x:row r="259" s="1" customFormat="1" ht="20" customHeight="1">
      <x:c r="A259" s="40" t="n">
        <x:v>45481</x:v>
      </x:c>
      <x:c r="B259" s="41" t="n">
        <x:v>1.4134</x:v>
      </x:c>
      <x:c r="C259" s="42" t="n">
        <x:v>0.0013</x:v>
      </x:c>
    </x:row>
    <x:row r="260" s="1" customFormat="1" ht="20" customHeight="1">
      <x:c r="A260" s="40" t="n">
        <x:v>45482</x:v>
      </x:c>
      <x:c r="B260" s="41" t="n">
        <x:v>1.4128</x:v>
      </x:c>
      <x:c r="C260" s="42" t="n">
        <x:v>-0.0004</x:v>
      </x:c>
    </x:row>
    <x:row r="261" s="1" customFormat="1" ht="20" customHeight="1">
      <x:c r="A261" s="40" t="n">
        <x:v>45483</x:v>
      </x:c>
      <x:c r="B261" s="41" t="n">
        <x:v>1.4273</x:v>
      </x:c>
      <x:c r="C261" s="42" t="n">
        <x:v>0.0103</x:v>
      </x:c>
    </x:row>
    <x:row r="262" s="1" customFormat="1" ht="20" customHeight="1">
      <x:c r="A262" s="40" t="n">
        <x:v>45484</x:v>
      </x:c>
      <x:c r="B262" s="41" t="n">
        <x:v>1.3877</x:v>
      </x:c>
      <x:c r="C262" s="42" t="n">
        <x:v>-0.0277</x:v>
      </x:c>
    </x:row>
    <x:row r="263" s="1" customFormat="1" ht="20" customHeight="1">
      <x:c r="A263" s="40" t="n">
        <x:v>45485</x:v>
      </x:c>
      <x:c r="B263" s="41" t="n">
        <x:v>1.3938</x:v>
      </x:c>
      <x:c r="C263" s="42" t="n">
        <x:v>0.0044</x:v>
      </x:c>
    </x:row>
    <x:row r="264" s="1" customFormat="1" ht="20" customHeight="1">
      <x:c r="A264" s="40" t="n">
        <x:v>45488</x:v>
      </x:c>
      <x:c r="B264" s="41" t="n">
        <x:v>1.3934</x:v>
      </x:c>
      <x:c r="C264" s="42" t="n">
        <x:v>-0.0003</x:v>
      </x:c>
    </x:row>
    <x:row r="265" s="1" customFormat="1" ht="20" customHeight="1">
      <x:c r="A265" s="40" t="n">
        <x:v>45489</x:v>
      </x:c>
      <x:c r="B265" s="41" t="n">
        <x:v>1.3842</x:v>
      </x:c>
      <x:c r="C265" s="42" t="n">
        <x:v>-0.0066</x:v>
      </x:c>
    </x:row>
    <x:row r="266" s="1" customFormat="1" ht="20" customHeight="1">
      <x:c r="A266" s="40" t="n">
        <x:v>45490</x:v>
      </x:c>
      <x:c r="B266" s="41" t="n">
        <x:v>1.3305</x:v>
      </x:c>
      <x:c r="C266" s="42" t="n">
        <x:v>-0.0388</x:v>
      </x:c>
    </x:row>
    <x:row r="267" s="1" customFormat="1" ht="20" customHeight="1">
      <x:c r="A267" s="40" t="n">
        <x:v>45491</x:v>
      </x:c>
      <x:c r="B267" s="41" t="n">
        <x:v>1.322</x:v>
      </x:c>
      <x:c r="C267" s="42" t="n">
        <x:v>-0.0064</x:v>
      </x:c>
    </x:row>
    <x:row r="268" s="1" customFormat="1" ht="20" customHeight="1">
      <x:c r="A268" s="40" t="n">
        <x:v>45492</x:v>
      </x:c>
      <x:c r="B268" s="41" t="n">
        <x:v>1.312</x:v>
      </x:c>
      <x:c r="C268" s="42" t="n">
        <x:v>-0.0076</x:v>
      </x:c>
    </x:row>
    <x:row r="269" s="1" customFormat="1" ht="20" customHeight="1">
      <x:c r="A269" s="40" t="n">
        <x:v>45495</x:v>
      </x:c>
      <x:c r="B269" s="41" t="n">
        <x:v>1.3338</x:v>
      </x:c>
      <x:c r="C269" s="42" t="n">
        <x:v>0.0166</x:v>
      </x:c>
    </x:row>
    <x:row r="270" s="1" customFormat="1" ht="20" customHeight="1">
      <x:c r="A270" s="40" t="n">
        <x:v>45496</x:v>
      </x:c>
      <x:c r="B270" s="41" t="n">
        <x:v>1.3385</x:v>
      </x:c>
      <x:c r="C270" s="42" t="n">
        <x:v>0.0035</x:v>
      </x:c>
    </x:row>
    <x:row r="271" s="1" customFormat="1" ht="20" customHeight="1">
      <x:c r="A271" s="40" t="n">
        <x:v>45497</x:v>
      </x:c>
      <x:c r="B271" s="41" t="n">
        <x:v>1.284</x:v>
      </x:c>
      <x:c r="C271" s="42" t="n">
        <x:v>-0.0407</x:v>
      </x:c>
    </x:row>
    <x:row r="272" s="1" customFormat="1" ht="20" customHeight="1">
      <x:c r="A272" s="40" t="n">
        <x:v>45498</x:v>
      </x:c>
      <x:c r="B272" s="41" t="n">
        <x:v>1.2639</x:v>
      </x:c>
      <x:c r="C272" s="42" t="n">
        <x:v>-0.0157</x:v>
      </x:c>
    </x:row>
    <x:row r="273" s="1" customFormat="1" ht="20" customHeight="1">
      <x:c r="A273" s="40" t="n">
        <x:v>45499</x:v>
      </x:c>
      <x:c r="B273" s="41" t="n">
        <x:v>1.2753</x:v>
      </x:c>
      <x:c r="C273" s="42" t="n">
        <x:v>0.008999999999999999</x:v>
      </x:c>
    </x:row>
    <x:row r="274" s="1" customFormat="1" ht="20" customHeight="1">
      <x:c r="A274" s="40" t="n">
        <x:v>45502</x:v>
      </x:c>
      <x:c r="B274" s="41" t="n">
        <x:v>1.2716</x:v>
      </x:c>
      <x:c r="C274" s="42" t="n">
        <x:v>-0.0029</x:v>
      </x:c>
    </x:row>
    <x:row r="275" s="1" customFormat="1" ht="20" customHeight="1">
      <x:c r="A275" s="40" t="n">
        <x:v>45503</x:v>
      </x:c>
      <x:c r="B275" s="41" t="n">
        <x:v>1.2471</x:v>
      </x:c>
      <x:c r="C275" s="42" t="n">
        <x:v>-0.0193</x:v>
      </x:c>
    </x:row>
    <x:row r="276" s="1" customFormat="1" ht="20" customHeight="1">
      <x:c r="A276" s="40" t="n">
        <x:v>45504</x:v>
      </x:c>
      <x:c r="B276" s="41" t="n">
        <x:v>1.2976</x:v>
      </x:c>
      <x:c r="C276" s="42" t="n">
        <x:v>0.0405</x:v>
      </x:c>
    </x:row>
    <x:row r="277" s="1" customFormat="1" ht="20" customHeight="1">
      <x:c r="A277" s="40" t="n">
        <x:v>45505</x:v>
      </x:c>
      <x:c r="B277" s="41" t="n">
        <x:v>1.2624</x:v>
      </x:c>
      <x:c r="C277" s="42" t="n">
        <x:v>-0.0271</x:v>
      </x:c>
    </x:row>
    <x:row r="278" s="1" customFormat="1" ht="20" customHeight="1">
      <x:c r="A278" s="40" t="n">
        <x:v>45506</x:v>
      </x:c>
      <x:c r="B278" s="41" t="n">
        <x:v>1.2232</x:v>
      </x:c>
      <x:c r="C278" s="42" t="n">
        <x:v>-0.0311</x:v>
      </x:c>
    </x:row>
    <x:row r="279" s="1" customFormat="1" ht="20" customHeight="1">
      <x:c r="A279" s="40" t="n">
        <x:v>45509</x:v>
      </x:c>
      <x:c r="B279" s="41" t="n">
        <x:v>1.1893</x:v>
      </x:c>
      <x:c r="C279" s="42" t="n">
        <x:v>-0.0277</x:v>
      </x:c>
    </x:row>
    <x:row r="280" s="1" customFormat="1" ht="20" customHeight="1">
      <x:c r="A280" s="40" t="n">
        <x:v>45510</x:v>
      </x:c>
      <x:c r="B280" s="41" t="n">
        <x:v>1.2044</x:v>
      </x:c>
      <x:c r="C280" s="42" t="n">
        <x:v>0.0127</x:v>
      </x:c>
    </x:row>
    <x:row r="281" s="1" customFormat="1" ht="20" customHeight="1">
      <x:c r="A281" s="40" t="n">
        <x:v>45511</x:v>
      </x:c>
      <x:c r="B281" s="41" t="n">
        <x:v>1.1909</x:v>
      </x:c>
      <x:c r="C281" s="42" t="n">
        <x:v>-0.0112</x:v>
      </x:c>
    </x:row>
    <x:row r="282" s="1" customFormat="1" ht="20" customHeight="1">
      <x:c r="A282" s="40" t="n">
        <x:v>45512</x:v>
      </x:c>
      <x:c r="B282" s="41" t="n">
        <x:v>1.235</x:v>
      </x:c>
      <x:c r="C282" s="42" t="n">
        <x:v>0.037</x:v>
      </x:c>
    </x:row>
    <x:row r="283" s="1" customFormat="1" ht="20" customHeight="1">
      <x:c r="A283" s="40" t="n">
        <x:v>45513</x:v>
      </x:c>
      <x:c r="B283" s="41" t="n">
        <x:v>1.2447</x:v>
      </x:c>
      <x:c r="C283" s="42" t="n">
        <x:v>0.007900000000000001</x:v>
      </x:c>
    </x:row>
    <x:row r="284" s="1" customFormat="1" ht="20" customHeight="1">
      <x:c r="A284" s="40" t="n">
        <x:v>45516</x:v>
      </x:c>
      <x:c r="B284" s="41" t="n">
        <x:v>1.2488</x:v>
      </x:c>
      <x:c r="C284" s="42" t="n">
        <x:v>0.0033</x:v>
      </x:c>
    </x:row>
    <x:row r="285" s="1" customFormat="1" ht="20" customHeight="1">
      <x:c r="A285" s="40" t="n">
        <x:v>45517</x:v>
      </x:c>
      <x:c r="B285" s="41" t="n">
        <x:v>1.2802</x:v>
      </x:c>
      <x:c r="C285" s="42" t="n">
        <x:v>0.0251</x:v>
      </x:c>
    </x:row>
    <x:row r="286" s="1" customFormat="1" ht="20" customHeight="1">
      <x:c r="A286" s="40" t="n">
        <x:v>45518</x:v>
      </x:c>
      <x:c r="B286" s="41" t="n">
        <x:v>1.2822</x:v>
      </x:c>
      <x:c r="C286" s="42" t="n">
        <x:v>0.0016</x:v>
      </x:c>
    </x:row>
    <x:row r="287" s="1" customFormat="1" ht="20" customHeight="1">
      <x:c r="A287" s="40" t="n">
        <x:v>45519</x:v>
      </x:c>
      <x:c r="B287" s="41" t="n">
        <x:v>1.3112</x:v>
      </x:c>
      <x:c r="C287" s="42" t="n">
        <x:v>0.0226</x:v>
      </x:c>
    </x:row>
    <x:row r="288" s="1" customFormat="1" ht="20" customHeight="1">
      <x:c r="A288" s="40" t="n">
        <x:v>45520</x:v>
      </x:c>
      <x:c r="B288" s="41" t="n">
        <x:v>1.3116</x:v>
      </x:c>
      <x:c r="C288" s="42" t="n">
        <x:v>0.0003</x:v>
      </x:c>
    </x:row>
    <x:row r="289" s="1" customFormat="1" ht="20" customHeight="1">
      <x:c r="A289" s="40" t="n">
        <x:v>45523</x:v>
      </x:c>
      <x:c r="B289" s="41" t="n">
        <x:v>1.3234</x:v>
      </x:c>
      <x:c r="C289" s="42" t="n">
        <x:v>0.008999999999999999</x:v>
      </x:c>
    </x:row>
    <x:row r="290" s="1" customFormat="1" ht="20" customHeight="1">
      <x:c r="A290" s="40" t="n">
        <x:v>45524</x:v>
      </x:c>
      <x:c r="B290" s="41" t="n">
        <x:v>1.3189</x:v>
      </x:c>
      <x:c r="C290" s="42" t="n">
        <x:v>-0.0034</x:v>
      </x:c>
    </x:row>
    <x:row r="291" s="1" customFormat="1" ht="20" customHeight="1">
      <x:c r="A291" s="40" t="n">
        <x:v>45525</x:v>
      </x:c>
      <x:c r="B291" s="41" t="n">
        <x:v>1.3237</x:v>
      </x:c>
      <x:c r="C291" s="42" t="n">
        <x:v>0.0036</x:v>
      </x:c>
    </x:row>
    <x:row r="292" s="1" customFormat="1" ht="20" customHeight="1">
      <x:c r="A292" s="40" t="n">
        <x:v>45526</x:v>
      </x:c>
      <x:c r="B292" s="41" t="n">
        <x:v>1.3018</x:v>
      </x:c>
      <x:c r="C292" s="42" t="n">
        <x:v>-0.0165</x:v>
      </x:c>
    </x:row>
    <x:row r="293" s="1" customFormat="1" ht="20" customHeight="1">
      <x:c r="A293" s="40" t="n">
        <x:v>45527</x:v>
      </x:c>
      <x:c r="B293" s="41" t="n">
        <x:v>1.3167</x:v>
      </x:c>
      <x:c r="C293" s="42" t="n">
        <x:v>0.0114</x:v>
      </x:c>
    </x:row>
    <x:row r="294" s="1" customFormat="1" ht="20" customHeight="1">
      <x:c r="A294" s="40" t="n">
        <x:v>45530</x:v>
      </x:c>
      <x:c r="B294" s="41" t="n">
        <x:v>1.2978</x:v>
      </x:c>
      <x:c r="C294" s="42" t="n">
        <x:v>-0.0144</x:v>
      </x:c>
    </x:row>
    <x:row r="295" s="1" customFormat="1" ht="20" customHeight="1">
      <x:c r="A295" s="40" t="n">
        <x:v>45531</x:v>
      </x:c>
      <x:c r="B295" s="41" t="n">
        <x:v>1.3027</x:v>
      </x:c>
      <x:c r="C295" s="42" t="n">
        <x:v>0.0038</x:v>
      </x:c>
    </x:row>
    <x:row r="296" s="1" customFormat="1" ht="20" customHeight="1">
      <x:c r="A296" s="40" t="n">
        <x:v>45532</x:v>
      </x:c>
      <x:c r="B296" s="41" t="n">
        <x:v>1.2874</x:v>
      </x:c>
      <x:c r="C296" s="42" t="n">
        <x:v>-0.0117</x:v>
      </x:c>
    </x:row>
    <x:row r="297" s="1" customFormat="1" ht="20" customHeight="1">
      <x:c r="A297" s="40" t="n">
        <x:v>45533</x:v>
      </x:c>
      <x:c r="B297" s="41" t="n">
        <x:v>1.2871</x:v>
      </x:c>
      <x:c r="C297" s="42" t="n">
        <x:v>-0.0002</x:v>
      </x:c>
    </x:row>
    <x:row r="298" s="1" customFormat="1" ht="20" customHeight="1">
      <x:c r="A298" s="40" t="n">
        <x:v>45534</x:v>
      </x:c>
      <x:c r="B298" s="41" t="n">
        <x:v>1.302</x:v>
      </x:c>
      <x:c r="C298" s="42" t="n">
        <x:v>0.0116</x:v>
      </x:c>
    </x:row>
    <x:row r="299" s="1" customFormat="1" ht="20" customHeight="1">
      <x:c r="A299" s="40" t="n">
        <x:v>45538</x:v>
      </x:c>
      <x:c r="B299" s="41" t="n">
        <x:v>1.2521</x:v>
      </x:c>
      <x:c r="C299" s="42" t="n"/>
    </x:row>
    <x:row r="300" s="1" customFormat="1" ht="20" customHeight="1">
      <x:c r="A300" s="40" t="n">
        <x:v>45539</x:v>
      </x:c>
      <x:c r="B300" s="41" t="n">
        <x:v>1.2476</x:v>
      </x:c>
      <x:c r="C300" s="42" t="n">
        <x:v>-0.0036</x:v>
      </x:c>
    </x:row>
    <x:row r="301" s="1" customFormat="1" ht="20" customHeight="1">
      <x:c r="A301" s="40" t="n">
        <x:v>45540</x:v>
      </x:c>
      <x:c r="B301" s="41" t="n">
        <x:v>1.2486</x:v>
      </x:c>
      <x:c r="C301" s="42" t="n">
        <x:v>0.0008</x:v>
      </x:c>
    </x:row>
    <x:row r="302" s="1" customFormat="1" ht="20" customHeight="1">
      <x:c r="A302" s="40" t="n">
        <x:v>45544</x:v>
      </x:c>
      <x:c r="B302" s="41" t="n">
        <x:v>1.2285</x:v>
      </x:c>
      <x:c r="C302" s="42" t="n"/>
    </x:row>
    <x:row r="303" s="1" customFormat="1" ht="20" customHeight="1">
      <x:c r="A303" s="40" t="n">
        <x:v>45545</x:v>
      </x:c>
      <x:c r="B303" s="41" t="n">
        <x:v>1.2406</x:v>
      </x:c>
      <x:c r="C303" s="42" t="n">
        <x:v>0.0098</x:v>
      </x:c>
    </x:row>
    <x:row r="304" s="1" customFormat="1" ht="20" customHeight="1">
      <x:c r="A304" s="40" t="n">
        <x:v>45546</x:v>
      </x:c>
      <x:c r="B304" s="41" t="n">
        <x:v>1.2773</x:v>
      </x:c>
      <x:c r="C304" s="42" t="n">
        <x:v>0.0296</x:v>
      </x:c>
    </x:row>
    <x:row r="305" s="1" customFormat="1" ht="20" customHeight="1">
      <x:c r="A305" s="40" t="n">
        <x:v>45547</x:v>
      </x:c>
      <x:c r="B305" s="41" t="n">
        <x:v>1.29</x:v>
      </x:c>
      <x:c r="C305" s="42" t="n">
        <x:v>0.009900000000000001</x:v>
      </x:c>
    </x:row>
    <x:row r="306" s="1" customFormat="1" ht="20" customHeight="1">
      <x:c r="A306" s="40" t="n">
        <x:v>45548</x:v>
      </x:c>
      <x:c r="B306" s="41" t="n">
        <x:v>1.2936</x:v>
      </x:c>
      <x:c r="C306" s="42" t="n">
        <x:v>0.0028</x:v>
      </x:c>
    </x:row>
    <x:row r="307" s="1" customFormat="1" ht="20" customHeight="1">
      <x:c r="A307" s="40" t="n">
        <x:v>45554</x:v>
      </x:c>
      <x:c r="B307" s="41" t="n">
        <x:v>1.3144</x:v>
      </x:c>
      <x:c r="C307" s="42" t="n"/>
    </x:row>
    <x:row r="308" s="1" customFormat="1" ht="20" customHeight="1">
      <x:c r="A308" s="40" t="n">
        <x:v>45555</x:v>
      </x:c>
      <x:c r="B308" s="41" t="n">
        <x:v>1.3073</x:v>
      </x:c>
      <x:c r="C308" s="42" t="n">
        <x:v>-0.0054</x:v>
      </x:c>
    </x:row>
    <x:row r="309" s="1" customFormat="1" ht="20" customHeight="1">
      <x:c r="A309" s="40" t="n">
        <x:v>45558</x:v>
      </x:c>
      <x:c r="B309" s="41" t="n">
        <x:v>1.3077</x:v>
      </x:c>
      <x:c r="C309" s="42" t="n">
        <x:v>0.0003</x:v>
      </x:c>
    </x:row>
    <x:row r="310" s="1" customFormat="1" ht="20" customHeight="1">
      <x:c r="A310" s="40" t="n">
        <x:v>45559</x:v>
      </x:c>
      <x:c r="B310" s="41" t="n">
        <x:v>1.3165</x:v>
      </x:c>
      <x:c r="C310" s="42" t="n">
        <x:v>0.0067</x:v>
      </x:c>
    </x:row>
    <x:row r="311" s="1" customFormat="1" ht="20" customHeight="1">
      <x:c r="A311" s="40" t="n">
        <x:v>45560</x:v>
      </x:c>
      <x:c r="B311" s="41" t="n">
        <x:v>1.3149</x:v>
      </x:c>
      <x:c r="C311" s="42" t="n">
        <x:v>-0.0012</x:v>
      </x:c>
    </x:row>
    <x:row r="312" s="1" customFormat="1" ht="20" customHeight="1">
      <x:c r="A312" s="40" t="n">
        <x:v>45561</x:v>
      </x:c>
      <x:c r="B312" s="41" t="n">
        <x:v>1.3285</x:v>
      </x:c>
      <x:c r="C312" s="42" t="n">
        <x:v>0.0103</x:v>
      </x:c>
    </x:row>
    <x:row r="313" s="1" customFormat="1" ht="20" customHeight="1">
      <x:c r="A313" s="40" t="n">
        <x:v>45562</x:v>
      </x:c>
      <x:c r="B313" s="41" t="n">
        <x:v>1.3106</x:v>
      </x:c>
      <x:c r="C313" s="42" t="n">
        <x:v>-0.0135</x:v>
      </x:c>
    </x:row>
    <x:row r="314" s="1" customFormat="1" ht="20" customHeight="1">
      <x:c r="A314" s="40" t="n">
        <x:v>45565</x:v>
      </x:c>
      <x:c r="B314" s="41" t="n">
        <x:v>1.3125</x:v>
      </x:c>
      <x:c r="C314" s="42" t="n">
        <x:v>0.0014</x:v>
      </x:c>
    </x:row>
    <x:row r="315" s="1" customFormat="1" ht="20" customHeight="1">
      <x:c r="A315" s="40" t="n">
        <x:v>45573</x:v>
      </x:c>
      <x:c r="B315" s="41" t="n">
        <x:v>1.3438</x:v>
      </x:c>
      <x:c r="C315" s="42" t="n">
        <x:v>0.0238</x:v>
      </x:c>
    </x:row>
    <x:row r="316" s="1" customFormat="1" ht="20" customHeight="1">
      <x:c r="A316" s="40" t="n">
        <x:v>45574</x:v>
      </x:c>
      <x:c r="B316" s="41" t="n">
        <x:v>1.3488</x:v>
      </x:c>
      <x:c r="C316" s="42" t="n">
        <x:v>0.0037</x:v>
      </x:c>
    </x:row>
    <x:row r="317" s="1" customFormat="1" ht="20" customHeight="1">
      <x:c r="A317" s="40" t="n">
        <x:v>45575</x:v>
      </x:c>
      <x:c r="B317" s="41" t="n">
        <x:v>1.3519</x:v>
      </x:c>
      <x:c r="C317" s="42" t="n">
        <x:v>0.0023</x:v>
      </x:c>
    </x:row>
    <x:row r="318" s="1" customFormat="1" ht="20" customHeight="1">
      <x:c r="A318" s="40" t="n">
        <x:v>45579</x:v>
      </x:c>
      <x:c r="B318" s="41" t="n">
        <x:v>1.3702</x:v>
      </x:c>
      <x:c r="C318" s="42" t="n"/>
    </x:row>
    <x:row r="319" s="1" customFormat="1" ht="20" customHeight="1">
      <x:c r="A319" s="40" t="n">
        <x:v>45580</x:v>
      </x:c>
      <x:c r="B319" s="41" t="n">
        <x:v>1.3418</x:v>
      </x:c>
      <x:c r="C319" s="42" t="n">
        <x:v>-0.0207</x:v>
      </x:c>
    </x:row>
    <x:row r="320" s="1" customFormat="1" ht="20" customHeight="1">
      <x:c r="A320" s="40" t="n">
        <x:v>45581</x:v>
      </x:c>
      <x:c r="B320" s="41" t="n">
        <x:v>1.3518</x:v>
      </x:c>
      <x:c r="C320" s="42" t="n">
        <x:v>0.0075</x:v>
      </x:c>
    </x:row>
    <x:row r="321" s="1" customFormat="1" ht="20" customHeight="1">
      <x:c r="A321" s="40" t="n">
        <x:v>45582</x:v>
      </x:c>
      <x:c r="B321" s="41" t="n">
        <x:v>1.3611</x:v>
      </x:c>
      <x:c r="C321" s="42" t="n">
        <x:v>0.0069</x:v>
      </x:c>
    </x:row>
    <x:row r="322" s="1" customFormat="1" ht="20" customHeight="1">
      <x:c r="A322" s="40" t="n">
        <x:v>45583</x:v>
      </x:c>
      <x:c r="B322" s="41" t="n">
        <x:v>1.3668</x:v>
      </x:c>
      <x:c r="C322" s="42" t="n">
        <x:v>0.0042</x:v>
      </x:c>
    </x:row>
    <x:row r="323" s="1" customFormat="1" ht="20" customHeight="1">
      <x:c r="A323" s="40" t="n">
        <x:v>45586</x:v>
      </x:c>
      <x:c r="B323" s="41" t="n">
        <x:v>1.3668</x:v>
      </x:c>
      <x:c r="C323" s="42" t="n">
        <x:v>0</x:v>
      </x:c>
    </x:row>
    <x:row r="324" s="1" customFormat="1" ht="20" customHeight="1">
      <x:c r="A324" s="40" t="n">
        <x:v>45587</x:v>
      </x:c>
      <x:c r="B324" s="41" t="n">
        <x:v>1.3717</x:v>
      </x:c>
      <x:c r="C324" s="42" t="n">
        <x:v>0.0036</x:v>
      </x:c>
    </x:row>
    <x:row r="325" s="1" customFormat="1" ht="20" customHeight="1">
      <x:c r="A325" s="40" t="n">
        <x:v>45588</x:v>
      </x:c>
      <x:c r="B325" s="41" t="n">
        <x:v>1.3488</x:v>
      </x:c>
      <x:c r="C325" s="42" t="n">
        <x:v>-0.0167</x:v>
      </x:c>
    </x:row>
    <x:row r="326" s="1" customFormat="1" ht="20" customHeight="1">
      <x:c r="A326" s="40" t="n">
        <x:v>45589</x:v>
      </x:c>
      <x:c r="B326" s="41" t="n">
        <x:v>1.3537</x:v>
      </x:c>
      <x:c r="C326" s="42" t="n">
        <x:v>0.0036</x:v>
      </x:c>
    </x:row>
    <x:row r="327" s="1" customFormat="1" ht="20" customHeight="1">
      <x:c r="A327" s="40" t="n">
        <x:v>45590</x:v>
      </x:c>
      <x:c r="B327" s="41" t="n">
        <x:v>1.3599</x:v>
      </x:c>
      <x:c r="C327" s="42" t="n">
        <x:v>0.0046</x:v>
      </x:c>
    </x:row>
    <x:row r="328" s="1" customFormat="1" ht="20" customHeight="1">
      <x:c r="A328" s="40" t="n">
        <x:v>45593</x:v>
      </x:c>
      <x:c r="B328" s="41" t="n">
        <x:v>1.3632</x:v>
      </x:c>
      <x:c r="C328" s="42" t="n">
        <x:v>0.0024</x:v>
      </x:c>
    </x:row>
    <x:row r="329" s="1" customFormat="1" ht="20" customHeight="1">
      <x:c r="A329" s="40" t="n">
        <x:v>45594</x:v>
      </x:c>
      <x:c r="B329" s="41" t="n">
        <x:v>1.3828</x:v>
      </x:c>
      <x:c r="C329" s="42" t="n">
        <x:v>0.0144</x:v>
      </x:c>
    </x:row>
    <x:row r="330" s="1" customFormat="1" ht="20" customHeight="1">
      <x:c r="A330" s="40" t="n">
        <x:v>45595</x:v>
      </x:c>
      <x:c r="B330" s="41" t="n">
        <x:v>1.3711</x:v>
      </x:c>
      <x:c r="C330" s="42" t="n">
        <x:v>-0.008500000000000001</x:v>
      </x:c>
    </x:row>
    <x:row r="331" s="1" customFormat="1" ht="20" customHeight="1">
      <x:c r="A331" s="40" t="n">
        <x:v>45596</x:v>
      </x:c>
      <x:c r="B331" s="41" t="n">
        <x:v>1.3264</x:v>
      </x:c>
      <x:c r="C331" s="42" t="n">
        <x:v>-0.0326</x:v>
      </x:c>
    </x:row>
    <x:row r="332" s="1" customFormat="1" ht="20" customHeight="1">
      <x:c r="A332" s="40" t="n">
        <x:v>45597</x:v>
      </x:c>
      <x:c r="B332" s="41" t="n">
        <x:v>1.3383</x:v>
      </x:c>
      <x:c r="C332" s="42" t="n">
        <x:v>0.008999999999999999</x:v>
      </x:c>
    </x:row>
    <x:row r="333" s="1" customFormat="1" ht="20" customHeight="1">
      <x:c r="A333" s="40" t="n">
        <x:v>45600</x:v>
      </x:c>
      <x:c r="B333" s="41" t="n">
        <x:v>1.3334</x:v>
      </x:c>
      <x:c r="C333" s="42" t="n">
        <x:v>-0.0037</x:v>
      </x:c>
    </x:row>
    <x:row r="334" s="1" customFormat="1" ht="20" customHeight="1">
      <x:c r="A334" s="40" t="n">
        <x:v>45601</x:v>
      </x:c>
      <x:c r="B334" s="41" t="n">
        <x:v>1.3513</x:v>
      </x:c>
      <x:c r="C334" s="42" t="n">
        <x:v>0.0134</x:v>
      </x:c>
    </x:row>
    <x:row r="335" s="1" customFormat="1" ht="20" customHeight="1">
      <x:c r="A335" s="40" t="n">
        <x:v>45602</x:v>
      </x:c>
      <x:c r="B335" s="41" t="n">
        <x:v>1.3783</x:v>
      </x:c>
      <x:c r="C335" s="42" t="n">
        <x:v>0.02</x:v>
      </x:c>
    </x:row>
    <x:row r="336" s="1" customFormat="1" ht="20" customHeight="1">
      <x:c r="A336" s="40" t="n">
        <x:v>45603</x:v>
      </x:c>
      <x:c r="B336" s="41" t="n">
        <x:v>1.4185</x:v>
      </x:c>
      <x:c r="C336" s="42" t="n">
        <x:v>0.0292</x:v>
      </x:c>
    </x:row>
    <x:row r="337" s="1" customFormat="1" ht="20" customHeight="1">
      <x:c r="A337" s="40" t="n">
        <x:v>45604</x:v>
      </x:c>
      <x:c r="B337" s="41" t="n">
        <x:v>1.4045</x:v>
      </x:c>
      <x:c r="C337" s="42" t="n">
        <x:v>-0.009900000000000001</x:v>
      </x:c>
    </x:row>
    <x:row r="338" s="1" customFormat="1" ht="20" customHeight="1">
      <x:c r="A338" s="40" t="n">
        <x:v>45607</x:v>
      </x:c>
      <x:c r="B338" s="41" t="n">
        <x:v>1.3991</x:v>
      </x:c>
      <x:c r="C338" s="42" t="n">
        <x:v>-0.0038</x:v>
      </x:c>
    </x:row>
    <x:row r="339" s="1" customFormat="1" ht="20" customHeight="1">
      <x:c r="A339" s="40" t="n">
        <x:v>45608</x:v>
      </x:c>
      <x:c r="B339" s="41" t="n">
        <x:v>1.401</x:v>
      </x:c>
      <x:c r="C339" s="42" t="n">
        <x:v>0.0014</x:v>
      </x:c>
    </x:row>
    <x:row r="340" s="1" customFormat="1" ht="20" customHeight="1">
      <x:c r="A340" s="40" t="n">
        <x:v>45609</x:v>
      </x:c>
      <x:c r="B340" s="41" t="n">
        <x:v>1.3975</x:v>
      </x:c>
      <x:c r="C340" s="42" t="n">
        <x:v>-0.0025</x:v>
      </x:c>
    </x:row>
    <x:row r="341" s="1" customFormat="1" ht="20" customHeight="1">
      <x:c r="A341" s="40" t="n">
        <x:v>45610</x:v>
      </x:c>
      <x:c r="B341" s="41" t="n">
        <x:v>1.3909</x:v>
      </x:c>
      <x:c r="C341" s="42" t="n">
        <x:v>-0.0047</x:v>
      </x:c>
    </x:row>
    <x:row r="342" s="1" customFormat="1" ht="20" customHeight="1">
      <x:c r="A342" s="40" t="n">
        <x:v>45611</x:v>
      </x:c>
      <x:c r="B342" s="41" t="n">
        <x:v>1.3564</x:v>
      </x:c>
      <x:c r="C342" s="42" t="n">
        <x:v>-0.0248</x:v>
      </x:c>
    </x:row>
    <x:row r="343" s="1" customFormat="1" ht="20" customHeight="1">
      <x:c r="A343" s="40" t="n">
        <x:v>45614</x:v>
      </x:c>
      <x:c r="B343" s="41" t="n">
        <x:v>1.3585</x:v>
      </x:c>
      <x:c r="C343" s="42" t="n">
        <x:v>0.0015</x:v>
      </x:c>
    </x:row>
    <x:row r="344" s="1" customFormat="1" ht="20" customHeight="1">
      <x:c r="A344" s="40" t="n">
        <x:v>45615</x:v>
      </x:c>
      <x:c r="B344" s="41" t="n">
        <x:v>1.374</x:v>
      </x:c>
      <x:c r="C344" s="42" t="n">
        <x:v>0.0114</x:v>
      </x:c>
    </x:row>
    <x:row r="345" s="1" customFormat="1" ht="20" customHeight="1">
      <x:c r="A345" s="40" t="n">
        <x:v>45616</x:v>
      </x:c>
      <x:c r="B345" s="41" t="n">
        <x:v>1.3719</x:v>
      </x:c>
      <x:c r="C345" s="42" t="n">
        <x:v>-0.0015</x:v>
      </x:c>
    </x:row>
    <x:row r="346" s="1" customFormat="1" ht="20" customHeight="1">
      <x:c r="A346" s="40" t="n">
        <x:v>45617</x:v>
      </x:c>
      <x:c r="B346" s="41" t="n">
        <x:v>1.3767</x:v>
      </x:c>
      <x:c r="C346" s="42" t="n">
        <x:v>0.0035</x:v>
      </x:c>
    </x:row>
    <x:row r="347" s="1" customFormat="1" ht="20" customHeight="1">
      <x:c r="A347" s="40" t="n">
        <x:v>45618</x:v>
      </x:c>
      <x:c r="B347" s="41" t="n">
        <x:v>1.3749</x:v>
      </x:c>
      <x:c r="C347" s="42" t="n">
        <x:v>-0.0013</x:v>
      </x:c>
    </x:row>
    <x:row r="348" s="1" customFormat="1" ht="20" customHeight="1">
      <x:c r="A348" s="40" t="n">
        <x:v>45621</x:v>
      </x:c>
      <x:c r="B348" s="41" t="n">
        <x:v>1.3728</x:v>
      </x:c>
      <x:c r="C348" s="42" t="n">
        <x:v>-0.0015</x:v>
      </x:c>
    </x:row>
    <x:row r="349" s="1" customFormat="1" ht="20" customHeight="1">
      <x:c r="A349" s="40" t="n">
        <x:v>45622</x:v>
      </x:c>
      <x:c r="B349" s="41" t="n">
        <x:v>1.3853</x:v>
      </x:c>
      <x:c r="C349" s="42" t="n">
        <x:v>0.0091</x:v>
      </x:c>
    </x:row>
    <x:row r="350" s="1" customFormat="1" ht="20" customHeight="1">
      <x:c r="A350" s="40" t="n">
        <x:v>45623</x:v>
      </x:c>
      <x:c r="B350" s="41" t="n">
        <x:v>1.3718</x:v>
      </x:c>
      <x:c r="C350" s="42" t="n">
        <x:v>-0.0097</x:v>
      </x:c>
    </x:row>
    <x:row r="351" s="1" customFormat="1" ht="20" customHeight="1">
      <x:c r="A351" s="40" t="n">
        <x:v>45625</x:v>
      </x:c>
      <x:c r="B351" s="41" t="n">
        <x:v>1.3829</x:v>
      </x:c>
      <x:c r="C351" s="42" t="n"/>
    </x:row>
    <x:row r="352" s="1" customFormat="1" ht="20" customHeight="1">
      <x:c r="A352" s="40" t="n">
        <x:v>45628</x:v>
      </x:c>
      <x:c r="B352" s="41" t="n">
        <x:v>1.4033</x:v>
      </x:c>
      <x:c r="C352" s="42" t="n">
        <x:v>0.0148</x:v>
      </x:c>
    </x:row>
    <x:row r="353" s="1" customFormat="1" ht="20" customHeight="1">
      <x:c r="A353" s="40" t="n">
        <x:v>45629</x:v>
      </x:c>
      <x:c r="B353" s="41" t="n">
        <x:v>1.4171</x:v>
      </x:c>
      <x:c r="C353" s="42" t="n">
        <x:v>0.0098</x:v>
      </x:c>
    </x:row>
    <x:row r="354" s="1" customFormat="1" ht="20" customHeight="1">
      <x:c r="A354" s="40" t="n">
        <x:v>45630</x:v>
      </x:c>
      <x:c r="B354" s="41" t="n">
        <x:v>1.4459</x:v>
      </x:c>
      <x:c r="C354" s="42" t="n">
        <x:v>0.0203</x:v>
      </x:c>
    </x:row>
    <x:row r="355" s="1" customFormat="1" ht="20" customHeight="1">
      <x:c r="A355" s="40" t="n">
        <x:v>45631</x:v>
      </x:c>
      <x:c r="B355" s="41" t="n">
        <x:v>1.4444</x:v>
      </x:c>
      <x:c r="C355" s="42" t="n">
        <x:v>-0.001</x:v>
      </x:c>
    </x:row>
    <x:row r="356" s="1" customFormat="1" ht="20" customHeight="1">
      <x:c r="A356" s="40" t="n">
        <x:v>45632</x:v>
      </x:c>
      <x:c r="B356" s="41" t="n">
        <x:v>1.4603</x:v>
      </x:c>
      <x:c r="C356" s="42" t="n">
        <x:v>0.011</x:v>
      </x:c>
    </x:row>
    <x:row r="357" s="1" customFormat="1" ht="20" customHeight="1">
      <x:c r="A357" s="40" t="n">
        <x:v>45635</x:v>
      </x:c>
      <x:c r="B357" s="41" t="n">
        <x:v>1.4486</x:v>
      </x:c>
      <x:c r="C357" s="42" t="n">
        <x:v>-0.008</x:v>
      </x:c>
    </x:row>
    <x:row r="358" s="1" customFormat="1" ht="20" customHeight="1">
      <x:c r="A358" s="40" t="n">
        <x:v>45636</x:v>
      </x:c>
      <x:c r="B358" s="41" t="n">
        <x:v>1.4397</x:v>
      </x:c>
      <x:c r="C358" s="42" t="n">
        <x:v>-0.0061</x:v>
      </x:c>
    </x:row>
    <x:row r="359" s="1" customFormat="1" ht="20" customHeight="1">
      <x:c r="A359" s="40" t="n">
        <x:v>45637</x:v>
      </x:c>
      <x:c r="B359" s="41" t="n">
        <x:v>1.4699</x:v>
      </x:c>
      <x:c r="C359" s="42" t="n">
        <x:v>0.021</x:v>
      </x:c>
    </x:row>
    <x:row r="360" s="1" customFormat="1" ht="20" customHeight="1">
      <x:c r="A360" s="40" t="n">
        <x:v>45638</x:v>
      </x:c>
      <x:c r="B360" s="41" t="n">
        <x:v>1.4604</x:v>
      </x:c>
      <x:c r="C360" s="42" t="n">
        <x:v>-0.0065</x:v>
      </x:c>
    </x:row>
    <x:row r="361" s="1" customFormat="1" ht="20" customHeight="1">
      <x:c r="A361" s="40" t="n">
        <x:v>45639</x:v>
      </x:c>
      <x:c r="B361" s="41" t="n">
        <x:v>1.4808</x:v>
      </x:c>
      <x:c r="C361" s="42" t="n">
        <x:v>0.014</x:v>
      </x:c>
    </x:row>
    <x:row r="362" s="1" customFormat="1" ht="20" customHeight="1">
      <x:c r="A362" s="40" t="n">
        <x:v>45642</x:v>
      </x:c>
      <x:c r="B362" s="41" t="n">
        <x:v>1.5057</x:v>
      </x:c>
      <x:c r="C362" s="42" t="n">
        <x:v>0.0168</x:v>
      </x:c>
    </x:row>
    <x:row r="363" s="1" customFormat="1" ht="20" customHeight="1">
      <x:c r="A363" s="40" t="n">
        <x:v>45643</x:v>
      </x:c>
      <x:c r="B363" s="41" t="n">
        <x:v>1.4903</x:v>
      </x:c>
      <x:c r="C363" s="42" t="n">
        <x:v>-0.0102</x:v>
      </x:c>
    </x:row>
    <x:row r="364" s="1" customFormat="1" ht="20" customHeight="1">
      <x:c r="A364" s="40" t="n">
        <x:v>45644</x:v>
      </x:c>
      <x:c r="B364" s="41" t="n">
        <x:v>1.44</x:v>
      </x:c>
      <x:c r="C364" s="42" t="n">
        <x:v>-0.0338</x:v>
      </x:c>
    </x:row>
    <x:row r="365" s="1" customFormat="1" ht="20" customHeight="1">
      <x:c r="A365" s="40" t="n">
        <x:v>45645</x:v>
      </x:c>
      <x:c r="B365" s="41" t="n">
        <x:v>1.4413</x:v>
      </x:c>
      <x:c r="C365" s="42" t="n">
        <x:v>0.0009</x:v>
      </x:c>
    </x:row>
    <x:row r="366" s="1" customFormat="1" ht="20" customHeight="1">
      <x:c r="A366" s="40" t="n">
        <x:v>45646</x:v>
      </x:c>
      <x:c r="B366" s="41" t="n">
        <x:v>1.452</x:v>
      </x:c>
      <x:c r="C366" s="42" t="n">
        <x:v>0.0074</x:v>
      </x:c>
    </x:row>
    <x:row r="367" s="1" customFormat="1" ht="20" customHeight="1">
      <x:c r="A367" s="40" t="n">
        <x:v>45649</x:v>
      </x:c>
      <x:c r="B367" s="41" t="n">
        <x:v>1.4674</x:v>
      </x:c>
      <x:c r="C367" s="42" t="n">
        <x:v>0.0106</x:v>
      </x:c>
    </x:row>
    <x:row r="368" s="1" customFormat="1" ht="20" customHeight="1">
      <x:c r="A368" s="40" t="n">
        <x:v>45650</x:v>
      </x:c>
      <x:c r="B368" s="41" t="n">
        <x:v>1.485</x:v>
      </x:c>
      <x:c r="C368" s="42" t="n">
        <x:v>0.012</x:v>
      </x:c>
    </x:row>
    <x:row r="369" s="1" customFormat="1" ht="20" customHeight="1">
      <x:c r="A369" s="40" t="n">
        <x:v>45653</x:v>
      </x:c>
      <x:c r="B369" s="41" t="n">
        <x:v>1.4612</x:v>
      </x:c>
      <x:c r="C369" s="42" t="n"/>
    </x:row>
    <x:row r="370" s="1" customFormat="1" ht="20" customHeight="1">
      <x:c r="A370" s="40" t="n">
        <x:v>45656</x:v>
      </x:c>
      <x:c r="B370" s="41" t="n">
        <x:v>1.4454</x:v>
      </x:c>
      <x:c r="C370" s="42" t="n">
        <x:v>-0.0108</x:v>
      </x:c>
    </x:row>
    <x:row r="371" s="1" customFormat="1" ht="20" customHeight="1">
      <x:c r="A371" s="40" t="n">
        <x:v>45657</x:v>
      </x:c>
      <x:c r="B371" s="41" t="n">
        <x:v>1.4319</x:v>
      </x:c>
      <x:c r="C371" s="42" t="n">
        <x:v>-0.009299999999999999</x:v>
      </x:c>
    </x:row>
    <x:row r="372" s="1" customFormat="1" ht="20" customHeight="1">
      <x:c r="A372" s="40" t="n">
        <x:v>45659</x:v>
      </x:c>
      <x:c r="B372" s="41" t="n">
        <x:v>1.4322</x:v>
      </x:c>
      <x:c r="C372" s="42" t="n">
        <x:v>0.0002</x:v>
      </x:c>
    </x:row>
    <x:row r="373" s="1" customFormat="1" ht="20" customHeight="1">
      <x:c r="A373" s="40" t="n">
        <x:v>45660</x:v>
      </x:c>
      <x:c r="B373" s="41" t="n">
        <x:v>1.4542</x:v>
      </x:c>
      <x:c r="C373" s="42" t="n">
        <x:v>0.0154</x:v>
      </x:c>
    </x:row>
    <x:row r="374" s="1" customFormat="1" ht="20" customHeight="1">
      <x:c r="A374" s="40" t="n">
        <x:v>45663</x:v>
      </x:c>
      <x:c r="B374" s="41" t="n">
        <x:v>1.4759</x:v>
      </x:c>
      <x:c r="C374" s="42" t="n">
        <x:v>0.0149</x:v>
      </x:c>
    </x:row>
    <x:row r="375" s="1" customFormat="1" ht="20" customHeight="1">
      <x:c r="A375" s="40" t="n">
        <x:v>45664</x:v>
      </x:c>
      <x:c r="B375" s="41" t="n">
        <x:v>1.4441</x:v>
      </x:c>
      <x:c r="C375" s="42" t="n">
        <x:v>-0.0215</x:v>
      </x:c>
    </x:row>
    <x:row r="376" s="1" customFormat="1" ht="20" customHeight="1">
      <x:c r="A376" s="40" t="n">
        <x:v>45665</x:v>
      </x:c>
      <x:c r="B376" s="41" t="n">
        <x:v>1.4416</x:v>
      </x:c>
      <x:c r="C376" s="42" t="n">
        <x:v>-0.0017</x:v>
      </x:c>
    </x:row>
    <x:row r="377" s="1" customFormat="1" ht="20" customHeight="1">
      <x:c r="A377" s="40" t="n">
        <x:v>45667</x:v>
      </x:c>
      <x:c r="B377" s="41" t="n">
        <x:v>1.4203</x:v>
      </x:c>
      <x:c r="C377" s="42" t="n"/>
    </x:row>
    <x:row r="378" s="1" customFormat="1" ht="20" customHeight="1">
      <x:c r="A378" s="40" t="n">
        <x:v>45670</x:v>
      </x:c>
      <x:c r="B378" s="41" t="n">
        <x:v>1.412</x:v>
      </x:c>
      <x:c r="C378" s="42" t="n">
        <x:v>-0.0058</x:v>
      </x:c>
    </x:row>
    <x:row r="379" s="1" customFormat="1" ht="20" customHeight="1">
      <x:c r="A379" s="40" t="n">
        <x:v>45671</x:v>
      </x:c>
      <x:c r="B379" s="41" t="n">
        <x:v>1.4079</x:v>
      </x:c>
      <x:c r="C379" s="42" t="n">
        <x:v>-0.0029</x:v>
      </x:c>
    </x:row>
    <x:row r="380" s="1" customFormat="1" ht="20" customHeight="1">
      <x:c r="A380" s="40" t="n">
        <x:v>45672</x:v>
      </x:c>
      <x:c r="B380" s="41" t="n">
        <x:v>1.4346</x:v>
      </x:c>
      <x:c r="C380" s="42" t="n">
        <x:v>0.019</x:v>
      </x:c>
    </x:row>
    <x:row r="381" s="1" customFormat="1" ht="20" customHeight="1">
      <x:c r="A381" s="40" t="n">
        <x:v>45673</x:v>
      </x:c>
      <x:c r="B381" s="41" t="n">
        <x:v>1.4245</x:v>
      </x:c>
      <x:c r="C381" s="42" t="n">
        <x:v>-0.007</x:v>
      </x:c>
    </x:row>
    <x:row r="382" s="1" customFormat="1" ht="20" customHeight="1">
      <x:c r="A382" s="40" t="n">
        <x:v>45674</x:v>
      </x:c>
      <x:c r="B382" s="41" t="n">
        <x:v>1.4451</x:v>
      </x:c>
      <x:c r="C382" s="42" t="n">
        <x:v>0.0145</x:v>
      </x:c>
    </x:row>
    <x:row r="383" s="1" customFormat="1" ht="20" customHeight="1">
      <x:c r="A383" s="40" t="n">
        <x:v>45678</x:v>
      </x:c>
      <x:c r="B383" s="41" t="n">
        <x:v>1.4497</x:v>
      </x:c>
      <x:c r="C383" s="42" t="n"/>
    </x:row>
    <x:row r="384" s="1" customFormat="1" ht="20" customHeight="1">
      <x:c r="A384" s="40" t="n">
        <x:v>45679</x:v>
      </x:c>
      <x:c r="B384" s="41" t="n">
        <x:v>1.4744</x:v>
      </x:c>
      <x:c r="C384" s="42" t="n">
        <x:v>0.017</x:v>
      </x:c>
    </x:row>
    <x:row r="385" s="1" customFormat="1" ht="20" customHeight="1">
      <x:c r="A385" s="40" t="n">
        <x:v>45680</x:v>
      </x:c>
      <x:c r="B385" s="41" t="n">
        <x:v>1.4764</x:v>
      </x:c>
      <x:c r="C385" s="42" t="n">
        <x:v>0.0014</x:v>
      </x:c>
    </x:row>
    <x:row r="386" s="1" customFormat="1" ht="20" customHeight="1">
      <x:c r="A386" s="40" t="n">
        <x:v>45681</x:v>
      </x:c>
      <x:c r="B386" s="41" t="n">
        <x:v>1.4725</x:v>
      </x:c>
      <x:c r="C386" s="42" t="n">
        <x:v>-0.0026</x:v>
      </x:c>
    </x:row>
    <x:row r="387" s="1" customFormat="1" ht="20" customHeight="1">
      <x:c r="A387" s="40" t="n">
        <x:v>45684</x:v>
      </x:c>
      <x:c r="B387" s="41" t="n">
        <x:v>1.4297</x:v>
      </x:c>
      <x:c r="C387" s="42" t="n">
        <x:v>-0.0291</x:v>
      </x:c>
    </x:row>
    <x:row r="388" s="1" customFormat="1" ht="20" customHeight="1">
      <x:c r="A388" s="40" t="n">
        <x:v>45693</x:v>
      </x:c>
      <x:c r="B388" s="41" t="n">
        <x:v>1.4542</x:v>
      </x:c>
      <x:c r="C388" s="42" t="n">
        <x:v>0.0171</x:v>
      </x:c>
    </x:row>
    <x:row r="389" s="1" customFormat="1" ht="20" customHeight="1">
      <x:c r="A389" s="40" t="n">
        <x:v>45694</x:v>
      </x:c>
      <x:c r="B389" s="41" t="n">
        <x:v>1.4596</x:v>
      </x:c>
      <x:c r="C389" s="42" t="n">
        <x:v>0.0037</x:v>
      </x:c>
    </x:row>
    <x:row r="390" s="1" customFormat="1" ht="20" customHeight="1">
      <x:c r="A390" s="40" t="n">
        <x:v>45695</x:v>
      </x:c>
      <x:c r="B390" s="41" t="n">
        <x:v>1.4459</x:v>
      </x:c>
      <x:c r="C390" s="42" t="n">
        <x:v>-0.0094</x:v>
      </x:c>
    </x:row>
    <x:row r="391" s="1" customFormat="1" ht="20" customHeight="1">
      <x:c r="A391" s="40" t="n">
        <x:v>45698</x:v>
      </x:c>
      <x:c r="B391" s="41" t="n">
        <x:v>1.4658</x:v>
      </x:c>
      <x:c r="C391" s="42" t="n">
        <x:v>0.0138</x:v>
      </x:c>
    </x:row>
    <x:row r="392" s="1" customFormat="1" ht="20" customHeight="1">
      <x:c r="A392" s="40" t="n">
        <x:v>45699</x:v>
      </x:c>
      <x:c r="B392" s="41" t="n">
        <x:v>1.4585</x:v>
      </x:c>
      <x:c r="C392" s="42" t="n">
        <x:v>-0.005</x:v>
      </x:c>
    </x:row>
    <x:row r="393" s="1" customFormat="1" ht="20" customHeight="1">
      <x:c r="A393" s="40" t="n">
        <x:v>45700</x:v>
      </x:c>
      <x:c r="B393" s="41" t="n">
        <x:v>1.4601</x:v>
      </x:c>
      <x:c r="C393" s="42" t="n">
        <x:v>0.0011</x:v>
      </x:c>
    </x:row>
    <x:row r="394" s="1" customFormat="1" ht="20" customHeight="1">
      <x:c r="A394" s="40" t="n">
        <x:v>45701</x:v>
      </x:c>
      <x:c r="B394" s="41" t="n">
        <x:v>1.4811</x:v>
      </x:c>
      <x:c r="C394" s="42" t="n">
        <x:v>0.0144</x:v>
      </x:c>
    </x:row>
    <x:row r="395" s="1" customFormat="1" ht="20" customHeight="1">
      <x:c r="A395" s="40" t="n">
        <x:v>45702</x:v>
      </x:c>
      <x:c r="B395" s="41" t="n">
        <x:v>1.4955</x:v>
      </x:c>
      <x:c r="C395" s="42" t="n">
        <x:v>0.0097</x:v>
      </x:c>
    </x:row>
    <x:row r="396" s="1" customFormat="1" ht="20" customHeight="1">
      <x:c r="A396" s="40" t="n">
        <x:v>45706</x:v>
      </x:c>
      <x:c r="B396" s="41" t="n">
        <x:v>1.4957</x:v>
      </x:c>
      <x:c r="C396" s="42" t="n"/>
    </x:row>
    <x:row r="397" s="1" customFormat="1" ht="20" customHeight="1">
      <x:c r="A397" s="40" t="n">
        <x:v>45707</x:v>
      </x:c>
      <x:c r="B397" s="41" t="n">
        <x:v>1.4908</x:v>
      </x:c>
      <x:c r="C397" s="42" t="n">
        <x:v>-0.0033</x:v>
      </x:c>
    </x:row>
    <x:row r="398" s="1" customFormat="1" ht="20" customHeight="1">
      <x:c r="A398" s="40" t="n">
        <x:v>45708</x:v>
      </x:c>
      <x:c r="B398" s="41" t="n">
        <x:v>1.4761</x:v>
      </x:c>
      <x:c r="C398" s="42" t="n">
        <x:v>-0.009900000000000001</x:v>
      </x:c>
    </x:row>
    <x:row r="399" s="1" customFormat="1" ht="20" customHeight="1">
      <x:c r="A399" s="40" t="n">
        <x:v>45709</x:v>
      </x:c>
      <x:c r="B399" s="41" t="n">
        <x:v>1.4443</x:v>
      </x:c>
      <x:c r="C399" s="42" t="n">
        <x:v>-0.0215</x:v>
      </x:c>
    </x:row>
    <x:row r="400" s="1" customFormat="1" ht="20" customHeight="1">
      <x:c r="A400" s="40" t="n">
        <x:v>45712</x:v>
      </x:c>
      <x:c r="B400" s="41" t="n">
        <x:v>1.4185</x:v>
      </x:c>
      <x:c r="C400" s="42" t="n">
        <x:v>-0.0179</x:v>
      </x:c>
    </x:row>
    <x:row r="401" s="1" customFormat="1" ht="20" customHeight="1">
      <x:c r="A401" s="40" t="n">
        <x:v>45713</x:v>
      </x:c>
      <x:c r="B401" s="41" t="n">
        <x:v>1.3906</x:v>
      </x:c>
      <x:c r="C401" s="42" t="n">
        <x:v>-0.0197</x:v>
      </x:c>
    </x:row>
    <x:row r="402" s="1" customFormat="1" ht="20" customHeight="1">
      <x:c r="A402" s="40" t="n">
        <x:v>45714</x:v>
      </x:c>
      <x:c r="B402" s="41" t="n">
        <x:v>1.4016</x:v>
      </x:c>
      <x:c r="C402" s="42" t="n">
        <x:v>0.007900000000000001</x:v>
      </x:c>
    </x:row>
    <x:row r="403" s="1" customFormat="1" ht="20" customHeight="1">
      <x:c r="A403" s="40" t="n">
        <x:v>45715</x:v>
      </x:c>
      <x:c r="B403" s="41" t="n">
        <x:v>1.3559</x:v>
      </x:c>
      <x:c r="C403" s="42" t="n">
        <x:v>-0.0326</x:v>
      </x:c>
    </x:row>
    <x:row r="404" s="1" customFormat="1" ht="20" customHeight="1">
      <x:c r="A404" s="40" t="n">
        <x:v>45716</x:v>
      </x:c>
      <x:c r="B404" s="41" t="n">
        <x:v>1.3762</x:v>
      </x:c>
      <x:c r="C404" s="42" t="n">
        <x:v>0.015</x:v>
      </x:c>
    </x:row>
    <x:row r="405" s="1" customFormat="1" ht="20" customHeight="1">
      <x:c r="A405" s="40" t="n">
        <x:v>45719</x:v>
      </x:c>
      <x:c r="B405" s="41" t="n">
        <x:v>1.3353</x:v>
      </x:c>
      <x:c r="C405" s="42" t="n">
        <x:v>-0.0297</x:v>
      </x:c>
    </x:row>
    <x:row r="406" s="1" customFormat="1" ht="20" customHeight="1">
      <x:c r="A406" s="40" t="n">
        <x:v>45720</x:v>
      </x:c>
      <x:c r="B406" s="41" t="n">
        <x:v>1.3336</x:v>
      </x:c>
      <x:c r="C406" s="42" t="n">
        <x:v>-0.0013</x:v>
      </x:c>
    </x:row>
    <x:row r="407" s="1" customFormat="1" ht="20" customHeight="1">
      <x:c r="A407" s="40" t="n">
        <x:v>45721</x:v>
      </x:c>
      <x:c r="B407" s="41" t="n">
        <x:v>1.3549</x:v>
      </x:c>
      <x:c r="C407" s="42" t="n">
        <x:v>0.016</x:v>
      </x:c>
    </x:row>
    <x:row r="408" s="1" customFormat="1" ht="20" customHeight="1">
      <x:c r="A408" s="40" t="n">
        <x:v>45722</x:v>
      </x:c>
      <x:c r="B408" s="41" t="n">
        <x:v>1.3047</x:v>
      </x:c>
      <x:c r="C408" s="42" t="n">
        <x:v>-0.0371</x:v>
      </x:c>
    </x:row>
    <x:row r="409" s="1" customFormat="1" ht="20" customHeight="1">
      <x:c r="A409" s="40" t="n">
        <x:v>45723</x:v>
      </x:c>
      <x:c r="B409" s="41" t="n">
        <x:v>1.3143</x:v>
      </x:c>
      <x:c r="C409" s="42" t="n">
        <x:v>0.0074</x:v>
      </x:c>
    </x:row>
    <x:row r="410" s="1" customFormat="1" ht="20" customHeight="1">
      <x:c r="A410" s="40" t="n">
        <x:v>45726</x:v>
      </x:c>
      <x:c r="B410" s="41" t="n">
        <x:v>1.2547</x:v>
      </x:c>
      <x:c r="C410" s="42" t="n">
        <x:v>-0.0453</x:v>
      </x:c>
    </x:row>
    <x:row r="411" s="1" customFormat="1" ht="20" customHeight="1">
      <x:c r="A411" s="40" t="n">
        <x:v>45727</x:v>
      </x:c>
      <x:c r="B411" s="41" t="n">
        <x:v>1.2637</x:v>
      </x:c>
      <x:c r="C411" s="42" t="n">
        <x:v>0.0072</x:v>
      </x:c>
    </x:row>
    <x:row r="412" s="1" customFormat="1" ht="20" customHeight="1">
      <x:c r="A412" s="40" t="n">
        <x:v>45728</x:v>
      </x:c>
      <x:c r="B412" s="41" t="n">
        <x:v>1.2895</x:v>
      </x:c>
      <x:c r="C412" s="42" t="n">
        <x:v>0.0204</x:v>
      </x:c>
    </x:row>
    <x:row r="413" s="1" customFormat="1" ht="20" customHeight="1">
      <x:c r="A413" s="40" t="n">
        <x:v>45729</x:v>
      </x:c>
      <x:c r="B413" s="41" t="n">
        <x:v>1.2614</x:v>
      </x:c>
      <x:c r="C413" s="42" t="n">
        <x:v>-0.0218</x:v>
      </x:c>
    </x:row>
    <x:row r="414" s="1" customFormat="1" ht="20" customHeight="1">
      <x:c r="A414" s="40" t="n">
        <x:v>45730</x:v>
      </x:c>
      <x:c r="B414" s="41" t="n">
        <x:v>1.2965</x:v>
      </x:c>
      <x:c r="C414" s="42" t="n">
        <x:v>0.0278</x:v>
      </x:c>
    </x:row>
    <x:row r="415" s="1" customFormat="1" ht="20" customHeight="1">
      <x:c r="A415" s="40" t="n">
        <x:v>45733</x:v>
      </x:c>
      <x:c r="B415" s="41" t="n">
        <x:v>1.2996</x:v>
      </x:c>
      <x:c r="C415" s="42" t="n">
        <x:v>0.0024</x:v>
      </x:c>
    </x:row>
    <x:row r="416" s="1" customFormat="1" ht="20" customHeight="1">
      <x:c r="A416" s="40" t="n">
        <x:v>45734</x:v>
      </x:c>
      <x:c r="B416" s="41" t="n">
        <x:v>1.2769</x:v>
      </x:c>
      <x:c r="C416" s="42" t="n">
        <x:v>-0.0175</x:v>
      </x:c>
    </x:row>
    <x:row r="417" s="1" customFormat="1" ht="20" customHeight="1">
      <x:c r="A417" s="40" t="n">
        <x:v>45735</x:v>
      </x:c>
      <x:c r="B417" s="41" t="n">
        <x:v>1.2948</x:v>
      </x:c>
      <x:c r="C417" s="42" t="n">
        <x:v>0.014</x:v>
      </x:c>
    </x:row>
    <x:row r="418" s="1" customFormat="1" ht="20" customHeight="1">
      <x:c r="A418" s="40" t="n">
        <x:v>45736</x:v>
      </x:c>
      <x:c r="B418" s="41" t="n">
        <x:v>1.2941</x:v>
      </x:c>
      <x:c r="C418" s="42" t="n">
        <x:v>-0.0005</x:v>
      </x:c>
    </x:row>
    <x:row r="419" s="1" customFormat="1" ht="20" customHeight="1">
      <x:c r="A419" s="40" t="n">
        <x:v>45737</x:v>
      </x:c>
      <x:c r="B419" s="41" t="n">
        <x:v>1.2992</x:v>
      </x:c>
      <x:c r="C419" s="42" t="n">
        <x:v>0.0039</x:v>
      </x:c>
    </x:row>
    <x:row r="420" s="1" customFormat="1" ht="20" customHeight="1">
      <x:c r="A420" s="40" t="n">
        <x:v>45740</x:v>
      </x:c>
      <x:c r="B420" s="41" t="n">
        <x:v>1.332</x:v>
      </x:c>
      <x:c r="C420" s="42" t="n">
        <x:v>0.0252</x:v>
      </x:c>
    </x:row>
    <x:row r="421" s="1" customFormat="1" ht="20" customHeight="1">
      <x:c r="A421" s="40" t="n">
        <x:v>45741</x:v>
      </x:c>
      <x:c r="B421" s="41" t="n">
        <x:v>1.3387</x:v>
      </x:c>
      <x:c r="C421" s="42" t="n">
        <x:v>0.005</x:v>
      </x:c>
    </x:row>
    <x:row r="422" s="1" customFormat="1" ht="20" customHeight="1">
      <x:c r="A422" s="40" t="n">
        <x:v>45742</x:v>
      </x:c>
      <x:c r="B422" s="41" t="n">
        <x:v>1.299</x:v>
      </x:c>
      <x:c r="C422" s="42" t="n">
        <x:v>-0.0297</x:v>
      </x:c>
    </x:row>
    <x:row r="423" s="1" customFormat="1" ht="20" customHeight="1">
      <x:c r="A423" s="40" t="n">
        <x:v>45743</x:v>
      </x:c>
      <x:c r="B423" s="41" t="n">
        <x:v>1.2846</x:v>
      </x:c>
      <x:c r="C423" s="42" t="n">
        <x:v>-0.0111</x:v>
      </x:c>
    </x:row>
    <x:row r="424" s="1" customFormat="1" ht="20" customHeight="1">
      <x:c r="A424" s="40" t="n">
        <x:v>45744</x:v>
      </x:c>
      <x:c r="B424" s="41" t="n">
        <x:v>1.2502</x:v>
      </x:c>
      <x:c r="C424" s="42" t="n">
        <x:v>-0.0268</x:v>
      </x:c>
    </x:row>
    <x:row r="425" s="1" customFormat="1" ht="20" customHeight="1">
      <x:c r="A425" s="40" t="n">
        <x:v>45747</x:v>
      </x:c>
      <x:c r="B425" s="41" t="n">
        <x:v>1.245</x:v>
      </x:c>
      <x:c r="C425" s="42" t="n">
        <x:v>-0.0042</x:v>
      </x:c>
    </x:row>
    <x:row r="426" s="1" customFormat="1" ht="20" customHeight="1">
      <x:c r="A426" s="40" t="n">
        <x:v>45748</x:v>
      </x:c>
      <x:c r="B426" s="41" t="n">
        <x:v>1.2591</x:v>
      </x:c>
      <x:c r="C426" s="42" t="n">
        <x:v>0.0113</x:v>
      </x:c>
    </x:row>
    <x:row r="427" s="1" customFormat="1" ht="20" customHeight="1">
      <x:c r="A427" s="40" t="n">
        <x:v>45749</x:v>
      </x:c>
      <x:c r="B427" s="41" t="n">
        <x:v>1.2697</x:v>
      </x:c>
      <x:c r="C427" s="42" t="n">
        <x:v>0.008399999999999999</x:v>
      </x:c>
    </x:row>
    <x:row r="428" s="1" customFormat="1" ht="20" customHeight="1">
      <x:c r="A428" s="40" t="n">
        <x:v>45750</x:v>
      </x:c>
      <x:c r="B428" s="41" t="n">
        <x:v>1.1916</x:v>
      </x:c>
      <x:c r="C428" s="42" t="n">
        <x:v>-0.0615</x:v>
      </x:c>
    </x:row>
    <x:row r="429" s="1" customFormat="1" ht="20" customHeight="1">
      <x:c r="A429" s="40" t="n">
        <x:v>45754</x:v>
      </x:c>
      <x:c r="B429" s="41" t="n">
        <x:v>1.1317</x:v>
      </x:c>
      <x:c r="C429" s="42" t="n">
        <x:v>-0.0503</x:v>
      </x:c>
    </x:row>
    <x:row r="430" s="1" customFormat="1" ht="20" customHeight="1">
      <x:c r="A430" s="40" t="n">
        <x:v>45755</x:v>
      </x:c>
      <x:c r="B430" s="41" t="n">
        <x:v>1.1164</x:v>
      </x:c>
      <x:c r="C430" s="42" t="n">
        <x:v>-0.0135</x:v>
      </x:c>
    </x:row>
    <x:row r="431" s="1" customFormat="1" ht="20" customHeight="1">
      <x:c r="A431" s="40" t="n">
        <x:v>45756</x:v>
      </x:c>
      <x:c r="B431" s="41" t="n">
        <x:v>1.2552</x:v>
      </x:c>
      <x:c r="C431" s="42" t="n">
        <x:v>0.1243</x:v>
      </x:c>
    </x:row>
    <x:row r="432" s="1" customFormat="1" ht="20" customHeight="1">
      <x:c r="A432" s="40" t="n">
        <x:v>45757</x:v>
      </x:c>
      <x:c r="B432" s="41" t="n">
        <x:v>1.2035</x:v>
      </x:c>
      <x:c r="C432" s="42" t="n">
        <x:v>-0.0412</x:v>
      </x:c>
    </x:row>
    <x:row r="433" s="1" customFormat="1" ht="20" customHeight="1">
      <x:c r="A433" s="40" t="n">
        <x:v>45758</x:v>
      </x:c>
      <x:c r="B433" s="41" t="n">
        <x:v>1.2229</x:v>
      </x:c>
      <x:c r="C433" s="42" t="n">
        <x:v>0.0161</x:v>
      </x:c>
    </x:row>
    <x:row r="434" s="1" customFormat="1" ht="20" customHeight="1">
      <x:c r="A434" s="40" t="n">
        <x:v>45761</x:v>
      </x:c>
      <x:c r="B434" s="41" t="n">
        <x:v>1.2254</x:v>
      </x:c>
      <x:c r="C434" s="42" t="n">
        <x:v>0.002</x:v>
      </x:c>
    </x:row>
    <x:row r="435" s="1" customFormat="1" ht="20" customHeight="1">
      <x:c r="A435" s="40" t="n">
        <x:v>45762</x:v>
      </x:c>
      <x:c r="B435" s="41" t="n">
        <x:v>1.2301</x:v>
      </x:c>
      <x:c r="C435" s="42" t="n">
        <x:v>0.0038</x:v>
      </x:c>
    </x:row>
    <x:row r="436" s="1" customFormat="1" ht="20" customHeight="1">
      <x:c r="A436" s="40" t="n">
        <x:v>45763</x:v>
      </x:c>
      <x:c r="B436" s="41" t="n">
        <x:v>1.1931</x:v>
      </x:c>
      <x:c r="C436" s="42" t="n">
        <x:v>-0.0301</x:v>
      </x:c>
    </x:row>
    <x:row r="437" s="1" customFormat="1" ht="20" customHeight="1">
      <x:c r="A437" s="40" t="n">
        <x:v>45764</x:v>
      </x:c>
      <x:c r="B437" s="41" t="n">
        <x:v>1.1864</x:v>
      </x:c>
      <x:c r="C437" s="42" t="n">
        <x:v>-0.0056</x:v>
      </x:c>
    </x:row>
    <x:row r="438" s="1" customFormat="1" ht="20" customHeight="1">
      <x:c r="A438" s="40" t="n">
        <x:v>45769</x:v>
      </x:c>
      <x:c r="B438" s="41" t="n">
        <x:v>1.1866</x:v>
      </x:c>
      <x:c r="C438" s="42" t="n"/>
    </x:row>
    <x:row r="439" s="1" customFormat="1" ht="20" customHeight="1">
      <x:c r="A439" s="40" t="n">
        <x:v>45770</x:v>
      </x:c>
      <x:c r="B439" s="41" t="n">
        <x:v>1.2234</x:v>
      </x:c>
      <x:c r="C439" s="42" t="n">
        <x:v>0.031</x:v>
      </x:c>
    </x:row>
    <x:row r="440" s="1" customFormat="1" ht="20" customHeight="1">
      <x:c r="A440" s="40" t="n">
        <x:v>45771</x:v>
      </x:c>
      <x:c r="B440" s="41" t="n">
        <x:v>1.268</x:v>
      </x:c>
      <x:c r="C440" s="42" t="n">
        <x:v>0.0365</x:v>
      </x:c>
    </x:row>
    <x:row r="441" s="1" customFormat="1" ht="20" customHeight="1">
      <x:c r="A441" s="40" t="n">
        <x:v>45772</x:v>
      </x:c>
      <x:c r="B441" s="41" t="n">
        <x:v>1.2874</x:v>
      </x:c>
      <x:c r="C441" s="42" t="n">
        <x:v>0.0153</x:v>
      </x:c>
    </x:row>
    <x:row r="442" s="1" customFormat="1" ht="20" customHeight="1">
      <x:c r="A442" s="40" t="n">
        <x:v>45775</x:v>
      </x:c>
      <x:c r="B442" s="41" t="n">
        <x:v>1.286</x:v>
      </x:c>
      <x:c r="C442" s="42" t="n">
        <x:v>-0.0011</x:v>
      </x:c>
    </x:row>
    <x:row r="443" s="1" customFormat="1" ht="20" customHeight="1">
      <x:c r="A443" s="40" t="n">
        <x:v>45776</x:v>
      </x:c>
      <x:c r="B443" s="41" t="n">
        <x:v>1.2926</x:v>
      </x:c>
      <x:c r="C443" s="42" t="n">
        <x:v>0.0051</x:v>
      </x:c>
    </x:row>
    <x:row r="444" s="1" customFormat="1" ht="20" customHeight="1">
      <x:c r="A444" s="40" t="n">
        <x:v>45777</x:v>
      </x:c>
      <x:c r="B444" s="41" t="n">
        <x:v>1.2904</x:v>
      </x:c>
      <x:c r="C444" s="42" t="n">
        <x:v>-0.0017</x:v>
      </x:c>
    </x:row>
    <x:row r="445" s="1" customFormat="1" ht="20" customHeight="1">
      <x:c r="A445" s="40" t="n">
        <x:v>45783</x:v>
      </x:c>
      <x:c r="B445" s="41" t="n">
        <x:v>1.3151</x:v>
      </x:c>
      <x:c r="C445" s="42" t="n">
        <x:v>0.0191</x:v>
      </x:c>
    </x:row>
    <x:row r="446" s="1" customFormat="1" ht="20" customHeight="1">
      <x:c r="A446" s="40" t="n">
        <x:v>45784</x:v>
      </x:c>
      <x:c r="B446" s="41" t="n">
        <x:v>1.3201</x:v>
      </x:c>
      <x:c r="C446" s="42" t="n">
        <x:v>0.0038</x:v>
      </x:c>
    </x:row>
    <x:row r="447" s="1" customFormat="1" ht="20" customHeight="1">
      <x:c r="A447" s="40" t="n">
        <x:v>45785</x:v>
      </x:c>
      <x:c r="B447" s="41" t="n">
        <x:v>1.3376</x:v>
      </x:c>
      <x:c r="C447" s="42" t="n">
        <x:v>0.0133</x:v>
      </x:c>
    </x:row>
    <x:row r="448" s="1" customFormat="1" ht="20" customHeight="1">
      <x:c r="A448" s="40" t="n">
        <x:v>45786</x:v>
      </x:c>
      <x:c r="B448" s="41" t="n">
        <x:v>1.336</x:v>
      </x:c>
      <x:c r="C448" s="42" t="n">
        <x:v>-0.0012</x:v>
      </x:c>
    </x:row>
    <x:row r="449" s="1" customFormat="1" ht="20" customHeight="1">
      <x:c r="A449" s="40" t="n">
        <x:v>45789</x:v>
      </x:c>
      <x:c r="B449" s="41" t="n">
        <x:v>1.394</x:v>
      </x:c>
      <x:c r="C449" s="42" t="n">
        <x:v>0.0434</x:v>
      </x:c>
    </x:row>
    <x:row r="450" s="1" customFormat="1" ht="20" customHeight="1">
      <x:c r="A450" s="40" t="n">
        <x:v>45790</x:v>
      </x:c>
      <x:c r="B450" s="41" t="n">
        <x:v>1.428</x:v>
      </x:c>
      <x:c r="C450" s="42" t="n">
        <x:v>0.0244</x:v>
      </x:c>
    </x:row>
    <x:row r="451" s="1" customFormat="1" ht="20" customHeight="1">
      <x:c r="A451" s="40" t="n">
        <x:v>45791</x:v>
      </x:c>
      <x:c r="B451" s="41" t="n">
        <x:v>1.4392</x:v>
      </x:c>
      <x:c r="C451" s="42" t="n">
        <x:v>0.0078</x:v>
      </x:c>
    </x:row>
    <x:row r="452" s="1" customFormat="1" ht="20" customHeight="1">
      <x:c r="A452" s="40" t="n">
        <x:v>45792</x:v>
      </x:c>
      <x:c r="B452" s="41" t="n">
        <x:v>1.4336</x:v>
      </x:c>
      <x:c r="C452" s="42" t="n">
        <x:v>-0.0039</x:v>
      </x:c>
    </x:row>
    <x:row r="453" s="1" customFormat="1" ht="20" customHeight="1">
      <x:c r="A453" s="40" t="n">
        <x:v>45793</x:v>
      </x:c>
      <x:c r="B453" s="41" t="n">
        <x:v>1.4372</x:v>
      </x:c>
      <x:c r="C453" s="42" t="n">
        <x:v>0.0025</x:v>
      </x:c>
    </x:row>
    <x:row r="454" s="1" customFormat="1" ht="20" customHeight="1">
      <x:c r="A454" s="40" t="n">
        <x:v>45796</x:v>
      </x:c>
      <x:c r="B454" s="41" t="n">
        <x:v>1.4361</x:v>
      </x:c>
      <x:c r="C454" s="42" t="n">
        <x:v>-0.0008</x:v>
      </x:c>
    </x:row>
    <x:row r="455" s="1" customFormat="1" ht="20" customHeight="1">
      <x:c r="A455" s="40" t="n">
        <x:v>45797</x:v>
      </x:c>
      <x:c r="B455" s="41" t="n">
        <x:v>1.4308</x:v>
      </x:c>
      <x:c r="C455" s="42" t="n">
        <x:v>-0.0037</x:v>
      </x:c>
    </x:row>
    <x:row r="456" s="1" customFormat="1" ht="20" customHeight="1">
      <x:c r="A456" s="40" t="n">
        <x:v>45798</x:v>
      </x:c>
      <x:c r="B456" s="41" t="n">
        <x:v>1.4129</x:v>
      </x:c>
      <x:c r="C456" s="42" t="n">
        <x:v>-0.0125</x:v>
      </x:c>
    </x:row>
    <x:row r="457" s="1" customFormat="1" ht="20" customHeight="1">
      <x:c r="A457" s="40" t="n">
        <x:v>45799</x:v>
      </x:c>
      <x:c r="B457" s="41" t="n">
        <x:v>1.4198</x:v>
      </x:c>
      <x:c r="C457" s="42" t="n">
        <x:v>0.0049</x:v>
      </x:c>
    </x:row>
    <x:row r="458" s="1" customFormat="1" ht="20" customHeight="1">
      <x:c r="A458" s="40" t="n">
        <x:v>45800</x:v>
      </x:c>
      <x:c r="B458" s="41" t="n">
        <x:v>1.4054</x:v>
      </x:c>
      <x:c r="C458" s="42" t="n">
        <x:v>-0.0101</x:v>
      </x:c>
    </x:row>
    <x:row r="459" s="1" customFormat="1" ht="20" customHeight="1">
      <x:c r="A459" s="40" t="n">
        <x:v>45804</x:v>
      </x:c>
      <x:c r="B459" s="41" t="n">
        <x:v>1.4401</x:v>
      </x:c>
      <x:c r="C459" s="42" t="n"/>
    </x:row>
    <x:row r="460" s="1" customFormat="1" ht="20" customHeight="1">
      <x:c r="A460" s="40" t="n">
        <x:v>45805</x:v>
      </x:c>
      <x:c r="B460" s="41" t="n">
        <x:v>1.4358</x:v>
      </x:c>
      <x:c r="C460" s="42" t="n">
        <x:v>-0.003</x:v>
      </x:c>
    </x:row>
    <x:row r="461" s="1" customFormat="1" ht="20" customHeight="1">
      <x:c r="A461" s="40" t="n">
        <x:v>45806</x:v>
      </x:c>
      <x:c r="B461" s="41" t="n">
        <x:v>1.4363</x:v>
      </x:c>
      <x:c r="C461" s="42" t="n">
        <x:v>0.0003</x:v>
      </x:c>
    </x:row>
    <x:row r="462" s="1" customFormat="1" ht="20" customHeight="1">
      <x:c r="A462" s="40" t="n">
        <x:v>45807</x:v>
      </x:c>
      <x:c r="B462" s="41" t="n">
        <x:v>1.4356</x:v>
      </x:c>
      <x:c r="C462" s="42" t="n">
        <x:v>-0.0005</x:v>
      </x:c>
    </x:row>
    <x:row r="463" s="1" customFormat="1" ht="20" customHeight="1">
      <x:c r="A463" s="40" t="n">
        <x:v>45811</x:v>
      </x:c>
      <x:c r="B463" s="41" t="n">
        <x:v>1.4626</x:v>
      </x:c>
      <x:c r="C463" s="42" t="n">
        <x:v>0.0188</x:v>
      </x:c>
    </x:row>
    <x:row r="464" s="1" customFormat="1" ht="20" customHeight="1">
      <x:c r="A464" s="40" t="n">
        <x:v>45812</x:v>
      </x:c>
      <x:c r="B464" s="41" t="n">
        <x:v>1.4681</x:v>
      </x:c>
      <x:c r="C464" s="42" t="n">
        <x:v>0.0038</x:v>
      </x:c>
    </x:row>
    <x:row r="465" s="1" customFormat="1" ht="20" customHeight="1">
      <x:c r="A465" s="40" t="n">
        <x:v>45813</x:v>
      </x:c>
      <x:c r="B465" s="41" t="n">
        <x:v>1.4621</x:v>
      </x:c>
      <x:c r="C465" s="42" t="n">
        <x:v>-0.0041</x:v>
      </x:c>
    </x:row>
    <x:row r="466" s="1" customFormat="1" ht="20" customHeight="1">
      <x:c r="A466" s="40" t="n">
        <x:v>45814</x:v>
      </x:c>
      <x:c r="B466" s="41" t="n">
        <x:v>1.4773</x:v>
      </x:c>
      <x:c r="C466" s="42" t="n">
        <x:v>0.0104</x:v>
      </x:c>
    </x:row>
    <x:row r="467" s="1" customFormat="1" ht="20" customHeight="1">
      <x:c r="A467" s="40" t="n">
        <x:v>45817</x:v>
      </x:c>
      <x:c r="B467" s="41" t="n">
        <x:v>1.4807</x:v>
      </x:c>
      <x:c r="C467" s="42" t="n">
        <x:v>0.0023</x:v>
      </x:c>
    </x:row>
    <x:row r="468" s="1" customFormat="1" ht="20" customHeight="1">
      <x:c r="A468" s="40" t="n">
        <x:v>45818</x:v>
      </x:c>
      <x:c r="B468" s="41" t="n">
        <x:v>1.4883</x:v>
      </x:c>
      <x:c r="C468" s="42" t="n">
        <x:v>0.0051</x:v>
      </x:c>
    </x:row>
    <x:row r="469" s="1" customFormat="1" ht="20" customHeight="1">
      <x:c r="A469" s="40" t="n">
        <x:v>45819</x:v>
      </x:c>
      <x:c r="B469" s="41" t="n">
        <x:v>1.4882</x:v>
      </x:c>
      <x:c r="C469" s="42" t="n">
        <x:v>-0.0001</x:v>
      </x:c>
    </x:row>
    <x:row r="470" s="1" customFormat="1" ht="20" customHeight="1">
      <x:c r="A470" s="40" t="n">
        <x:v>45820</x:v>
      </x:c>
      <x:c r="B470" s="41" t="n">
        <x:v>1.4952</x:v>
      </x:c>
      <x:c r="C470" s="42" t="n">
        <x:v>0.0047</x:v>
      </x:c>
    </x:row>
    <x:row r="471" s="1" customFormat="1" ht="20" customHeight="1">
      <x:c r="A471" s="40" t="n">
        <x:v>45821</x:v>
      </x:c>
      <x:c r="B471" s="41" t="n">
        <x:v>1.4789</x:v>
      </x:c>
      <x:c r="C471" s="42" t="n">
        <x:v>-0.0109</x:v>
      </x:c>
    </x:row>
    <x:row r="472" s="1" customFormat="1" ht="20" customHeight="1">
      <x:c r="A472" s="40" t="n">
        <x:v>45824</x:v>
      </x:c>
      <x:c r="B472" s="41" t="n">
        <x:v>1.5025</x:v>
      </x:c>
      <x:c r="C472" s="42" t="n">
        <x:v>0.016</x:v>
      </x:c>
    </x:row>
    <x:row r="473" s="1" customFormat="1" ht="20" customHeight="1">
      <x:c r="A473" s="40" t="n">
        <x:v>45825</x:v>
      </x:c>
      <x:c r="B473" s="41" t="n">
        <x:v>1.4925</x:v>
      </x:c>
      <x:c r="C473" s="42" t="n">
        <x:v>-0.0067</x:v>
      </x:c>
    </x:row>
    <x:row r="474" s="1" customFormat="1" ht="20" customHeight="1">
      <x:c r="A474" s="40" t="n">
        <x:v>45826</x:v>
      </x:c>
      <x:c r="B474" s="41" t="n">
        <x:v>1.4951</x:v>
      </x:c>
      <x:c r="C474" s="42" t="n">
        <x:v>0.0017</x:v>
      </x:c>
    </x:row>
    <x:row r="475" s="1" customFormat="1" ht="20" customHeight="1">
      <x:c r="A475" s="40" t="n">
        <x:v>45828</x:v>
      </x:c>
      <x:c r="B475" s="41" t="n">
        <x:v>1.4821</x:v>
      </x:c>
      <x:c r="C475" s="42" t="n"/>
    </x:row>
    <x:row r="476" s="1" customFormat="1" ht="20" customHeight="1">
      <x:c r="A476" s="40" t="n">
        <x:v>45831</x:v>
      </x:c>
      <x:c r="B476" s="41" t="n">
        <x:v>1.4966</x:v>
      </x:c>
      <x:c r="C476" s="42" t="n">
        <x:v>0.0098</x:v>
      </x:c>
    </x:row>
    <x:row r="477" s="1" customFormat="1" ht="20" customHeight="1">
      <x:c r="A477" s="40" t="n">
        <x:v>45832</x:v>
      </x:c>
      <x:c r="B477" s="41" t="n">
        <x:v>1.5245</x:v>
      </x:c>
      <x:c r="C477" s="42" t="n">
        <x:v>0.0186</x:v>
      </x:c>
    </x:row>
    <x:row r="478" s="1" customFormat="1" ht="20" customHeight="1">
      <x:c r="A478" s="40" t="n">
        <x:v>45833</x:v>
      </x:c>
      <x:c r="B478" s="41" t="n">
        <x:v>1.5331</x:v>
      </x:c>
      <x:c r="C478" s="42" t="n">
        <x:v>0.0056</x:v>
      </x:c>
    </x:row>
    <x:row r="479" s="1" customFormat="1" ht="20" customHeight="1">
      <x:c r="A479" s="40" t="n">
        <x:v>45834</x:v>
      </x:c>
      <x:c r="B479" s="41" t="n">
        <x:v>1.5475</x:v>
      </x:c>
      <x:c r="C479" s="42" t="n">
        <x:v>0.0094</x:v>
      </x:c>
    </x:row>
    <x:row r="480" s="1" customFormat="1" ht="20" customHeight="1">
      <x:c r="A480" s="40" t="n">
        <x:v>45835</x:v>
      </x:c>
      <x:c r="B480" s="41" t="n">
        <x:v>1.5534</x:v>
      </x:c>
      <x:c r="C480" s="42" t="n">
        <x:v>0.0038</x:v>
      </x:c>
    </x:row>
    <x:row r="481" s="1" customFormat="1" ht="20" customHeight="1">
      <x:c r="A481" s="40" t="n">
        <x:v>45838</x:v>
      </x:c>
      <x:c r="B481" s="41" t="n">
        <x:v>1.5634</x:v>
      </x:c>
      <x:c r="C481" s="42" t="n">
        <x:v>0.0064</x:v>
      </x:c>
    </x:row>
    <x:row r="482" s="1" customFormat="1" ht="20" customHeight="1">
      <x:c r="A482" s="40" t="n">
        <x:v>45840</x:v>
      </x:c>
      <x:c r="B482" s="41" t="n">
        <x:v>1.5543</x:v>
      </x:c>
      <x:c r="C482" s="42" t="n"/>
    </x:row>
    <x:row r="483" s="1" customFormat="1" ht="20" customHeight="1">
      <x:c r="A483" s="40" t="n">
        <x:v>45841</x:v>
      </x:c>
      <x:c r="B483" s="41" t="n">
        <x:v>1.5717</x:v>
      </x:c>
      <x:c r="C483" s="42" t="n">
        <x:v>0.0112</x:v>
      </x:c>
    </x:row>
    <x:row r="484" s="1" customFormat="1" ht="20" customHeight="1">
      <x:c r="A484" s="40" t="n">
        <x:v>45845</x:v>
      </x:c>
      <x:c r="B484" s="41" t="n">
        <x:v>1.5575</x:v>
      </x:c>
      <x:c r="C484" s="42" t="n"/>
    </x:row>
    <x:row r="485" s="1" customFormat="1" ht="20" customHeight="1">
      <x:c r="A485" s="40" t="n">
        <x:v>45846</x:v>
      </x:c>
      <x:c r="B485" s="41" t="n">
        <x:v>1.5568</x:v>
      </x:c>
      <x:c r="C485" s="42" t="n">
        <x:v>-0.0004</x:v>
      </x:c>
    </x:row>
    <x:row r="486" s="1" customFormat="1" ht="20" customHeight="1">
      <x:c r="A486" s="40" t="n">
        <x:v>45847</x:v>
      </x:c>
      <x:c r="B486" s="41" t="n">
        <x:v>1.5732</x:v>
      </x:c>
      <x:c r="C486" s="42" t="n">
        <x:v>0.0105</x:v>
      </x:c>
    </x:row>
    <x:row r="487" s="1" customFormat="1" ht="20" customHeight="1">
      <x:c r="A487" s="40" t="n">
        <x:v>45848</x:v>
      </x:c>
      <x:c r="B487" s="41" t="n">
        <x:v>1.5689</x:v>
      </x:c>
      <x:c r="C487" s="42" t="n">
        <x:v>-0.0027</x:v>
      </x:c>
    </x:row>
    <x:row r="488" s="1" customFormat="1" ht="20" customHeight="1">
      <x:c r="A488" s="40" t="n">
        <x:v>45849</x:v>
      </x:c>
      <x:c r="B488" s="41" t="n">
        <x:v>1.5668</x:v>
      </x:c>
      <x:c r="C488" s="42" t="n">
        <x:v>-0.0013</x:v>
      </x:c>
    </x:row>
    <x:row r="489" s="1" customFormat="1" ht="20" customHeight="1">
      <x:c r="A489" s="40" t="n">
        <x:v>45852</x:v>
      </x:c>
      <x:c r="B489" s="41" t="n">
        <x:v>1.5705</x:v>
      </x:c>
      <x:c r="C489" s="42" t="n">
        <x:v>0.0024</x:v>
      </x:c>
    </x:row>
    <x:row r="490" s="1" customFormat="1" ht="20" customHeight="1">
      <x:c r="A490" s="40" t="n">
        <x:v>45853</x:v>
      </x:c>
      <x:c r="B490" s="41" t="n">
        <x:v>1.5819</x:v>
      </x:c>
      <x:c r="C490" s="42" t="n">
        <x:v>0.0073</x:v>
      </x:c>
    </x:row>
    <x:row r="491" s="1" customFormat="1" ht="20" customHeight="1">
      <x:c r="A491" s="40" t="n">
        <x:v>45854</x:v>
      </x:c>
      <x:c r="B491" s="41" t="n">
        <x:v>1.5864</x:v>
      </x:c>
      <x:c r="C491" s="42" t="n">
        <x:v>0.0028</x:v>
      </x:c>
    </x:row>
    <x:row r="492" s="1" customFormat="1" ht="20" customHeight="1">
      <x:c r="A492" s="40" t="n">
        <x:v>45855</x:v>
      </x:c>
      <x:c r="B492" s="41" t="n">
        <x:v>1.5979</x:v>
      </x:c>
      <x:c r="C492" s="42" t="n">
        <x:v>0.0072</x:v>
      </x:c>
    </x:row>
    <x:row r="493" s="1" customFormat="1" ht="20" customHeight="1">
      <x:c r="A493" s="40" t="n">
        <x:v>45856</x:v>
      </x:c>
      <x:c r="B493" s="41" t="n">
        <x:v>1.5979</x:v>
      </x:c>
      <x:c r="C493" s="42" t="n">
        <x:v>0</x:v>
      </x:c>
    </x:row>
    <x:row r="494" s="1" customFormat="1" ht="20" customHeight="1">
      <x:c r="A494" s="40" t="n">
        <x:v>45859</x:v>
      </x:c>
      <x:c r="B494" s="41" t="n">
        <x:v>1.6056</x:v>
      </x:c>
      <x:c r="C494" s="42" t="n">
        <x:v>0.0048</x:v>
      </x:c>
    </x:row>
    <x:row r="495" s="1" customFormat="1" ht="20" customHeight="1">
      <x:c r="A495" s="40" t="n">
        <x:v>45860</x:v>
      </x:c>
      <x:c r="B495" s="41" t="n">
        <x:v>1.5846</x:v>
      </x:c>
      <x:c r="C495" s="42" t="n">
        <x:v>-0.0131</x:v>
      </x:c>
    </x:row>
    <x:row r="496" s="1" customFormat="1" ht="20" customHeight="1">
      <x:c r="A496" s="40" t="n">
        <x:v>45861</x:v>
      </x:c>
      <x:c r="B496" s="41" t="n">
        <x:v>1.5952</x:v>
      </x:c>
      <x:c r="C496" s="42" t="n">
        <x:v>0.0067</x:v>
      </x:c>
    </x:row>
    <x:row r="497" s="1" customFormat="1" ht="20" customHeight="1">
      <x:c r="A497" s="40" t="n">
        <x:v>45862</x:v>
      </x:c>
      <x:c r="B497" s="41" t="n">
        <x:v>1.6025</x:v>
      </x:c>
      <x:c r="C497" s="42" t="n">
        <x:v>0.0046</x:v>
      </x:c>
    </x:row>
    <x:row r="498" s="1" customFormat="1" ht="20" customHeight="1">
      <x:c r="A498" s="40" t="n">
        <x:v>45863</x:v>
      </x:c>
      <x:c r="B498" s="41" t="n">
        <x:v>1.61</x:v>
      </x:c>
      <x:c r="C498" s="42" t="n">
        <x:v>0.0047</x:v>
      </x:c>
    </x:row>
    <x:row r="499" s="1" customFormat="1" ht="20" customHeight="1">
      <x:c r="A499" s="40" t="n">
        <x:v>45866</x:v>
      </x:c>
      <x:c r="B499" s="41" t="n">
        <x:v>1.6226</x:v>
      </x:c>
      <x:c r="C499" s="42" t="n">
        <x:v>0.0078</x:v>
      </x:c>
    </x:row>
    <x:row r="500" s="1" customFormat="1" ht="20" customHeight="1">
      <x:c r="A500" s="40" t="n">
        <x:v>45867</x:v>
      </x:c>
      <x:c r="B500" s="41" t="n">
        <x:v>1.6207</x:v>
      </x:c>
      <x:c r="C500" s="42" t="n">
        <x:v>-0.0012</x:v>
      </x:c>
    </x:row>
    <x:row r="501" s="1" customFormat="1" ht="20" customHeight="1">
      <x:c r="A501" s="40" t="n">
        <x:v>45868</x:v>
      </x:c>
      <x:c r="B501" s="41" t="n">
        <x:v>1.6268</x:v>
      </x:c>
      <x:c r="C501" s="42" t="n">
        <x:v>0.0038</x:v>
      </x:c>
    </x:row>
    <x:row r="502" s="1" customFormat="1" ht="20" customHeight="1">
      <x:c r="A502" s="40" t="n">
        <x:v>45869</x:v>
      </x:c>
      <x:c r="B502" s="41" t="n">
        <x:v>1.6266</x:v>
      </x:c>
      <x:c r="C502" s="42" t="n">
        <x:v>-0.0001</x:v>
      </x:c>
    </x:row>
    <x:row r="503" s="1" customFormat="1" ht="20" customHeight="1">
      <x:c r="A503" s="40" t="n">
        <x:v>45870</x:v>
      </x:c>
      <x:c r="B503" s="41" t="n">
        <x:v>1.5836</x:v>
      </x:c>
      <x:c r="C503" s="42" t="n">
        <x:v>-0.0264</x:v>
      </x:c>
    </x:row>
    <x:row r="504" s="1" customFormat="1" ht="20" customHeight="1">
      <x:c r="A504" s="40" t="n">
        <x:v>45873</x:v>
      </x:c>
      <x:c r="B504" s="41" t="n">
        <x:v>1.6148</x:v>
      </x:c>
      <x:c r="C504" s="42" t="n">
        <x:v>0.0197</x:v>
      </x:c>
    </x:row>
    <x:row r="505" s="1" customFormat="1" ht="20" customHeight="1">
      <x:c r="A505" s="40" t="n">
        <x:v>45874</x:v>
      </x:c>
      <x:c r="B505" s="41" t="n">
        <x:v>1.604</x:v>
      </x:c>
      <x:c r="C505" s="42" t="n">
        <x:v>-0.0067</x:v>
      </x:c>
    </x:row>
    <x:row r="506" s="1" customFormat="1" ht="20" customHeight="1">
      <x:c r="A506" s="40" t="n">
        <x:v>45875</x:v>
      </x:c>
      <x:c r="B506" s="41" t="n">
        <x:v>1.6335</x:v>
      </x:c>
      <x:c r="C506" s="42" t="n">
        <x:v>0.0184</x:v>
      </x:c>
    </x:row>
    <x:row r="507" s="1" customFormat="1" ht="20" customHeight="1">
      <x:c r="A507" s="40" t="n">
        <x:v>45876</x:v>
      </x:c>
      <x:c r="B507" s="41" t="n">
        <x:v>1.6393</x:v>
      </x:c>
      <x:c r="C507" s="42" t="n">
        <x:v>0.0036</x:v>
      </x:c>
    </x:row>
    <x:row r="508" s="1" customFormat="1" ht="20" customHeight="1">
      <x:c r="A508" s="40" t="n">
        <x:v>45877</x:v>
      </x:c>
      <x:c r="B508" s="41" t="n">
        <x:v>1.6542</x:v>
      </x:c>
      <x:c r="C508" s="42" t="n">
        <x:v>0.0091</x:v>
      </x:c>
    </x:row>
    <x:row r="509" s="1" customFormat="1" ht="20" customHeight="1">
      <x:c r="A509" s="40" t="n">
        <x:v>45880</x:v>
      </x:c>
      <x:c r="B509" s="41" t="n">
        <x:v>1.6492</x:v>
      </x:c>
      <x:c r="C509" s="42" t="n">
        <x:v>-0.003</x:v>
      </x:c>
    </x:row>
    <x:row r="510" s="1" customFormat="1" ht="20" customHeight="1">
      <x:c r="A510" s="40" t="n">
        <x:v>45881</x:v>
      </x:c>
      <x:c r="B510" s="41" t="n">
        <x:v>1.6708</x:v>
      </x:c>
      <x:c r="C510" s="42" t="n">
        <x:v>0.0131</x:v>
      </x:c>
    </x:row>
    <x:row r="511" s="1" customFormat="1" ht="20" customHeight="1">
      <x:c r="A511" s="40" t="n">
        <x:v>45882</x:v>
      </x:c>
      <x:c r="B511" s="41" t="n">
        <x:v>1.6637</x:v>
      </x:c>
      <x:c r="C511" s="42" t="n">
        <x:v>-0.0042</x:v>
      </x:c>
    </x:row>
    <x:row r="512" s="1" customFormat="1" ht="20" customHeight="1">
      <x:c r="A512" s="40" t="n">
        <x:v>45883</x:v>
      </x:c>
      <x:c r="B512" s="41" t="n">
        <x:v>1.6652</x:v>
      </x:c>
      <x:c r="C512" s="42" t="n">
        <x:v>0.0009</x:v>
      </x:c>
    </x:row>
    <x:row r="513" s="1" customFormat="1" ht="20" customHeight="1">
      <x:c r="A513" s="40" t="n">
        <x:v>45884</x:v>
      </x:c>
      <x:c r="B513" s="41" t="n">
        <x:v>1.6592</x:v>
      </x:c>
      <x:c r="C513" s="42" t="n">
        <x:v>-0.0036</x:v>
      </x:c>
    </x:row>
    <x:row r="514" s="1" customFormat="1" ht="20" customHeight="1">
      <x:c r="A514" s="40" t="n">
        <x:v>45887</x:v>
      </x:c>
      <x:c r="B514" s="41" t="n">
        <x:v>1.6575</x:v>
      </x:c>
      <x:c r="C514" s="42" t="n">
        <x:v>-0.001</x:v>
      </x:c>
    </x:row>
    <x:row r="515" s="1" customFormat="1" ht="20" customHeight="1">
      <x:c r="A515" s="40" t="n">
        <x:v>45888</x:v>
      </x:c>
      <x:c r="B515" s="41" t="n">
        <x:v>1.6236</x:v>
      </x:c>
      <x:c r="C515" s="42" t="n">
        <x:v>-0.0205</x:v>
      </x:c>
    </x:row>
    <x:row r="516" s="1" customFormat="1" ht="20" customHeight="1">
      <x:c r="A516" s="40" t="n">
        <x:v>45889</x:v>
      </x:c>
      <x:c r="B516" s="41" t="n">
        <x:v>1.6089</x:v>
      </x:c>
      <x:c r="C516" s="42" t="n">
        <x:v>-0.0091</x:v>
      </x:c>
    </x:row>
    <x:row r="517" s="1" customFormat="1" ht="20" customHeight="1">
      <x:c r="A517" s="40" t="n">
        <x:v>45890</x:v>
      </x:c>
      <x:c r="B517" s="41" t="n">
        <x:v>1.6012</x:v>
      </x:c>
      <x:c r="C517" s="42" t="n">
        <x:v>-0.0048</x:v>
      </x:c>
    </x:row>
    <x:row r="518" s="1" customFormat="1" ht="20" customHeight="1">
      <x:c r="A518" s="40" t="n">
        <x:v>45891</x:v>
      </x:c>
      <x:c r="B518" s="41" t="n">
        <x:v>1.6288</x:v>
      </x:c>
      <x:c r="C518" s="42" t="n">
        <x:v>0.0172</x:v>
      </x:c>
    </x:row>
    <x:row r="519" s="1" customFormat="1" ht="20" customHeight="1">
      <x:c r="A519" s="40" t="n">
        <x:v>45894</x:v>
      </x:c>
      <x:c r="B519" s="41" t="n">
        <x:v>1.6242</x:v>
      </x:c>
      <x:c r="C519" s="42" t="n">
        <x:v>-0.0028</x:v>
      </x:c>
    </x:row>
    <x:row r="520" s="1" customFormat="1" ht="20" customHeight="1">
      <x:c r="A520" s="40" t="n">
        <x:v>45895</x:v>
      </x:c>
      <x:c r="B520" s="41" t="n">
        <x:v>1.6323</x:v>
      </x:c>
      <x:c r="C520" s="42" t="n">
        <x:v>0.005</x:v>
      </x:c>
    </x:row>
    <x:row r="521" s="1" customFormat="1" ht="20" customHeight="1">
      <x:c r="A521" s="40" t="n">
        <x:v>45896</x:v>
      </x:c>
      <x:c r="B521" s="41" t="n">
        <x:v>1.637</x:v>
      </x:c>
      <x:c r="C521" s="42" t="n">
        <x:v>0.0029</x:v>
      </x:c>
    </x:row>
    <x:row r="522" s="1" customFormat="1" ht="20" customHeight="1">
      <x:c r="A522" s="40" t="n">
        <x:v>45897</x:v>
      </x:c>
      <x:c r="B522" s="41" t="n">
        <x:v>1.6572</x:v>
      </x:c>
      <x:c r="C522" s="42" t="n">
        <x:v>0.0123</x:v>
      </x:c>
    </x:row>
    <x:row r="523" s="1" customFormat="1" ht="20" customHeight="1">
      <x:c r="A523" s="40" t="n">
        <x:v>45898</x:v>
      </x:c>
      <x:c r="B523" s="41" t="n">
        <x:v>1.6258</x:v>
      </x:c>
      <x:c r="C523" s="42" t="n">
        <x:v>-0.0189</x:v>
      </x:c>
    </x:row>
    <x:row r="524" s="1" customFormat="1" ht="20" customHeight="1">
      <x:c r="A524" s="40" t="n">
        <x:v>45902</x:v>
      </x:c>
      <x:c r="B524" s="41" t="n">
        <x:v>1.6163</x:v>
      </x:c>
      <x:c r="C524" s="42" t="n"/>
    </x:row>
    <x:row r="525" s="1" customFormat="1" ht="20" customHeight="1">
      <x:c r="A525" s="40" t="n">
        <x:v>45903</x:v>
      </x:c>
      <x:c r="B525" s="41" t="n">
        <x:v>1.6368</x:v>
      </x:c>
      <x:c r="C525" s="42" t="n">
        <x:v>0.0127</x:v>
      </x:c>
    </x:row>
    <x:row r="526" s="1" customFormat="1" ht="20" customHeight="1">
      <x:c r="A526" s="40" t="n">
        <x:v>45904</x:v>
      </x:c>
      <x:c r="B526" s="41" t="n">
        <x:v>1.6552</x:v>
      </x:c>
      <x:c r="C526" s="42" t="n">
        <x:v>0.0112</x:v>
      </x:c>
    </x:row>
    <x:row r="527" s="1" customFormat="1" ht="20" customHeight="1">
      <x:c r="A527" s="40" t="n">
        <x:v>45905</x:v>
      </x:c>
      <x:c r="B527" s="41" t="n">
        <x:v>1.6592</x:v>
      </x:c>
      <x:c r="C527" s="42" t="n">
        <x:v>0.0024</x:v>
      </x:c>
    </x:row>
    <x:row r="528" s="1" customFormat="1" ht="20" customHeight="1">
      <x:c r="A528" s="40" t="n">
        <x:v>45908</x:v>
      </x:c>
      <x:c r="B528" s="41" t="n">
        <x:v>1.67</x:v>
      </x:c>
      <x:c r="C528" s="42" t="n">
        <x:v>0.0065</x:v>
      </x:c>
    </x:row>
    <x:row r="529" s="1" customFormat="1" ht="20" customHeight="1">
      <x:c r="A529" s="40" t="n">
        <x:v>45909</x:v>
      </x:c>
      <x:c r="B529" s="41" t="n">
        <x:v>1.6809</x:v>
      </x:c>
      <x:c r="C529" s="42" t="n">
        <x:v>0.0065</x:v>
      </x:c>
    </x:row>
    <x:row r="530" s="1" customFormat="1" ht="20" customHeight="1">
      <x:c r="A530" s="40" t="n">
        <x:v>45910</x:v>
      </x:c>
      <x:c r="B530" s="41" t="n">
        <x:v>1.6993</x:v>
      </x:c>
      <x:c r="C530" s="42" t="n">
        <x:v>0.0109</x:v>
      </x:c>
    </x:row>
    <x:row r="531" s="1" customFormat="1" ht="20" customHeight="1">
      <x:c r="A531" s="40" t="n">
        <x:v>45911</x:v>
      </x:c>
      <x:c r="B531" s="41" t="n">
        <x:v>1.6983</x:v>
      </x:c>
      <x:c r="C531" s="42" t="n">
        <x:v>-0.0005999999999999999</x:v>
      </x:c>
    </x:row>
    <x:row r="532" s="1" customFormat="1" ht="20" customHeight="1">
      <x:c r="A532" s="40" t="n">
        <x:v>45912</x:v>
      </x:c>
      <x:c r="B532" s="41" t="n">
        <x:v>1.7003</x:v>
      </x:c>
      <x:c r="C532" s="42" t="n">
        <x:v>0.0012</x:v>
      </x:c>
    </x:row>
    <x:row r="533" s="1" customFormat="1" ht="20" customHeight="1">
      <x:c r="A533" s="40" t="n">
        <x:v>45915</x:v>
      </x:c>
      <x:c r="B533" s="41" t="n">
        <x:v>1.7262</x:v>
      </x:c>
      <x:c r="C533" s="42" t="n">
        <x:v>0.0152</x:v>
      </x:c>
    </x:row>
    <x:row r="534" s="1" customFormat="1" ht="20" customHeight="1">
      <x:c r="A534" s="40" t="n">
        <x:v>45916</x:v>
      </x:c>
      <x:c r="B534" s="41" t="n">
        <x:v>1.7256</x:v>
      </x:c>
      <x:c r="C534" s="42" t="n">
        <x:v>-0.0003</x:v>
      </x:c>
    </x:row>
    <x:row r="535" s="1" customFormat="1" ht="20" customHeight="1">
      <x:c r="A535" s="40" t="n">
        <x:v>45917</x:v>
      </x:c>
      <x:c r="B535" s="41" t="n">
        <x:v>1.718</x:v>
      </x:c>
      <x:c r="C535" s="42" t="n">
        <x:v>-0.0044</x:v>
      </x:c>
    </x:row>
    <x:row r="536" s="1" customFormat="1" ht="20" customHeight="1">
      <x:c r="A536" s="40" t="n">
        <x:v>45918</x:v>
      </x:c>
      <x:c r="B536" s="41" t="n">
        <x:v>1.7406</x:v>
      </x:c>
      <x:c r="C536" s="42" t="n">
        <x:v>0.0132</x:v>
      </x:c>
    </x:row>
    <x:row r="537" s="1" customFormat="1" ht="20" customHeight="1">
      <x:c r="A537" s="40" t="n">
        <x:v>45919</x:v>
      </x:c>
      <x:c r="B537" s="41" t="n">
        <x:v>1.7541</x:v>
      </x:c>
      <x:c r="C537" s="42" t="n">
        <x:v>0.0078</x:v>
      </x:c>
    </x:row>
    <x:row r="538" s="1" customFormat="1" ht="20" customHeight="1">
      <x:c r="A538" s="40" t="n">
        <x:v>45922</x:v>
      </x:c>
      <x:c r="B538" s="41" t="n">
        <x:v>1.7638</x:v>
      </x:c>
      <x:c r="C538" s="42" t="n">
        <x:v>0.0055</x:v>
      </x:c>
    </x:row>
    <x:row r="539" s="1" customFormat="1" ht="20" customHeight="1">
      <x:c r="A539" s="40" t="n">
        <x:v>45923</x:v>
      </x:c>
      <x:c r="B539" s="41" t="n">
        <x:v>1.7441</x:v>
      </x:c>
      <x:c r="C539" s="42" t="n">
        <x:v>-0.0112</x:v>
      </x:c>
    </x:row>
    <x:row r="540" s="1" customFormat="1" ht="20" customHeight="1">
      <x:c r="A540" s="40" t="n">
        <x:v>45924</x:v>
      </x:c>
      <x:c r="B540" s="41" t="n">
        <x:v>1.7393</x:v>
      </x:c>
      <x:c r="C540" s="42" t="n">
        <x:v>-0.0028</x:v>
      </x:c>
    </x:row>
    <x:row r="541" s="1" customFormat="1" ht="20" customHeight="1">
      <x:c r="A541" s="40" t="n">
        <x:v>45925</x:v>
      </x:c>
      <x:c r="B541" s="41" t="n">
        <x:v>1.7332</x:v>
      </x:c>
      <x:c r="C541" s="42" t="n">
        <x:v>-0.0035</x:v>
      </x:c>
    </x:row>
    <x:row r="542" s="1" customFormat="1" ht="20" customHeight="1">
      <x:c r="A542" s="40" t="n">
        <x:v>45926</x:v>
      </x:c>
      <x:c r="B542" s="41" t="n">
        <x:v>1.7372</x:v>
      </x:c>
      <x:c r="C542" s="42" t="n">
        <x:v>0.0023</x:v>
      </x:c>
    </x:row>
    <x:row r="543" s="1" customFormat="1" ht="20" customHeight="1">
      <x:c r="A543" s="40" t="n">
        <x:v>45929</x:v>
      </x:c>
      <x:c r="B543" s="41" t="n">
        <x:v>1.742</x:v>
      </x:c>
      <x:c r="C543" s="42" t="n">
        <x:v>0.0028</x:v>
      </x:c>
    </x:row>
    <x:row r="544" s="1" customFormat="1" ht="20" customHeight="1">
      <x:c r="A544" s="40" t="n">
        <x:v>45930</x:v>
      </x:c>
      <x:c r="B544" s="41" t="n">
        <x:v>1.7461</x:v>
      </x:c>
      <x:c r="C544" s="42" t="n">
        <x:v>0.0024</x:v>
      </x:c>
    </x:row>
    <x:row r="545" s="1" customFormat="1" ht="20" customHeight="1">
      <x:c r="A545" s="40" t="n">
        <x:v>45939</x:v>
      </x:c>
      <x:c r="B545" s="41" t="n">
        <x:v>1.7957</x:v>
      </x:c>
      <x:c r="C545" s="42" t="n">
        <x:v>0.0284</x:v>
      </x:c>
    </x:row>
    <x:row r="546" s="1" customFormat="1" ht="20" customHeight="1">
      <x:c r="A546" s="40" t="n">
        <x:v>45940</x:v>
      </x:c>
      <x:c r="B546" s="41" t="n">
        <x:v>1.7264</x:v>
      </x:c>
      <x:c r="C546" s="42" t="n">
        <x:v>-0.0386</x:v>
      </x:c>
    </x:row>
    <x:row r="547" s="1" customFormat="1" ht="20" customHeight="1">
      <x:c r="A547" s="40" t="n">
        <x:v>45943</x:v>
      </x:c>
      <x:c r="B547" s="41" t="n">
        <x:v>1.7655</x:v>
      </x:c>
      <x:c r="C547" s="42" t="n">
        <x:v>0.0226</x:v>
      </x:c>
    </x:row>
    <x:row r="548" s="1" customFormat="1" ht="20" customHeight="1">
      <x:c r="A548" s="40" t="n">
        <x:v>45944</x:v>
      </x:c>
      <x:c r="B548" s="41" t="n">
        <x:v>1.7414</x:v>
      </x:c>
      <x:c r="C548" s="42" t="n">
        <x:v>-0.0137</x:v>
      </x:c>
    </x:row>
    <x:row r="549" s="1" customFormat="1" ht="20" customHeight="1">
      <x:c r="A549" s="40" t="n">
        <x:v>45945</x:v>
      </x:c>
      <x:c r="B549" s="41" t="n">
        <x:v>1.7623</x:v>
      </x:c>
      <x:c r="C549" s="42" t="n">
        <x:v>0.012</x:v>
      </x:c>
    </x:row>
    <x:row r="550" s="1" customFormat="1" ht="20" customHeight="1">
      <x:c r="A550" s="40" t="n">
        <x:v>45946</x:v>
      </x:c>
      <x:c r="B550" s="41" t="n">
        <x:v>1.76</x:v>
      </x:c>
      <x:c r="C550" s="42" t="n">
        <x:v>-0.0013</x:v>
      </x:c>
    </x:row>
    <x:row r="551" s="1" customFormat="1" ht="20" customHeight="1">
      <x:c r="A551" s="40" t="n">
        <x:v>45947</x:v>
      </x:c>
      <x:c r="B551" s="41" t="n">
        <x:v>1.7624</x:v>
      </x:c>
      <x:c r="C551" s="42" t="n">
        <x:v>0.0014</x:v>
      </x:c>
    </x:row>
    <x:row r="552" s="1" customFormat="1" ht="20" customHeight="1">
      <x:c r="A552" s="40" t="n">
        <x:v>45950</x:v>
      </x:c>
      <x:c r="B552" s="41" t="n">
        <x:v>1.7816</x:v>
      </x:c>
      <x:c r="C552" s="42" t="n">
        <x:v>0.0109</x:v>
      </x:c>
    </x:row>
    <x:row r="553" s="1" customFormat="1" ht="20" customHeight="1">
      <x:c r="A553" s="40" t="n">
        <x:v>45951</x:v>
      </x:c>
      <x:c r="B553" s="41" t="n">
        <x:v>1.775</x:v>
      </x:c>
      <x:c r="C553" s="42" t="n">
        <x:v>-0.0037</x:v>
      </x:c>
    </x:row>
    <x:row r="554" s="1" customFormat="1" ht="20" customHeight="1">
      <x:c r="A554" s="40" t="n">
        <x:v>45952</x:v>
      </x:c>
      <x:c r="B554" s="41" t="n">
        <x:v>1.7589</x:v>
      </x:c>
      <x:c r="C554" s="42" t="n">
        <x:v>-0.0091</x:v>
      </x:c>
    </x:row>
    <x:row r="555" s="1" customFormat="1" ht="20" customHeight="1">
      <x:c r="A555" s="40" t="n">
        <x:v>45953</x:v>
      </x:c>
      <x:c r="B555" s="41" t="n">
        <x:v>1.7774</x:v>
      </x:c>
      <x:c r="C555" s="42" t="n">
        <x:v>0.0105</x:v>
      </x:c>
    </x:row>
    <x:row r="556" s="1" customFormat="1" ht="20" customHeight="1">
      <x:c r="A556" s="40" t="n">
        <x:v>45954</x:v>
      </x:c>
      <x:c r="B556" s="41" t="n">
        <x:v>1.8018</x:v>
      </x:c>
      <x:c r="C556" s="42" t="n">
        <x:v>0.0137</x:v>
      </x:c>
    </x:row>
    <x:row r="557" s="1" customFormat="1" ht="20" customHeight="1">
      <x:c r="A557" s="40" t="n">
        <x:v>45957</x:v>
      </x:c>
      <x:c r="B557" s="41" t="n">
        <x:v>1.8366</x:v>
      </x:c>
      <x:c r="C557" s="42" t="n">
        <x:v>0.0193</x:v>
      </x:c>
    </x:row>
    <x:row r="558" s="1" customFormat="1" ht="20" customHeight="1">
      <x:c r="A558" s="40" t="n">
        <x:v>45958</x:v>
      </x:c>
      <x:c r="B558" s="41" t="n">
        <x:v>1.8514</x:v>
      </x:c>
      <x:c r="C558" s="42" t="n">
        <x:v>0.0081</x:v>
      </x:c>
    </x:row>
    <x:row r="559" s="1" customFormat="1" ht="20" customHeight="1">
      <x:c r="A559" s="40" t="n">
        <x:v>45960</x:v>
      </x:c>
      <x:c r="B559" s="41" t="n">
        <x:v>1.8363</x:v>
      </x:c>
      <x:c r="C559" s="42" t="n"/>
    </x:row>
    <x:row r="560" s="1" customFormat="1" ht="20" customHeight="1">
      <x:c r="A560" s="40" t="n">
        <x:v>45961</x:v>
      </x:c>
      <x:c r="B560" s="41" t="n">
        <x:v>1.8515</x:v>
      </x:c>
      <x:c r="C560" s="42" t="n">
        <x:v>0.0083</x:v>
      </x:c>
    </x:row>
    <x:row r="561" s="1" customFormat="1" ht="20" customHeight="1">
      <x:c r="A561" s="40" t="n">
        <x:v>45964</x:v>
      </x:c>
      <x:c r="B561" s="41" t="n">
        <x:v>1.861</x:v>
      </x:c>
      <x:c r="C561" s="42" t="n">
        <x:v>0.0051</x:v>
      </x:c>
    </x:row>
    <x:row r="562" s="1" customFormat="1" ht="20" customHeight="1">
      <x:c r="A562" s="40" t="n">
        <x:v>45965</x:v>
      </x:c>
      <x:c r="B562" s="41" t="n">
        <x:v>1.8177</x:v>
      </x:c>
      <x:c r="C562" s="42" t="n">
        <x:v>-0.0233</x:v>
      </x:c>
    </x:row>
    <x:row r="563" s="1" customFormat="1" ht="20" customHeight="1">
      <x:c r="A563" s="40" t="n">
        <x:v>45966</x:v>
      </x:c>
      <x:c r="B563" s="41" t="n">
        <x:v>1.8328</x:v>
      </x:c>
      <x:c r="C563" s="42" t="n">
        <x:v>0.0083</x:v>
      </x:c>
    </x:row>
    <x:row r="564" s="1" customFormat="1" ht="20" customHeight="1">
      <x:c r="A564" s="40" t="n">
        <x:v>45967</x:v>
      </x:c>
      <x:c r="B564" s="41" t="n">
        <x:v>1.7997</x:v>
      </x:c>
      <x:c r="C564" s="42" t="n">
        <x:v>-0.0181</x:v>
      </x:c>
    </x:row>
    <x:row r="565" s="1" customFormat="1" ht="20" customHeight="1">
      <x:c r="A565" s="40" t="n">
        <x:v>45968</x:v>
      </x:c>
      <x:c r="B565" s="41" t="n">
        <x:v>1.7889</x:v>
      </x:c>
      <x:c r="C565" s="42" t="n">
        <x:v>-0.006</x:v>
      </x:c>
    </x:row>
    <x:row r="566" s="1" customFormat="1" ht="20" customHeight="1">
      <x:c r="A566" s="40" t="n">
        <x:v>45971</x:v>
      </x:c>
      <x:c r="B566" s="41" t="n">
        <x:v>1.8337</x:v>
      </x:c>
      <x:c r="C566" s="42" t="n">
        <x:v>0.025</x:v>
      </x:c>
    </x:row>
    <x:row r="567" s="1" customFormat="1" ht="20" customHeight="1">
      <x:c r="A567" s="40" t="n">
        <x:v>45972</x:v>
      </x:c>
      <x:c r="B567" s="41" t="n">
        <x:v>1.8206</x:v>
      </x:c>
      <x:c r="C567" s="42" t="n">
        <x:v>-0.0071</x:v>
      </x:c>
    </x:row>
    <x:row r="568" s="1" customFormat="1" ht="20" customHeight="1">
      <x:c r="A568" s="40" t="n">
        <x:v>45973</x:v>
      </x:c>
      <x:c r="B568" s="41" t="n">
        <x:v>1.8158</x:v>
      </x:c>
      <x:c r="C568" s="42" t="n">
        <x:v>-0.0026</x:v>
      </x:c>
    </x:row>
    <x:row r="569" s="1" customFormat="1" ht="20" customHeight="1">
      <x:c r="A569" s="40" t="n">
        <x:v>45974</x:v>
      </x:c>
      <x:c r="B569" s="41" t="n">
        <x:v>1.7715</x:v>
      </x:c>
      <x:c r="C569" s="42" t="n">
        <x:v>-0.0244</x:v>
      </x:c>
    </x:row>
    <x:row r="570" s="1" customFormat="1" ht="20" customHeight="1">
      <x:c r="A570" s="40" t="n">
        <x:v>45975</x:v>
      </x:c>
      <x:c r="B570" s="41" t="n">
        <x:v>1.7747</x:v>
      </x:c>
      <x:c r="C570" s="42" t="n">
        <x:v>0.0018</x:v>
      </x:c>
    </x:row>
    <x:row r="571" s="1" customFormat="1" ht="20" customHeight="1">
      <x:c r="A571" s="40" t="n">
        <x:v>45978</x:v>
      </x:c>
      <x:c r="B571" s="41" t="n">
        <x:v>1.7589</x:v>
      </x:c>
      <x:c r="C571" s="42" t="n">
        <x:v>-0.0089</x:v>
      </x:c>
    </x:row>
    <x:row r="572" s="1" customFormat="1" ht="20" customHeight="1">
      <x:c r="A572" s="40" t="n">
        <x:v>45979</x:v>
      </x:c>
      <x:c r="B572" s="41" t="n">
        <x:v>1.7322</x:v>
      </x:c>
      <x:c r="C572" s="42" t="n">
        <x:v>-0.0152</x:v>
      </x:c>
    </x:row>
    <x:row r="573" s="1" customFormat="1" ht="20" customHeight="1">
      <x:c r="A573" s="40" t="n">
        <x:v>45980</x:v>
      </x:c>
      <x:c r="B573" s="41" t="n">
        <x:v>1.7466</x:v>
      </x:c>
      <x:c r="C573" s="42" t="n">
        <x:v>0.0083</x:v>
      </x:c>
    </x:row>
    <x:row r="574" s="1" customFormat="1" ht="20" customHeight="1">
      <x:c r="A574" s="40" t="n">
        <x:v>45981</x:v>
      </x:c>
      <x:c r="B574" s="41" t="n">
        <x:v>1.7029</x:v>
      </x:c>
      <x:c r="C574" s="42" t="n">
        <x:v>-0.025</x:v>
      </x:c>
    </x:row>
    <x:row r="575" s="1" customFormat="1" ht="20" customHeight="1">
      <x:c r="A575" s="40" t="n">
        <x:v>45982</x:v>
      </x:c>
      <x:c r="B575" s="41" t="n">
        <x:v>1.7081</x:v>
      </x:c>
      <x:c r="C575" s="42" t="n">
        <x:v>0.0031</x:v>
      </x:c>
    </x:row>
    <x:row r="576" s="1" customFormat="1" ht="20" customHeight="1">
      <x:c r="A576" s="40" t="n">
        <x:v>45985</x:v>
      </x:c>
      <x:c r="B576" s="41" t="n">
        <x:v>1.7651</x:v>
      </x:c>
      <x:c r="C576" s="42" t="n">
        <x:v>0.0334</x:v>
      </x:c>
    </x:row>
    <x:row r="577" s="1" customFormat="1" ht="20" customHeight="1">
      <x:c r="A577" s="40" t="n">
        <x:v>45986</x:v>
      </x:c>
      <x:c r="B577" s="41" t="n">
        <x:v>1.7733</x:v>
      </x:c>
      <x:c r="C577" s="42" t="n">
        <x:v>0.0046</x:v>
      </x:c>
    </x:row>
    <x:row r="578" s="1" customFormat="1" ht="20" customHeight="1">
      <x:c r="A578" s="40" t="n">
        <x:v>45987</x:v>
      </x:c>
      <x:c r="B578" s="41" t="n">
        <x:v>1.7874</x:v>
      </x:c>
      <x:c r="C578" s="42" t="n">
        <x:v>0.008</x:v>
      </x:c>
    </x:row>
    <x:row r="579" s="1" customFormat="1" ht="20" customHeight="1">
      <x:c r="A579" s="40" t="n">
        <x:v>45989</x:v>
      </x:c>
      <x:c r="B579" s="41" t="n">
        <x:v>1.8017</x:v>
      </x:c>
      <x:c r="C579" s="42" t="n"/>
    </x:row>
    <x:row r="580" s="1" customFormat="1" ht="20" customHeight="1">
      <x:c r="A580" s="40" t="n">
        <x:v>45992</x:v>
      </x:c>
      <x:c r="B580" s="41" t="n">
        <x:v>1.7964</x:v>
      </x:c>
      <x:c r="C580" s="42" t="n">
        <x:v>-0.0029</x:v>
      </x:c>
    </x:row>
    <x:row r="581" s="1" customFormat="1" ht="20" customHeight="1">
      <x:c r="A581" s="40" t="n">
        <x:v>45993</x:v>
      </x:c>
      <x:c r="B581" s="41" t="n">
        <x:v>1.8088</x:v>
      </x:c>
      <x:c r="C581" s="42" t="n">
        <x:v>0.0069</x:v>
      </x:c>
    </x:row>
    <x:row r="582" s="1" customFormat="1" ht="20" customHeight="1">
      <x:c r="A582" s="40" t="n">
        <x:v>45994</x:v>
      </x:c>
      <x:c r="B582" s="41" t="n">
        <x:v>1.811</x:v>
      </x:c>
      <x:c r="C582" s="42" t="n">
        <x:v>0.0012</x:v>
      </x:c>
    </x:row>
    <x:row r="583" s="1" customFormat="1" ht="20" customHeight="1">
      <x:c r="A583" s="40" t="n">
        <x:v>45995</x:v>
      </x:c>
      <x:c r="B583" s="41" t="n">
        <x:v>1.8095</x:v>
      </x:c>
      <x:c r="C583" s="42" t="n">
        <x:v>-0.0008</x:v>
      </x:c>
    </x:row>
    <x:row r="584" s="1" customFormat="1" ht="20" customHeight="1">
      <x:c r="A584" s="40" t="n">
        <x:v>45996</x:v>
      </x:c>
      <x:c r="B584" s="41" t="n">
        <x:v>1.8222</x:v>
      </x:c>
      <x:c r="C584" s="42" t="n">
        <x:v>0.007</x:v>
      </x:c>
    </x:row>
    <x:row r="585" s="1" customFormat="1" ht="20" customHeight="1">
      <x:c r="A585" s="40" t="n">
        <x:v>45999</x:v>
      </x:c>
      <x:c r="B585" s="41" t="n">
        <x:v>1.8243</x:v>
      </x:c>
      <x:c r="C585" s="42" t="n">
        <x:v>0.0012</x:v>
      </x:c>
    </x:row>
    <x:row r="586" s="1" customFormat="1" ht="20" customHeight="1">
      <x:c r="A586" s="40" t="n">
        <x:v>46000</x:v>
      </x:c>
      <x:c r="B586" s="41" t="n">
        <x:v>1.8276</x:v>
      </x:c>
      <x:c r="C586" s="42" t="n">
        <x:v>0.0018</x:v>
      </x:c>
    </x:row>
    <x:row r="587" s="1" customFormat="1" ht="20" customHeight="1">
      <x:c r="A587" s="40" t="n">
        <x:v>46001</x:v>
      </x:c>
      <x:c r="B587" s="41" t="n">
        <x:v>1.8365</x:v>
      </x:c>
      <x:c r="C587" s="42" t="n">
        <x:v>0.0049</x:v>
      </x:c>
    </x:row>
    <x:row r="588" s="1" customFormat="1" ht="20" customHeight="1">
      <x:c r="A588" s="40" t="n">
        <x:v>46002</x:v>
      </x:c>
      <x:c r="B588" s="41" t="n">
        <x:v>1.8218</x:v>
      </x:c>
      <x:c r="C588" s="42" t="n">
        <x:v>-0.008</x:v>
      </x:c>
    </x:row>
    <x:row r="589" s="1" customFormat="1" ht="20" customHeight="1">
      <x:c r="A589" s="40" t="n">
        <x:v>46003</x:v>
      </x:c>
      <x:c r="B589" s="41" t="n">
        <x:v>1.7737</x:v>
      </x:c>
      <x:c r="C589" s="42" t="n">
        <x:v>-0.0264</x:v>
      </x:c>
    </x:row>
    <x:row r="590" s="1" customFormat="1" ht="20" customHeight="1">
      <x:c r="A590" s="40" t="n">
        <x:v>46006</x:v>
      </x:c>
      <x:c r="B590" s="41" t="n">
        <x:v>1.7604</x:v>
      </x:c>
      <x:c r="C590" s="42" t="n">
        <x:v>-0.0075</x:v>
      </x:c>
    </x:row>
    <x:row r="591" s="1" customFormat="1" ht="20" customHeight="1">
      <x:c r="A591" s="40" t="n">
        <x:v>46007</x:v>
      </x:c>
      <x:c r="B591" s="41" t="n">
        <x:v>1.7636</x:v>
      </x:c>
      <x:c r="C591" s="42" t="n">
        <x:v>0.0018</x:v>
      </x:c>
    </x:row>
    <x:row r="592" s="1" customFormat="1" ht="20" customHeight="1">
      <x:c r="A592" s="40" t="n">
        <x:v>46008</x:v>
      </x:c>
      <x:c r="B592" s="41" t="n">
        <x:v>1.7272</x:v>
      </x:c>
      <x:c r="C592" s="42" t="n">
        <x:v>-0.0206</x:v>
      </x:c>
    </x:row>
    <x:row r="593" s="1" customFormat="1" ht="20" customHeight="1">
      <x:c r="A593" s="40" t="n">
        <x:v>46009</x:v>
      </x:c>
      <x:c r="B593" s="41" t="n">
        <x:v>1.7568</x:v>
      </x:c>
      <x:c r="C593" s="42" t="n">
        <x:v>0.0171</x:v>
      </x:c>
    </x:row>
    <x:row r="594" s="1" customFormat="1" ht="20" customHeight="1">
      <x:c r="A594" s="40" t="n">
        <x:v>46010</x:v>
      </x:c>
      <x:c r="B594" s="41" t="n">
        <x:v>1.7835</x:v>
      </x:c>
      <x:c r="C594" s="42" t="n">
        <x:v>0.0152</x:v>
      </x:c>
    </x:row>
    <x:row r="595" s="1" customFormat="1" ht="20" customHeight="1">
      <x:c r="A595" s="40" t="n">
        <x:v>46013</x:v>
      </x:c>
      <x:c r="B595" s="41" t="n">
        <x:v>1.7946</x:v>
      </x:c>
      <x:c r="C595" s="42" t="n">
        <x:v>0.0062</x:v>
      </x:c>
    </x:row>
    <x:row r="596" s="1" customFormat="1" ht="20" customHeight="1">
      <x:c r="A596" s="40" t="n">
        <x:v>46014</x:v>
      </x:c>
      <x:c r="B596" s="41" t="n">
        <x:v>1.8061</x:v>
      </x:c>
      <x:c r="C596" s="42" t="n">
        <x:v>0.0064</x:v>
      </x:c>
    </x:row>
    <x:row r="597" s="1" customFormat="1" ht="20" customHeight="1">
      <x:c r="A597" s="40" t="n">
        <x:v>46015</x:v>
      </x:c>
      <x:c r="B597" s="41" t="n">
        <x:v>1.808</x:v>
      </x:c>
      <x:c r="C597" s="42" t="n">
        <x:v>0.0011</x:v>
      </x:c>
    </x:row>
    <x:row r="598" s="1" customFormat="1" ht="20" customHeight="1">
      <x:c r="A598" s="40" t="n">
        <x:v>46020</x:v>
      </x:c>
      <x:c r="B598" s="41" t="n">
        <x:v>1.7971</x:v>
      </x:c>
      <x:c r="C598" s="42" t="n"/>
    </x:row>
    <x:row r="599" s="1" customFormat="1" ht="20" customHeight="1">
      <x:c r="A599" s="40" t="n">
        <x:v>46021</x:v>
      </x:c>
      <x:c r="B599" s="41" t="n">
        <x:v>1.7945</x:v>
      </x:c>
      <x:c r="C599" s="42" t="n">
        <x:v>-0.0014</x:v>
      </x:c>
    </x:row>
    <x:row r="600" s="1" customFormat="1" ht="20" customHeight="1">
      <x:c r="A600" s="40" t="n">
        <x:v>46022</x:v>
      </x:c>
      <x:c r="B600" s="41" t="n">
        <x:v>1.7794</x:v>
      </x:c>
      <x:c r="C600" s="42" t="n">
        <x:v>-0.008399999999999999</x:v>
      </x:c>
    </x:row>
    <x:row r="601" s="1" customFormat="1" ht="20" customHeight="1">
      <x:c r="A601" s="40" t="n">
        <x:v>46027</x:v>
      </x:c>
      <x:c r="B601" s="41" t="n">
        <x:v>1.7916</x:v>
      </x:c>
      <x:c r="C601" s="42" t="n">
        <x:v>0.0069</x:v>
      </x:c>
    </x:row>
    <x:row r="602" s="1" customFormat="1" ht="20" customHeight="1">
      <x:c r="A602" s="40" t="n">
        <x:v>46028</x:v>
      </x:c>
      <x:c r="B602" s="41" t="n">
        <x:v>1.7985</x:v>
      </x:c>
      <x:c r="C602" s="42" t="n">
        <x:v>0.0039</x:v>
      </x:c>
    </x:row>
    <x:row r="603" s="1" customFormat="1" ht="20" customHeight="1">
      <x:c r="A603" s="40" t="n">
        <x:v>46029</x:v>
      </x:c>
      <x:c r="B603" s="41" t="n">
        <x:v>1.8005</x:v>
      </x:c>
      <x:c r="C603" s="42" t="n">
        <x:v>0.0011</x:v>
      </x:c>
    </x:row>
    <x:row r="604" s="1" customFormat="1" ht="20" customHeight="1">
      <x:c r="A604" s="40" t="n">
        <x:v>46030</x:v>
      </x:c>
      <x:c r="B604" s="41" t="n">
        <x:v>1.7824</x:v>
      </x:c>
      <x:c r="C604" s="42" t="n">
        <x:v>-0.0101</x:v>
      </x:c>
    </x:row>
    <x:row r="605" s="1" customFormat="1" ht="20" customHeight="1">
      <x:c r="A605" s="40" t="n">
        <x:v>46031</x:v>
      </x:c>
      <x:c r="B605" s="41" t="n">
        <x:v>1.7991</x:v>
      </x:c>
      <x:c r="C605" s="42" t="n">
        <x:v>0.0094</x:v>
      </x:c>
    </x:row>
    <x:row r="606" s="1" customFormat="1" ht="20" customHeight="1">
      <x:c r="A606" s="40" t="n">
        <x:v>46034</x:v>
      </x:c>
      <x:c r="B606" s="41" t="n">
        <x:v>1.8055</x:v>
      </x:c>
      <x:c r="C606" s="42" t="n">
        <x:v>0.0036</x:v>
      </x:c>
    </x:row>
    <x:row r="607" s="1" customFormat="1" ht="20" customHeight="1">
      <x:c r="A607" s="40" t="n">
        <x:v>46035</x:v>
      </x:c>
      <x:c r="B607" s="41" t="n">
        <x:v>1.8032</x:v>
      </x:c>
      <x:c r="C607" s="42" t="n">
        <x:v>-0.0013</x:v>
      </x:c>
    </x:row>
    <x:row r="608" s="1" customFormat="1" ht="20" customHeight="1">
      <x:c r="A608" s="40" t="n">
        <x:v>46036</x:v>
      </x:c>
      <x:c r="B608" s="41" t="n">
        <x:v>1.7741</x:v>
      </x:c>
      <x:c r="C608" s="42" t="n">
        <x:v>-0.0161</x:v>
      </x:c>
    </x:row>
    <x:row r="609" s="1" customFormat="1" ht="20" customHeight="1">
      <x:c r="A609" s="40" t="n">
        <x:v>46037</x:v>
      </x:c>
      <x:c r="B609" s="41" t="n">
        <x:v>1.7831</x:v>
      </x:c>
      <x:c r="C609" s="42" t="n">
        <x:v>0.0051</x:v>
      </x:c>
    </x:row>
    <x:row r="610" s="1" customFormat="1" ht="20" customHeight="1">
      <x:c r="A610" s="40" t="n">
        <x:v>46038</x:v>
      </x:c>
      <x:c r="B610" s="41" t="n">
        <x:v>1.7876</x:v>
      </x:c>
      <x:c r="C610" s="42" t="n">
        <x:v>0.0025</x:v>
      </x:c>
    </x:row>
    <x:row r="611" s="1" customFormat="1" ht="20" customHeight="1">
      <x:c r="A611" s="40" t="n">
        <x:v>46042</x:v>
      </x:c>
      <x:c r="B611" s="41" t="n">
        <x:v>1.7425</x:v>
      </x:c>
      <x:c r="C611" s="42" t="n"/>
    </x:row>
    <x:row r="612" s="1" customFormat="1" ht="20" customHeight="1">
      <x:c r="A612" s="40" t="n">
        <x:v>46043</x:v>
      </x:c>
      <x:c r="B612" s="41" t="n">
        <x:v>1.7652</x:v>
      </x:c>
      <x:c r="C612" s="42" t="n">
        <x:v>0.013</x:v>
      </x:c>
    </x:row>
    <x:row r="613" s="1" customFormat="1" ht="20" customHeight="1">
      <x:c r="A613" s="40" t="n">
        <x:v>46044</x:v>
      </x:c>
      <x:c r="B613" s="41" t="n">
        <x:v>1.7849</x:v>
      </x:c>
      <x:c r="C613" s="42" t="n">
        <x:v>0.0112</x:v>
      </x:c>
    </x:row>
    <x:row r="614" s="1" customFormat="1" ht="20" customHeight="1">
      <x:c r="A614" s="40" t="n">
        <x:v>46045</x:v>
      </x:c>
      <x:c r="B614" s="41" t="n">
        <x:v>1.7873</x:v>
      </x:c>
      <x:c r="C614" s="42" t="n">
        <x:v>0.0013</x:v>
      </x:c>
    </x:row>
    <x:row r="615" s="1" customFormat="1" ht="20" customHeight="1">
      <x:c r="A615" s="40" t="n">
        <x:v>46048</x:v>
      </x:c>
      <x:c r="B615" s="41" t="n">
        <x:v>1.7893</x:v>
      </x:c>
      <x:c r="C615" s="42" t="n">
        <x:v>0.0011</x:v>
      </x:c>
    </x:row>
    <x:row r="616" s="1" customFormat="1" ht="20" customHeight="1">
      <x:c r="A616" s="40" t="n">
        <x:v>46049</x:v>
      </x:c>
      <x:c r="B616" s="41" t="n">
        <x:v>1.8124</x:v>
      </x:c>
      <x:c r="C616" s="42" t="n">
        <x:v>0.0129</x:v>
      </x:c>
    </x:row>
    <x:row r="617" s="1" customFormat="1" ht="20" customHeight="1">
      <x:c r="A617" s="40" t="n">
        <x:v>46050</x:v>
      </x:c>
      <x:c r="B617" s="41" t="n">
        <x:v>1.8195</x:v>
      </x:c>
      <x:c r="C617" s="42" t="n">
        <x:v>0.0039</x:v>
      </x:c>
    </x:row>
    <x:row r="618" s="1" customFormat="1" ht="20" customHeight="1">
      <x:c r="A618" s="40" t="n">
        <x:v>46051</x:v>
      </x:c>
      <x:c r="B618" s="41" t="n">
        <x:v>1.8015</x:v>
      </x:c>
      <x:c r="C618" s="42" t="n">
        <x:v>-0.009900000000000001</x:v>
      </x:c>
    </x:row>
    <x:row r="619" s="1" customFormat="1" ht="20" customHeight="1">
      <x:c r="A619" s="40" t="n">
        <x:v>46052</x:v>
      </x:c>
      <x:c r="B619" s="41" t="n">
        <x:v>1.7649</x:v>
      </x:c>
      <x:c r="C619" s="42" t="n">
        <x:v>-0.0203</x:v>
      </x:c>
    </x:row>
    <x:row r="620" s="1" customFormat="1" ht="20" customHeight="1">
      <x:c r="A620" s="40" t="n">
        <x:v>46055</x:v>
      </x:c>
      <x:c r="B620" s="41" t="n">
        <x:v>1.7744</x:v>
      </x:c>
      <x:c r="C620" s="42" t="n">
        <x:v>0.0054</x:v>
      </x:c>
    </x:row>
    <x:row r="621" s="1" customFormat="1" ht="20" customHeight="1">
      <x:c r="A621" s="40" t="n">
        <x:v>46056</x:v>
      </x:c>
      <x:c r="B621" s="41" t="n">
        <x:v>1.7408</x:v>
      </x:c>
      <x:c r="C621" s="42" t="n">
        <x:v>-0.0189</x:v>
      </x:c>
    </x:row>
    <x:row r="622" s="1" customFormat="1" ht="20" customHeight="1">
      <x:c r="A622" s="40" t="n">
        <x:v>46057</x:v>
      </x:c>
      <x:c r="B622" s="41" t="n">
        <x:v>1.6865</x:v>
      </x:c>
      <x:c r="C622" s="42" t="n">
        <x:v>-0.0312</x:v>
      </x:c>
    </x:row>
    <x:row r="623" s="1" customFormat="1" ht="20" customHeight="1">
      <x:c r="A623" s="40" t="n">
        <x:v>46058</x:v>
      </x:c>
      <x:c r="B623" s="41" t="n">
        <x:v>1.6692</x:v>
      </x:c>
      <x:c r="C623" s="42" t="n">
        <x:v>-0.0103</x:v>
      </x:c>
    </x:row>
    <x:row r="624" s="1" customFormat="1" ht="20" customHeight="1">
      <x:c r="A624" s="40" t="n">
        <x:v>46059</x:v>
      </x:c>
      <x:c r="B624" s="41" t="n">
        <x:v>1.7085</x:v>
      </x:c>
      <x:c r="C624" s="42" t="n">
        <x:v>0.0235</x:v>
      </x:c>
    </x:row>
    <x:row r="625" s="1" customFormat="1" ht="20" customHeight="1">
      <x:c r="A625" s="40" t="n">
        <x:v>46062</x:v>
      </x:c>
      <x:c r="B625" s="41" t="n">
        <x:v>1.7281</x:v>
      </x:c>
      <x:c r="C625" s="42" t="n">
        <x:v>0.0115</x:v>
      </x:c>
    </x:row>
    <x:row r="626" s="1" customFormat="1" ht="20" customHeight="1">
      <x:c r="A626" s="40" t="n">
        <x:v>46063</x:v>
      </x:c>
      <x:c r="B626" s="41" t="n">
        <x:v>1.7175</x:v>
      </x:c>
      <x:c r="C626" s="42" t="n">
        <x:v>-0.0061</x:v>
      </x:c>
    </x:row>
    <x:row r="627" s="1" customFormat="1" ht="20" customHeight="1">
      <x:c r="A627" s="40" t="n">
        <x:v>46064</x:v>
      </x:c>
      <x:c r="B627" s="41" t="n">
        <x:v>1.7207</x:v>
      </x:c>
      <x:c r="C627" s="42" t="n">
        <x:v>0.0019</x:v>
      </x:c>
    </x:row>
    <x:row r="628" s="1" customFormat="1" ht="20" customHeight="1">
      <x:c r="A628" s="40" t="n">
        <x:v>46065</x:v>
      </x:c>
      <x:c r="B628" s="41" t="n">
        <x:v>1.6853</x:v>
      </x:c>
      <x:c r="C628" s="42" t="n">
        <x:v>-0.0206</x:v>
      </x:c>
    </x:row>
    <x:row r="629" s="1" customFormat="1" ht="20" customHeight="1">
      <x:c r="A629" s="40" t="n">
        <x:v>46066</x:v>
      </x:c>
      <x:c r="B629" s="41" t="n">
        <x:v>1.6815</x:v>
      </x:c>
      <x:c r="C629" s="42" t="n">
        <x:v>-0.0023</x:v>
      </x:c>
    </x:row>
    <x:row r="630" s="1" customFormat="1" ht="20" customHeight="1">
      <x:c r="A630" s="40" t="n">
        <x:v>46077</x:v>
      </x:c>
      <x:c r="B630" s="41" t="n">
        <x:v>1.6992</x:v>
      </x:c>
      <x:c r="C630" s="42" t="n">
        <x:v>0.0105</x:v>
      </x:c>
    </x:row>
    <x:row r="631" s="1" customFormat="1" ht="20" customHeight="1">
      <x:c r="A631" s="40" t="n">
        <x:v>46078</x:v>
      </x:c>
      <x:c r="B631" s="41" t="n">
        <x:v>1.7186</x:v>
      </x:c>
      <x:c r="C631" s="42" t="n">
        <x:v>0.0114</x:v>
      </x:c>
    </x:row>
    <x:row r="632" s="1" customFormat="1" ht="20" customHeight="1">
      <x:c r="A632" s="40" t="n">
        <x:v>46079</x:v>
      </x:c>
      <x:c r="B632" s="41" t="n">
        <x:v>1.6904</x:v>
      </x:c>
      <x:c r="C632" s="42" t="n">
        <x:v>-0.0164</x:v>
      </x:c>
    </x:row>
    <x:row r="633" s="1" customFormat="1" ht="20" customHeight="1">
      <x:c r="A633" s="40" t="n">
        <x:v>46080</x:v>
      </x:c>
      <x:c r="B633" s="41" t="n">
        <x:v>1.681</x:v>
      </x:c>
      <x:c r="C633" s="42" t="n">
        <x:v>-0.0056</x:v>
      </x:c>
    </x:row>
    <x:row r="634" s="1" customFormat="1" ht="20" customHeight="1">
      <x:c r="A634" s="40" t="n">
        <x:v>46083</x:v>
      </x:c>
      <x:c r="B634" s="41" t="n">
        <x:v>1.6787</x:v>
      </x:c>
      <x:c r="C634" s="42" t="n">
        <x:v>-0.0014</x:v>
      </x:c>
    </x:row>
    <x:row r="635" s="1" customFormat="1" ht="20" customHeight="1">
      <x:c r="A635" s="40" t="n">
        <x:v>46084</x:v>
      </x:c>
      <x:c r="B635" s="41" t="n">
        <x:v>1.6426</x:v>
      </x:c>
      <x:c r="C635" s="42" t="n">
        <x:v>-0.0215</x:v>
      </x:c>
    </x:row>
    <x:row r="636" s="1" customFormat="1" ht="20" customHeight="1">
      <x:c r="A636" s="40" t="n">
        <x:v>46085</x:v>
      </x:c>
      <x:c r="B636" s="41" t="n">
        <x:v>1.6722</x:v>
      </x:c>
      <x:c r="C636" s="42" t="n">
        <x:v>0.018</x:v>
      </x:c>
    </x:row>
    <x:row r="637" s="1" customFormat="1" ht="20" customHeight="1">
      <x:c r="A637" s="40" t="n">
        <x:v>46086</x:v>
      </x:c>
      <x:c r="B637" s="41" t="n">
        <x:v>1.6713</x:v>
      </x:c>
      <x:c r="C637" s="42" t="n">
        <x:v>-0.0005</x:v>
      </x:c>
    </x:row>
    <x:row r="638" s="1" customFormat="1" ht="20" customHeight="1">
      <x:c r="A638" s="40" t="n">
        <x:v>46087</x:v>
      </x:c>
      <x:c r="B638" s="41" t="n">
        <x:v>1.6386</x:v>
      </x:c>
      <x:c r="C638" s="42" t="n">
        <x:v>-0.0196</x:v>
      </x:c>
    </x:row>
    <x:row r="639" s="1" customFormat="1" ht="20" customHeight="1">
      <x:c r="A639" s="40" t="n">
        <x:v>46090</x:v>
      </x:c>
      <x:c r="B639" s="41" t="n">
        <x:v>1.6724</x:v>
      </x:c>
      <x:c r="C639" s="42" t="n">
        <x:v>0.0206</x:v>
      </x:c>
    </x:row>
    <x:row r="640" s="1" customFormat="1" ht="20" customHeight="1">
      <x:c r="A640" s="40" t="n">
        <x:v>46091</x:v>
      </x:c>
      <x:c r="B640" s="41" t="n">
        <x:v>1.6768</x:v>
      </x:c>
      <x:c r="C640" s="42" t="n">
        <x:v>0.0026</x:v>
      </x:c>
    </x:row>
    <x:row r="641" s="1" customFormat="1" ht="20" customHeight="1">
      <x:c r="A641" s="40" t="n">
        <x:v>46092</x:v>
      </x:c>
      <x:c r="B641" s="41" t="n">
        <x:v>1.6838</x:v>
      </x:c>
      <x:c r="C641" s="42" t="n">
        <x:v>0.0042</x:v>
      </x:c>
    </x:row>
    <x:row r="642" s="1" customFormat="1" ht="20" customHeight="1">
      <x:c r="A642" s="40" t="n">
        <x:v>46093</x:v>
      </x:c>
      <x:c r="B642" s="41" t="n">
        <x:v>1.6523</x:v>
      </x:c>
      <x:c r="C642" s="42" t="n">
        <x:v>-0.0187</x:v>
      </x:c>
    </x:row>
    <x:row r="643" s="1" customFormat="1" ht="20" customHeight="1">
      <x:c r="A643" s="40" t="n">
        <x:v>46094</x:v>
      </x:c>
      <x:c r="B643" s="41" t="n">
        <x:v>1.6431</x:v>
      </x:c>
      <x:c r="C643" s="42" t="n">
        <x:v>-0.0056</x:v>
      </x:c>
    </x:row>
    <x:row r="644" s="1" customFormat="1" ht="20" customHeight="1">
      <x:c r="A644" s="40" t="n">
        <x:v>46097</x:v>
      </x:c>
      <x:c r="B644" s="41" t="n">
        <x:v>1.6645</x:v>
      </x:c>
      <x:c r="C644" s="42" t="n">
        <x:v>0.013</x:v>
      </x:c>
    </x:row>
    <x:row r="645" s="1" customFormat="1" ht="20" customHeight="1">
      <x:c r="A645" s="40" t="n">
        <x:v>46098</x:v>
      </x:c>
      <x:c r="B645" s="41" t="n">
        <x:v>1.6714</x:v>
      </x:c>
      <x:c r="C645" s="42" t="n">
        <x:v>0.0041</x:v>
      </x:c>
    </x:row>
    <x:row r="646" s="1" customFormat="1" ht="20" customHeight="1">
      <x:c r="A646" s="40" t="n">
        <x:v>46099</x:v>
      </x:c>
      <x:c r="B646" s="41" t="n">
        <x:v>1.655</x:v>
      </x:c>
      <x:c r="C646" s="42" t="n">
        <x:v>-0.0098</x:v>
      </x:c>
    </x:row>
    <x:row r="647" s="1" customFormat="1" ht="20" customHeight="1">
      <x:c r="A647" s="40" t="n">
        <x:v>46100</x:v>
      </x:c>
      <x:c r="B647" s="41" t="n">
        <x:v>1.6481</x:v>
      </x:c>
      <x:c r="C647" s="42" t="n">
        <x:v>-0.0042</x:v>
      </x:c>
    </x:row>
    <x:row r="648" s="1" customFormat="1" ht="20" customHeight="1">
      <x:c r="A648" s="40" t="n">
        <x:v>46101</x:v>
      </x:c>
      <x:c r="B648" s="41" t="n">
        <x:v>1.6097</x:v>
      </x:c>
      <x:c r="C648" s="42" t="n">
        <x:v>-0.0233</x:v>
      </x:c>
    </x:row>
    <x:row r="649" s="1" customFormat="1" ht="20" customHeight="1">
      <x:c r="A649" s="40" t="n">
        <x:v>46104</x:v>
      </x:c>
      <x:c r="B649" s="41" t="n">
        <x:v>1.6283</x:v>
      </x:c>
      <x:c r="C649" s="42" t="n">
        <x:v>0.0116</x:v>
      </x:c>
    </x:row>
    <x:row r="650" s="1" customFormat="1" ht="20" customHeight="1">
      <x:c r="A650" s="40" t="n">
        <x:v>46105</x:v>
      </x:c>
      <x:c r="B650" s="41" t="n">
        <x:v>1.6148</x:v>
      </x:c>
      <x:c r="C650" s="42" t="n">
        <x:v>-0.0083</x:v>
      </x:c>
    </x:row>
    <x:row r="651" s="1" customFormat="1" ht="20" customHeight="1">
      <x:c r="A651" s="40" t="n">
        <x:v>46106</x:v>
      </x:c>
      <x:c r="B651" s="41" t="n">
        <x:v>1.6279</x:v>
      </x:c>
      <x:c r="C651" s="42" t="n">
        <x:v>0.0081</x:v>
      </x:c>
    </x:row>
    <x:row r="652" s="1" customFormat="1" ht="20" customHeight="1">
      <x:c r="A652" s="40" t="n">
        <x:v>46107</x:v>
      </x:c>
      <x:c r="B652" s="41" t="n">
        <x:v>1.5756</x:v>
      </x:c>
      <x:c r="C652" s="42" t="n">
        <x:v>-0.0321</x:v>
      </x:c>
    </x:row>
    <x:row r="653" s="1" customFormat="1" ht="20" customHeight="1">
      <x:c r="A653" s="40" t="n">
        <x:v>46108</x:v>
      </x:c>
      <x:c r="B653" s="41" t="n">
        <x:v>1.5511</x:v>
      </x:c>
      <x:c r="C653" s="42" t="n">
        <x:v>-0.0155</x:v>
      </x:c>
    </x:row>
    <x:row r="654" s="1" customFormat="1" ht="20" customHeight="1">
      <x:c r="A654" s="40" t="n">
        <x:v>46111</x:v>
      </x:c>
      <x:c r="B654" s="41" t="n">
        <x:v>1.5247</x:v>
      </x:c>
      <x:c r="C654" s="42" t="n">
        <x:v>-0.017</x:v>
      </x:c>
    </x:row>
    <x:row r="655" s="1" customFormat="1" ht="20" customHeight="1">
      <x:c r="A655" s="40" t="n">
        <x:v>46112</x:v>
      </x:c>
      <x:c r="B655" s="41" t="n">
        <x:v>1.5838</x:v>
      </x:c>
      <x:c r="C655" s="42" t="n">
        <x:v>0.0388</x:v>
      </x:c>
    </x:row>
    <x:row r="656" s="1" customFormat="1" ht="20" customHeight="1">
      <x:c r="A656" s="40" t="n">
        <x:v>46113</x:v>
      </x:c>
      <x:c r="B656" s="41" t="n">
        <x:v>1.6115</x:v>
      </x:c>
      <x:c r="C656" s="42" t="n">
        <x:v>0.0175</x:v>
      </x:c>
    </x:row>
    <x:row r="657" s="1" customFormat="1" ht="20" customHeight="1">
      <x:c r="A657" s="40" t="n">
        <x:v>46114</x:v>
      </x:c>
      <x:c r="B657" s="41" t="n">
        <x:v>1.6096</x:v>
      </x:c>
      <x:c r="C657" s="42" t="n">
        <x:v>-0.0012</x:v>
      </x:c>
    </x:row>
    <x:row r="658" s="1" customFormat="1" ht="20" customHeight="1">
      <x:c r="A658" s="40" t="n">
        <x:v>46120</x:v>
      </x:c>
      <x:c r="B658" s="41" t="n">
        <x:v>1.6836</x:v>
      </x:c>
      <x:c r="C658" s="42" t="n"/>
    </x:row>
    <x:row r="659" s="1" customFormat="1" ht="20" customHeight="1">
      <x:c r="A659" s="40" t="n">
        <x:v>46121</x:v>
      </x:c>
      <x:c r="B659" s="41" t="n">
        <x:v>1.7001</x:v>
      </x:c>
      <x:c r="C659" s="42" t="n">
        <x:v>0.0098</x:v>
      </x:c>
    </x:row>
    <x:row r="660" s="1" customFormat="1" ht="20" customHeight="1">
      <x:c r="A660" s="40" t="n">
        <x:v>46122</x:v>
      </x:c>
      <x:c r="B660" s="41" t="n">
        <x:v>1.7176</x:v>
      </x:c>
      <x:c r="C660" s="42" t="n">
        <x:v>0.0103</x:v>
      </x:c>
    </x:row>
    <x:row r="661" s="1" customFormat="1" ht="20" customHeight="1">
      <x:c r="A661" s="40" t="n">
        <x:v>46125</x:v>
      </x:c>
      <x:c r="B661" s="41" t="n">
        <x:v>1.7386</x:v>
      </x:c>
      <x:c r="C661" s="42" t="n">
        <x:v>0.0122</x:v>
      </x:c>
    </x:row>
    <x:row r="662" s="1" customFormat="1" ht="20" customHeight="1">
      <x:c r="A662" s="40" t="n">
        <x:v>46126</x:v>
      </x:c>
      <x:c r="B662" s="41" t="n">
        <x:v>1.7759</x:v>
      </x:c>
      <x:c r="C662" s="42" t="n">
        <x:v>0.0215</x:v>
      </x:c>
    </x:row>
    <x:row r="663" s="1" customFormat="1" ht="20" customHeight="1">
      <x:c r="A663" s="40" t="n">
        <x:v>46127</x:v>
      </x:c>
      <x:c r="B663" s="41" t="n">
        <x:v>1.7968</x:v>
      </x:c>
      <x:c r="C663" s="42" t="n">
        <x:v>0.0118</x:v>
      </x:c>
    </x:row>
    <x:row r="664" s="1" customFormat="1" ht="20" customHeight="1">
      <x:c r="A664" s="40" t="n">
        <x:v>46128</x:v>
      </x:c>
      <x:c r="B664" s="41" t="n">
        <x:v>1.8142</x:v>
      </x:c>
      <x:c r="C664" s="42" t="n">
        <x:v>0.0097</x:v>
      </x:c>
    </x:row>
    <x:row r="665" s="1" customFormat="1" ht="20" customHeight="1">
      <x:c r="A665" s="40" t="n">
        <x:v>46129</x:v>
      </x:c>
      <x:c r="B665" s="41" t="n">
        <x:v>1.8322</x:v>
      </x:c>
      <x:c r="C665" s="42" t="n">
        <x:v>0.009900000000000001</x:v>
      </x:c>
    </x:row>
    <x:row r="666" s="1" customFormat="1" ht="20" customHeight="1">
      <x:c r="A666" s="40" t="n">
        <x:v>46132</x:v>
      </x:c>
      <x:c r="B666" s="41" t="n">
        <x:v>1.8224</x:v>
      </x:c>
      <x:c r="C666" s="42" t="n">
        <x:v>-0.0053</x:v>
      </x:c>
    </x:row>
    <x:row r="667" s="1" customFormat="1" ht="20" customHeight="1">
      <x:c r="A667" s="40" t="n">
        <x:v>46133</x:v>
      </x:c>
      <x:c r="B667" s="41" t="n">
        <x:v>1.8204</x:v>
      </x:c>
      <x:c r="C667" s="42" t="n">
        <x:v>-0.0011</x:v>
      </x:c>
    </x:row>
    <x:row r="668" s="1" customFormat="1" ht="20" customHeight="1">
      <x:c r="A668" s="40" t="n">
        <x:v>46134</x:v>
      </x:c>
      <x:c r="B668" s="41" t="n">
        <x:v>1.8594</x:v>
      </x:c>
      <x:c r="C668" s="42" t="n">
        <x:v>0.0214</x:v>
      </x:c>
    </x:row>
    <x:row r="669" s="1" customFormat="1" ht="20" customHeight="1">
      <x:c r="A669" s="40" t="n">
        <x:v>46135</x:v>
      </x:c>
      <x:c r="B669" s="41" t="n">
        <x:v>1.8425</x:v>
      </x:c>
      <x:c r="C669" s="42" t="n">
        <x:v>-0.0091</x:v>
      </x:c>
    </x:row>
    <x:row r="670" s="1" customFormat="1" ht="20" customHeight="1">
      <x:c r="A670" s="40" t="n">
        <x:v>46136</x:v>
      </x:c>
      <x:c r="B670" s="41" t="n">
        <x:v>1.9129</x:v>
      </x:c>
      <x:c r="C670" s="42" t="n">
        <x:v>0.0382</x:v>
      </x:c>
    </x:row>
    <x:row r="671" s="1" customFormat="1" ht="20" customHeight="1">
      <x:c r="A671" s="40" t="n">
        <x:v>46139</x:v>
      </x:c>
      <x:c r="B671" s="41" t="n">
        <x:v>1.9149</x:v>
      </x:c>
      <x:c r="C671" s="42" t="n">
        <x:v>0.001</x:v>
      </x:c>
    </x:row>
    <x:row r="672" s="1" customFormat="1" ht="20" customHeight="1">
      <x:c r="A672" s="40" t="n">
        <x:v>46140</x:v>
      </x:c>
      <x:c r="B672" s="41" t="n">
        <x:v>1.876</x:v>
      </x:c>
      <x:c r="C672" s="42" t="n">
        <x:v>-0.0203</x:v>
      </x:c>
    </x:row>
    <x:row r="673" s="1" customFormat="1" ht="20" customHeight="1">
      <x:c r="A673" s="40" t="n">
        <x:v>46141</x:v>
      </x:c>
      <x:c r="B673" s="41" t="n">
        <x:v>1.9024</x:v>
      </x:c>
      <x:c r="C673" s="42" t="n">
        <x:v>0.0141</x:v>
      </x:c>
    </x:row>
    <x:row r="674" s="1" customFormat="1" ht="20" customHeight="1">
      <x:c r="A674" s="40" t="n">
        <x:v>46142</x:v>
      </x:c>
      <x:c r="B674" s="41" t="n">
        <x:v>1.9196</x:v>
      </x:c>
      <x:c r="C674" s="42" t="n">
        <x:v>0.008999999999999999</x:v>
      </x:c>
    </x:row>
    <x:row r="675" s="1" customFormat="1" ht="20" customHeight="1">
      <x:c r="A675" s="40" t="n">
        <x:v>46148</x:v>
      </x:c>
      <x:c r="B675" s="41" t="n">
        <x:v>2.0427</x:v>
      </x:c>
      <x:c r="C675" s="42" t="n">
        <x:v>0.0641</x:v>
      </x:c>
    </x:row>
    <x:row r="676" s="1" customFormat="1" ht="20" customHeight="1">
      <x:c r="A676" s="40" t="n">
        <x:v>46149</x:v>
      </x:c>
      <x:c r="B676" s="41" t="n">
        <x:v>2.0223</x:v>
      </x:c>
      <x:c r="C676" s="42" t="n">
        <x:v>-0.01</x:v>
      </x:c>
    </x:row>
    <x:row r="677" s="1" customFormat="1" ht="20" customHeight="1">
      <x:c r="A677" s="40" t="n">
        <x:v>46150</x:v>
      </x:c>
      <x:c r="B677" s="41" t="n">
        <x:v>2.0934</x:v>
      </x:c>
      <x:c r="C677" s="42" t="n">
        <x:v>0.0352</x:v>
      </x:c>
    </x:row>
    <x:row r="678" s="1" customFormat="1" ht="20" customHeight="1">
      <x:c r="A678" s="40" t="n">
        <x:v>46153</x:v>
      </x:c>
      <x:c r="B678" s="41" t="n">
        <x:v>2.1092</x:v>
      </x:c>
      <x:c r="C678" s="42" t="n">
        <x:v>0.0075</x:v>
      </x:c>
    </x:row>
    <x:row r="679" s="1" customFormat="1" ht="20" customHeight="1">
      <x:c r="A679" s="40" t="n">
        <x:v>46154</x:v>
      </x:c>
      <x:c r="B679" s="41" t="n">
        <x:v>2.074</x:v>
      </x:c>
      <x:c r="C679" s="42" t="n">
        <x:v>-0.0167</x:v>
      </x:c>
    </x:row>
    <x:row r="680" s="1" customFormat="1" ht="20" customHeight="1">
      <x:c r="A680" s="40" t="n">
        <x:v>46155</x:v>
      </x:c>
      <x:c r="B680" s="41" t="n">
        <x:v>2.1067</x:v>
      </x:c>
      <x:c r="C680" s="42" t="n">
        <x:v>0.0158</x:v>
      </x:c>
    </x:row>
    <x:row r="681" s="1" customFormat="1" ht="20" customHeight="1">
      <x:c r="A681" s="40" t="n">
        <x:v>46156</x:v>
      </x:c>
      <x:c r="B681" s="41" t="n">
        <x:v>2.1202</x:v>
      </x:c>
      <x:c r="C681" s="42" t="n">
        <x:v>0.0064</x:v>
      </x:c>
    </x:row>
    <x:row r="682" s="1" customFormat="1" ht="20" customHeight="1">
      <x:c r="A682" s="40" t="n">
        <x:v>46157</x:v>
      </x:c>
      <x:c r="B682" s="41" t="n">
        <x:v>2.0662</x:v>
      </x:c>
      <x:c r="C682" s="42" t="n">
        <x:v>-0.0255</x:v>
      </x:c>
    </x:row>
    <x:row r="683" s="1" customFormat="1" ht="20" customHeight="1">
      <x:c r="A683" s="40" t="n">
        <x:v>46160</x:v>
      </x:c>
      <x:c r="B683" s="41" t="n">
        <x:v>2.04</x:v>
      </x:c>
      <x:c r="C683" s="42" t="n">
        <x:v>-0.0127</x:v>
      </x:c>
    </x:row>
    <x:row r="684" s="1" customFormat="1" ht="20" customHeight="1">
      <x:c r="A684" s="40" t="n">
        <x:v>46161</x:v>
      </x:c>
      <x:c r="B684" s="41" t="n">
        <x:v>2.029</x:v>
      </x:c>
      <x:c r="C684" s="42" t="n">
        <x:v>-0.0054</x:v>
      </x:c>
    </x:row>
    <x:row r="685" s="1" customFormat="1" ht="20" customHeight="1">
      <x:c r="A685" s="40" t="n">
        <x:v>46162</x:v>
      </x:c>
      <x:c r="B685" s="41" t="n">
        <x:v>2.0794</x:v>
      </x:c>
      <x:c r="C685" s="42" t="n">
        <x:v>0.0248</x:v>
      </x:c>
    </x:row>
    <x:row r="686" s="1" customFormat="1" ht="20" customHeight="1">
      <x:c r="A686" s="40" t="n">
        <x:v>46163</x:v>
      </x:c>
      <x:c r="B686" s="41" t="n">
        <x:v>2.0966</x:v>
      </x:c>
      <x:c r="C686" s="42" t="n">
        <x:v>0.0083</x:v>
      </x:c>
    </x:row>
    <x:row r="687" s="1" customFormat="1" ht="20" customHeight="1">
      <x:c r="A687" s="40" t="n">
        <x:v>46164</x:v>
      </x:c>
      <x:c r="B687" s="41" t="n">
        <x:v>2.1121</x:v>
      </x:c>
      <x:c r="C687" s="42" t="n">
        <x:v>0.0074</x:v>
      </x:c>
    </x:row>
    <x:row r="688" s="1" customFormat="1" ht="20" customHeight="1">
      <x:c r="A688" s="40" t="n">
        <x:v>46168</x:v>
      </x:c>
      <x:c r="B688" s="41" t="n">
        <x:v>2.1678</x:v>
      </x:c>
      <x:c r="C688" s="42" t="n"/>
    </x:row>
    <x:row r="689" s="1" customFormat="1" ht="20" customHeight="1">
      <x:c r="A689" s="40" t="n">
        <x:v>46169</x:v>
      </x:c>
      <x:c r="B689" s="41" t="n">
        <x:v>2.1666</x:v>
      </x:c>
      <x:c r="C689" s="42" t="n">
        <x:v>-0.0005999999999999999</x:v>
      </x:c>
    </x:row>
    <x:row r="690" s="1" customFormat="1" ht="20" customHeight="1">
      <x:c r="A690" s="40" t="n">
        <x:v>46170</x:v>
      </x:c>
      <x:c r="B690" s="41" t="n">
        <x:v>2.1904</x:v>
      </x:c>
      <x:c r="C690" s="42" t="n">
        <x:v>0.011</x:v>
      </x:c>
    </x:row>
    <x:row r="691" s="1" customFormat="1" ht="20" customHeight="1">
      <x:c r="A691" s="40" t="n">
        <x:v>46171</x:v>
      </x:c>
      <x:c r="B691" s="41" t="n">
        <x:v>2.2103</x:v>
      </x:c>
      <x:c r="C691" s="42" t="n">
        <x:v>0.0091</x:v>
      </x:c>
    </x:row>
    <x:row r="692" s="1" customFormat="1" ht="20" customHeight="1">
      <x:c r="A692" s="40" t="n">
        <x:v>46174</x:v>
      </x:c>
      <x:c r="B692" s="41" t="n">
        <x:v>2.2432</x:v>
      </x:c>
      <x:c r="C692" s="42" t="n">
        <x:v>0.0149</x:v>
      </x:c>
    </x:row>
    <x:row r="693" s="1" customFormat="1" ht="20" customHeight="1">
      <x:c r="A693" s="40" t="n">
        <x:v>46175</x:v>
      </x:c>
      <x:c r="B693" s="41" t="n">
        <x:v>2.269</x:v>
      </x:c>
      <x:c r="C693" s="42" t="n">
        <x:v>0.0115</x:v>
      </x:c>
    </x:row>
    <x:row r="694" s="1" customFormat="1" ht="20" customHeight="1">
      <x:c r="A694" s="40" t="n">
        <x:v>46176</x:v>
      </x:c>
      <x:c r="B694" s="41" t="n">
        <x:v>2.2607</x:v>
      </x:c>
      <x:c r="C694" s="42" t="n">
        <x:v>-0.0037</x:v>
      </x:c>
    </x:row>
    <x:row r="695" s="1" customFormat="1" ht="20" customHeight="1">
      <x:c r="A695" s="40" t="n">
        <x:v>46177</x:v>
      </x:c>
      <x:c r="B695" s="41" t="n">
        <x:v>2.2377</x:v>
      </x:c>
      <x:c r="C695" s="42" t="n">
        <x:v>-0.0102</x:v>
      </x:c>
    </x:row>
    <x:row r="696" s="1" customFormat="1" ht="20" customHeight="1">
      <x:c r="A696" s="40" t="n">
        <x:v>46178</x:v>
      </x:c>
      <x:c r="B696" s="41" t="n">
        <x:v>2.1068</x:v>
      </x:c>
      <x:c r="C696" s="42" t="n">
        <x:v>-0.0585</x:v>
      </x:c>
    </x:row>
    <x:row r="697" s="1" customFormat="1" ht="20" customHeight="1">
      <x:c r="A697" s="40" t="n">
        <x:v>46181</x:v>
      </x:c>
      <x:c r="B697" s="41" t="n">
        <x:v>2.1512</x:v>
      </x:c>
      <x:c r="C697" s="42" t="n">
        <x:v>0.0211</x:v>
      </x:c>
    </x:row>
    <x:row r="698" s="1" customFormat="1" ht="20" customHeight="1">
      <x:c r="A698" s="40" t="n">
        <x:v>46182</x:v>
      </x:c>
      <x:c r="B698" s="41" t="n">
        <x:v>2.1201</x:v>
      </x:c>
      <x:c r="C698" s="42" t="n">
        <x:v>-0.0145</x:v>
      </x:c>
    </x:row>
    <x:row r="699" s="1" customFormat="1" ht="20" customHeight="1">
      <x:c r="A699" s="40" t="n">
        <x:v>46183</x:v>
      </x:c>
      <x:c r="B699" s="41" t="n">
        <x:v>2.0705</x:v>
      </x:c>
      <x:c r="C699" s="42" t="n">
        <x:v>-0.0234</x:v>
      </x:c>
    </x:row>
    <x:row r="700" s="1" customFormat="1" ht="20" customHeight="1">
      <x:c r="A700" s="40" t="n">
        <x:v>46184</x:v>
      </x:c>
      <x:c r="B700" s="41" t="n">
        <x:v>2.1473</x:v>
      </x:c>
      <x:c r="C700" s="42" t="n">
        <x:v>0.0371</x:v>
      </x:c>
    </x:row>
    <x:row r="701" s="1" customFormat="1" ht="20" customHeight="1">
      <x:c r="A701" s="40" t="n">
        <x:v>46185</x:v>
      </x:c>
      <x:c r="B701" s="41" t="n">
        <x:v>2.1695</x:v>
      </x:c>
      <x:c r="C701" s="42" t="n">
        <x:v>0.0103</x:v>
      </x:c>
    </x:row>
    <x:row r="702" s="1" customFormat="1" ht="20" customHeight="1">
      <x:c r="A702" s="40" t="n">
        <x:v>46188</x:v>
      </x:c>
      <x:c r="B702" s="41" t="n">
        <x:v>2.2499</x:v>
      </x:c>
      <x:c r="C702" s="42" t="n">
        <x:v>0.0371</x:v>
      </x:c>
    </x:row>
    <x:row r="703" s="1" customFormat="1" ht="20" customHeight="1">
      <x:c r="A703" s="40" t="n">
        <x:v>46189</x:v>
      </x:c>
      <x:c r="B703" s="41" t="n">
        <x:v>2.192</x:v>
      </x:c>
      <x:c r="C703" s="42" t="n">
        <x:v>-0.0257</x:v>
      </x:c>
    </x:row>
    <x:row r="704" s="1" customFormat="1" ht="20" customHeight="1">
      <x:c r="A704" s="40" t="n">
        <x:v>46190</x:v>
      </x:c>
      <x:c r="B704" s="41" t="n">
        <x:v>2.1901</x:v>
      </x:c>
      <x:c r="C704" s="42" t="n">
        <x:v>-0.0009</x:v>
      </x:c>
    </x:row>
    <x:row r="705" s="1" customFormat="1" ht="20" customHeight="1">
      <x:c r="A705" s="40" t="n">
        <x:v>46191</x:v>
      </x:c>
      <x:c r="B705" s="41" t="n">
        <x:v>2.2641</x:v>
      </x:c>
      <x:c r="C705" s="42" t="n">
        <x:v>0.0338</x:v>
      </x:c>
    </x:row>
    <x:row r="706" s="1" customFormat="1" ht="20" customHeight="1">
      <x:c r="A706" s="40" t="n">
        <x:v>46195</x:v>
      </x:c>
      <x:c r="B706" s="41" t="n">
        <x:v>2.2624</x:v>
      </x:c>
      <x:c r="C706" s="42" t="n">
        <x:v>-0.0008</x:v>
      </x:c>
    </x:row>
    <x:row r="707" s="1" customFormat="1" ht="20" customHeight="1">
      <x:c r="A707" s="40" t="n">
        <x:v>46196</x:v>
      </x:c>
      <x:c r="B707" s="41" t="n">
        <x:v>2.1623</x:v>
      </x:c>
      <x:c r="C707" s="42" t="n">
        <x:v>-0.0442</x:v>
      </x:c>
    </x:row>
    <x:row r="708" s="1" customFormat="1" ht="20" customHeight="1">
      <x:c r="A708" s="40" t="n">
        <x:v>46197</x:v>
      </x:c>
      <x:c r="B708" s="41" t="n">
        <x:v>2.1532</x:v>
      </x:c>
      <x:c r="C708" s="42" t="n">
        <x:v>-0.0042</x:v>
      </x:c>
    </x:row>
    <x:row r="709" s="1" customFormat="1" ht="20" customHeight="1">
      <x:c r="A709" s="40" t="n">
        <x:v>46198</x:v>
      </x:c>
      <x:c r="B709" s="41" t="n">
        <x:v>2.1769</x:v>
      </x:c>
      <x:c r="C709" s="42" t="n">
        <x:v>0.011</x:v>
      </x:c>
    </x:row>
    <x:row r="710" s="1" customFormat="1" ht="20" customHeight="1">
      <x:c r="A710" s="40" t="n">
        <x:v>46199</x:v>
      </x:c>
      <x:c r="B710" s="41" t="n">
        <x:v>2.1328</x:v>
      </x:c>
      <x:c r="C710" s="42" t="n">
        <x:v>-0.0203</x:v>
      </x:c>
    </x:row>
    <x:row r="711" s="1" customFormat="1" ht="20" customHeight="1">
      <x:c r="A711" s="40" t="n">
        <x:v>46202</x:v>
      </x:c>
      <x:c r="B711" s="41" t="n">
        <x:v>2.1904</x:v>
      </x:c>
      <x:c r="C711" s="42" t="n">
        <x:v>0.027</x:v>
      </x:c>
    </x:row>
    <x:row r="712" s="1" customFormat="1" ht="20" customHeight="1">
      <x:c r="A712" s="40" t="n">
        <x:v>46203</x:v>
      </x:c>
      <x:c r="B712" s="41" t="n">
        <x:v>2.2478</x:v>
      </x:c>
      <x:c r="C712" s="42" t="n">
        <x:v>0.0262</x:v>
      </x:c>
    </x:row>
    <x:row r="713" s="1" customFormat="1" ht="20" customHeight="1">
      <x:c r="A713" s="40" t="n">
        <x:v>46205</x:v>
      </x:c>
      <x:c r="B713" s="41" t="n">
        <x:v>2.1161</x:v>
      </x:c>
      <x:c r="C713" s="42" t="n"/>
    </x:row>
    <x:row r="714" s="1" customFormat="1" ht="20" customHeight="1">
      <x:c r="A714" s="40" t="n">
        <x:v>46209</x:v>
      </x:c>
      <x:c r="B714" s="41" t="n">
        <x:v>2.1564</x:v>
      </x:c>
      <x:c r="C714" s="42" t="n"/>
    </x:row>
    <x:row r="715" s="1" customFormat="1" ht="20" customHeight="1">
      <x:c r="A715" s="40" t="n">
        <x:v>46210</x:v>
      </x:c>
      <x:c r="B715" s="41" t="n">
        <x:v>2.1012</x:v>
      </x:c>
      <x:c r="C715" s="42" t="n">
        <x:v>-0.0256</x:v>
      </x:c>
    </x:row>
    <x:row r="716" s="1" customFormat="1" ht="20" customHeight="1">
      <x:c r="A716" s="40" t="n">
        <x:v>46211</x:v>
      </x:c>
      <x:c r="B716" s="41" t="n">
        <x:v>2.1239</x:v>
      </x:c>
      <x:c r="C716" s="42" t="n">
        <x:v>0.0108</x:v>
      </x:c>
    </x:row>
    <x:row r="717" s="1" customFormat="1" ht="20" customHeight="1">
      <x:c r="A717" s="40" t="n">
        <x:v>46212</x:v>
      </x:c>
      <x:c r="B717" s="41" t="n">
        <x:v>2.1659</x:v>
      </x:c>
      <x:c r="C717" s="42" t="n">
        <x:v>0.0198</x:v>
      </x:c>
    </x:row>
    <x:row r="718" s="1" customFormat="1" ht="20" customHeight="1">
      <x:c r="A718" s="40" t="n">
        <x:v>46213</x:v>
      </x:c>
      <x:c r="B718" s="41" t="n">
        <x:v>2.1705</x:v>
      </x:c>
      <x:c r="C718" s="42" t="n">
        <x:v>0.0021</x:v>
      </x:c>
    </x:row>
    <x:row r="719" s="1" customFormat="1" ht="20" customHeight="1">
      <x:c r="A719" s="40" t="n">
        <x:v>46216</x:v>
      </x:c>
      <x:c r="B719" s="41" t="n">
        <x:v>2.1103</x:v>
      </x:c>
      <x:c r="C719" s="42" t="n">
        <x:v>-0.0277</x:v>
      </x:c>
    </x:row>
    <x:row r="720" s="1" customFormat="1" ht="20" customHeight="1">
      <x:c r="A720" s="40" t="n">
        <x:v>46217</x:v>
      </x:c>
      <x:c r="B720" s="41" t="n">
        <x:v>2.1406</x:v>
      </x:c>
      <x:c r="C720" s="42" t="n">
        <x:v>0.0144</x:v>
      </x:c>
    </x:row>
    <x:row r="721" s="1" customFormat="1" ht="20" customHeight="1">
      <x:c r="A721" s="40" t="n">
        <x:v>46218</x:v>
      </x:c>
      <x:c r="B721" s="41" t="n">
        <x:v>2.1242</x:v>
      </x:c>
      <x:c r="C721" s="42" t="n">
        <x:v>-0.0077</x:v>
      </x:c>
    </x:row>
    <x:row r="722" s="1" customFormat="1" ht="20" customHeight="1">
      <x:c r="A722" s="40" t="n">
        <x:v>46219</x:v>
      </x:c>
      <x:c r="B722" s="41" t="n">
        <x:v>2.0622</x:v>
      </x:c>
      <x:c r="C722" s="42" t="n">
        <x:v>-0.0292</x:v>
      </x:c>
    </x:row>
    <x:row r="723" s="1" customFormat="1" ht="20" customHeight="1">
      <x:c r="A723" s="40" t="n">
        <x:v>46220</x:v>
      </x:c>
      <x:c r="B723" s="41" t="n">
        <x:v>2.0333</x:v>
      </x:c>
      <x:c r="C723" s="42" t="n">
        <x:v>-0.014</x:v>
      </x:c>
    </x:row>
    <x:row r="724" s="1" customFormat="1" ht="20" customHeight="1">
      <x:c r="A724" s="40" t="n">
        <x:v>46223</x:v>
      </x:c>
      <x:c r="B724" s="41" t="n">
        <x:v>2.0455</x:v>
      </x:c>
      <x:c r="C724" s="42" t="n">
        <x:v>0.006</x:v>
      </x:c>
    </x:row>
    <x:row r="725" s="1" customFormat="1" ht="20" customHeight="1">
      <x:c r="A725" s="40" t="n">
        <x:v>46224</x:v>
      </x:c>
      <x:c r="B725" s="41" t="n">
        <x:v>2.1115</x:v>
      </x:c>
      <x:c r="C725" s="42" t="n">
        <x:v>0.0323</x:v>
      </x:c>
    </x:row>
    <x:row r="726" s="1" customFormat="1" ht="20" customHeight="1">
      <x:c r="A726" s="40" t="n">
        <x:v>46225</x:v>
      </x:c>
      <x:c r="B726" s="41" t="n">
        <x:v>2.1055</x:v>
      </x:c>
      <x:c r="C726" s="42" t="n">
        <x:v>-0.0028</x:v>
      </x:c>
    </x:row>
    <x:row r="727" s="1" customFormat="1" ht="20" customHeight="1">
      <x:c r="A727" s="40" t="n">
        <x:v>46226</x:v>
      </x:c>
      <x:c r="B727" s="41" t="n">
        <x:v>2.0685</x:v>
      </x:c>
      <x:c r="C727" s="42" t="n">
        <x:v>-0.0176</x:v>
      </x:c>
    </x:row>
    <x:row r="728" s="1" customFormat="1" ht="20" customHeight="1">
      <x:c r="A728" s="40" t="n">
        <x:v>46227</x:v>
      </x:c>
      <x:c r="B728" s="41" t="n">
        <x:v>2.0221</x:v>
      </x:c>
      <x:c r="C728" s="42" t="n">
        <x:v>-0.0224</x:v>
      </x:c>
    </x:row>
    <x:row r="729" s="1" customFormat="1" ht="20" customHeight="1">
      <x:c r="A729" s="40" t="n">
        <x:v>46230</x:v>
      </x:c>
      <x:c r="B729" s="41" t="n">
        <x:v>1.9978</x:v>
      </x:c>
      <x:c r="C729" s="42" t="n">
        <x:v>-0.012</x:v>
      </x:c>
    </x:row>
    <x:row r="730" s="1" customFormat="1" ht="20" customHeight="1">
      <x:c r="A730" s="40" t="n">
        <x:v>46231</x:v>
      </x:c>
      <x:c r="B730" s="41" t="n">
        <x:v>1.9563</x:v>
      </x:c>
      <x:c r="C730" s="42" t="n">
        <x:v>-0.0208</x:v>
      </x:c>
    </x:row>
    <x:row r="731" s="1" customFormat="1" ht="20" customHeight="1">
      <x:c r="A731" s="40" t="n">
        <x:v>46232</x:v>
      </x:c>
      <x:c r="B731" s="41" t="n">
        <x:v>1.9014</x:v>
      </x:c>
      <x:c r="C731" s="42" t="n">
        <x:v>-0.0281</x:v>
      </x:c>
    </x:row>
    <x:row r="732" s="1" customFormat="1" ht="20" customHeight="1">
      <x:c r="A732" s="40" t="n">
        <x:v>46233</x:v>
      </x:c>
      <x:c r="B732" s="41" t="n">
        <x:v>1.9998</x:v>
      </x:c>
      <x:c r="C732" s="42" t="n">
        <x:v>0.0518</x:v>
      </x:c>
    </x:row>
    <x:row r="733" s="1" customFormat="1" ht="20" customHeight="1">
      <x:c r="A733" s="40" t="n">
        <x:v>46234</x:v>
      </x:c>
      <x:c r="B733" s="41" t="n">
        <x:v>2.0195</x:v>
      </x:c>
      <x:c r="C733" s="42" t="n">
        <x:v>0.009900000000000001</x:v>
      </x:c>
    </x:row>
    <x:row r="734" s="1" customFormat="1" ht="20" customHeight="1">
      <x:c r="A734" s="40" t="n">
        <x:v>46237</x:v>
      </x:c>
      <x:c r="B734" s="41" t="n">
        <x:v>2.0673</x:v>
      </x:c>
      <x:c r="C734" s="42" t="n">
        <x:v>0.0237</x:v>
      </x:c>
    </x:row>
    <x:row r="735" s="1" customFormat="1" ht="20" customHeight="1">
      <x:c r="A735" s="40" t="n">
        <x:v>46238</x:v>
      </x:c>
      <x:c r="B735" s="41" t="n">
        <x:v>2.1485</x:v>
      </x:c>
      <x:c r="C735" s="42" t="n">
        <x:v>0.0393</x:v>
      </x:c>
    </x:row>
    <x:row r="736" s="1" customFormat="1" ht="20" customHeight="1">
      <x:c r="A736" s="40" t="n">
        <x:v>46239</x:v>
      </x:c>
      <x:c r="B736" s="41" t="n">
        <x:v>2.1225</x:v>
      </x:c>
      <x:c r="C736" s="42" t="n">
        <x:v>-0.0121</x:v>
      </x:c>
    </x:row>
    <x:row r="737" s="1" customFormat="1" ht="20" customHeight="1">
      <x:c r="A737" s="40" t="n">
        <x:v>46240</x:v>
      </x:c>
      <x:c r="B737" s="41" t="n">
        <x:v>2.1148</x:v>
      </x:c>
      <x:c r="C737" s="42" t="n">
        <x:v>-0.0036</x:v>
      </x:c>
    </x:row>
    <x:row r="738" s="1" customFormat="1" ht="20" customHeight="1">
      <x:c r="A738" s="40" t="n">
        <x:v>46241</x:v>
      </x:c>
      <x:c r="B738" s="41" t="n">
        <x:v>2.1346</x:v>
      </x:c>
      <x:c r="C738" s="42" t="n">
        <x:v>0.0094</x:v>
      </x:c>
    </x:row>
    <x:row r="739" s="1" customFormat="1" ht="20" customHeight="1">
      <x:c r="A739" s="40" t="n">
        <x:v>46244</x:v>
      </x:c>
      <x:c r="B739" s="41" t="n">
        <x:v>2.1147</x:v>
      </x:c>
      <x:c r="C739" s="42" t="n">
        <x:v>-0.009299999999999999</x:v>
      </x:c>
    </x:row>
    <x:row r="740" s="1" customFormat="1" ht="20" customHeight="1">
      <x:c r="A740" s="40" t="n">
        <x:v>46245</x:v>
      </x:c>
      <x:c r="B740" s="41" t="n">
        <x:v>2.106</x:v>
      </x:c>
      <x:c r="C740" s="42" t="n">
        <x:v>-0.0041</x:v>
      </x:c>
    </x:row>
    <x:row r="741" s="1" customFormat="1" ht="20" customHeight="1">
      <x:c r="A741" s="40" t="n">
        <x:v>46246</x:v>
      </x:c>
      <x:c r="B741" s="41" t="n">
        <x:v>2.1292</x:v>
      </x:c>
      <x:c r="C741" s="42" t="n">
        <x:v>0.011</x:v>
      </x:c>
    </x:row>
    <x:row r="742" s="1" customFormat="1" ht="20" customHeight="1">
      <x:c r="A742" s="40" t="n">
        <x:v>46247</x:v>
      </x:c>
      <x:c r="B742" s="41" t="n">
        <x:v>2.1553</x:v>
      </x:c>
      <x:c r="C742" s="42" t="n">
        <x:v>0.0123</x:v>
      </x:c>
    </x:row>
    <x:row r="743" s="1" customFormat="1" ht="20" customHeight="1">
      <x:c r="A743" s="40" t="n">
        <x:v>46248</x:v>
      </x:c>
      <x:c r="B743" s="41" t="n">
        <x:v>2.153</x:v>
      </x:c>
      <x:c r="C743" s="42" t="n">
        <x:v>-0.0011</x:v>
      </x:c>
    </x:row>
    <x:row r="744" s="1" customFormat="1" ht="20" customHeight="1">
      <x:c r="A744" s="40" t="n">
        <x:v>46251</x:v>
      </x:c>
      <x:c r="B744" s="41" t="n">
        <x:v>2.161</x:v>
      </x:c>
      <x:c r="C744" s="42" t="n">
        <x:v>0.0037</x:v>
      </x:c>
    </x:row>
    <x:row r="745" s="1" customFormat="1" ht="20" customHeight="1">
      <x:c r="A745" s="40" t="n">
        <x:v>46252</x:v>
      </x:c>
      <x:c r="B745" s="41" t="n">
        <x:v>2.1045</x:v>
      </x:c>
      <x:c r="C745" s="42" t="n">
        <x:v>-0.0261</x:v>
      </x:c>
    </x:row>
    <x:row r="746" s="1" customFormat="1" ht="20" customHeight="1">
      <x:c r="A746" s="40" t="n">
        <x:v>46253</x:v>
      </x:c>
      <x:c r="B746" s="41" t="n">
        <x:v>2.0875</x:v>
      </x:c>
      <x:c r="C746" s="42" t="n">
        <x:v>-0.0081</x:v>
      </x:c>
    </x:row>
    <x:row r="747" s="1" customFormat="1" ht="20" customHeight="1">
      <x:c r="A747" s="40" t="n">
        <x:v>46254</x:v>
      </x:c>
      <x:c r="B747" s="41" t="n">
        <x:v>2.0839</x:v>
      </x:c>
      <x:c r="C747" s="42" t="n">
        <x:v>-0.0017</x:v>
      </x:c>
    </x:row>
    <x:row r="748" s="1" customFormat="1" ht="20" customHeight="1">
      <x:c r="A748" s="40" t="n">
        <x:v>46255</x:v>
      </x:c>
      <x:c r="B748" s="41" t="n">
        <x:v>2.0832</x:v>
      </x:c>
      <x:c r="C748" s="42" t="n">
        <x:v>-0.0003</x:v>
      </x:c>
    </x:row>
    <x:row r="749" s="1" customFormat="1" ht="20" customHeight="1">
      <x:c r="A749" s="40" t="n">
        <x:v>46258</x:v>
      </x:c>
      <x:c r="B749" s="41" t="n">
        <x:v>2.0513</x:v>
      </x:c>
      <x:c r="C749" s="42" t="n">
        <x:v>-0.0153</x:v>
      </x:c>
    </x:row>
    <x:row r="750" s="1" customFormat="1" ht="20" customHeight="1">
      <x:c r="A750" s="40" t="n">
        <x:v>46259</x:v>
      </x:c>
      <x:c r="B750" s="41" t="n">
        <x:v>2.0729</x:v>
      </x:c>
      <x:c r="C750" s="42" t="n">
        <x:v>0.0105</x:v>
      </x:c>
    </x:row>
    <x:row r="751" s="1" customFormat="1" ht="20" customHeight="1">
      <x:c r="A751" s="40" t="n">
        <x:v>46260</x:v>
      </x:c>
      <x:c r="B751" s="41" t="n">
        <x:v>2.079</x:v>
      </x:c>
      <x:c r="C751" s="42" t="n">
        <x:v>0.0029</x:v>
      </x:c>
    </x:row>
    <x:row r="752" s="1" customFormat="1" ht="20" customHeight="1">
      <x:c r="A752" s="40" t="n">
        <x:v>46261</x:v>
      </x:c>
      <x:c r="B752" s="41" t="n">
        <x:v>2.1094</x:v>
      </x:c>
      <x:c r="C752" s="42" t="n">
        <x:v>0.0146</x:v>
      </x:c>
    </x:row>
    <x:row r="753" s="1" customFormat="1" ht="20" customHeight="1">
      <x:c r="A753" s="40" t="n">
        <x:v>46262</x:v>
      </x:c>
      <x:c r="B753" s="41" t="n">
        <x:v>2.0893</x:v>
      </x:c>
      <x:c r="C753" s="42" t="n">
        <x:v>-0.0095</x:v>
      </x:c>
    </x:row>
    <x:row r="754" s="1" customFormat="1" ht="20" customHeight="1">
      <x:c r="A754" s="40" t="n">
        <x:v>46265</x:v>
      </x:c>
      <x:c r="B754" s="41" t="n">
        <x:v>2.0931</x:v>
      </x:c>
      <x:c r="C754" s="42" t="n">
        <x:v>0.0018</x:v>
      </x:c>
    </x:row>
    <x:row r="755" s="1" customFormat="1" ht="20" customHeight="1">
      <x:c r="A755" s="40" t="n">
        <x:v>46266</x:v>
      </x:c>
      <x:c r="B755" s="41" t="n">
        <x:v>2.0701</x:v>
      </x:c>
      <x:c r="C755" s="42" t="n">
        <x:v>-0.011</x:v>
      </x:c>
    </x:row>
    <x:row r="756" s="1" customFormat="1" ht="20" customHeight="1">
      <x:c r="A756" s="40" t="n">
        <x:v>46267</x:v>
      </x:c>
      <x:c r="B756" s="41" t="n">
        <x:v>2.0795</x:v>
      </x:c>
      <x:c r="C756" s="42" t="n">
        <x:v>0.0045</x:v>
      </x:c>
    </x:row>
    <x:row r="757" s="1" customFormat="1" ht="20" customHeight="1">
      <x:c r="A757" s="40" t="n">
        <x:v>46268</x:v>
      </x:c>
      <x:c r="B757" s="41" t="n">
        <x:v>2.1016</x:v>
      </x:c>
      <x:c r="C757" s="42" t="n">
        <x:v>0.0106</x:v>
      </x:c>
    </x:row>
    <x:row r="758" s="1" customFormat="1" ht="20" customHeight="1">
      <x:c r="A758" s="40" t="n">
        <x:v>46269</x:v>
      </x:c>
      <x:c r="B758" s="41" t="n">
        <x:v>2.1274</x:v>
      </x:c>
      <x:c r="C758" s="42" t="n">
        <x:v>0.0123</x:v>
      </x:c>
    </x:row>
    <x:row r="759" s="1" customFormat="1" ht="20" customHeight="1">
      <x:c r="A759" s="40" t="n">
        <x:v>46273</x:v>
      </x:c>
      <x:c r="B759" s="41" t="n">
        <x:v>2.1395</x:v>
      </x:c>
      <x:c r="C759" s="42" t="n"/>
    </x:row>
    <x:row r="760" s="1" customFormat="1" ht="20" customHeight="1">
      <x:c r="A760" s="40" t="n">
        <x:v>46274</x:v>
      </x:c>
      <x:c r="B760" s="41" t="n">
        <x:v>2.1442</x:v>
      </x:c>
      <x:c r="C760" s="42" t="n">
        <x:v>0.0022</x:v>
      </x:c>
    </x:row>
    <x:row r="761" s="1" customFormat="1" ht="20" customHeight="1">
      <x:c r="A761" s="40" t="n">
        <x:v>46275</x:v>
      </x:c>
      <x:c r="B761" s="41" t="n">
        <x:v>2.1122</x:v>
      </x:c>
      <x:c r="C761" s="42" t="n">
        <x:v>-0.0149</x:v>
      </x:c>
    </x:row>
    <x:row r="762" s="1" customFormat="1" ht="20" customHeight="1">
      <x:c r="A762" s="40" t="n">
        <x:v>46276</x:v>
      </x:c>
      <x:c r="B762" s="41" t="n">
        <x:v>2.1361</x:v>
      </x:c>
      <x:c r="C762" s="42" t="n">
        <x:v>0.0113</x:v>
      </x:c>
    </x:row>
    <x:row r="763" s="1" customFormat="1" ht="20" customHeight="1">
      <x:c r="A763" s="40" t="n">
        <x:v>46279</x:v>
      </x:c>
      <x:c r="B763" s="41" t="n">
        <x:v>2.0905</x:v>
      </x:c>
      <x:c r="C763" s="42" t="n">
        <x:v>-0.0213</x:v>
      </x:c>
    </x:row>
    <x:row r="764" s="1" customFormat="1" ht="20" customHeight="1">
      <x:c r="A764" s="40" t="n">
        <x:v>46280</x:v>
      </x:c>
      <x:c r="B764" s="41" t="n">
        <x:v>2.0845</x:v>
      </x:c>
      <x:c r="C764" s="42" t="n">
        <x:v>-0.0029</x:v>
      </x:c>
    </x:row>
    <x:row r="765" s="1" customFormat="1" ht="20" customHeight="1">
      <x:c r="A765" s="40" t="n">
        <x:v>46281</x:v>
      </x:c>
      <x:c r="B765" s="41" t="n">
        <x:v>2.0954</x:v>
      </x:c>
      <x:c r="C765" s="42" t="n">
        <x:v>0.0052</x:v>
      </x:c>
    </x:row>
    <x:row r="766" s="1" customFormat="1" ht="20" customHeight="1">
      <x:c r="A766" s="40" t="n">
        <x:v>46282</x:v>
      </x:c>
      <x:c r="B766" s="41" t="n">
        <x:v>2.1467</x:v>
      </x:c>
      <x:c r="C766" s="42" t="n">
        <x:v>0.0245</x:v>
      </x:c>
    </x:row>
    <x:row r="767" s="1" customFormat="1" ht="20" customHeight="1">
      <x:c r="A767" s="40" t="n">
        <x:v>46283</x:v>
      </x:c>
      <x:c r="B767" s="41" t="n">
        <x:v>2.1662</x:v>
      </x:c>
      <x:c r="C767" s="42" t="n">
        <x:v>0.0091</x:v>
      </x:c>
    </x:row>
    <x:row r="768" s="1" customFormat="1" ht="20" customHeight="1">
      <x:c r="A768" s="40" t="n">
        <x:v>46286</x:v>
      </x:c>
      <x:c r="B768" s="41" t="n">
        <x:v>2.2381</x:v>
      </x:c>
      <x:c r="C768" s="42" t="n">
        <x:v>0.0332</x:v>
      </x:c>
    </x:row>
    <x:row r="769" s="1" customFormat="1" ht="20" customHeight="1">
      <x:c r="A769" s="40" t="n">
        <x:v>46287</x:v>
      </x:c>
      <x:c r="B769" s="41" t="n">
        <x:v>2.2543</x:v>
      </x:c>
      <x:c r="C769" s="42" t="n">
        <x:v>0.0072</x:v>
      </x:c>
    </x:row>
    <x:row r="770" s="1" customFormat="1" ht="20" customHeight="1">
      <x:c r="A770" s="40" t="n">
        <x:v>46288</x:v>
      </x:c>
      <x:c r="B770" s="41" t="n">
        <x:v>2.234</x:v>
      </x:c>
      <x:c r="C770" s="42" t="n">
        <x:v>-0.008999999999999999</x:v>
      </x:c>
    </x:row>
    <x:row r="771" s="1" customFormat="1" ht="20" customHeight="1">
      <x:c r="A771" s="40" t="n">
        <x:v>46289</x:v>
      </x:c>
      <x:c r="B771" s="41" t="n">
        <x:v>2.2386</x:v>
      </x:c>
      <x:c r="C771" s="42" t="n">
        <x:v>0.0021</x:v>
      </x:c>
    </x:row>
    <x:row r="772" s="1" customFormat="1" ht="20" customHeight="1">
      <x:c r="A772" s="40" t="n">
        <x:v>46293</x:v>
      </x:c>
      <x:c r="B772" s="41" t="n">
        <x:v>2.2048</x:v>
      </x:c>
      <x:c r="C772" s="42" t="n">
        <x:v>-0.0151</x:v>
      </x:c>
    </x:row>
    <x:row r="773" s="1" customFormat="1" ht="20" customHeight="1">
      <x:c r="A773" s="40" t="n">
        <x:v>46294</x:v>
      </x:c>
      <x:c r="B773" s="41" t="n">
        <x:v>2.2132</x:v>
      </x:c>
      <x:c r="C773" s="42" t="n">
        <x:v>0.0038</x:v>
      </x:c>
    </x:row>
    <x:row r="774" s="1" customFormat="1" ht="20" customHeight="1">
      <x:c r="A774" s="40" t="n">
        <x:v>46295</x:v>
      </x:c>
      <x:c r="B774" s="41" t="n">
        <x:v>2.2194</x:v>
      </x:c>
      <x:c r="C774" s="42" t="n">
        <x:v>0.0028</x:v>
      </x:c>
    </x:row>
    <x:row r="775" s="1" customFormat="1" ht="20" customHeight="1">
      <x:c r="A775" s="40" t="n">
        <x:v>46303</x:v>
      </x:c>
      <x:c r="B775" s="41" t="n">
        <x:v>2.2162</x:v>
      </x:c>
      <x:c r="C775" s="42" t="n">
        <x:v>-0.0014</x:v>
      </x:c>
    </x:row>
    <x:row r="776" s="1" customFormat="1" ht="20" customHeight="1">
      <x:c r="A776" s="40" t="n">
        <x:v>46304</x:v>
      </x:c>
      <x:c r="B776" s="41" t="n">
        <x:v>2.2228</x:v>
      </x:c>
      <x:c r="C776" s="42" t="n">
        <x:v>0.003</x:v>
      </x:c>
    </x:row>
    <x:row r="777" s="1" customFormat="1" ht="20" customHeight="1">
      <x:c r="A777" s="40" t="n">
        <x:v>46307</x:v>
      </x:c>
      <x:c r="B777" s="41" t="n">
        <x:v>2.1957</x:v>
      </x:c>
      <x:c r="C777" s="42" t="n">
        <x:v>-0.0122</x:v>
      </x:c>
    </x:row>
    <x:row r="778" s="1" customFormat="1" ht="20" customHeight="1">
      <x:c r="A778" s="40" t="n">
        <x:v>46308</x:v>
      </x:c>
      <x:c r="B778" s="41" t="n">
        <x:v>2.1949</x:v>
      </x:c>
      <x:c r="C778" s="42" t="n">
        <x:v>-0.0004</x:v>
      </x:c>
    </x:row>
    <x:row r="779" s="1" customFormat="1" ht="20" customHeight="1">
      <x:c r="A779" s="40" t="n">
        <x:v>46309</x:v>
      </x:c>
      <x:c r="B779" s="41" t="n">
        <x:v>2.1292</x:v>
      </x:c>
      <x:c r="C779" s="42" t="n">
        <x:v>-0.0299</x:v>
      </x:c>
    </x:row>
    <x:row r="780" s="1" customFormat="1" ht="20" customHeight="1">
      <x:c r="A780" s="40" t="n">
        <x:v>46310</x:v>
      </x:c>
      <x:c r="B780" s="41" t="n">
        <x:v>2.1134</x:v>
      </x:c>
      <x:c r="C780" s="42" t="n">
        <x:v>-0.0074</x:v>
      </x:c>
    </x:row>
    <x:row r="781" s="1" customFormat="1" ht="20" customHeight="1">
      <x:c r="A781" s="40" t="n">
        <x:v>46311</x:v>
      </x:c>
      <x:c r="B781" s="41" t="n">
        <x:v>2.0547</x:v>
      </x:c>
      <x:c r="C781" s="42" t="n">
        <x:v>-0.0278</x:v>
      </x:c>
    </x:row>
    <x:row r="782" s="1" customFormat="1" ht="20" customHeight="1">
      <x:c r="A782" s="40" t="n">
        <x:v>46315</x:v>
      </x:c>
      <x:c r="B782" s="41" t="n">
        <x:v>2.0744</x:v>
      </x:c>
      <x:c r="C782" s="42" t="n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4.25"/>
  <x:cols>
    <x:col min="1" max="1" width="16" style="1" customWidth="1"/>
    <x:col min="2" max="2" width="72" style="1" customWidth="1"/>
  </x:cols>
  <x:sheetData>
    <x:row r="1" s="1" customFormat="1" ht="15" customHeight="1">
      <x:c r="A1" s="2" t="inlineStr">
        <x:is>
          <x:t xml:space="preserve">参数</x:t>
        </x:is>
      </x:c>
      <x:c r="B1" s="2" t="inlineStr">
        <x:is>
          <x:t xml:space="preserve">值</x:t>
        </x:is>
      </x:c>
    </x:row>
    <x:row r="2">
      <x:c r="A2" t="inlineStr">
        <x:is>
          <x:t xml:space="preserve">基金代码</x:t>
        </x:is>
      </x:c>
      <x:c r="B2" s="3" t="inlineStr">
        <x:is>
          <x:t xml:space="preserve">016701</x:t>
        </x:is>
      </x:c>
    </x:row>
    <x:row r="3">
      <x:c r="A3" t="inlineStr">
        <x:is>
          <x:t xml:space="preserve">基金名称</x:t>
        </x:is>
      </x:c>
      <x:c r="B3" s="3" t="inlineStr">
        <x:is>
          <x:t xml:space="preserve">银华海外数字经济量化选股混合发起式（QDII）A</x:t>
        </x:is>
      </x:c>
    </x:row>
    <x:row r="4">
      <x:c r="A4" t="inlineStr">
        <x:is>
          <x:t xml:space="preserve">申购费率</x:t>
        </x:is>
      </x:c>
      <x:c r="B4" s="43" t="n">
        <x:v>0.0015</x:v>
      </x:c>
    </x:row>
    <x:row r="5">
      <x:c r="A5" t="inlineStr">
        <x:is>
          <x:t xml:space="preserve">确认净值</x:t>
        </x:is>
      </x:c>
      <x:c r="B5" s="3" t="inlineStr">
        <x:is>
          <x:t xml:space="preserve">按成交日期从「全部历史净值」精确匹配</x:t>
        </x:is>
      </x:c>
    </x:row>
    <x:row r="6">
      <x:c r="A6" t="inlineStr">
        <x:is>
          <x:t xml:space="preserve">份额规则</x:t>
        </x:is>
      </x:c>
      <x:c r="B6" s="3" t="inlineStr">
        <x:is>
          <x:t xml:space="preserve">买入/转入=(金额-手续费)/确认净值；卖出=(金额+手续费)/确认净值</x:t>
        </x:is>
      </x:c>
    </x:row>
    <x:row r="7">
      <x:c r="A7" t="inlineStr">
        <x:is>
          <x:t xml:space="preserve">灰色列</x:t>
        </x:is>
      </x:c>
      <x:c r="B7" s="3" t="inlineStr">
        <x:is>
          <x:t xml:space="preserve">自动列，请勿手动修改；卖出赎回费请按实际填写</x:t>
        </x:is>
      </x:c>
    </x:row>
    <x:row r="8">
      <x:c r="A8" t="inlineStr">
        <x:is>
          <x:t xml:space="preserve">历史行</x:t>
        </x:is>
      </x:c>
      <x:c r="B8" s="3" t="inlineStr">
        <x:is>
          <x:t xml:space="preserve">已完成的成交保留原确认值，不按公式重算</x:t>
        </x:is>
      </x:c>
    </x:row>
  </x:sheetData>
  <x:pageMargins left="0.7" right="0.7" top="0.75" bottom="0.75" header="0.3" footer="0.3"/>
</x:worksheet>
</file>